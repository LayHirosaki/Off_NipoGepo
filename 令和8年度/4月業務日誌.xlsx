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okyaku\Documents\業務日誌（永年保存年度別）\令和8年度\"/>
    </mc:Choice>
  </mc:AlternateContent>
  <xr:revisionPtr revIDLastSave="0" documentId="13_ncr:1_{983F9B15-56D6-428F-AF1F-BF45F089ACA2}" xr6:coauthVersionLast="47" xr6:coauthVersionMax="47" xr10:uidLastSave="{00000000-0000-0000-0000-000000000000}"/>
  <bookViews>
    <workbookView xWindow="-120" yWindow="-120" windowWidth="29040" windowHeight="15720" tabRatio="870" firstSheet="1" activeTab="4" xr2:uid="{E25C800C-7DD1-4E24-A99F-F3E303FA5DEC}"/>
  </bookViews>
  <sheets>
    <sheet name="祝日リスト (2)" sheetId="96" r:id="rId1"/>
    <sheet name="表紙" sheetId="29" r:id="rId2"/>
    <sheet name="1" sheetId="63" r:id="rId3"/>
    <sheet name="2" sheetId="65" r:id="rId4"/>
    <sheet name="3" sheetId="66" r:id="rId5"/>
    <sheet name="4" sheetId="67" r:id="rId6"/>
    <sheet name="5" sheetId="68" r:id="rId7"/>
    <sheet name="6" sheetId="69" r:id="rId8"/>
    <sheet name="7" sheetId="70" r:id="rId9"/>
    <sheet name="8" sheetId="71" r:id="rId10"/>
    <sheet name="9" sheetId="72" r:id="rId11"/>
    <sheet name="10" sheetId="73" r:id="rId12"/>
    <sheet name="11" sheetId="74" r:id="rId13"/>
    <sheet name="12" sheetId="75" r:id="rId14"/>
    <sheet name="13" sheetId="76" r:id="rId15"/>
    <sheet name="14" sheetId="77" r:id="rId16"/>
    <sheet name="15" sheetId="78" r:id="rId17"/>
    <sheet name="16" sheetId="79" r:id="rId18"/>
    <sheet name="17" sheetId="80" r:id="rId19"/>
    <sheet name="18" sheetId="81" r:id="rId20"/>
    <sheet name="19" sheetId="82" r:id="rId21"/>
    <sheet name="20" sheetId="83" r:id="rId22"/>
    <sheet name="21" sheetId="84" r:id="rId23"/>
    <sheet name="22" sheetId="85" r:id="rId24"/>
    <sheet name="23" sheetId="86" r:id="rId25"/>
    <sheet name="24" sheetId="87" r:id="rId26"/>
    <sheet name="25" sheetId="88" r:id="rId27"/>
    <sheet name="26" sheetId="89" r:id="rId28"/>
    <sheet name="27" sheetId="90" r:id="rId29"/>
    <sheet name="28" sheetId="91" r:id="rId30"/>
    <sheet name="29" sheetId="92" r:id="rId31"/>
    <sheet name="30" sheetId="93" r:id="rId32"/>
    <sheet name="31" sheetId="94" r:id="rId33"/>
    <sheet name="様式" sheetId="31" r:id="rId34"/>
    <sheet name="祝日リスト" sheetId="95" r:id="rId35"/>
  </sheets>
  <definedNames>
    <definedName name="_xlnm.Print_Area" localSheetId="2">'1'!$A$1:$O$62</definedName>
    <definedName name="_xlnm.Print_Area" localSheetId="11">'10'!$A$1:$O$62</definedName>
    <definedName name="_xlnm.Print_Area" localSheetId="12">'11'!$A$1:$O$62</definedName>
    <definedName name="_xlnm.Print_Area" localSheetId="13">'12'!$A$1:$O$62</definedName>
    <definedName name="_xlnm.Print_Area" localSheetId="14">'13'!$A$1:$O$62</definedName>
    <definedName name="_xlnm.Print_Area" localSheetId="15">'14'!$A$1:$O$62</definedName>
    <definedName name="_xlnm.Print_Area" localSheetId="16">'15'!$A$1:$O$62</definedName>
    <definedName name="_xlnm.Print_Area" localSheetId="17">'16'!$A$1:$O$62</definedName>
    <definedName name="_xlnm.Print_Area" localSheetId="18">'17'!$A$1:$O$62</definedName>
    <definedName name="_xlnm.Print_Area" localSheetId="19">'18'!$A$1:$O$62</definedName>
    <definedName name="_xlnm.Print_Area" localSheetId="20">'19'!$A$1:$O$62</definedName>
    <definedName name="_xlnm.Print_Area" localSheetId="3">'2'!$A$1:$O$62</definedName>
    <definedName name="_xlnm.Print_Area" localSheetId="21">'20'!$A$1:$O$62</definedName>
    <definedName name="_xlnm.Print_Area" localSheetId="22">'21'!$A$1:$O$62</definedName>
    <definedName name="_xlnm.Print_Area" localSheetId="23">'22'!$A$1:$O$62</definedName>
    <definedName name="_xlnm.Print_Area" localSheetId="24">'23'!$A$1:$O$62</definedName>
    <definedName name="_xlnm.Print_Area" localSheetId="25">'24'!$A$1:$O$62</definedName>
    <definedName name="_xlnm.Print_Area" localSheetId="26">'25'!$A$1:$O$62</definedName>
    <definedName name="_xlnm.Print_Area" localSheetId="27">'26'!$A$1:$O$62</definedName>
    <definedName name="_xlnm.Print_Area" localSheetId="28">'27'!$A$1:$O$62</definedName>
    <definedName name="_xlnm.Print_Area" localSheetId="29">'28'!$A$1:$O$62</definedName>
    <definedName name="_xlnm.Print_Area" localSheetId="30">'29'!$A$1:$O$62</definedName>
    <definedName name="_xlnm.Print_Area" localSheetId="4">'3'!$A$1:$O$62</definedName>
    <definedName name="_xlnm.Print_Area" localSheetId="31">'30'!$A$1:$O$62</definedName>
    <definedName name="_xlnm.Print_Area" localSheetId="32">'31'!$A$1:$O$62</definedName>
    <definedName name="_xlnm.Print_Area" localSheetId="5">'4'!$A$1:$O$62</definedName>
    <definedName name="_xlnm.Print_Area" localSheetId="6">'5'!$A$1:$O$62</definedName>
    <definedName name="_xlnm.Print_Area" localSheetId="7">'6'!$A$1:$O$62</definedName>
    <definedName name="_xlnm.Print_Area" localSheetId="8">'7'!$A$1:$O$62</definedName>
    <definedName name="_xlnm.Print_Area" localSheetId="9">'8'!$A$1:$O$62</definedName>
    <definedName name="_xlnm.Print_Area" localSheetId="10">'9'!$A$1:$O$62</definedName>
    <definedName name="_xlnm.Print_Area" localSheetId="33">様式!$A$1:$O$62</definedName>
    <definedName name="沓_形">#REF!</definedName>
    <definedName name="祝日リスト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" i="93" l="1"/>
  <c r="I1" i="93" s="1"/>
  <c r="E1" i="92"/>
  <c r="E1" i="91"/>
  <c r="E1" i="90"/>
  <c r="I1" i="90" s="1"/>
  <c r="E1" i="89"/>
  <c r="I1" i="89" s="1"/>
  <c r="E1" i="88"/>
  <c r="I1" i="88" s="1"/>
  <c r="E1" i="87"/>
  <c r="I1" i="87" s="1"/>
  <c r="E1" i="86"/>
  <c r="E1" i="85"/>
  <c r="I1" i="85" s="1"/>
  <c r="E1" i="84"/>
  <c r="I1" i="84" s="1"/>
  <c r="E1" i="83"/>
  <c r="I1" i="83" s="1"/>
  <c r="E1" i="82"/>
  <c r="I1" i="82" s="1"/>
  <c r="E1" i="81"/>
  <c r="E1" i="80"/>
  <c r="I1" i="80" s="1"/>
  <c r="E1" i="79"/>
  <c r="I1" i="79" s="1"/>
  <c r="E1" i="78"/>
  <c r="I1" i="78" s="1"/>
  <c r="E1" i="77"/>
  <c r="I1" i="77" s="1"/>
  <c r="E1" i="76"/>
  <c r="I1" i="76" s="1"/>
  <c r="E1" i="75"/>
  <c r="I1" i="75" s="1"/>
  <c r="E1" i="74"/>
  <c r="I1" i="74" s="1"/>
  <c r="E1" i="73"/>
  <c r="E1" i="72"/>
  <c r="I1" i="72" s="1"/>
  <c r="E1" i="71"/>
  <c r="I1" i="71" s="1"/>
  <c r="E1" i="70"/>
  <c r="I1" i="70" s="1"/>
  <c r="E1" i="69"/>
  <c r="I1" i="69" s="1"/>
  <c r="E1" i="68"/>
  <c r="I1" i="68" s="1"/>
  <c r="E1" i="67"/>
  <c r="I1" i="67" s="1"/>
  <c r="E1" i="66"/>
  <c r="I1" i="66" s="1"/>
  <c r="E1" i="65"/>
  <c r="I1" i="65" s="1"/>
  <c r="E1" i="63"/>
  <c r="I1" i="63" s="1"/>
  <c r="I1" i="81"/>
  <c r="I1" i="73"/>
  <c r="I1" i="92"/>
  <c r="I1" i="91"/>
  <c r="I1" i="86"/>
  <c r="E1" i="94"/>
  <c r="I1" i="94" s="1"/>
  <c r="N50" i="94"/>
  <c r="O49" i="94"/>
  <c r="O48" i="94"/>
  <c r="O47" i="94"/>
  <c r="O46" i="94"/>
  <c r="O45" i="94"/>
  <c r="O44" i="94"/>
  <c r="O43" i="94"/>
  <c r="N41" i="94"/>
  <c r="N40" i="94"/>
  <c r="N39" i="94"/>
  <c r="N37" i="94"/>
  <c r="O36" i="94"/>
  <c r="N34" i="94"/>
  <c r="N33" i="94"/>
  <c r="N32" i="94"/>
  <c r="N31" i="94"/>
  <c r="O29" i="94"/>
  <c r="O28" i="94"/>
  <c r="O27" i="94"/>
  <c r="O26" i="94"/>
  <c r="N24" i="94"/>
  <c r="N23" i="94"/>
  <c r="N22" i="94"/>
  <c r="N21" i="94"/>
  <c r="N19" i="94"/>
  <c r="N18" i="94"/>
  <c r="N17" i="94"/>
  <c r="N16" i="94"/>
  <c r="O14" i="94"/>
  <c r="O13" i="94"/>
  <c r="O12" i="94"/>
  <c r="O11" i="94"/>
  <c r="N9" i="94"/>
  <c r="N8" i="94"/>
  <c r="N7" i="94"/>
  <c r="N6" i="94"/>
  <c r="N50" i="93"/>
  <c r="O49" i="93"/>
  <c r="O48" i="93"/>
  <c r="O47" i="93"/>
  <c r="O46" i="93"/>
  <c r="O45" i="93"/>
  <c r="O44" i="93"/>
  <c r="O43" i="93"/>
  <c r="N41" i="93"/>
  <c r="N40" i="93"/>
  <c r="N39" i="93"/>
  <c r="N37" i="93"/>
  <c r="O36" i="93"/>
  <c r="N34" i="93"/>
  <c r="N33" i="93"/>
  <c r="N32" i="93"/>
  <c r="N31" i="93"/>
  <c r="O29" i="93"/>
  <c r="O28" i="93"/>
  <c r="O27" i="93"/>
  <c r="O26" i="93"/>
  <c r="N24" i="93"/>
  <c r="N23" i="93"/>
  <c r="N22" i="93"/>
  <c r="N21" i="93"/>
  <c r="N19" i="93"/>
  <c r="N18" i="93"/>
  <c r="N17" i="93"/>
  <c r="N16" i="93"/>
  <c r="O14" i="93"/>
  <c r="O13" i="93"/>
  <c r="O12" i="93"/>
  <c r="O11" i="93"/>
  <c r="N9" i="93"/>
  <c r="N8" i="93"/>
  <c r="N7" i="93"/>
  <c r="N6" i="93"/>
  <c r="N50" i="92"/>
  <c r="O49" i="92"/>
  <c r="O48" i="92"/>
  <c r="O47" i="92"/>
  <c r="O46" i="92"/>
  <c r="O45" i="92"/>
  <c r="O44" i="92"/>
  <c r="O43" i="92"/>
  <c r="N41" i="92"/>
  <c r="N40" i="92"/>
  <c r="N39" i="92"/>
  <c r="N37" i="92"/>
  <c r="O36" i="92"/>
  <c r="N34" i="92"/>
  <c r="N33" i="92"/>
  <c r="N32" i="92"/>
  <c r="N31" i="92"/>
  <c r="O29" i="92"/>
  <c r="O28" i="92"/>
  <c r="O27" i="92"/>
  <c r="O26" i="92"/>
  <c r="N24" i="92"/>
  <c r="N23" i="92"/>
  <c r="N22" i="92"/>
  <c r="N21" i="92"/>
  <c r="N19" i="92"/>
  <c r="N18" i="92"/>
  <c r="N17" i="92"/>
  <c r="N16" i="92"/>
  <c r="O14" i="92"/>
  <c r="O13" i="92"/>
  <c r="O12" i="92"/>
  <c r="O11" i="92"/>
  <c r="N9" i="92"/>
  <c r="N8" i="92"/>
  <c r="N7" i="92"/>
  <c r="N6" i="92"/>
  <c r="N50" i="91"/>
  <c r="O49" i="91"/>
  <c r="O48" i="91"/>
  <c r="O47" i="91"/>
  <c r="O46" i="91"/>
  <c r="O45" i="91"/>
  <c r="O44" i="91"/>
  <c r="O43" i="91"/>
  <c r="N41" i="91"/>
  <c r="N40" i="91"/>
  <c r="N39" i="91"/>
  <c r="N37" i="91"/>
  <c r="O36" i="91"/>
  <c r="N34" i="91"/>
  <c r="N33" i="91"/>
  <c r="N32" i="91"/>
  <c r="N31" i="91"/>
  <c r="O29" i="91"/>
  <c r="O28" i="91"/>
  <c r="O27" i="91"/>
  <c r="O26" i="91"/>
  <c r="N24" i="91"/>
  <c r="N23" i="91"/>
  <c r="N22" i="91"/>
  <c r="N21" i="91"/>
  <c r="N19" i="91"/>
  <c r="N18" i="91"/>
  <c r="N17" i="91"/>
  <c r="N16" i="91"/>
  <c r="O14" i="91"/>
  <c r="O13" i="91"/>
  <c r="O12" i="91"/>
  <c r="O11" i="91"/>
  <c r="N9" i="91"/>
  <c r="N8" i="91"/>
  <c r="N7" i="91"/>
  <c r="N6" i="91"/>
  <c r="N50" i="90"/>
  <c r="O49" i="90"/>
  <c r="O48" i="90"/>
  <c r="O47" i="90"/>
  <c r="O46" i="90"/>
  <c r="O45" i="90"/>
  <c r="O44" i="90"/>
  <c r="O43" i="90"/>
  <c r="N41" i="90"/>
  <c r="N40" i="90"/>
  <c r="N39" i="90"/>
  <c r="N37" i="90"/>
  <c r="O36" i="90"/>
  <c r="N34" i="90"/>
  <c r="N33" i="90"/>
  <c r="N32" i="90"/>
  <c r="N31" i="90"/>
  <c r="O29" i="90"/>
  <c r="O28" i="90"/>
  <c r="O27" i="90"/>
  <c r="O26" i="90"/>
  <c r="N24" i="90"/>
  <c r="N23" i="90"/>
  <c r="N22" i="90"/>
  <c r="N21" i="90"/>
  <c r="N19" i="90"/>
  <c r="N18" i="90"/>
  <c r="N17" i="90"/>
  <c r="N16" i="90"/>
  <c r="O14" i="90"/>
  <c r="O13" i="90"/>
  <c r="O12" i="90"/>
  <c r="O11" i="90"/>
  <c r="N9" i="90"/>
  <c r="N8" i="90"/>
  <c r="N7" i="90"/>
  <c r="N6" i="90"/>
  <c r="N50" i="89"/>
  <c r="O49" i="89"/>
  <c r="O48" i="89"/>
  <c r="O47" i="89"/>
  <c r="O46" i="89"/>
  <c r="O45" i="89"/>
  <c r="O44" i="89"/>
  <c r="O43" i="89"/>
  <c r="N41" i="89"/>
  <c r="N40" i="89"/>
  <c r="N39" i="89"/>
  <c r="N37" i="89"/>
  <c r="O36" i="89"/>
  <c r="N34" i="89"/>
  <c r="N33" i="89"/>
  <c r="N32" i="89"/>
  <c r="N31" i="89"/>
  <c r="O29" i="89"/>
  <c r="O28" i="89"/>
  <c r="O27" i="89"/>
  <c r="O26" i="89"/>
  <c r="N24" i="89"/>
  <c r="N23" i="89"/>
  <c r="N22" i="89"/>
  <c r="N21" i="89"/>
  <c r="N19" i="89"/>
  <c r="N18" i="89"/>
  <c r="N17" i="89"/>
  <c r="N16" i="89"/>
  <c r="O14" i="89"/>
  <c r="O13" i="89"/>
  <c r="O12" i="89"/>
  <c r="O11" i="89"/>
  <c r="N9" i="89"/>
  <c r="N8" i="89"/>
  <c r="N7" i="89"/>
  <c r="N6" i="89"/>
  <c r="N50" i="88"/>
  <c r="O49" i="88"/>
  <c r="O48" i="88"/>
  <c r="O47" i="88"/>
  <c r="O46" i="88"/>
  <c r="O45" i="88"/>
  <c r="O44" i="88"/>
  <c r="O43" i="88"/>
  <c r="N41" i="88"/>
  <c r="N40" i="88"/>
  <c r="N39" i="88"/>
  <c r="N37" i="88"/>
  <c r="O36" i="88"/>
  <c r="N34" i="88"/>
  <c r="N33" i="88"/>
  <c r="N32" i="88"/>
  <c r="N31" i="88"/>
  <c r="O29" i="88"/>
  <c r="O28" i="88"/>
  <c r="O27" i="88"/>
  <c r="O26" i="88"/>
  <c r="N24" i="88"/>
  <c r="N23" i="88"/>
  <c r="N22" i="88"/>
  <c r="N21" i="88"/>
  <c r="N19" i="88"/>
  <c r="N18" i="88"/>
  <c r="N17" i="88"/>
  <c r="N16" i="88"/>
  <c r="O14" i="88"/>
  <c r="O13" i="88"/>
  <c r="O12" i="88"/>
  <c r="O11" i="88"/>
  <c r="N9" i="88"/>
  <c r="N8" i="88"/>
  <c r="N7" i="88"/>
  <c r="N6" i="88"/>
  <c r="N50" i="87"/>
  <c r="O49" i="87"/>
  <c r="O48" i="87"/>
  <c r="O47" i="87"/>
  <c r="O46" i="87"/>
  <c r="O45" i="87"/>
  <c r="O44" i="87"/>
  <c r="O43" i="87"/>
  <c r="N41" i="87"/>
  <c r="N40" i="87"/>
  <c r="N39" i="87"/>
  <c r="N37" i="87"/>
  <c r="O36" i="87"/>
  <c r="N34" i="87"/>
  <c r="N33" i="87"/>
  <c r="N32" i="87"/>
  <c r="N31" i="87"/>
  <c r="O29" i="87"/>
  <c r="O28" i="87"/>
  <c r="O27" i="87"/>
  <c r="O26" i="87"/>
  <c r="N24" i="87"/>
  <c r="N23" i="87"/>
  <c r="N22" i="87"/>
  <c r="N21" i="87"/>
  <c r="N19" i="87"/>
  <c r="N18" i="87"/>
  <c r="N17" i="87"/>
  <c r="N16" i="87"/>
  <c r="O14" i="87"/>
  <c r="O13" i="87"/>
  <c r="O12" i="87"/>
  <c r="O11" i="87"/>
  <c r="N9" i="87"/>
  <c r="N8" i="87"/>
  <c r="N7" i="87"/>
  <c r="N6" i="87"/>
  <c r="N50" i="86"/>
  <c r="O49" i="86"/>
  <c r="O48" i="86"/>
  <c r="O47" i="86"/>
  <c r="O46" i="86"/>
  <c r="O45" i="86"/>
  <c r="O44" i="86"/>
  <c r="O43" i="86"/>
  <c r="N41" i="86"/>
  <c r="N40" i="86"/>
  <c r="N39" i="86"/>
  <c r="N37" i="86"/>
  <c r="O36" i="86"/>
  <c r="N34" i="86"/>
  <c r="N33" i="86"/>
  <c r="N32" i="86"/>
  <c r="N31" i="86"/>
  <c r="O29" i="86"/>
  <c r="O28" i="86"/>
  <c r="O27" i="86"/>
  <c r="O26" i="86"/>
  <c r="N24" i="86"/>
  <c r="N23" i="86"/>
  <c r="N22" i="86"/>
  <c r="N21" i="86"/>
  <c r="N19" i="86"/>
  <c r="N18" i="86"/>
  <c r="N17" i="86"/>
  <c r="N16" i="86"/>
  <c r="O14" i="86"/>
  <c r="O13" i="86"/>
  <c r="O12" i="86"/>
  <c r="O11" i="86"/>
  <c r="N9" i="86"/>
  <c r="N8" i="86"/>
  <c r="N7" i="86"/>
  <c r="N6" i="86"/>
  <c r="N50" i="85"/>
  <c r="O49" i="85"/>
  <c r="O48" i="85"/>
  <c r="O47" i="85"/>
  <c r="O46" i="85"/>
  <c r="O45" i="85"/>
  <c r="O44" i="85"/>
  <c r="O43" i="85"/>
  <c r="N41" i="85"/>
  <c r="N40" i="85"/>
  <c r="N39" i="85"/>
  <c r="N37" i="85"/>
  <c r="O36" i="85"/>
  <c r="N34" i="85"/>
  <c r="N33" i="85"/>
  <c r="N32" i="85"/>
  <c r="N31" i="85"/>
  <c r="O29" i="85"/>
  <c r="O28" i="85"/>
  <c r="O27" i="85"/>
  <c r="O26" i="85"/>
  <c r="N24" i="85"/>
  <c r="N23" i="85"/>
  <c r="N22" i="85"/>
  <c r="N21" i="85"/>
  <c r="N19" i="85"/>
  <c r="N18" i="85"/>
  <c r="N17" i="85"/>
  <c r="N16" i="85"/>
  <c r="O14" i="85"/>
  <c r="O13" i="85"/>
  <c r="O12" i="85"/>
  <c r="O11" i="85"/>
  <c r="N9" i="85"/>
  <c r="N8" i="85"/>
  <c r="N7" i="85"/>
  <c r="N6" i="85"/>
  <c r="N50" i="84"/>
  <c r="O49" i="84"/>
  <c r="O48" i="84"/>
  <c r="O47" i="84"/>
  <c r="O46" i="84"/>
  <c r="O45" i="84"/>
  <c r="O44" i="84"/>
  <c r="O43" i="84"/>
  <c r="N41" i="84"/>
  <c r="N40" i="84"/>
  <c r="N39" i="84"/>
  <c r="N37" i="84"/>
  <c r="O36" i="84"/>
  <c r="N34" i="84"/>
  <c r="N33" i="84"/>
  <c r="N32" i="84"/>
  <c r="N31" i="84"/>
  <c r="O29" i="84"/>
  <c r="O28" i="84"/>
  <c r="O27" i="84"/>
  <c r="O26" i="84"/>
  <c r="N24" i="84"/>
  <c r="N23" i="84"/>
  <c r="N22" i="84"/>
  <c r="N21" i="84"/>
  <c r="N19" i="84"/>
  <c r="N18" i="84"/>
  <c r="N17" i="84"/>
  <c r="N16" i="84"/>
  <c r="O14" i="84"/>
  <c r="O13" i="84"/>
  <c r="O12" i="84"/>
  <c r="O11" i="84"/>
  <c r="N9" i="84"/>
  <c r="N8" i="84"/>
  <c r="N7" i="84"/>
  <c r="N6" i="84"/>
  <c r="N50" i="83"/>
  <c r="O49" i="83"/>
  <c r="O48" i="83"/>
  <c r="O47" i="83"/>
  <c r="O46" i="83"/>
  <c r="O45" i="83"/>
  <c r="O44" i="83"/>
  <c r="O43" i="83"/>
  <c r="N41" i="83"/>
  <c r="N40" i="83"/>
  <c r="N39" i="83"/>
  <c r="N37" i="83"/>
  <c r="O36" i="83"/>
  <c r="N34" i="83"/>
  <c r="N33" i="83"/>
  <c r="N32" i="83"/>
  <c r="N31" i="83"/>
  <c r="O29" i="83"/>
  <c r="O28" i="83"/>
  <c r="O27" i="83"/>
  <c r="O26" i="83"/>
  <c r="N24" i="83"/>
  <c r="N23" i="83"/>
  <c r="N22" i="83"/>
  <c r="N21" i="83"/>
  <c r="N19" i="83"/>
  <c r="N18" i="83"/>
  <c r="N17" i="83"/>
  <c r="N16" i="83"/>
  <c r="O14" i="83"/>
  <c r="O13" i="83"/>
  <c r="O12" i="83"/>
  <c r="O11" i="83"/>
  <c r="N9" i="83"/>
  <c r="N8" i="83"/>
  <c r="N7" i="83"/>
  <c r="N6" i="83"/>
  <c r="N50" i="82"/>
  <c r="O49" i="82"/>
  <c r="O48" i="82"/>
  <c r="O47" i="82"/>
  <c r="O46" i="82"/>
  <c r="O45" i="82"/>
  <c r="O44" i="82"/>
  <c r="O43" i="82"/>
  <c r="N41" i="82"/>
  <c r="N40" i="82"/>
  <c r="N39" i="82"/>
  <c r="N37" i="82"/>
  <c r="O36" i="82"/>
  <c r="N34" i="82"/>
  <c r="N33" i="82"/>
  <c r="N32" i="82"/>
  <c r="N31" i="82"/>
  <c r="O29" i="82"/>
  <c r="O28" i="82"/>
  <c r="O27" i="82"/>
  <c r="O26" i="82"/>
  <c r="N24" i="82"/>
  <c r="N23" i="82"/>
  <c r="N22" i="82"/>
  <c r="N21" i="82"/>
  <c r="N19" i="82"/>
  <c r="N18" i="82"/>
  <c r="N17" i="82"/>
  <c r="N16" i="82"/>
  <c r="O14" i="82"/>
  <c r="O13" i="82"/>
  <c r="O12" i="82"/>
  <c r="O11" i="82"/>
  <c r="N9" i="82"/>
  <c r="N8" i="82"/>
  <c r="N7" i="82"/>
  <c r="N6" i="82"/>
  <c r="N50" i="81"/>
  <c r="O49" i="81"/>
  <c r="O48" i="81"/>
  <c r="O47" i="81"/>
  <c r="O46" i="81"/>
  <c r="O45" i="81"/>
  <c r="O44" i="81"/>
  <c r="O43" i="81"/>
  <c r="N41" i="81"/>
  <c r="N40" i="81"/>
  <c r="N39" i="81"/>
  <c r="N37" i="81"/>
  <c r="O36" i="81"/>
  <c r="N34" i="81"/>
  <c r="N33" i="81"/>
  <c r="N32" i="81"/>
  <c r="N31" i="81"/>
  <c r="O29" i="81"/>
  <c r="O28" i="81"/>
  <c r="O27" i="81"/>
  <c r="O26" i="81"/>
  <c r="N24" i="81"/>
  <c r="N23" i="81"/>
  <c r="N22" i="81"/>
  <c r="N21" i="81"/>
  <c r="N19" i="81"/>
  <c r="N18" i="81"/>
  <c r="N17" i="81"/>
  <c r="N16" i="81"/>
  <c r="O14" i="81"/>
  <c r="O13" i="81"/>
  <c r="O12" i="81"/>
  <c r="O11" i="81"/>
  <c r="N9" i="81"/>
  <c r="N8" i="81"/>
  <c r="N7" i="81"/>
  <c r="N6" i="81"/>
  <c r="N50" i="80"/>
  <c r="O49" i="80"/>
  <c r="O48" i="80"/>
  <c r="O47" i="80"/>
  <c r="O46" i="80"/>
  <c r="O45" i="80"/>
  <c r="O44" i="80"/>
  <c r="O43" i="80"/>
  <c r="N41" i="80"/>
  <c r="N40" i="80"/>
  <c r="N39" i="80"/>
  <c r="N37" i="80"/>
  <c r="O36" i="80"/>
  <c r="N34" i="80"/>
  <c r="N33" i="80"/>
  <c r="N32" i="80"/>
  <c r="N31" i="80"/>
  <c r="O29" i="80"/>
  <c r="O28" i="80"/>
  <c r="O27" i="80"/>
  <c r="O26" i="80"/>
  <c r="N24" i="80"/>
  <c r="N23" i="80"/>
  <c r="N22" i="80"/>
  <c r="N21" i="80"/>
  <c r="N19" i="80"/>
  <c r="N18" i="80"/>
  <c r="N17" i="80"/>
  <c r="N16" i="80"/>
  <c r="O14" i="80"/>
  <c r="O13" i="80"/>
  <c r="O12" i="80"/>
  <c r="O11" i="80"/>
  <c r="N9" i="80"/>
  <c r="N8" i="80"/>
  <c r="N7" i="80"/>
  <c r="N6" i="80"/>
  <c r="N50" i="79"/>
  <c r="O49" i="79"/>
  <c r="O48" i="79"/>
  <c r="O47" i="79"/>
  <c r="O46" i="79"/>
  <c r="O45" i="79"/>
  <c r="O44" i="79"/>
  <c r="O43" i="79"/>
  <c r="N41" i="79"/>
  <c r="N40" i="79"/>
  <c r="N39" i="79"/>
  <c r="N37" i="79"/>
  <c r="O36" i="79"/>
  <c r="N34" i="79"/>
  <c r="N33" i="79"/>
  <c r="N32" i="79"/>
  <c r="N31" i="79"/>
  <c r="O29" i="79"/>
  <c r="O28" i="79"/>
  <c r="O27" i="79"/>
  <c r="O26" i="79"/>
  <c r="N24" i="79"/>
  <c r="N23" i="79"/>
  <c r="N22" i="79"/>
  <c r="N21" i="79"/>
  <c r="N19" i="79"/>
  <c r="N18" i="79"/>
  <c r="N17" i="79"/>
  <c r="N16" i="79"/>
  <c r="O14" i="79"/>
  <c r="O13" i="79"/>
  <c r="O12" i="79"/>
  <c r="O11" i="79"/>
  <c r="N9" i="79"/>
  <c r="N8" i="79"/>
  <c r="N7" i="79"/>
  <c r="N6" i="79"/>
  <c r="N50" i="78"/>
  <c r="O49" i="78"/>
  <c r="O48" i="78"/>
  <c r="O47" i="78"/>
  <c r="O46" i="78"/>
  <c r="O45" i="78"/>
  <c r="O44" i="78"/>
  <c r="O43" i="78"/>
  <c r="N41" i="78"/>
  <c r="N40" i="78"/>
  <c r="N39" i="78"/>
  <c r="N37" i="78"/>
  <c r="O36" i="78"/>
  <c r="N34" i="78"/>
  <c r="N33" i="78"/>
  <c r="N32" i="78"/>
  <c r="N31" i="78"/>
  <c r="O29" i="78"/>
  <c r="O28" i="78"/>
  <c r="O27" i="78"/>
  <c r="O26" i="78"/>
  <c r="N24" i="78"/>
  <c r="N23" i="78"/>
  <c r="N22" i="78"/>
  <c r="N21" i="78"/>
  <c r="N19" i="78"/>
  <c r="N18" i="78"/>
  <c r="N17" i="78"/>
  <c r="N16" i="78"/>
  <c r="O14" i="78"/>
  <c r="O13" i="78"/>
  <c r="O12" i="78"/>
  <c r="O11" i="78"/>
  <c r="N9" i="78"/>
  <c r="N8" i="78"/>
  <c r="N7" i="78"/>
  <c r="N6" i="78"/>
  <c r="N50" i="77"/>
  <c r="O49" i="77"/>
  <c r="O48" i="77"/>
  <c r="O47" i="77"/>
  <c r="O46" i="77"/>
  <c r="O45" i="77"/>
  <c r="O44" i="77"/>
  <c r="O43" i="77"/>
  <c r="N41" i="77"/>
  <c r="N40" i="77"/>
  <c r="N39" i="77"/>
  <c r="N37" i="77"/>
  <c r="O36" i="77"/>
  <c r="N34" i="77"/>
  <c r="N33" i="77"/>
  <c r="N32" i="77"/>
  <c r="N31" i="77"/>
  <c r="O29" i="77"/>
  <c r="O28" i="77"/>
  <c r="O27" i="77"/>
  <c r="O26" i="77"/>
  <c r="N24" i="77"/>
  <c r="N23" i="77"/>
  <c r="N22" i="77"/>
  <c r="N21" i="77"/>
  <c r="N19" i="77"/>
  <c r="N18" i="77"/>
  <c r="N17" i="77"/>
  <c r="N16" i="77"/>
  <c r="O14" i="77"/>
  <c r="O13" i="77"/>
  <c r="O12" i="77"/>
  <c r="O11" i="77"/>
  <c r="N9" i="77"/>
  <c r="N8" i="77"/>
  <c r="N7" i="77"/>
  <c r="N6" i="77"/>
  <c r="N50" i="76"/>
  <c r="O49" i="76"/>
  <c r="O48" i="76"/>
  <c r="O47" i="76"/>
  <c r="O46" i="76"/>
  <c r="O45" i="76"/>
  <c r="O44" i="76"/>
  <c r="O43" i="76"/>
  <c r="N41" i="76"/>
  <c r="N40" i="76"/>
  <c r="N39" i="76"/>
  <c r="N37" i="76"/>
  <c r="O36" i="76"/>
  <c r="N34" i="76"/>
  <c r="N33" i="76"/>
  <c r="N32" i="76"/>
  <c r="N31" i="76"/>
  <c r="O29" i="76"/>
  <c r="O28" i="76"/>
  <c r="O27" i="76"/>
  <c r="O26" i="76"/>
  <c r="N24" i="76"/>
  <c r="N23" i="76"/>
  <c r="N22" i="76"/>
  <c r="N21" i="76"/>
  <c r="N19" i="76"/>
  <c r="N18" i="76"/>
  <c r="N17" i="76"/>
  <c r="N16" i="76"/>
  <c r="O14" i="76"/>
  <c r="O13" i="76"/>
  <c r="O12" i="76"/>
  <c r="O11" i="76"/>
  <c r="N9" i="76"/>
  <c r="N8" i="76"/>
  <c r="N7" i="76"/>
  <c r="N6" i="76"/>
  <c r="N50" i="75"/>
  <c r="O49" i="75"/>
  <c r="O48" i="75"/>
  <c r="O47" i="75"/>
  <c r="O46" i="75"/>
  <c r="O45" i="75"/>
  <c r="O44" i="75"/>
  <c r="O43" i="75"/>
  <c r="N41" i="75"/>
  <c r="N40" i="75"/>
  <c r="N39" i="75"/>
  <c r="N37" i="75"/>
  <c r="O36" i="75"/>
  <c r="N34" i="75"/>
  <c r="N33" i="75"/>
  <c r="N32" i="75"/>
  <c r="N31" i="75"/>
  <c r="O29" i="75"/>
  <c r="O28" i="75"/>
  <c r="O27" i="75"/>
  <c r="O26" i="75"/>
  <c r="N24" i="75"/>
  <c r="N23" i="75"/>
  <c r="N22" i="75"/>
  <c r="N21" i="75"/>
  <c r="N19" i="75"/>
  <c r="N18" i="75"/>
  <c r="N17" i="75"/>
  <c r="N16" i="75"/>
  <c r="O14" i="75"/>
  <c r="O13" i="75"/>
  <c r="O12" i="75"/>
  <c r="O11" i="75"/>
  <c r="N9" i="75"/>
  <c r="N8" i="75"/>
  <c r="N7" i="75"/>
  <c r="N6" i="75"/>
  <c r="N50" i="74"/>
  <c r="O49" i="74"/>
  <c r="O48" i="74"/>
  <c r="O47" i="74"/>
  <c r="O46" i="74"/>
  <c r="O45" i="74"/>
  <c r="O44" i="74"/>
  <c r="O43" i="74"/>
  <c r="N41" i="74"/>
  <c r="N40" i="74"/>
  <c r="N39" i="74"/>
  <c r="N37" i="74"/>
  <c r="O36" i="74"/>
  <c r="N34" i="74"/>
  <c r="N33" i="74"/>
  <c r="N32" i="74"/>
  <c r="N31" i="74"/>
  <c r="O29" i="74"/>
  <c r="O28" i="74"/>
  <c r="O27" i="74"/>
  <c r="O26" i="74"/>
  <c r="N24" i="74"/>
  <c r="N23" i="74"/>
  <c r="N22" i="74"/>
  <c r="N21" i="74"/>
  <c r="N19" i="74"/>
  <c r="N18" i="74"/>
  <c r="N17" i="74"/>
  <c r="N16" i="74"/>
  <c r="O14" i="74"/>
  <c r="O13" i="74"/>
  <c r="O12" i="74"/>
  <c r="O11" i="74"/>
  <c r="N9" i="74"/>
  <c r="N8" i="74"/>
  <c r="N7" i="74"/>
  <c r="N6" i="74"/>
  <c r="N50" i="73"/>
  <c r="O49" i="73"/>
  <c r="O48" i="73"/>
  <c r="O47" i="73"/>
  <c r="O46" i="73"/>
  <c r="O45" i="73"/>
  <c r="O44" i="73"/>
  <c r="O43" i="73"/>
  <c r="N41" i="73"/>
  <c r="N40" i="73"/>
  <c r="N39" i="73"/>
  <c r="N37" i="73"/>
  <c r="O36" i="73"/>
  <c r="N34" i="73"/>
  <c r="N33" i="73"/>
  <c r="N32" i="73"/>
  <c r="N31" i="73"/>
  <c r="O29" i="73"/>
  <c r="O28" i="73"/>
  <c r="O27" i="73"/>
  <c r="O26" i="73"/>
  <c r="N24" i="73"/>
  <c r="N23" i="73"/>
  <c r="N22" i="73"/>
  <c r="N21" i="73"/>
  <c r="N19" i="73"/>
  <c r="N18" i="73"/>
  <c r="N17" i="73"/>
  <c r="N16" i="73"/>
  <c r="O14" i="73"/>
  <c r="O13" i="73"/>
  <c r="O12" i="73"/>
  <c r="O11" i="73"/>
  <c r="N9" i="73"/>
  <c r="N8" i="73"/>
  <c r="N7" i="73"/>
  <c r="N6" i="73"/>
  <c r="N50" i="72"/>
  <c r="O49" i="72"/>
  <c r="O48" i="72"/>
  <c r="O47" i="72"/>
  <c r="O46" i="72"/>
  <c r="O45" i="72"/>
  <c r="O44" i="72"/>
  <c r="O43" i="72"/>
  <c r="N41" i="72"/>
  <c r="N40" i="72"/>
  <c r="N39" i="72"/>
  <c r="N37" i="72"/>
  <c r="O36" i="72"/>
  <c r="N34" i="72"/>
  <c r="N33" i="72"/>
  <c r="N32" i="72"/>
  <c r="N31" i="72"/>
  <c r="O29" i="72"/>
  <c r="O28" i="72"/>
  <c r="O27" i="72"/>
  <c r="O26" i="72"/>
  <c r="N24" i="72"/>
  <c r="N23" i="72"/>
  <c r="N22" i="72"/>
  <c r="N21" i="72"/>
  <c r="N19" i="72"/>
  <c r="N18" i="72"/>
  <c r="N17" i="72"/>
  <c r="N16" i="72"/>
  <c r="O14" i="72"/>
  <c r="O13" i="72"/>
  <c r="O12" i="72"/>
  <c r="O11" i="72"/>
  <c r="N9" i="72"/>
  <c r="N8" i="72"/>
  <c r="N7" i="72"/>
  <c r="N6" i="72"/>
  <c r="N50" i="71"/>
  <c r="O49" i="71"/>
  <c r="O48" i="71"/>
  <c r="O47" i="71"/>
  <c r="O46" i="71"/>
  <c r="O45" i="71"/>
  <c r="O44" i="71"/>
  <c r="O43" i="71"/>
  <c r="N41" i="71"/>
  <c r="N40" i="71"/>
  <c r="N39" i="71"/>
  <c r="N37" i="71"/>
  <c r="O36" i="71"/>
  <c r="N34" i="71"/>
  <c r="N33" i="71"/>
  <c r="N32" i="71"/>
  <c r="N31" i="71"/>
  <c r="O29" i="71"/>
  <c r="O28" i="71"/>
  <c r="O27" i="71"/>
  <c r="O26" i="71"/>
  <c r="N24" i="71"/>
  <c r="N23" i="71"/>
  <c r="N22" i="71"/>
  <c r="N21" i="71"/>
  <c r="N19" i="71"/>
  <c r="N18" i="71"/>
  <c r="N17" i="71"/>
  <c r="N16" i="71"/>
  <c r="O14" i="71"/>
  <c r="O13" i="71"/>
  <c r="O12" i="71"/>
  <c r="O11" i="71"/>
  <c r="N9" i="71"/>
  <c r="N8" i="71"/>
  <c r="N7" i="71"/>
  <c r="N6" i="71"/>
  <c r="N50" i="70"/>
  <c r="O49" i="70"/>
  <c r="O48" i="70"/>
  <c r="O47" i="70"/>
  <c r="O46" i="70"/>
  <c r="O45" i="70"/>
  <c r="O44" i="70"/>
  <c r="O43" i="70"/>
  <c r="N41" i="70"/>
  <c r="N40" i="70"/>
  <c r="N39" i="70"/>
  <c r="N37" i="70"/>
  <c r="O36" i="70"/>
  <c r="N34" i="70"/>
  <c r="N33" i="70"/>
  <c r="N32" i="70"/>
  <c r="N31" i="70"/>
  <c r="O29" i="70"/>
  <c r="O28" i="70"/>
  <c r="O27" i="70"/>
  <c r="O26" i="70"/>
  <c r="N24" i="70"/>
  <c r="N23" i="70"/>
  <c r="N22" i="70"/>
  <c r="N21" i="70"/>
  <c r="N19" i="70"/>
  <c r="N18" i="70"/>
  <c r="N17" i="70"/>
  <c r="N16" i="70"/>
  <c r="O14" i="70"/>
  <c r="O13" i="70"/>
  <c r="O12" i="70"/>
  <c r="O11" i="70"/>
  <c r="N9" i="70"/>
  <c r="N8" i="70"/>
  <c r="N7" i="70"/>
  <c r="N6" i="70"/>
  <c r="N50" i="69"/>
  <c r="O49" i="69"/>
  <c r="O48" i="69"/>
  <c r="O47" i="69"/>
  <c r="O46" i="69"/>
  <c r="O45" i="69"/>
  <c r="O44" i="69"/>
  <c r="O43" i="69"/>
  <c r="N41" i="69"/>
  <c r="N40" i="69"/>
  <c r="N39" i="69"/>
  <c r="N37" i="69"/>
  <c r="O36" i="69"/>
  <c r="N34" i="69"/>
  <c r="N33" i="69"/>
  <c r="N32" i="69"/>
  <c r="N31" i="69"/>
  <c r="O29" i="69"/>
  <c r="O28" i="69"/>
  <c r="O27" i="69"/>
  <c r="O26" i="69"/>
  <c r="N24" i="69"/>
  <c r="N23" i="69"/>
  <c r="N22" i="69"/>
  <c r="N21" i="69"/>
  <c r="N19" i="69"/>
  <c r="N18" i="69"/>
  <c r="N17" i="69"/>
  <c r="N16" i="69"/>
  <c r="O14" i="69"/>
  <c r="O13" i="69"/>
  <c r="O12" i="69"/>
  <c r="O11" i="69"/>
  <c r="N9" i="69"/>
  <c r="N8" i="69"/>
  <c r="N7" i="69"/>
  <c r="N6" i="69"/>
  <c r="N50" i="68"/>
  <c r="O49" i="68"/>
  <c r="O48" i="68"/>
  <c r="O47" i="68"/>
  <c r="O46" i="68"/>
  <c r="O45" i="68"/>
  <c r="O44" i="68"/>
  <c r="O43" i="68"/>
  <c r="N41" i="68"/>
  <c r="N40" i="68"/>
  <c r="N39" i="68"/>
  <c r="N37" i="68"/>
  <c r="O36" i="68"/>
  <c r="N34" i="68"/>
  <c r="N33" i="68"/>
  <c r="N32" i="68"/>
  <c r="N31" i="68"/>
  <c r="O29" i="68"/>
  <c r="O28" i="68"/>
  <c r="O27" i="68"/>
  <c r="O26" i="68"/>
  <c r="N24" i="68"/>
  <c r="N23" i="68"/>
  <c r="N22" i="68"/>
  <c r="N21" i="68"/>
  <c r="N19" i="68"/>
  <c r="N18" i="68"/>
  <c r="N17" i="68"/>
  <c r="N16" i="68"/>
  <c r="O14" i="68"/>
  <c r="O13" i="68"/>
  <c r="O12" i="68"/>
  <c r="O11" i="68"/>
  <c r="N9" i="68"/>
  <c r="N8" i="68"/>
  <c r="N7" i="68"/>
  <c r="N6" i="68"/>
  <c r="N50" i="67"/>
  <c r="O49" i="67"/>
  <c r="O48" i="67"/>
  <c r="O47" i="67"/>
  <c r="O46" i="67"/>
  <c r="O45" i="67"/>
  <c r="O44" i="67"/>
  <c r="O43" i="67"/>
  <c r="N41" i="67"/>
  <c r="N40" i="67"/>
  <c r="N39" i="67"/>
  <c r="N37" i="67"/>
  <c r="O36" i="67"/>
  <c r="N34" i="67"/>
  <c r="N33" i="67"/>
  <c r="N32" i="67"/>
  <c r="N31" i="67"/>
  <c r="O29" i="67"/>
  <c r="O28" i="67"/>
  <c r="O27" i="67"/>
  <c r="O26" i="67"/>
  <c r="N24" i="67"/>
  <c r="N23" i="67"/>
  <c r="N22" i="67"/>
  <c r="N21" i="67"/>
  <c r="N19" i="67"/>
  <c r="N18" i="67"/>
  <c r="N17" i="67"/>
  <c r="N16" i="67"/>
  <c r="O14" i="67"/>
  <c r="O13" i="67"/>
  <c r="O12" i="67"/>
  <c r="O11" i="67"/>
  <c r="N9" i="67"/>
  <c r="N8" i="67"/>
  <c r="N7" i="67"/>
  <c r="N6" i="67"/>
  <c r="N50" i="66"/>
  <c r="O49" i="66"/>
  <c r="O48" i="66"/>
  <c r="O47" i="66"/>
  <c r="O46" i="66"/>
  <c r="O45" i="66"/>
  <c r="O44" i="66"/>
  <c r="O43" i="66"/>
  <c r="N41" i="66"/>
  <c r="N40" i="66"/>
  <c r="N39" i="66"/>
  <c r="N37" i="66"/>
  <c r="O36" i="66"/>
  <c r="N34" i="66"/>
  <c r="N33" i="66"/>
  <c r="N32" i="66"/>
  <c r="N31" i="66"/>
  <c r="O29" i="66"/>
  <c r="O28" i="66"/>
  <c r="O27" i="66"/>
  <c r="O26" i="66"/>
  <c r="N24" i="66"/>
  <c r="N23" i="66"/>
  <c r="N22" i="66"/>
  <c r="N21" i="66"/>
  <c r="N19" i="66"/>
  <c r="N18" i="66"/>
  <c r="N17" i="66"/>
  <c r="N16" i="66"/>
  <c r="O14" i="66"/>
  <c r="O13" i="66"/>
  <c r="O12" i="66"/>
  <c r="O11" i="66"/>
  <c r="N9" i="66"/>
  <c r="N8" i="66"/>
  <c r="N7" i="66"/>
  <c r="N6" i="66"/>
  <c r="N50" i="65"/>
  <c r="O49" i="65"/>
  <c r="O48" i="65"/>
  <c r="O47" i="65"/>
  <c r="O46" i="65"/>
  <c r="O45" i="65"/>
  <c r="O44" i="65"/>
  <c r="O43" i="65"/>
  <c r="N41" i="65"/>
  <c r="N40" i="65"/>
  <c r="N39" i="65"/>
  <c r="N37" i="65"/>
  <c r="O36" i="65"/>
  <c r="N34" i="65"/>
  <c r="N33" i="65"/>
  <c r="N32" i="65"/>
  <c r="N31" i="65"/>
  <c r="O29" i="65"/>
  <c r="O28" i="65"/>
  <c r="O27" i="65"/>
  <c r="O26" i="65"/>
  <c r="N24" i="65"/>
  <c r="N23" i="65"/>
  <c r="N22" i="65"/>
  <c r="N21" i="65"/>
  <c r="N19" i="65"/>
  <c r="N18" i="65"/>
  <c r="N17" i="65"/>
  <c r="N16" i="65"/>
  <c r="O14" i="65"/>
  <c r="O13" i="65"/>
  <c r="O12" i="65"/>
  <c r="O11" i="65"/>
  <c r="N9" i="65"/>
  <c r="N8" i="65"/>
  <c r="N7" i="65"/>
  <c r="N6" i="65"/>
  <c r="N50" i="63"/>
  <c r="O49" i="63"/>
  <c r="O48" i="63"/>
  <c r="O47" i="63"/>
  <c r="O46" i="63"/>
  <c r="O45" i="63"/>
  <c r="O44" i="63"/>
  <c r="O43" i="63"/>
  <c r="N41" i="63"/>
  <c r="N40" i="63"/>
  <c r="N39" i="63"/>
  <c r="N37" i="63"/>
  <c r="O36" i="63"/>
  <c r="N34" i="63"/>
  <c r="N33" i="63"/>
  <c r="N32" i="63"/>
  <c r="N31" i="63"/>
  <c r="O29" i="63"/>
  <c r="O28" i="63"/>
  <c r="O27" i="63"/>
  <c r="O26" i="63"/>
  <c r="N24" i="63"/>
  <c r="N23" i="63"/>
  <c r="N22" i="63"/>
  <c r="N21" i="63"/>
  <c r="N19" i="63"/>
  <c r="N18" i="63"/>
  <c r="N17" i="63"/>
  <c r="N16" i="63"/>
  <c r="O14" i="63"/>
  <c r="O13" i="63"/>
  <c r="O12" i="63"/>
  <c r="O11" i="63"/>
  <c r="N9" i="63"/>
  <c r="N8" i="63"/>
  <c r="N7" i="63"/>
  <c r="N6" i="63"/>
  <c r="N50" i="31"/>
  <c r="O49" i="31"/>
  <c r="O48" i="31"/>
  <c r="O47" i="31"/>
  <c r="O46" i="31"/>
  <c r="O45" i="31"/>
  <c r="O44" i="31"/>
  <c r="O43" i="31"/>
  <c r="N41" i="31"/>
  <c r="N40" i="31"/>
  <c r="N39" i="31"/>
  <c r="N37" i="31"/>
  <c r="O36" i="31"/>
  <c r="N34" i="31"/>
  <c r="N33" i="31"/>
  <c r="N32" i="31"/>
  <c r="N31" i="31"/>
  <c r="O29" i="31"/>
  <c r="O28" i="31"/>
  <c r="O27" i="31"/>
  <c r="O26" i="31"/>
  <c r="N24" i="31"/>
  <c r="N23" i="31"/>
  <c r="N22" i="31"/>
  <c r="N21" i="31"/>
  <c r="N19" i="31"/>
  <c r="N18" i="31"/>
  <c r="N17" i="31"/>
  <c r="N16" i="31"/>
  <c r="O14" i="31"/>
  <c r="O13" i="31"/>
  <c r="O12" i="31"/>
  <c r="O11" i="31"/>
  <c r="N9" i="31"/>
  <c r="N8" i="31"/>
  <c r="N7" i="31"/>
  <c r="N6" i="31"/>
  <c r="I1" i="31"/>
</calcChain>
</file>

<file path=xl/sharedStrings.xml><?xml version="1.0" encoding="utf-8"?>
<sst xmlns="http://schemas.openxmlformats.org/spreadsheetml/2006/main" count="5122" uniqueCount="98">
  <si>
    <t>焼却量</t>
    <rPh sb="0" eb="3">
      <t>ショウキャクリョウ</t>
    </rPh>
    <phoneticPr fontId="1"/>
  </si>
  <si>
    <t>埋立量</t>
    <rPh sb="0" eb="2">
      <t>ウメタテ</t>
    </rPh>
    <rPh sb="2" eb="3">
      <t>リョウ</t>
    </rPh>
    <phoneticPr fontId="1"/>
  </si>
  <si>
    <t>仙法志</t>
    <rPh sb="0" eb="1">
      <t>セン</t>
    </rPh>
    <rPh sb="1" eb="2">
      <t>ホウ</t>
    </rPh>
    <rPh sb="2" eb="3">
      <t>シ</t>
    </rPh>
    <phoneticPr fontId="1"/>
  </si>
  <si>
    <t>不燃</t>
    <rPh sb="0" eb="2">
      <t>フネン</t>
    </rPh>
    <phoneticPr fontId="1"/>
  </si>
  <si>
    <t>缶類</t>
    <rPh sb="0" eb="2">
      <t>カンルイ</t>
    </rPh>
    <phoneticPr fontId="1"/>
  </si>
  <si>
    <t>主任</t>
    <rPh sb="0" eb="2">
      <t>シュニン</t>
    </rPh>
    <phoneticPr fontId="1"/>
  </si>
  <si>
    <t>利尻</t>
    <rPh sb="0" eb="2">
      <t>リシリ</t>
    </rPh>
    <phoneticPr fontId="1"/>
  </si>
  <si>
    <t>富士</t>
    <rPh sb="0" eb="2">
      <t>フジ</t>
    </rPh>
    <phoneticPr fontId="1"/>
  </si>
  <si>
    <t>可燃</t>
    <rPh sb="0" eb="2">
      <t>カネン</t>
    </rPh>
    <phoneticPr fontId="1"/>
  </si>
  <si>
    <t>持込（焼却）</t>
    <rPh sb="0" eb="2">
      <t>モチコミ</t>
    </rPh>
    <rPh sb="3" eb="5">
      <t>ショウキャク</t>
    </rPh>
    <phoneticPr fontId="1"/>
  </si>
  <si>
    <t>有価回収</t>
    <rPh sb="0" eb="2">
      <t>ユウカ</t>
    </rPh>
    <rPh sb="2" eb="4">
      <t>カイシュウ</t>
    </rPh>
    <phoneticPr fontId="1"/>
  </si>
  <si>
    <t>収集粗大</t>
    <rPh sb="0" eb="2">
      <t>シュウシュウ</t>
    </rPh>
    <rPh sb="2" eb="4">
      <t>ソダイ</t>
    </rPh>
    <phoneticPr fontId="1"/>
  </si>
  <si>
    <t>粗大埋立</t>
    <rPh sb="0" eb="2">
      <t>ソダイ</t>
    </rPh>
    <rPh sb="2" eb="4">
      <t>ウメタテ</t>
    </rPh>
    <phoneticPr fontId="1"/>
  </si>
  <si>
    <t>電気使用量</t>
    <rPh sb="0" eb="2">
      <t>デンキ</t>
    </rPh>
    <rPh sb="2" eb="5">
      <t>シヨウリョウ</t>
    </rPh>
    <phoneticPr fontId="1"/>
  </si>
  <si>
    <t>上水使用量</t>
    <rPh sb="0" eb="1">
      <t>ジョウ</t>
    </rPh>
    <rPh sb="1" eb="2">
      <t>スイ</t>
    </rPh>
    <rPh sb="2" eb="4">
      <t>シヨウ</t>
    </rPh>
    <rPh sb="4" eb="5">
      <t>リョウ</t>
    </rPh>
    <phoneticPr fontId="1"/>
  </si>
  <si>
    <t>冷却水量</t>
    <rPh sb="0" eb="2">
      <t>レイキャク</t>
    </rPh>
    <rPh sb="2" eb="3">
      <t>スイ</t>
    </rPh>
    <rPh sb="3" eb="4">
      <t>リョウ</t>
    </rPh>
    <phoneticPr fontId="1"/>
  </si>
  <si>
    <t>焼却時間</t>
    <rPh sb="0" eb="2">
      <t>ショウキャク</t>
    </rPh>
    <rPh sb="2" eb="4">
      <t>ジカン</t>
    </rPh>
    <phoneticPr fontId="1"/>
  </si>
  <si>
    <t>焼却残渣</t>
    <rPh sb="0" eb="2">
      <t>ショウキャク</t>
    </rPh>
    <rPh sb="2" eb="4">
      <t>ザンサ</t>
    </rPh>
    <phoneticPr fontId="1"/>
  </si>
  <si>
    <t>灰個化物</t>
    <rPh sb="0" eb="1">
      <t>ハイ</t>
    </rPh>
    <rPh sb="1" eb="2">
      <t>コ</t>
    </rPh>
    <rPh sb="2" eb="3">
      <t>カ</t>
    </rPh>
    <rPh sb="3" eb="4">
      <t>モノ</t>
    </rPh>
    <phoneticPr fontId="1"/>
  </si>
  <si>
    <t>補助燃料</t>
    <rPh sb="0" eb="2">
      <t>ホジョ</t>
    </rPh>
    <rPh sb="2" eb="4">
      <t>ネンリョウ</t>
    </rPh>
    <phoneticPr fontId="1"/>
  </si>
  <si>
    <t>休暇内容</t>
    <rPh sb="0" eb="2">
      <t>キュウカ</t>
    </rPh>
    <rPh sb="2" eb="4">
      <t>ナイヨウ</t>
    </rPh>
    <phoneticPr fontId="1"/>
  </si>
  <si>
    <t>焼　却　量</t>
    <rPh sb="0" eb="1">
      <t>ヤキ</t>
    </rPh>
    <rPh sb="2" eb="3">
      <t>キャク</t>
    </rPh>
    <rPh sb="4" eb="5">
      <t>リョウ</t>
    </rPh>
    <phoneticPr fontId="1"/>
  </si>
  <si>
    <t>プラント量</t>
    <rPh sb="4" eb="5">
      <t>リョウ</t>
    </rPh>
    <phoneticPr fontId="1"/>
  </si>
  <si>
    <t>地区</t>
    <rPh sb="0" eb="2">
      <t>チク</t>
    </rPh>
    <phoneticPr fontId="1"/>
  </si>
  <si>
    <t>１回目収集</t>
    <rPh sb="1" eb="3">
      <t>カイメ</t>
    </rPh>
    <rPh sb="3" eb="5">
      <t>シュウシュウ</t>
    </rPh>
    <phoneticPr fontId="1"/>
  </si>
  <si>
    <t>２回目収集</t>
    <rPh sb="1" eb="3">
      <t>カイメ</t>
    </rPh>
    <rPh sb="3" eb="5">
      <t>シュウシュウ</t>
    </rPh>
    <phoneticPr fontId="1"/>
  </si>
  <si>
    <t>３回目収集</t>
    <rPh sb="1" eb="3">
      <t>カイメ</t>
    </rPh>
    <rPh sb="3" eb="5">
      <t>シュウシュウ</t>
    </rPh>
    <phoneticPr fontId="1"/>
  </si>
  <si>
    <t>４回目収集</t>
    <rPh sb="1" eb="3">
      <t>カイメ</t>
    </rPh>
    <rPh sb="3" eb="5">
      <t>シュウシュウ</t>
    </rPh>
    <phoneticPr fontId="1"/>
  </si>
  <si>
    <t>５回目収集</t>
    <rPh sb="1" eb="3">
      <t>カイメ</t>
    </rPh>
    <rPh sb="3" eb="5">
      <t>シュウシュウ</t>
    </rPh>
    <phoneticPr fontId="1"/>
  </si>
  <si>
    <t>鬼　脇</t>
    <rPh sb="0" eb="1">
      <t>オニ</t>
    </rPh>
    <rPh sb="2" eb="3">
      <t>ワキ</t>
    </rPh>
    <phoneticPr fontId="1"/>
  </si>
  <si>
    <t>鴛　泊</t>
    <rPh sb="0" eb="1">
      <t>オシドリ</t>
    </rPh>
    <rPh sb="2" eb="3">
      <t>ハク</t>
    </rPh>
    <phoneticPr fontId="1"/>
  </si>
  <si>
    <t>沓　形</t>
    <rPh sb="0" eb="1">
      <t>クツ</t>
    </rPh>
    <rPh sb="2" eb="3">
      <t>カタ</t>
    </rPh>
    <phoneticPr fontId="1"/>
  </si>
  <si>
    <t>来 所 者</t>
    <rPh sb="0" eb="1">
      <t>ライ</t>
    </rPh>
    <rPh sb="2" eb="3">
      <t>ショ</t>
    </rPh>
    <rPh sb="4" eb="5">
      <t>モノ</t>
    </rPh>
    <phoneticPr fontId="1"/>
  </si>
  <si>
    <t>鴛　泊</t>
    <rPh sb="0" eb="1">
      <t>オシ</t>
    </rPh>
    <rPh sb="2" eb="3">
      <t>トマリ</t>
    </rPh>
    <phoneticPr fontId="1"/>
  </si>
  <si>
    <t>その他</t>
    <rPh sb="2" eb="3">
      <t>タ</t>
    </rPh>
    <phoneticPr fontId="1"/>
  </si>
  <si>
    <t>可　燃　物</t>
    <rPh sb="0" eb="1">
      <t>カ</t>
    </rPh>
    <rPh sb="2" eb="3">
      <t>ネン</t>
    </rPh>
    <rPh sb="4" eb="5">
      <t>ブツ</t>
    </rPh>
    <phoneticPr fontId="1"/>
  </si>
  <si>
    <t>埋　立　分</t>
    <rPh sb="0" eb="1">
      <t>マイ</t>
    </rPh>
    <rPh sb="2" eb="3">
      <t>リツ</t>
    </rPh>
    <rPh sb="4" eb="5">
      <t>ブン</t>
    </rPh>
    <phoneticPr fontId="1"/>
  </si>
  <si>
    <t>有　価　物</t>
    <rPh sb="0" eb="1">
      <t>ユウ</t>
    </rPh>
    <rPh sb="2" eb="3">
      <t>アタイ</t>
    </rPh>
    <rPh sb="4" eb="5">
      <t>ブツ</t>
    </rPh>
    <phoneticPr fontId="1"/>
  </si>
  <si>
    <t>木　く　ず</t>
    <rPh sb="0" eb="1">
      <t>キ</t>
    </rPh>
    <phoneticPr fontId="1"/>
  </si>
  <si>
    <t>ウニガラ</t>
    <phoneticPr fontId="1"/>
  </si>
  <si>
    <t>kwh／日</t>
    <rPh sb="4" eb="5">
      <t>ニチ</t>
    </rPh>
    <phoneticPr fontId="1"/>
  </si>
  <si>
    <t>kg／日</t>
    <phoneticPr fontId="1"/>
  </si>
  <si>
    <t>時間／日</t>
    <rPh sb="0" eb="2">
      <t>ジカン</t>
    </rPh>
    <phoneticPr fontId="1"/>
  </si>
  <si>
    <t>ℓ／日</t>
    <phoneticPr fontId="1"/>
  </si>
  <si>
    <t>業　務　日　誌</t>
    <rPh sb="0" eb="1">
      <t>ギョウ</t>
    </rPh>
    <rPh sb="2" eb="3">
      <t>ツトム</t>
    </rPh>
    <rPh sb="4" eb="5">
      <t>ヒ</t>
    </rPh>
    <rPh sb="6" eb="7">
      <t>シ</t>
    </rPh>
    <phoneticPr fontId="1"/>
  </si>
  <si>
    <t>ごみ焼却処理場</t>
    <rPh sb="2" eb="4">
      <t>ショウキャク</t>
    </rPh>
    <rPh sb="4" eb="7">
      <t>ショリジョウ</t>
    </rPh>
    <phoneticPr fontId="1"/>
  </si>
  <si>
    <t>資材購入及び修繕</t>
    <rPh sb="0" eb="2">
      <t>シザイ</t>
    </rPh>
    <rPh sb="2" eb="4">
      <t>コウニュウ</t>
    </rPh>
    <rPh sb="4" eb="5">
      <t>オヨ</t>
    </rPh>
    <rPh sb="6" eb="8">
      <t>シュウゼン</t>
    </rPh>
    <phoneticPr fontId="1"/>
  </si>
  <si>
    <t>ビン</t>
    <phoneticPr fontId="1"/>
  </si>
  <si>
    <t>紙類</t>
    <rPh sb="0" eb="2">
      <t>カミルイ</t>
    </rPh>
    <phoneticPr fontId="1"/>
  </si>
  <si>
    <r>
      <t>m</t>
    </r>
    <r>
      <rPr>
        <vertAlign val="superscript"/>
        <sz val="9"/>
        <rFont val="ＭＳ Ｐゴシック"/>
        <family val="3"/>
        <charset val="128"/>
      </rPr>
      <t>3</t>
    </r>
    <r>
      <rPr>
        <sz val="9"/>
        <rFont val="ＭＳ Ｐゴシック"/>
        <family val="3"/>
        <charset val="128"/>
      </rPr>
      <t>／日</t>
    </r>
    <phoneticPr fontId="1"/>
  </si>
  <si>
    <t>ペット</t>
    <phoneticPr fontId="1"/>
  </si>
  <si>
    <t>併せ産廃（医療）</t>
    <rPh sb="0" eb="1">
      <t>アワ</t>
    </rPh>
    <rPh sb="2" eb="4">
      <t>サンパイ</t>
    </rPh>
    <rPh sb="5" eb="7">
      <t>イリョウ</t>
    </rPh>
    <phoneticPr fontId="1"/>
  </si>
  <si>
    <t>併せ産廃（水産）</t>
    <rPh sb="0" eb="1">
      <t>アワ</t>
    </rPh>
    <rPh sb="2" eb="4">
      <t>サンパイ</t>
    </rPh>
    <rPh sb="5" eb="7">
      <t>スイサン</t>
    </rPh>
    <phoneticPr fontId="1"/>
  </si>
  <si>
    <t>下水道汚泥</t>
    <rPh sb="0" eb="3">
      <t>ゲスイドウ</t>
    </rPh>
    <rPh sb="3" eb="4">
      <t>キタナ</t>
    </rPh>
    <rPh sb="4" eb="5">
      <t>ドロ</t>
    </rPh>
    <phoneticPr fontId="1"/>
  </si>
  <si>
    <t>一般持込（埋立）</t>
    <rPh sb="0" eb="2">
      <t>イッパン</t>
    </rPh>
    <rPh sb="2" eb="4">
      <t>モチコミ</t>
    </rPh>
    <rPh sb="5" eb="7">
      <t>ウメタテ</t>
    </rPh>
    <phoneticPr fontId="1"/>
  </si>
  <si>
    <t>水産物</t>
    <rPh sb="0" eb="3">
      <t>スイサンブツ</t>
    </rPh>
    <phoneticPr fontId="1"/>
  </si>
  <si>
    <t>不燃物・海岸清掃</t>
    <rPh sb="0" eb="1">
      <t>フ</t>
    </rPh>
    <rPh sb="1" eb="2">
      <t>ネン</t>
    </rPh>
    <rPh sb="2" eb="3">
      <t>ブツ</t>
    </rPh>
    <rPh sb="4" eb="6">
      <t>カイガン</t>
    </rPh>
    <rPh sb="6" eb="8">
      <t>セイソウ</t>
    </rPh>
    <phoneticPr fontId="1"/>
  </si>
  <si>
    <t xml:space="preserve"> </t>
    <phoneticPr fontId="1"/>
  </si>
  <si>
    <t xml:space="preserve"> </t>
    <phoneticPr fontId="1"/>
  </si>
  <si>
    <t>課長</t>
    <rPh sb="0" eb="2">
      <t>カチョウ</t>
    </rPh>
    <phoneticPr fontId="1"/>
  </si>
  <si>
    <t xml:space="preserve">      </t>
    <phoneticPr fontId="1"/>
  </si>
  <si>
    <t>可燃物(木・紙)</t>
    <rPh sb="0" eb="1">
      <t>カ</t>
    </rPh>
    <rPh sb="1" eb="2">
      <t>ネン</t>
    </rPh>
    <rPh sb="2" eb="3">
      <t>ブツ</t>
    </rPh>
    <rPh sb="4" eb="5">
      <t>キ</t>
    </rPh>
    <rPh sb="6" eb="7">
      <t>カミ</t>
    </rPh>
    <phoneticPr fontId="1"/>
  </si>
  <si>
    <t>気温</t>
    <rPh sb="0" eb="2">
      <t>キオン</t>
    </rPh>
    <phoneticPr fontId="1"/>
  </si>
  <si>
    <t>℃</t>
    <phoneticPr fontId="1"/>
  </si>
  <si>
    <t>天候</t>
    <rPh sb="0" eb="2">
      <t>テンコウ</t>
    </rPh>
    <phoneticPr fontId="1"/>
  </si>
  <si>
    <t>業務内容・備考</t>
    <rPh sb="0" eb="2">
      <t>ギョウム</t>
    </rPh>
    <rPh sb="2" eb="4">
      <t>ナイヨウ</t>
    </rPh>
    <rPh sb="5" eb="7">
      <t>ビコウ</t>
    </rPh>
    <phoneticPr fontId="1"/>
  </si>
  <si>
    <t>令和 3 年度</t>
    <rPh sb="0" eb="1">
      <t>レイ</t>
    </rPh>
    <rPh sb="1" eb="2">
      <t>ワ</t>
    </rPh>
    <rPh sb="5" eb="6">
      <t>ネン</t>
    </rPh>
    <rPh sb="6" eb="7">
      <t>ド</t>
    </rPh>
    <phoneticPr fontId="1"/>
  </si>
  <si>
    <t>6 月分</t>
    <rPh sb="2" eb="3">
      <t>ガツ</t>
    </rPh>
    <rPh sb="3" eb="4">
      <t>ブン</t>
    </rPh>
    <phoneticPr fontId="1"/>
  </si>
  <si>
    <t>庶務係長</t>
    <rPh sb="0" eb="2">
      <t>ショム</t>
    </rPh>
    <rPh sb="2" eb="4">
      <t>カカリチョウ</t>
    </rPh>
    <phoneticPr fontId="1"/>
  </si>
  <si>
    <t>業務係長</t>
    <rPh sb="0" eb="2">
      <t>ギョウ</t>
    </rPh>
    <rPh sb="2" eb="4">
      <t>カカリ</t>
    </rPh>
    <phoneticPr fontId="1"/>
  </si>
  <si>
    <t>元日</t>
  </si>
  <si>
    <t>成人の日</t>
  </si>
  <si>
    <t>建国記念の日</t>
  </si>
  <si>
    <t>天皇誕生日</t>
  </si>
  <si>
    <t>振替休日</t>
  </si>
  <si>
    <t>春分の日</t>
  </si>
  <si>
    <t>昭和の日</t>
  </si>
  <si>
    <t>憲法記念日</t>
  </si>
  <si>
    <t>みどりの日</t>
  </si>
  <si>
    <t>こどもの日</t>
  </si>
  <si>
    <t>海の日</t>
  </si>
  <si>
    <t>山の日</t>
  </si>
  <si>
    <t>敬老の日</t>
  </si>
  <si>
    <t>秋分の日</t>
  </si>
  <si>
    <t>スポーツの日</t>
  </si>
  <si>
    <t>文化の日</t>
  </si>
  <si>
    <t>勤労感謝の日</t>
  </si>
  <si>
    <t>国民の休日</t>
  </si>
  <si>
    <t>晴れ</t>
    <rPh sb="0" eb="1">
      <t>ハ</t>
    </rPh>
    <phoneticPr fontId="1"/>
  </si>
  <si>
    <t>塚本</t>
  </si>
  <si>
    <t>渡邉</t>
  </si>
  <si>
    <t>高橋</t>
  </si>
  <si>
    <t>辞令交付　9：30～（3階議場）</t>
    <rPh sb="0" eb="4">
      <t>ジレイコウフ</t>
    </rPh>
    <rPh sb="12" eb="13">
      <t>カイ</t>
    </rPh>
    <rPh sb="13" eb="15">
      <t>ギジョウ</t>
    </rPh>
    <phoneticPr fontId="1"/>
  </si>
  <si>
    <t>ハイルーセン入荷　2箱（自工）</t>
    <rPh sb="6" eb="8">
      <t>ニュウカ</t>
    </rPh>
    <rPh sb="10" eb="11">
      <t>ハコ</t>
    </rPh>
    <rPh sb="12" eb="14">
      <t>ジコウ</t>
    </rPh>
    <phoneticPr fontId="1"/>
  </si>
  <si>
    <t>曇り</t>
    <rPh sb="0" eb="1">
      <t>クモ</t>
    </rPh>
    <phoneticPr fontId="1"/>
  </si>
  <si>
    <t>休炉</t>
    <rPh sb="0" eb="2">
      <t>キュウロ</t>
    </rPh>
    <phoneticPr fontId="1"/>
  </si>
  <si>
    <t>石粉運搬</t>
    <rPh sb="0" eb="4">
      <t>イシコウンパン</t>
    </rPh>
    <phoneticPr fontId="1"/>
  </si>
  <si>
    <t>日直　阿部</t>
    <rPh sb="0" eb="2">
      <t>ニッチョク</t>
    </rPh>
    <rPh sb="3" eb="5">
      <t>アベ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</si>
</sst>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_ "/>
    <numFmt numFmtId="177" formatCode="0_ ;[Red]\-0\ "/>
    <numFmt numFmtId="178" formatCode="#,##0.0_ "/>
    <numFmt numFmtId="179" formatCode="#,##0.000_ "/>
    <numFmt numFmtId="180" formatCode="[h]:mm&quot; &quot;"/>
    <numFmt numFmtId="181" formatCode="[$]ggge&quot;年&quot;m&quot;月&quot;d&quot;日&quot;;@"/>
    <numFmt numFmtId="182" formatCode="yyyy/mm/dd"/>
  </numFmts>
  <fonts count="1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48"/>
      <name val="ＭＳ Ｐ明朝"/>
      <family val="1"/>
      <charset val="128"/>
    </font>
    <font>
      <sz val="36"/>
      <name val="ＭＳ Ｐ明朝"/>
      <family val="1"/>
      <charset val="128"/>
    </font>
    <font>
      <sz val="60"/>
      <name val="ＭＳ Ｐ明朝"/>
      <family val="1"/>
      <charset val="128"/>
    </font>
    <font>
      <sz val="9"/>
      <name val="ＭＳ Ｐゴシック"/>
      <family val="3"/>
      <charset val="128"/>
    </font>
    <font>
      <vertAlign val="superscript"/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9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11"/>
      <name val="HGｺﾞｼｯｸM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HGｺﾞｼｯｸM"/>
      <family val="3"/>
      <charset val="128"/>
    </font>
    <font>
      <sz val="9"/>
      <color rgb="FFFF0000"/>
      <name val="ＭＳ Ｐゴシック"/>
      <family val="3"/>
      <charset val="128"/>
    </font>
    <font>
      <sz val="10"/>
      <color rgb="FF00B0F0"/>
      <name val="ＭＳ Ｐゴシック"/>
      <family val="3"/>
      <charset val="128"/>
    </font>
    <font>
      <sz val="9"/>
      <color rgb="FF00B0F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/>
  </cellStyleXfs>
  <cellXfs count="173">
    <xf numFmtId="0" fontId="0" fillId="0" borderId="0" xfId="0"/>
    <xf numFmtId="0" fontId="3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76" fontId="5" fillId="0" borderId="0" xfId="0" applyNumberFormat="1" applyFont="1" applyAlignment="1">
      <alignment horizontal="right" vertical="center"/>
    </xf>
    <xf numFmtId="176" fontId="5" fillId="0" borderId="16" xfId="0" applyNumberFormat="1" applyFont="1" applyBorder="1" applyAlignment="1">
      <alignment horizontal="right" vertical="center"/>
    </xf>
    <xf numFmtId="176" fontId="5" fillId="0" borderId="17" xfId="0" applyNumberFormat="1" applyFont="1" applyBorder="1" applyAlignment="1">
      <alignment horizontal="right" vertical="center"/>
    </xf>
    <xf numFmtId="176" fontId="5" fillId="0" borderId="18" xfId="0" applyNumberFormat="1" applyFont="1" applyBorder="1" applyAlignment="1">
      <alignment horizontal="right" vertical="center"/>
    </xf>
    <xf numFmtId="176" fontId="5" fillId="0" borderId="19" xfId="0" applyNumberFormat="1" applyFont="1" applyBorder="1" applyAlignment="1">
      <alignment horizontal="right" vertical="center"/>
    </xf>
    <xf numFmtId="0" fontId="5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right" vertical="center"/>
    </xf>
    <xf numFmtId="176" fontId="5" fillId="0" borderId="22" xfId="0" applyNumberFormat="1" applyFont="1" applyBorder="1" applyAlignment="1">
      <alignment horizontal="right" vertical="center"/>
    </xf>
    <xf numFmtId="176" fontId="5" fillId="0" borderId="23" xfId="0" applyNumberFormat="1" applyFont="1" applyBorder="1" applyAlignment="1">
      <alignment horizontal="right" vertical="center"/>
    </xf>
    <xf numFmtId="0" fontId="5" fillId="0" borderId="21" xfId="0" applyFont="1" applyBorder="1" applyAlignment="1">
      <alignment vertical="center"/>
    </xf>
    <xf numFmtId="176" fontId="5" fillId="0" borderId="24" xfId="0" applyNumberFormat="1" applyFont="1" applyBorder="1" applyAlignment="1">
      <alignment horizontal="right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176" fontId="5" fillId="0" borderId="27" xfId="0" applyNumberFormat="1" applyFont="1" applyBorder="1" applyAlignment="1">
      <alignment horizontal="right" vertical="center"/>
    </xf>
    <xf numFmtId="176" fontId="5" fillId="0" borderId="28" xfId="0" applyNumberFormat="1" applyFont="1" applyBorder="1" applyAlignment="1">
      <alignment horizontal="right" vertical="center"/>
    </xf>
    <xf numFmtId="176" fontId="5" fillId="0" borderId="29" xfId="0" applyNumberFormat="1" applyFont="1" applyBorder="1" applyAlignment="1">
      <alignment horizontal="right" vertical="center"/>
    </xf>
    <xf numFmtId="176" fontId="5" fillId="0" borderId="30" xfId="0" applyNumberFormat="1" applyFont="1" applyBorder="1" applyAlignment="1">
      <alignment horizontal="right" vertical="center"/>
    </xf>
    <xf numFmtId="176" fontId="5" fillId="0" borderId="5" xfId="0" applyNumberFormat="1" applyFont="1" applyBorder="1" applyAlignment="1">
      <alignment horizontal="right" vertical="center"/>
    </xf>
    <xf numFmtId="0" fontId="5" fillId="0" borderId="19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176" fontId="5" fillId="0" borderId="31" xfId="0" applyNumberFormat="1" applyFont="1" applyBorder="1" applyAlignment="1">
      <alignment vertical="center"/>
    </xf>
    <xf numFmtId="176" fontId="5" fillId="0" borderId="19" xfId="0" applyNumberFormat="1" applyFont="1" applyBorder="1" applyAlignment="1">
      <alignment vertical="center"/>
    </xf>
    <xf numFmtId="176" fontId="5" fillId="0" borderId="32" xfId="0" applyNumberFormat="1" applyFont="1" applyBorder="1" applyAlignment="1">
      <alignment vertical="center"/>
    </xf>
    <xf numFmtId="176" fontId="5" fillId="0" borderId="33" xfId="0" applyNumberFormat="1" applyFont="1" applyBorder="1" applyAlignment="1">
      <alignment horizontal="right" vertical="center"/>
    </xf>
    <xf numFmtId="176" fontId="5" fillId="0" borderId="24" xfId="0" applyNumberFormat="1" applyFont="1" applyBorder="1" applyAlignment="1">
      <alignment vertical="center"/>
    </xf>
    <xf numFmtId="176" fontId="5" fillId="0" borderId="18" xfId="0" applyNumberFormat="1" applyFont="1" applyBorder="1" applyAlignment="1">
      <alignment vertical="center"/>
    </xf>
    <xf numFmtId="176" fontId="5" fillId="0" borderId="8" xfId="0" applyNumberFormat="1" applyFont="1" applyBorder="1" applyAlignment="1">
      <alignment vertical="center"/>
    </xf>
    <xf numFmtId="176" fontId="5" fillId="0" borderId="34" xfId="0" applyNumberFormat="1" applyFont="1" applyBorder="1" applyAlignment="1">
      <alignment vertical="center"/>
    </xf>
    <xf numFmtId="0" fontId="5" fillId="0" borderId="35" xfId="0" applyFont="1" applyBorder="1" applyAlignment="1">
      <alignment vertical="center"/>
    </xf>
    <xf numFmtId="176" fontId="5" fillId="0" borderId="21" xfId="0" applyNumberFormat="1" applyFont="1" applyBorder="1" applyAlignment="1">
      <alignment vertical="center"/>
    </xf>
    <xf numFmtId="176" fontId="5" fillId="0" borderId="27" xfId="0" applyNumberFormat="1" applyFont="1" applyBorder="1" applyAlignment="1">
      <alignment vertical="center"/>
    </xf>
    <xf numFmtId="176" fontId="5" fillId="0" borderId="36" xfId="0" applyNumberFormat="1" applyFont="1" applyBorder="1" applyAlignment="1">
      <alignment vertical="center"/>
    </xf>
    <xf numFmtId="0" fontId="5" fillId="0" borderId="3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176" fontId="5" fillId="0" borderId="30" xfId="0" applyNumberFormat="1" applyFont="1" applyBorder="1" applyAlignment="1">
      <alignment vertical="center"/>
    </xf>
    <xf numFmtId="0" fontId="5" fillId="0" borderId="38" xfId="0" applyFont="1" applyBorder="1" applyAlignment="1">
      <alignment horizontal="center" vertical="center"/>
    </xf>
    <xf numFmtId="176" fontId="5" fillId="0" borderId="34" xfId="0" applyNumberFormat="1" applyFont="1" applyBorder="1" applyAlignment="1">
      <alignment horizontal="right" vertical="center"/>
    </xf>
    <xf numFmtId="176" fontId="5" fillId="0" borderId="36" xfId="0" applyNumberFormat="1" applyFont="1" applyBorder="1" applyAlignment="1">
      <alignment horizontal="right" vertical="center"/>
    </xf>
    <xf numFmtId="0" fontId="9" fillId="0" borderId="10" xfId="0" applyFont="1" applyBorder="1" applyAlignment="1">
      <alignment horizontal="center" vertical="center"/>
    </xf>
    <xf numFmtId="0" fontId="5" fillId="0" borderId="21" xfId="0" applyFont="1" applyBorder="1" applyAlignment="1">
      <alignment horizontal="left" vertical="center"/>
    </xf>
    <xf numFmtId="176" fontId="5" fillId="0" borderId="39" xfId="0" applyNumberFormat="1" applyFont="1" applyBorder="1" applyAlignment="1">
      <alignment vertical="center"/>
    </xf>
    <xf numFmtId="0" fontId="5" fillId="0" borderId="5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right" vertical="center"/>
    </xf>
    <xf numFmtId="0" fontId="5" fillId="0" borderId="17" xfId="0" applyFont="1" applyBorder="1" applyAlignment="1">
      <alignment horizontal="left" vertical="center" indent="1"/>
    </xf>
    <xf numFmtId="0" fontId="13" fillId="0" borderId="0" xfId="1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left"/>
    </xf>
    <xf numFmtId="0" fontId="16" fillId="0" borderId="0" xfId="0" applyFont="1" applyAlignment="1">
      <alignment vertical="center"/>
    </xf>
    <xf numFmtId="0" fontId="13" fillId="0" borderId="0" xfId="1" applyFont="1" applyAlignment="1">
      <alignment horizontal="left" indent="1"/>
    </xf>
    <xf numFmtId="0" fontId="11" fillId="0" borderId="0" xfId="0" applyFont="1" applyAlignment="1">
      <alignment horizontal="left" indent="1"/>
    </xf>
    <xf numFmtId="182" fontId="13" fillId="0" borderId="0" xfId="1" applyNumberFormat="1" applyFont="1" applyAlignment="1">
      <alignment horizontal="center"/>
    </xf>
    <xf numFmtId="182" fontId="11" fillId="0" borderId="0" xfId="0" applyNumberFormat="1" applyFont="1" applyAlignment="1">
      <alignment horizontal="center"/>
    </xf>
    <xf numFmtId="0" fontId="5" fillId="0" borderId="4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181" fontId="7" fillId="0" borderId="47" xfId="0" applyNumberFormat="1" applyFont="1" applyBorder="1" applyAlignment="1">
      <alignment horizontal="right" vertical="center"/>
    </xf>
    <xf numFmtId="181" fontId="7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textRotation="255"/>
    </xf>
    <xf numFmtId="0" fontId="5" fillId="0" borderId="36" xfId="0" applyFont="1" applyBorder="1" applyAlignment="1">
      <alignment horizontal="center" vertical="center" textRotation="255"/>
    </xf>
    <xf numFmtId="0" fontId="5" fillId="0" borderId="25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 textRotation="255"/>
    </xf>
    <xf numFmtId="0" fontId="5" fillId="0" borderId="1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176" fontId="5" fillId="0" borderId="20" xfId="0" applyNumberFormat="1" applyFont="1" applyBorder="1" applyAlignment="1">
      <alignment horizontal="right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176" fontId="5" fillId="0" borderId="26" xfId="0" applyNumberFormat="1" applyFont="1" applyBorder="1" applyAlignment="1">
      <alignment horizontal="right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5" fillId="0" borderId="24" xfId="0" applyNumberFormat="1" applyFont="1" applyBorder="1" applyAlignment="1">
      <alignment horizontal="right" vertical="center"/>
    </xf>
    <xf numFmtId="176" fontId="5" fillId="0" borderId="28" xfId="0" applyNumberFormat="1" applyFont="1" applyBorder="1" applyAlignment="1">
      <alignment horizontal="right" vertical="center"/>
    </xf>
    <xf numFmtId="176" fontId="5" fillId="0" borderId="34" xfId="0" applyNumberFormat="1" applyFont="1" applyBorder="1" applyAlignment="1">
      <alignment horizontal="right" vertical="center"/>
    </xf>
    <xf numFmtId="176" fontId="5" fillId="0" borderId="14" xfId="0" applyNumberFormat="1" applyFont="1" applyBorder="1" applyAlignment="1">
      <alignment horizontal="right" vertical="center"/>
    </xf>
    <xf numFmtId="0" fontId="5" fillId="0" borderId="5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179" fontId="5" fillId="0" borderId="31" xfId="0" applyNumberFormat="1" applyFont="1" applyBorder="1" applyAlignment="1">
      <alignment horizontal="right" vertical="center"/>
    </xf>
    <xf numFmtId="179" fontId="5" fillId="0" borderId="22" xfId="0" applyNumberFormat="1" applyFont="1" applyBorder="1" applyAlignment="1">
      <alignment horizontal="right" vertical="center"/>
    </xf>
    <xf numFmtId="0" fontId="5" fillId="0" borderId="21" xfId="0" applyFont="1" applyBorder="1" applyAlignment="1">
      <alignment horizontal="left" vertical="center"/>
    </xf>
    <xf numFmtId="0" fontId="5" fillId="0" borderId="21" xfId="0" applyFont="1" applyBorder="1" applyAlignment="1">
      <alignment horizontal="left"/>
    </xf>
    <xf numFmtId="0" fontId="5" fillId="0" borderId="5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17" xfId="0" applyFont="1" applyBorder="1" applyAlignment="1">
      <alignment horizontal="left" vertical="center" indent="1"/>
    </xf>
    <xf numFmtId="0" fontId="5" fillId="0" borderId="33" xfId="0" applyFont="1" applyBorder="1" applyAlignment="1">
      <alignment horizontal="center" vertical="center" shrinkToFit="1"/>
    </xf>
    <xf numFmtId="0" fontId="5" fillId="0" borderId="21" xfId="0" applyFont="1" applyBorder="1" applyAlignment="1">
      <alignment horizontal="center" vertical="center" shrinkToFit="1"/>
    </xf>
    <xf numFmtId="178" fontId="5" fillId="0" borderId="31" xfId="0" applyNumberFormat="1" applyFont="1" applyBorder="1" applyAlignment="1">
      <alignment horizontal="right" vertical="center"/>
    </xf>
    <xf numFmtId="178" fontId="5" fillId="0" borderId="22" xfId="0" applyNumberFormat="1" applyFont="1" applyBorder="1" applyAlignment="1">
      <alignment horizontal="right" vertical="center"/>
    </xf>
    <xf numFmtId="176" fontId="5" fillId="0" borderId="41" xfId="0" applyNumberFormat="1" applyFont="1" applyBorder="1" applyAlignment="1">
      <alignment horizontal="right" vertical="center"/>
    </xf>
    <xf numFmtId="176" fontId="5" fillId="0" borderId="42" xfId="0" applyNumberFormat="1" applyFont="1" applyBorder="1" applyAlignment="1">
      <alignment horizontal="right" vertical="center"/>
    </xf>
    <xf numFmtId="0" fontId="5" fillId="0" borderId="43" xfId="0" applyFont="1" applyBorder="1" applyAlignment="1">
      <alignment horizontal="left" vertical="center"/>
    </xf>
    <xf numFmtId="0" fontId="5" fillId="0" borderId="43" xfId="0" applyFont="1" applyBorder="1" applyAlignment="1">
      <alignment horizontal="left"/>
    </xf>
    <xf numFmtId="0" fontId="5" fillId="0" borderId="3" xfId="0" applyFont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  <xf numFmtId="0" fontId="5" fillId="0" borderId="44" xfId="0" applyFont="1" applyBorder="1" applyAlignment="1">
      <alignment horizontal="left" vertical="center" indent="1"/>
    </xf>
    <xf numFmtId="177" fontId="5" fillId="0" borderId="31" xfId="0" applyNumberFormat="1" applyFont="1" applyBorder="1" applyAlignment="1">
      <alignment horizontal="right" vertical="center"/>
    </xf>
    <xf numFmtId="177" fontId="5" fillId="0" borderId="22" xfId="0" applyNumberFormat="1" applyFont="1" applyBorder="1" applyAlignment="1">
      <alignment horizontal="right" vertical="center"/>
    </xf>
    <xf numFmtId="180" fontId="5" fillId="0" borderId="31" xfId="0" applyNumberFormat="1" applyFont="1" applyBorder="1" applyAlignment="1">
      <alignment horizontal="right" vertical="center"/>
    </xf>
    <xf numFmtId="180" fontId="5" fillId="0" borderId="22" xfId="0" applyNumberFormat="1" applyFont="1" applyBorder="1" applyAlignment="1">
      <alignment horizontal="right" vertical="center"/>
    </xf>
    <xf numFmtId="56" fontId="5" fillId="0" borderId="5" xfId="0" applyNumberFormat="1" applyFont="1" applyBorder="1" applyAlignment="1">
      <alignment horizontal="left" vertical="center" indent="1"/>
    </xf>
    <xf numFmtId="56" fontId="5" fillId="0" borderId="0" xfId="0" applyNumberFormat="1" applyFont="1" applyAlignment="1">
      <alignment horizontal="left" vertical="center" indent="1"/>
    </xf>
    <xf numFmtId="56" fontId="5" fillId="0" borderId="17" xfId="0" applyNumberFormat="1" applyFont="1" applyBorder="1" applyAlignment="1">
      <alignment horizontal="left" vertical="center" indent="1"/>
    </xf>
    <xf numFmtId="0" fontId="5" fillId="0" borderId="22" xfId="0" applyFont="1" applyBorder="1" applyAlignment="1">
      <alignment horizontal="center" vertical="center" shrinkToFit="1"/>
    </xf>
    <xf numFmtId="176" fontId="5" fillId="0" borderId="31" xfId="0" applyNumberFormat="1" applyFont="1" applyBorder="1" applyAlignment="1">
      <alignment horizontal="right" vertical="center"/>
    </xf>
    <xf numFmtId="176" fontId="5" fillId="0" borderId="22" xfId="0" applyNumberFormat="1" applyFont="1" applyBorder="1" applyAlignment="1">
      <alignment horizontal="right" vertical="center"/>
    </xf>
    <xf numFmtId="0" fontId="5" fillId="0" borderId="8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40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 indent="1"/>
    </xf>
    <xf numFmtId="0" fontId="5" fillId="0" borderId="7" xfId="0" applyFont="1" applyBorder="1" applyAlignment="1">
      <alignment horizontal="left" vertical="center" indent="1"/>
    </xf>
    <xf numFmtId="0" fontId="5" fillId="0" borderId="40" xfId="0" applyFont="1" applyBorder="1" applyAlignment="1">
      <alignment horizontal="left" vertical="center" indent="1"/>
    </xf>
    <xf numFmtId="0" fontId="5" fillId="0" borderId="8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 shrinkToFit="1"/>
    </xf>
    <xf numFmtId="176" fontId="5" fillId="0" borderId="32" xfId="0" applyNumberFormat="1" applyFont="1" applyBorder="1" applyAlignment="1">
      <alignment horizontal="right" vertical="center"/>
    </xf>
    <xf numFmtId="0" fontId="5" fillId="0" borderId="27" xfId="0" applyFont="1" applyBorder="1" applyAlignment="1">
      <alignment horizontal="left" vertical="center"/>
    </xf>
    <xf numFmtId="0" fontId="5" fillId="0" borderId="27" xfId="0" applyFont="1" applyBorder="1" applyAlignment="1">
      <alignment horizontal="left"/>
    </xf>
    <xf numFmtId="56" fontId="5" fillId="0" borderId="8" xfId="0" applyNumberFormat="1" applyFont="1" applyBorder="1" applyAlignment="1">
      <alignment horizontal="left" vertical="center" indent="1"/>
    </xf>
    <xf numFmtId="56" fontId="5" fillId="0" borderId="7" xfId="0" applyNumberFormat="1" applyFont="1" applyBorder="1" applyAlignment="1">
      <alignment horizontal="left" vertical="center" indent="1"/>
    </xf>
    <xf numFmtId="56" fontId="5" fillId="0" borderId="40" xfId="0" applyNumberFormat="1" applyFont="1" applyBorder="1" applyAlignment="1">
      <alignment horizontal="left" vertical="center" inden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81" fontId="15" fillId="0" borderId="47" xfId="0" applyNumberFormat="1" applyFont="1" applyBorder="1" applyAlignment="1">
      <alignment horizontal="right" vertical="center"/>
    </xf>
    <xf numFmtId="181" fontId="15" fillId="0" borderId="1" xfId="0" applyNumberFormat="1" applyFont="1" applyBorder="1" applyAlignment="1">
      <alignment horizontal="right" vertical="center"/>
    </xf>
    <xf numFmtId="176" fontId="16" fillId="0" borderId="26" xfId="0" applyNumberFormat="1" applyFont="1" applyBorder="1" applyAlignment="1">
      <alignment horizontal="right" vertical="center"/>
    </xf>
  </cellXfs>
  <cellStyles count="2">
    <cellStyle name="標準" xfId="0" builtinId="0"/>
    <cellStyle name="標準 2" xfId="1" xr:uid="{50F53C47-DBD2-4504-9830-D45CD7119AE4}"/>
  </cellStyles>
  <dxfs count="192"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57418-02EE-42D8-992B-EABF07A42830}">
  <dimension ref="A1:C19"/>
  <sheetViews>
    <sheetView workbookViewId="0">
      <selection activeCell="Q25" sqref="Q25"/>
    </sheetView>
  </sheetViews>
  <sheetFormatPr defaultRowHeight="13.5" x14ac:dyDescent="0.15"/>
  <cols>
    <col min="1" max="1" width="13" style="77" customWidth="1"/>
    <col min="2" max="2" width="16.375" style="75" customWidth="1"/>
    <col min="3" max="3" width="15.625" style="72" customWidth="1"/>
    <col min="4" max="16384" width="9" style="71"/>
  </cols>
  <sheetData>
    <row r="1" spans="1:3" x14ac:dyDescent="0.15">
      <c r="A1" s="76">
        <v>46141</v>
      </c>
      <c r="B1" s="74" t="s">
        <v>76</v>
      </c>
      <c r="C1" s="70">
        <v>2026</v>
      </c>
    </row>
    <row r="2" spans="1:3" x14ac:dyDescent="0.15">
      <c r="A2" s="76">
        <v>46145</v>
      </c>
      <c r="B2" s="74" t="s">
        <v>77</v>
      </c>
      <c r="C2" s="70"/>
    </row>
    <row r="3" spans="1:3" x14ac:dyDescent="0.15">
      <c r="A3" s="76">
        <v>46146</v>
      </c>
      <c r="B3" s="74" t="s">
        <v>78</v>
      </c>
      <c r="C3" s="70"/>
    </row>
    <row r="4" spans="1:3" x14ac:dyDescent="0.15">
      <c r="A4" s="76">
        <v>46147</v>
      </c>
      <c r="B4" s="74" t="s">
        <v>79</v>
      </c>
      <c r="C4" s="70"/>
    </row>
    <row r="5" spans="1:3" x14ac:dyDescent="0.15">
      <c r="A5" s="76">
        <v>46148</v>
      </c>
      <c r="B5" s="74" t="s">
        <v>74</v>
      </c>
      <c r="C5" s="70"/>
    </row>
    <row r="6" spans="1:3" x14ac:dyDescent="0.15">
      <c r="A6" s="76">
        <v>46223</v>
      </c>
      <c r="B6" s="74" t="s">
        <v>80</v>
      </c>
      <c r="C6" s="70"/>
    </row>
    <row r="7" spans="1:3" x14ac:dyDescent="0.15">
      <c r="A7" s="76">
        <v>46245</v>
      </c>
      <c r="B7" s="74" t="s">
        <v>81</v>
      </c>
      <c r="C7" s="70"/>
    </row>
    <row r="8" spans="1:3" x14ac:dyDescent="0.15">
      <c r="A8" s="76">
        <v>46286</v>
      </c>
      <c r="B8" s="74" t="s">
        <v>82</v>
      </c>
      <c r="C8" s="70"/>
    </row>
    <row r="9" spans="1:3" x14ac:dyDescent="0.15">
      <c r="A9" s="76">
        <v>46287</v>
      </c>
      <c r="B9" s="74" t="s">
        <v>87</v>
      </c>
      <c r="C9" s="70"/>
    </row>
    <row r="10" spans="1:3" x14ac:dyDescent="0.15">
      <c r="A10" s="76">
        <v>46288</v>
      </c>
      <c r="B10" s="74" t="s">
        <v>83</v>
      </c>
      <c r="C10" s="70"/>
    </row>
    <row r="11" spans="1:3" x14ac:dyDescent="0.15">
      <c r="A11" s="76">
        <v>46307</v>
      </c>
      <c r="B11" s="74" t="s">
        <v>84</v>
      </c>
      <c r="C11" s="70"/>
    </row>
    <row r="12" spans="1:3" x14ac:dyDescent="0.15">
      <c r="A12" s="76">
        <v>46329</v>
      </c>
      <c r="B12" s="74" t="s">
        <v>85</v>
      </c>
      <c r="C12" s="70"/>
    </row>
    <row r="13" spans="1:3" x14ac:dyDescent="0.15">
      <c r="A13" s="76">
        <v>46349</v>
      </c>
      <c r="B13" s="74" t="s">
        <v>86</v>
      </c>
      <c r="C13" s="70"/>
    </row>
    <row r="14" spans="1:3" x14ac:dyDescent="0.15">
      <c r="A14" s="76">
        <v>46388</v>
      </c>
      <c r="B14" s="74" t="s">
        <v>70</v>
      </c>
      <c r="C14" s="70"/>
    </row>
    <row r="15" spans="1:3" x14ac:dyDescent="0.15">
      <c r="A15" s="76">
        <v>46398</v>
      </c>
      <c r="B15" s="74" t="s">
        <v>71</v>
      </c>
      <c r="C15" s="70"/>
    </row>
    <row r="16" spans="1:3" x14ac:dyDescent="0.15">
      <c r="A16" s="76">
        <v>46429</v>
      </c>
      <c r="B16" s="74" t="s">
        <v>72</v>
      </c>
      <c r="C16" s="70"/>
    </row>
    <row r="17" spans="1:3" x14ac:dyDescent="0.15">
      <c r="A17" s="76">
        <v>46441</v>
      </c>
      <c r="B17" s="74" t="s">
        <v>73</v>
      </c>
      <c r="C17" s="70"/>
    </row>
    <row r="18" spans="1:3" x14ac:dyDescent="0.15">
      <c r="A18" s="76">
        <v>46467</v>
      </c>
      <c r="B18" s="74" t="s">
        <v>75</v>
      </c>
      <c r="C18" s="70"/>
    </row>
    <row r="19" spans="1:3" x14ac:dyDescent="0.15">
      <c r="A19" s="76">
        <v>46468</v>
      </c>
      <c r="B19" s="74" t="s">
        <v>74</v>
      </c>
      <c r="C19" s="70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6394E-45AE-4895-A01A-C73D53C8B275}">
  <sheetPr codeName="Sheet15">
    <tabColor rgb="FF92D050"/>
  </sheetPr>
  <dimension ref="A1:F24"/>
  <sheetViews>
    <sheetView workbookViewId="0">
      <selection activeCell="Q25" sqref="Q25"/>
    </sheetView>
  </sheetViews>
  <sheetFormatPr defaultRowHeight="42" x14ac:dyDescent="0.4"/>
  <cols>
    <col min="1" max="1" width="24.5" style="1" customWidth="1"/>
    <col min="2" max="2" width="10.25" style="1" customWidth="1"/>
    <col min="3" max="3" width="40" style="1" customWidth="1"/>
    <col min="4" max="16384" width="9" style="1"/>
  </cols>
  <sheetData>
    <row r="1" spans="1:6" ht="54" customHeight="1" x14ac:dyDescent="0.4">
      <c r="A1" s="166" t="s">
        <v>66</v>
      </c>
      <c r="B1" s="166"/>
      <c r="C1" s="166"/>
    </row>
    <row r="2" spans="1:6" ht="75.75" customHeight="1" x14ac:dyDescent="0.4">
      <c r="A2" s="2"/>
      <c r="B2" s="2"/>
      <c r="C2" s="2"/>
    </row>
    <row r="3" spans="1:6" ht="65.25" customHeight="1" x14ac:dyDescent="0.4">
      <c r="A3" s="166" t="s">
        <v>67</v>
      </c>
      <c r="B3" s="166"/>
      <c r="C3" s="166"/>
    </row>
    <row r="4" spans="1:6" ht="60.75" customHeight="1" x14ac:dyDescent="0.4">
      <c r="A4" s="3"/>
      <c r="B4" s="3"/>
      <c r="C4" s="3"/>
      <c r="F4" s="1" t="s">
        <v>58</v>
      </c>
    </row>
    <row r="5" spans="1:6" ht="115.5" customHeight="1" x14ac:dyDescent="0.4">
      <c r="A5" s="167" t="s">
        <v>44</v>
      </c>
      <c r="B5" s="167"/>
      <c r="C5" s="167"/>
    </row>
    <row r="6" spans="1:6" ht="169.5" customHeight="1" x14ac:dyDescent="0.4">
      <c r="A6" s="3"/>
      <c r="B6" s="3"/>
      <c r="C6" s="3"/>
    </row>
    <row r="7" spans="1:6" ht="54" customHeight="1" x14ac:dyDescent="0.4">
      <c r="A7" s="168" t="s">
        <v>45</v>
      </c>
      <c r="B7" s="168"/>
      <c r="C7" s="168"/>
    </row>
    <row r="8" spans="1:6" ht="54" customHeight="1" x14ac:dyDescent="0.4">
      <c r="A8" s="3"/>
      <c r="B8" s="3"/>
      <c r="C8" s="3"/>
    </row>
    <row r="9" spans="1:6" ht="54" customHeight="1" x14ac:dyDescent="0.4">
      <c r="A9" s="3"/>
      <c r="B9" s="3"/>
      <c r="C9" s="3"/>
    </row>
    <row r="10" spans="1:6" ht="54" customHeight="1" x14ac:dyDescent="0.4"/>
    <row r="11" spans="1:6" ht="54" customHeight="1" x14ac:dyDescent="0.4"/>
    <row r="12" spans="1:6" ht="54" customHeight="1" x14ac:dyDescent="0.4"/>
    <row r="13" spans="1:6" ht="54" customHeight="1" x14ac:dyDescent="0.4"/>
    <row r="14" spans="1:6" ht="54" customHeight="1" x14ac:dyDescent="0.4"/>
    <row r="15" spans="1:6" ht="54" customHeight="1" x14ac:dyDescent="0.4"/>
    <row r="16" spans="1:6" ht="54" customHeight="1" x14ac:dyDescent="0.4"/>
    <row r="17" ht="54" customHeight="1" x14ac:dyDescent="0.4"/>
    <row r="18" ht="54" customHeight="1" x14ac:dyDescent="0.4"/>
    <row r="19" ht="54" customHeight="1" x14ac:dyDescent="0.4"/>
    <row r="20" ht="54" customHeight="1" x14ac:dyDescent="0.4"/>
    <row r="21" ht="54" customHeight="1" x14ac:dyDescent="0.4"/>
    <row r="22" ht="54" customHeight="1" x14ac:dyDescent="0.4"/>
    <row r="23" ht="54" customHeight="1" x14ac:dyDescent="0.4"/>
    <row r="24" ht="54" customHeight="1" x14ac:dyDescent="0.4"/>
  </sheetData>
  <mergeCells count="4">
    <mergeCell ref="A1:C1"/>
    <mergeCell ref="A5:C5"/>
    <mergeCell ref="A7:C7"/>
    <mergeCell ref="A3:C3"/>
  </mergeCells>
  <phoneticPr fontId="1"/>
  <printOptions horizontalCentered="1" verticalCentered="1"/>
  <pageMargins left="0.98425196850393704" right="0.98425196850393704" top="1.7716535433070868" bottom="1.7716535433070868" header="0" footer="0"/>
  <pageSetup paperSize="9" orientation="portrait" horizontalDpi="4294967293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8C27F-A1E5-492D-A7F3-2A9AA6963B04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Q25" sqref="Q25"/>
      <selection pane="bottomLeft" activeCell="C54" sqref="C54:D54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f>DATE(祝日リスト!C1, 4, 1)</f>
        <v>46113</v>
      </c>
      <c r="F1" s="82"/>
      <c r="G1" s="82"/>
      <c r="H1" s="82"/>
      <c r="I1" s="83" t="str">
        <f>TEXT(E1,"aaaa")</f>
        <v>水曜日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87" t="s">
        <v>88</v>
      </c>
      <c r="H3" s="87"/>
      <c r="I3" s="68"/>
      <c r="J3" s="54" t="s">
        <v>62</v>
      </c>
      <c r="K3" s="54">
        <v>6</v>
      </c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 t="s">
        <v>90</v>
      </c>
      <c r="D6" s="20">
        <v>1460</v>
      </c>
      <c r="E6" s="57"/>
      <c r="F6" s="21"/>
      <c r="G6" s="57"/>
      <c r="H6" s="20"/>
      <c r="I6" s="57"/>
      <c r="J6" s="21"/>
      <c r="K6" s="57"/>
      <c r="L6" s="22"/>
      <c r="N6" s="23">
        <f>IF(SUM(D6,F6,H6,J6,L6)&gt;0,IF(SUM(D6,F6,H6,J6,L6)-O6=0,"",SUM(D6,F6,H6,J6,L6)-O6),"")</f>
        <v>1460</v>
      </c>
      <c r="O6" s="24"/>
    </row>
    <row r="7" spans="1:15" ht="12.75" customHeight="1" x14ac:dyDescent="0.15">
      <c r="A7" s="96"/>
      <c r="B7" s="25" t="s">
        <v>30</v>
      </c>
      <c r="C7" s="56" t="s">
        <v>89</v>
      </c>
      <c r="D7" s="26">
        <v>1420</v>
      </c>
      <c r="E7" s="57" t="s">
        <v>89</v>
      </c>
      <c r="F7" s="27">
        <v>890</v>
      </c>
      <c r="G7" s="57"/>
      <c r="H7" s="26"/>
      <c r="I7" s="57"/>
      <c r="J7" s="27"/>
      <c r="K7" s="57"/>
      <c r="L7" s="28"/>
      <c r="M7" s="29"/>
      <c r="N7" s="23">
        <f>IF(SUM(D7,F7,H7,J7,L7)&gt;0,IF(SUM(D7,F7,H7,J7,L7)-O7=0,"",SUM(D7,F7,H7,J7,L7)-O7),"")</f>
        <v>2310</v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 t="s">
        <v>91</v>
      </c>
      <c r="D33" s="26">
        <v>640</v>
      </c>
      <c r="E33" s="57"/>
      <c r="F33" s="27"/>
      <c r="G33" s="57"/>
      <c r="H33" s="26"/>
      <c r="I33" s="57"/>
      <c r="J33" s="27"/>
      <c r="K33" s="57"/>
      <c r="L33" s="28"/>
      <c r="M33" s="29"/>
      <c r="N33" s="23">
        <f>IF(SUM(D33,F33,H33,J33,L33)&gt;0,IF(SUM(D33,F33,H33,J33,L33)-O33=0,"",SUM(D33,F33,H33,J33,L33)-O33),"")</f>
        <v>640</v>
      </c>
      <c r="O33" s="24"/>
    </row>
    <row r="34" spans="1:19" ht="12.75" customHeight="1" thickBot="1" x14ac:dyDescent="0.2">
      <c r="A34" s="97"/>
      <c r="B34" s="32" t="s">
        <v>31</v>
      </c>
      <c r="C34" s="58" t="s">
        <v>91</v>
      </c>
      <c r="D34" s="33">
        <v>1800</v>
      </c>
      <c r="E34" s="58"/>
      <c r="F34" s="34"/>
      <c r="G34" s="58"/>
      <c r="H34" s="33"/>
      <c r="I34" s="58"/>
      <c r="J34" s="34"/>
      <c r="K34" s="58"/>
      <c r="L34" s="35"/>
      <c r="M34" s="11"/>
      <c r="N34" s="62">
        <f>IF(SUM(D34,F34,H34,J34,L34)&gt;0,IF(SUM(D34,F34,H34,J34,L34)-O34=0,"",SUM(D34,F34,H34,J34,L34)-O34),"")</f>
        <v>1800</v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>
        <v>240</v>
      </c>
      <c r="J40" s="107"/>
      <c r="K40" s="107"/>
      <c r="L40" s="107"/>
      <c r="M40" s="41"/>
      <c r="N40" s="46">
        <f>IF(SUM(C40:L40)&gt;0,SUM(C40:L40),"")</f>
        <v>240</v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>
        <v>200</v>
      </c>
      <c r="F44" s="107"/>
      <c r="G44" s="107"/>
      <c r="H44" s="107"/>
      <c r="I44" s="107"/>
      <c r="J44" s="107"/>
      <c r="K44" s="107"/>
      <c r="L44" s="118"/>
      <c r="M44" s="50"/>
      <c r="N44" s="46"/>
      <c r="O44" s="42">
        <f t="shared" si="0"/>
        <v>200</v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>
        <v>2766</v>
      </c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>
        <v>2</v>
      </c>
      <c r="D52" s="143"/>
      <c r="E52" s="126" t="s">
        <v>49</v>
      </c>
      <c r="F52" s="127"/>
      <c r="G52" s="128" t="s">
        <v>92</v>
      </c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>
        <v>1</v>
      </c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>
        <v>7.9</v>
      </c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>
        <v>115</v>
      </c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>
        <v>5420</v>
      </c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>
        <v>0.25</v>
      </c>
      <c r="D57" s="145"/>
      <c r="E57" s="126" t="s">
        <v>42</v>
      </c>
      <c r="F57" s="127"/>
      <c r="G57" s="146" t="s">
        <v>93</v>
      </c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>
        <v>620</v>
      </c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90" priority="5" stopIfTrue="1">
      <formula>WEEKDAY($E$1)=7</formula>
    </cfRule>
    <cfRule type="expression" dxfId="189" priority="6" stopIfTrue="1">
      <formula>WEEKDAY($E$1)=1</formula>
    </cfRule>
  </conditionalFormatting>
  <conditionalFormatting sqref="I1:L1">
    <cfRule type="containsText" dxfId="187" priority="3" stopIfTrue="1" operator="containsText" text="日曜日">
      <formula>NOT(ISERROR(SEARCH("日曜日",I1)))</formula>
    </cfRule>
    <cfRule type="containsText" dxfId="18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29DC3739-4EEA-4295-BC95-F00911C00E2B}"/>
    <dataValidation imeMode="on" allowBlank="1" showInputMessage="1" showErrorMessage="1" sqref="A66:I66 A60:F62 G51:O54 G56:O62" xr:uid="{DA3833C2-C90E-4F16-9E9F-7FDC611583C0}"/>
    <dataValidation allowBlank="1" showInputMessage="1" sqref="C30:L30 C15:L15 C20:L20 C25:L25 C10:L10" xr:uid="{76BA93A4-3DB9-4DCB-A3FF-131BC878F463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EEBAE17C-1571-4CA9-8CD6-A65C5FE36F7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A72E0E3C-8529-4D6E-888F-EA8B713F9D90}">
      <formula1>"高橋,葛西,塚本,渡邉"</formula1>
    </dataValidation>
  </dataValidations>
  <printOptions horizontalCentered="1" verticalCentered="1"/>
  <pageMargins left="0.7" right="0.7" top="0.75" bottom="0.75" header="0.3" footer="0.3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75FC950D-C13B-45A7-AC21-32910C05F0DC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16A3E7EB-9BF1-4173-9A29-C70BDC08DA50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6C21E-C935-4B74-99C9-A59073A27598}">
  <sheetPr>
    <tabColor rgb="FFFFFF99"/>
  </sheetPr>
  <dimension ref="A1:S66"/>
  <sheetViews>
    <sheetView zoomScale="115" zoomScaleNormal="115" workbookViewId="0">
      <pane ySplit="4" topLeftCell="A32" activePane="bottomLeft" state="frozen"/>
      <selection activeCell="Q25" sqref="Q25"/>
      <selection pane="bottomLeft" activeCell="Q52" sqref="Q52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f>DATE(祝日リスト!C1, 4, 2)</f>
        <v>46114</v>
      </c>
      <c r="F1" s="82"/>
      <c r="G1" s="82"/>
      <c r="H1" s="82"/>
      <c r="I1" s="83" t="str">
        <f>TEXT(E1,"aaaa")</f>
        <v>木曜日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87" t="s">
        <v>94</v>
      </c>
      <c r="H3" s="87"/>
      <c r="I3" s="68"/>
      <c r="J3" s="54" t="s">
        <v>62</v>
      </c>
      <c r="K3" s="54">
        <v>6</v>
      </c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 t="s">
        <v>90</v>
      </c>
      <c r="D8" s="26">
        <v>1370</v>
      </c>
      <c r="E8" s="57"/>
      <c r="F8" s="26"/>
      <c r="G8" s="57"/>
      <c r="H8" s="26"/>
      <c r="I8" s="57"/>
      <c r="J8" s="27"/>
      <c r="K8" s="57"/>
      <c r="L8" s="28"/>
      <c r="M8" s="29"/>
      <c r="N8" s="23">
        <f>IF(SUM(D8,F8,H8,J8,L8)&gt;0,IF(SUM(D8,F8,H8,J8,L8)-O8=0,"",SUM(D8,F8,H8,J8,L8)-O8),"")</f>
        <v>1370</v>
      </c>
      <c r="O8" s="30"/>
    </row>
    <row r="9" spans="1:15" ht="12.75" customHeight="1" thickBot="1" x14ac:dyDescent="0.2">
      <c r="A9" s="97"/>
      <c r="B9" s="32" t="s">
        <v>31</v>
      </c>
      <c r="C9" s="58" t="s">
        <v>89</v>
      </c>
      <c r="D9" s="33">
        <v>1880</v>
      </c>
      <c r="E9" s="58" t="s">
        <v>89</v>
      </c>
      <c r="F9" s="33">
        <v>520</v>
      </c>
      <c r="G9" s="58"/>
      <c r="H9" s="33"/>
      <c r="I9" s="58"/>
      <c r="J9" s="34"/>
      <c r="K9" s="58"/>
      <c r="L9" s="35"/>
      <c r="M9" s="11"/>
      <c r="N9" s="23">
        <f>IF(SUM(D9,F9,H9,J9,L9)&gt;0,IF(SUM(D9,F9,H9,J9,L9)-O9=0,"",SUM(D9,F9,H9,J9,L9)-O9),"")</f>
        <v>2400</v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 t="s">
        <v>91</v>
      </c>
      <c r="D26" s="20">
        <v>200</v>
      </c>
      <c r="E26" s="57"/>
      <c r="F26" s="21"/>
      <c r="G26" s="57"/>
      <c r="H26" s="20"/>
      <c r="I26" s="57"/>
      <c r="J26" s="21"/>
      <c r="K26" s="57"/>
      <c r="L26" s="22"/>
      <c r="N26" s="37"/>
      <c r="O26" s="24">
        <f>IF(SUM(D26,F26,H26,J26,L26)&gt;0,SUM(D26,F26,H26,J26,L26)-N26,"")</f>
        <v>200</v>
      </c>
    </row>
    <row r="27" spans="1:15" ht="12.75" customHeight="1" x14ac:dyDescent="0.15">
      <c r="A27" s="96"/>
      <c r="B27" s="25" t="s">
        <v>30</v>
      </c>
      <c r="C27" s="56" t="s">
        <v>91</v>
      </c>
      <c r="D27" s="26">
        <v>630</v>
      </c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>
        <f>IF(SUM(D27,F27,H27,J27,L27)&gt;0,SUM(D27,F27,H27,J27,L27)-N27,"")</f>
        <v>630</v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>
        <v>100</v>
      </c>
      <c r="F44" s="107"/>
      <c r="G44" s="107"/>
      <c r="H44" s="107"/>
      <c r="I44" s="107">
        <v>100</v>
      </c>
      <c r="J44" s="107"/>
      <c r="K44" s="107"/>
      <c r="L44" s="118"/>
      <c r="M44" s="50"/>
      <c r="N44" s="46"/>
      <c r="O44" s="42">
        <f t="shared" si="0"/>
        <v>200</v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>
        <v>2000</v>
      </c>
      <c r="D49" s="121"/>
      <c r="E49" s="121">
        <v>200</v>
      </c>
      <c r="F49" s="121"/>
      <c r="G49" s="107"/>
      <c r="H49" s="107"/>
      <c r="I49" s="107"/>
      <c r="J49" s="107"/>
      <c r="K49" s="107"/>
      <c r="L49" s="118"/>
      <c r="M49" s="50"/>
      <c r="N49" s="46"/>
      <c r="O49" s="42">
        <f t="shared" si="0"/>
        <v>2200</v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>
        <v>2466</v>
      </c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>
        <v>0</v>
      </c>
      <c r="D52" s="143"/>
      <c r="E52" s="126" t="s">
        <v>49</v>
      </c>
      <c r="F52" s="127"/>
      <c r="G52" s="128" t="s">
        <v>95</v>
      </c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>
        <v>1</v>
      </c>
      <c r="D53" s="151"/>
      <c r="E53" s="126" t="s">
        <v>49</v>
      </c>
      <c r="F53" s="127"/>
      <c r="G53" s="128" t="s">
        <v>96</v>
      </c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84" priority="5" stopIfTrue="1">
      <formula>WEEKDAY($E$1)=7</formula>
    </cfRule>
    <cfRule type="expression" dxfId="183" priority="6" stopIfTrue="1">
      <formula>WEEKDAY($E$1)=1</formula>
    </cfRule>
  </conditionalFormatting>
  <conditionalFormatting sqref="I1:L1">
    <cfRule type="containsText" dxfId="181" priority="3" stopIfTrue="1" operator="containsText" text="日曜日">
      <formula>NOT(ISERROR(SEARCH("日曜日",I1)))</formula>
    </cfRule>
    <cfRule type="containsText" dxfId="18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DDDC7BEF-AF88-4C43-83A7-BD3A3D658DDB}"/>
    <dataValidation allowBlank="1" showInputMessage="1" sqref="C30:L30 C15:L15 C20:L20 C25:L25 C10:L10" xr:uid="{F3D8B64B-83C0-4757-ABDC-B30FFF218CA9}"/>
    <dataValidation imeMode="on" allowBlank="1" showInputMessage="1" showErrorMessage="1" sqref="A66:I66 A60:F62 G51:O54 G56:O62" xr:uid="{78EC6069-9F30-4FA9-AFA2-D0A089FD091F}"/>
    <dataValidation imeMode="disabled" allowBlank="1" showInputMessage="1" showErrorMessage="1" sqref="C51:C59 C36:O37 M16:O19 M11:O14 C43:O50 M31:O34 D59 M21:O24 M26:O29 D51:D57 N6:O9 C39:O41" xr:uid="{FD8768F7-384A-4D6B-AE34-F8B71E03631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0DB17EA7-6665-44F4-8EB4-7FEFA01A7D4B}">
      <formula1>"高橋,葛西,塚本,渡邉"</formula1>
    </dataValidation>
  </dataValidations>
  <printOptions horizontalCentered="1" verticalCentered="1"/>
  <pageMargins left="0.7" right="0.7" top="0.75" bottom="0.75" header="0.3" footer="0.3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9174FDE6-3881-4160-B418-AB9A8D54525A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4B0AB8D6-9B2E-434A-927F-B43B06FC952A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B55C4-2EF4-4618-A2E8-59DC6801CFDB}">
  <sheetPr>
    <tabColor rgb="FFFFFF99"/>
  </sheetPr>
  <dimension ref="A1:S66"/>
  <sheetViews>
    <sheetView tabSelected="1" zoomScale="115" zoomScaleNormal="115" workbookViewId="0">
      <pane ySplit="4" topLeftCell="A32" activePane="bottomLeft" state="frozen"/>
      <selection activeCell="C53" sqref="C53:D53"/>
      <selection pane="bottomLeft" activeCell="I42" sqref="I42:J42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f>DATE(祝日リスト!C1, 4, 3)</f>
        <v>46115</v>
      </c>
      <c r="F1" s="82"/>
      <c r="G1" s="82"/>
      <c r="H1" s="82"/>
      <c r="I1" s="83" t="str">
        <f>TEXT(E1,"aaaa")</f>
        <v>金曜日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87" t="s">
        <v>88</v>
      </c>
      <c r="H3" s="87"/>
      <c r="I3" s="68"/>
      <c r="J3" s="54" t="s">
        <v>62</v>
      </c>
      <c r="K3" s="54">
        <v>4</v>
      </c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 t="s">
        <v>90</v>
      </c>
      <c r="D6" s="20">
        <v>1260</v>
      </c>
      <c r="E6" s="57"/>
      <c r="F6" s="21"/>
      <c r="G6" s="57"/>
      <c r="H6" s="20"/>
      <c r="I6" s="57"/>
      <c r="J6" s="21"/>
      <c r="K6" s="57"/>
      <c r="L6" s="22"/>
      <c r="N6" s="23">
        <f>IF(SUM(D6,F6,H6,J6,L6)&gt;0,IF(SUM(D6,F6,H6,J6,L6)-O6=0,"",SUM(D6,F6,H6,J6,L6)-O6),"")</f>
        <v>1260</v>
      </c>
      <c r="O6" s="24"/>
    </row>
    <row r="7" spans="1:15" ht="12.75" customHeight="1" x14ac:dyDescent="0.15">
      <c r="A7" s="96"/>
      <c r="B7" s="25" t="s">
        <v>30</v>
      </c>
      <c r="C7" s="56" t="s">
        <v>89</v>
      </c>
      <c r="D7" s="26">
        <v>1040</v>
      </c>
      <c r="E7" s="57" t="s">
        <v>89</v>
      </c>
      <c r="F7" s="27">
        <v>1080</v>
      </c>
      <c r="G7" s="57"/>
      <c r="H7" s="26"/>
      <c r="I7" s="57"/>
      <c r="J7" s="27"/>
      <c r="K7" s="57"/>
      <c r="L7" s="28"/>
      <c r="M7" s="29"/>
      <c r="N7" s="23">
        <f>IF(SUM(D7,F7,H7,J7,L7)&gt;0,IF(SUM(D7,F7,H7,J7,L7)-O7=0,"",SUM(D7,F7,H7,J7,L7)-O7),"")</f>
        <v>2120</v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 t="s">
        <v>91</v>
      </c>
      <c r="D18" s="26">
        <v>30</v>
      </c>
      <c r="E18" s="57"/>
      <c r="F18" s="27"/>
      <c r="G18" s="57"/>
      <c r="H18" s="26"/>
      <c r="I18" s="57"/>
      <c r="J18" s="27"/>
      <c r="K18" s="57"/>
      <c r="L18" s="28"/>
      <c r="M18" s="29"/>
      <c r="N18" s="23">
        <f>IF(SUM(D18,F18,H18,J18,L18)&gt;0,IF(SUM(D18,F18,H18,J18,L18)-O18=0,"",SUM(D18,F18,H18,J18,L18)-O18),"")</f>
        <v>30</v>
      </c>
      <c r="O18" s="24"/>
    </row>
    <row r="19" spans="1:15" ht="12.75" customHeight="1" thickBot="1" x14ac:dyDescent="0.2">
      <c r="A19" s="97"/>
      <c r="B19" s="32" t="s">
        <v>31</v>
      </c>
      <c r="C19" s="58" t="s">
        <v>91</v>
      </c>
      <c r="D19" s="33">
        <v>90</v>
      </c>
      <c r="E19" s="58"/>
      <c r="F19" s="34"/>
      <c r="G19" s="58"/>
      <c r="H19" s="33"/>
      <c r="I19" s="58"/>
      <c r="J19" s="34"/>
      <c r="K19" s="58"/>
      <c r="L19" s="35"/>
      <c r="M19" s="11"/>
      <c r="N19" s="23">
        <f>IF(SUM(D19,F19,H19,J19,L19)&gt;0,IF(SUM(D19,F19,H19,J19,L19)-O19=0,"",SUM(D19,F19,H19,J19,L19)-O19),"")</f>
        <v>90</v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>
        <v>220</v>
      </c>
      <c r="J40" s="107"/>
      <c r="K40" s="107"/>
      <c r="L40" s="107"/>
      <c r="M40" s="41"/>
      <c r="N40" s="46">
        <f>IF(SUM(C40:L40)&gt;0,SUM(C40:L40),"")</f>
        <v>220</v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>
        <v>2150</v>
      </c>
      <c r="J46" s="107"/>
      <c r="K46" s="107"/>
      <c r="L46" s="118"/>
      <c r="M46" s="50"/>
      <c r="N46" s="46"/>
      <c r="O46" s="42">
        <f t="shared" si="0"/>
        <v>2150</v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>
        <v>1000</v>
      </c>
      <c r="F49" s="121"/>
      <c r="G49" s="107">
        <v>100</v>
      </c>
      <c r="H49" s="107"/>
      <c r="I49" s="107"/>
      <c r="J49" s="107"/>
      <c r="K49" s="107"/>
      <c r="L49" s="118"/>
      <c r="M49" s="50"/>
      <c r="N49" s="46"/>
      <c r="O49" s="42">
        <f t="shared" si="0"/>
        <v>1100</v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/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>
        <v>9.8000000000000007</v>
      </c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>
        <v>131</v>
      </c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>
        <v>6070</v>
      </c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>
        <v>0.25694444444444442</v>
      </c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>
        <v>1030</v>
      </c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78" priority="5" stopIfTrue="1">
      <formula>WEEKDAY($E$1)=7</formula>
    </cfRule>
    <cfRule type="expression" dxfId="177" priority="6" stopIfTrue="1">
      <formula>WEEKDAY($E$1)=1</formula>
    </cfRule>
  </conditionalFormatting>
  <conditionalFormatting sqref="I1:L1">
    <cfRule type="containsText" dxfId="175" priority="3" stopIfTrue="1" operator="containsText" text="日曜日">
      <formula>NOT(ISERROR(SEARCH("日曜日",I1)))</formula>
    </cfRule>
    <cfRule type="containsText" dxfId="17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36:O37 M16:O19 M11:O14 C43:O50 M31:O34 D59 M21:O24 M26:O29 C39:O41 N6:O9 C51:C59 D51:D57" xr:uid="{3A874025-5294-4498-95F1-DD4615578178}"/>
    <dataValidation imeMode="on" allowBlank="1" showInputMessage="1" showErrorMessage="1" sqref="A66:I66 A60:F62 G51:O54 G56:O62" xr:uid="{7AD4744A-B1BD-4908-B50D-CE1E1D62A70B}"/>
    <dataValidation allowBlank="1" showInputMessage="1" sqref="C30:L30 C15:L15 C20:L20 C25:L25 C10:L10" xr:uid="{FCA86B48-6E28-4C9B-A64D-ADAE445336A9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4D29FC1-786E-4CE2-A55A-AD077F9DB72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AF4BA09D-CFC5-4282-8EB8-E86CB639126E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A0875419-BCE1-421C-937C-1959EEC67906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BEE2F84-0C2F-41CD-8B9E-1BE5542F1C3B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3DC5F-CC64-4F40-ADC3-3D64DC6F9620}">
  <sheetPr>
    <tabColor rgb="FF0070C0"/>
  </sheetPr>
  <dimension ref="A1:S66"/>
  <sheetViews>
    <sheetView zoomScale="115" zoomScaleNormal="115" workbookViewId="0">
      <pane ySplit="4" topLeftCell="A29" activePane="bottomLeft" state="frozen"/>
      <selection activeCell="C53" sqref="C53:D53"/>
      <selection pane="bottomLeft" activeCell="G53" sqref="G53:O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f>DATE(祝日リスト!C1, 4, 4)</f>
        <v>46116</v>
      </c>
      <c r="F1" s="82"/>
      <c r="G1" s="82"/>
      <c r="H1" s="82"/>
      <c r="I1" s="83" t="str">
        <f>TEXT(E1,"aaaa")</f>
        <v>土曜日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169"/>
      <c r="H3" s="169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 t="s">
        <v>97</v>
      </c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/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72" priority="5" stopIfTrue="1">
      <formula>WEEKDAY($E$1)=7</formula>
    </cfRule>
    <cfRule type="expression" dxfId="171" priority="6" stopIfTrue="1">
      <formula>WEEKDAY($E$1)=1</formula>
    </cfRule>
  </conditionalFormatting>
  <conditionalFormatting sqref="I1:L1">
    <cfRule type="containsText" dxfId="169" priority="3" stopIfTrue="1" operator="containsText" text="日曜日">
      <formula>NOT(ISERROR(SEARCH("日曜日",I1)))</formula>
    </cfRule>
    <cfRule type="containsText" dxfId="16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1FF42E81-34BE-4ED2-822A-5F68046637BD}"/>
    <dataValidation allowBlank="1" showInputMessage="1" sqref="C30:L30 C15:L15 C20:L20 C25:L25 C10:L10" xr:uid="{9300D96D-0A36-4D60-8E58-4BA9C21BE156}"/>
    <dataValidation imeMode="on" allowBlank="1" showInputMessage="1" showErrorMessage="1" sqref="A66:I66 A60:F62 G51:O54 G56:O62" xr:uid="{881C03F6-C8B9-476B-B73F-84D981A3ED44}"/>
    <dataValidation imeMode="disabled" allowBlank="1" showInputMessage="1" showErrorMessage="1" sqref="C36:O37 M16:O19 M11:O14 C43:O50 M31:O34 D59 M21:O24 M26:O29 C39:O41 N6:O9 D51:D57 C51:C59" xr:uid="{6A3A1D6A-79C9-41F3-9987-88C2FE7CEEF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2FEFFC93-DB60-4333-B213-DE10081B03DA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8ADEDE03-CD34-483E-A75D-437953F48107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35DF525A-5023-45B7-B61D-F099D0F4FC66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40ED1-5002-413D-9F34-115A86A87808}">
  <sheetPr>
    <tabColor rgb="FFFF000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170">
        <f>DATE(祝日リスト!C1, 4, 5)</f>
        <v>46117</v>
      </c>
      <c r="F1" s="171"/>
      <c r="G1" s="171"/>
      <c r="H1" s="171"/>
      <c r="I1" s="83" t="str">
        <f>TEXT(E1,"aaaa")</f>
        <v>日曜日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169"/>
      <c r="H3" s="169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72"/>
      <c r="H37" s="17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/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66" priority="5" stopIfTrue="1">
      <formula>WEEKDAY($E$1)=7</formula>
    </cfRule>
    <cfRule type="expression" dxfId="165" priority="6" stopIfTrue="1">
      <formula>WEEKDAY($E$1)=1</formula>
    </cfRule>
  </conditionalFormatting>
  <conditionalFormatting sqref="I1:L1">
    <cfRule type="containsText" dxfId="163" priority="3" stopIfTrue="1" operator="containsText" text="日曜日">
      <formula>NOT(ISERROR(SEARCH("日曜日",I1)))</formula>
    </cfRule>
    <cfRule type="containsText" dxfId="16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04550F29-28DD-4E77-AA61-EC3DB91E1374}"/>
    <dataValidation imeMode="on" allowBlank="1" showInputMessage="1" showErrorMessage="1" sqref="A66:I66 A60:F62 G51:O54 G56:O62" xr:uid="{628E276D-0E77-4E2A-BA3E-C7E9B16FAA96}"/>
    <dataValidation allowBlank="1" showInputMessage="1" sqref="C30:L30 C15:L15 C20:L20 C25:L25 C10:L10" xr:uid="{66212E58-18DD-468A-899A-ADA3BE9717A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686E50CF-2A98-4E5E-A0F2-AC62006ED389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5EC5AA7-EBF5-4029-8843-1AFA167B9C33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E66C442-16C5-4D94-8DFF-779E7CEF9F1D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A764EF5F-4887-48A9-968D-D851DC83AA25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E804C-FD95-4359-BC0A-1A66061538E8}">
  <sheetPr>
    <tabColor rgb="FFFFFF99"/>
  </sheetPr>
  <dimension ref="A1:S66"/>
  <sheetViews>
    <sheetView zoomScale="115" zoomScaleNormal="115" workbookViewId="0">
      <pane ySplit="4" topLeftCell="A26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f>DATE(祝日リスト!C1, 4, 6)</f>
        <v>46118</v>
      </c>
      <c r="F1" s="82"/>
      <c r="G1" s="82"/>
      <c r="H1" s="82"/>
      <c r="I1" s="83" t="str">
        <f>TEXT(E1,"aaaa")</f>
        <v>月曜日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169"/>
      <c r="H3" s="169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/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60" priority="5" stopIfTrue="1">
      <formula>WEEKDAY($E$1)=7</formula>
    </cfRule>
    <cfRule type="expression" dxfId="159" priority="6" stopIfTrue="1">
      <formula>WEEKDAY($E$1)=1</formula>
    </cfRule>
  </conditionalFormatting>
  <conditionalFormatting sqref="I1:L1">
    <cfRule type="containsText" dxfId="157" priority="3" stopIfTrue="1" operator="containsText" text="日曜日">
      <formula>NOT(ISERROR(SEARCH("日曜日",I1)))</formula>
    </cfRule>
    <cfRule type="containsText" dxfId="15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74998073-3D7E-4852-95BF-A1CDCCB496B4}"/>
    <dataValidation allowBlank="1" showInputMessage="1" sqref="C30:L30 C15:L15 C20:L20 C25:L25 C10:L10" xr:uid="{7B9A049D-29D3-4754-B412-73BE1B0A93CA}"/>
    <dataValidation imeMode="on" allowBlank="1" showInputMessage="1" showErrorMessage="1" sqref="A66:I66 A60:F62 G51:O54 G56:O62" xr:uid="{C3646204-5D6D-44C3-B30B-DC5B36881D9E}"/>
    <dataValidation imeMode="disabled" allowBlank="1" showInputMessage="1" showErrorMessage="1" sqref="C36:O37 M16:O19 M11:O14 C43:O50 M31:O34 D59 M21:O24 M26:O29 C39:O41 N6:O9 D51:D57 C51:C59" xr:uid="{8F86A590-77E9-49BD-BE03-06148FE79D0A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4DC0E976-6A30-4B8E-8766-E223716F60A7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18388502-0D4B-4671-A227-5BE7B1CF9C75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084F73AF-2B7E-4281-8DF4-0F16BC781D2A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56195-DB69-43A2-B74E-5FA04CC712C1}">
  <sheetPr>
    <tabColor rgb="FFFFFF99"/>
  </sheetPr>
  <dimension ref="A1:S66"/>
  <sheetViews>
    <sheetView zoomScale="115" zoomScaleNormal="115" workbookViewId="0">
      <pane ySplit="4" topLeftCell="A26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f>DATE(祝日リスト!C1, 4, 7)</f>
        <v>46119</v>
      </c>
      <c r="F1" s="82"/>
      <c r="G1" s="82"/>
      <c r="H1" s="82"/>
      <c r="I1" s="83" t="str">
        <f>TEXT(E1,"aaaa")</f>
        <v>火曜日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169"/>
      <c r="H3" s="169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/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54" priority="5" stopIfTrue="1">
      <formula>WEEKDAY($E$1)=7</formula>
    </cfRule>
    <cfRule type="expression" dxfId="153" priority="6" stopIfTrue="1">
      <formula>WEEKDAY($E$1)=1</formula>
    </cfRule>
  </conditionalFormatting>
  <conditionalFormatting sqref="I1:L1">
    <cfRule type="containsText" dxfId="151" priority="3" stopIfTrue="1" operator="containsText" text="日曜日">
      <formula>NOT(ISERROR(SEARCH("日曜日",I1)))</formula>
    </cfRule>
    <cfRule type="containsText" dxfId="15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36:O37 M16:O19 M11:O14 C43:O50 M31:O34 D59 M21:O24 M26:O29 C39:O41 N6:O9 D51:D57 C51:C59" xr:uid="{F19844B2-72A8-4D00-AB65-2146DFC635CF}"/>
    <dataValidation imeMode="on" allowBlank="1" showInputMessage="1" showErrorMessage="1" sqref="A66:I66 A60:F62 G51:O54 G56:O62" xr:uid="{DD849717-F01C-44FE-897C-A026A04623C9}"/>
    <dataValidation allowBlank="1" showInputMessage="1" sqref="C30:L30 C15:L15 C20:L20 C25:L25 C10:L10" xr:uid="{21F601E5-0874-4A42-A34A-57A7A60A5170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838C46F8-A52E-4091-BED7-71EC474420E7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44D97C2-8F24-497C-B841-73E5CD2E5A3F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AFF41314-3A92-4F4A-B796-1F076F25A20E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E90C0F2-57E9-4CDF-98CA-3C0266B9F867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FE07D-298B-47D8-BC03-26BDEB61B8D0}">
  <sheetPr>
    <tabColor rgb="FFFFFF99"/>
  </sheetPr>
  <dimension ref="A1:S66"/>
  <sheetViews>
    <sheetView zoomScale="115" zoomScaleNormal="115" workbookViewId="0">
      <pane ySplit="4" topLeftCell="A29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f>DATE(祝日リスト!C1, 4, 8)</f>
        <v>46120</v>
      </c>
      <c r="F1" s="82"/>
      <c r="G1" s="82"/>
      <c r="H1" s="82"/>
      <c r="I1" s="83" t="str">
        <f>TEXT(E1,"aaaa")</f>
        <v>水曜日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169"/>
      <c r="H3" s="169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/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48" priority="5" stopIfTrue="1">
      <formula>WEEKDAY($E$1)=7</formula>
    </cfRule>
    <cfRule type="expression" dxfId="147" priority="6" stopIfTrue="1">
      <formula>WEEKDAY($E$1)=1</formula>
    </cfRule>
  </conditionalFormatting>
  <conditionalFormatting sqref="I1:L1">
    <cfRule type="containsText" dxfId="145" priority="3" stopIfTrue="1" operator="containsText" text="日曜日">
      <formula>NOT(ISERROR(SEARCH("日曜日",I1)))</formula>
    </cfRule>
    <cfRule type="containsText" dxfId="14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DABD23E-74D2-49E6-A5A4-8E0CC1CDEC6B}"/>
    <dataValidation allowBlank="1" showInputMessage="1" sqref="C30:L30 C15:L15 C20:L20 C25:L25 C10:L10" xr:uid="{DAF9B729-424A-424F-A1EC-C37613F7EBDE}"/>
    <dataValidation imeMode="on" allowBlank="1" showInputMessage="1" showErrorMessage="1" sqref="A66:I66 A60:F62 G51:O54 G56:O62" xr:uid="{2D4E12A2-7C9E-4BA4-AF10-341CDC59C283}"/>
    <dataValidation imeMode="disabled" allowBlank="1" showInputMessage="1" showErrorMessage="1" sqref="C36:O37 M16:O19 M11:O14 C43:O50 M31:O34 D59 M21:O24 M26:O29 C39:O41 N6:O9 D51:D57 C51:C59" xr:uid="{1009490C-4700-416F-AEF9-77AF3C844894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357BED6-954C-4E09-9B85-E3405D216ECA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2B312AA-C084-40AE-9C52-2B33C6EB0576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D67C9397-8078-4CCA-AA10-0809577398D5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0B717-045C-4183-AC5C-26FE3CEF7F9C}">
  <sheetPr>
    <tabColor rgb="FFFFFF99"/>
  </sheetPr>
  <dimension ref="A1:S66"/>
  <sheetViews>
    <sheetView zoomScale="115" zoomScaleNormal="115" workbookViewId="0">
      <pane ySplit="4" topLeftCell="A26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f>DATE(祝日リスト!C1, 4, 9)</f>
        <v>46121</v>
      </c>
      <c r="F1" s="82"/>
      <c r="G1" s="82"/>
      <c r="H1" s="82"/>
      <c r="I1" s="83" t="str">
        <f>TEXT(E1,"aaaa")</f>
        <v>木曜日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169"/>
      <c r="H3" s="169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/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42" priority="5" stopIfTrue="1">
      <formula>WEEKDAY($E$1)=7</formula>
    </cfRule>
    <cfRule type="expression" dxfId="141" priority="6" stopIfTrue="1">
      <formula>WEEKDAY($E$1)=1</formula>
    </cfRule>
  </conditionalFormatting>
  <conditionalFormatting sqref="I1:L1">
    <cfRule type="containsText" dxfId="139" priority="3" stopIfTrue="1" operator="containsText" text="日曜日">
      <formula>NOT(ISERROR(SEARCH("日曜日",I1)))</formula>
    </cfRule>
    <cfRule type="containsText" dxfId="13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36:O37 M16:O19 M11:O14 C43:O50 M31:O34 D59 M21:O24 M26:O29 C39:O41 N6:O9 D51:D57 C51:C59" xr:uid="{CF46ED24-D6F7-480A-AD9A-4B9B4BBA2B8D}"/>
    <dataValidation imeMode="on" allowBlank="1" showInputMessage="1" showErrorMessage="1" sqref="A66:I66 A60:F62 G51:O54 G56:O62" xr:uid="{6E1E42FC-3C97-404C-A7F1-8B496B9E2868}"/>
    <dataValidation allowBlank="1" showInputMessage="1" sqref="C30:L30 C15:L15 C20:L20 C25:L25 C10:L10" xr:uid="{FFF4D861-722B-42B7-99F5-8CDD3E96780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2A70631-B1EF-43E3-A832-CF1A614E90E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56599AA4-CAD2-46B8-B5D2-610A638B3D3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4AFBEECB-E0DD-48C5-A29D-429609B7FC87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30307082-746D-4A6A-AD1A-0211954C0F77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BAAB5-D4FF-435C-B96E-F9CCDF7A5D29}">
  <sheetPr>
    <tabColor rgb="FFFFFF99"/>
  </sheetPr>
  <dimension ref="A1:S66"/>
  <sheetViews>
    <sheetView zoomScale="115" zoomScaleNormal="115" workbookViewId="0">
      <pane ySplit="4" topLeftCell="A32" activePane="bottomLeft" state="frozen"/>
      <selection activeCell="C53" sqref="C53:D53"/>
      <selection pane="bottomLeft" activeCell="C54" sqref="C54:D54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f>DATE(祝日リスト!C1, 4, 10)</f>
        <v>46122</v>
      </c>
      <c r="F1" s="82"/>
      <c r="G1" s="82"/>
      <c r="H1" s="82"/>
      <c r="I1" s="83" t="str">
        <f>TEXT(E1,"aaaa")</f>
        <v>金曜日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169"/>
      <c r="H3" s="169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/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36" priority="5" stopIfTrue="1">
      <formula>WEEKDAY($E$1)=7</formula>
    </cfRule>
    <cfRule type="expression" dxfId="135" priority="6" stopIfTrue="1">
      <formula>WEEKDAY($E$1)=1</formula>
    </cfRule>
  </conditionalFormatting>
  <conditionalFormatting sqref="I1:L1">
    <cfRule type="containsText" dxfId="133" priority="3" stopIfTrue="1" operator="containsText" text="日曜日">
      <formula>NOT(ISERROR(SEARCH("日曜日",I1)))</formula>
    </cfRule>
    <cfRule type="containsText" dxfId="13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6C0DCDA0-36CF-4311-A9A4-777F1C2B15B2}"/>
    <dataValidation allowBlank="1" showInputMessage="1" sqref="C30:L30 C15:L15 C20:L20 C25:L25 C10:L10" xr:uid="{AE321C2A-132D-4338-BA6C-81C42E9D0987}"/>
    <dataValidation imeMode="on" allowBlank="1" showInputMessage="1" showErrorMessage="1" sqref="A66:I66 A60:F62 G51:O54 G56:O62" xr:uid="{9A22055D-1637-44A5-9E11-E76E5F069987}"/>
    <dataValidation imeMode="disabled" allowBlank="1" showInputMessage="1" showErrorMessage="1" sqref="C36:O37 M16:O19 M11:O14 C43:O50 M31:O34 D59 M21:O24 M26:O29 C39:O41 N6:O9 D51:D57 C51:C59" xr:uid="{DD5991ED-1D30-48D5-B111-B0385C1144F7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2EB4DBC-8BDA-410D-AC7A-5D7CF762A01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B0BF6AB0-A0EF-4D4D-90F4-1086E0E9B252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AE229546-E20A-4B80-819C-82EE77C7D4F5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96B1F-F798-43EC-9747-F00BCF98193C}">
  <sheetPr>
    <tabColor rgb="FF0070C0"/>
  </sheetPr>
  <dimension ref="A1:S66"/>
  <sheetViews>
    <sheetView zoomScale="115" zoomScaleNormal="115" workbookViewId="0">
      <pane ySplit="4" topLeftCell="A26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f>DATE(祝日リスト!C1, 4, 11)</f>
        <v>46123</v>
      </c>
      <c r="F1" s="82"/>
      <c r="G1" s="82"/>
      <c r="H1" s="82"/>
      <c r="I1" s="83" t="str">
        <f>TEXT(E1,"aaaa")</f>
        <v>土曜日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169"/>
      <c r="H3" s="169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/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30" priority="5" stopIfTrue="1">
      <formula>WEEKDAY($E$1)=7</formula>
    </cfRule>
    <cfRule type="expression" dxfId="129" priority="6" stopIfTrue="1">
      <formula>WEEKDAY($E$1)=1</formula>
    </cfRule>
  </conditionalFormatting>
  <conditionalFormatting sqref="I1:L1">
    <cfRule type="containsText" dxfId="127" priority="3" stopIfTrue="1" operator="containsText" text="日曜日">
      <formula>NOT(ISERROR(SEARCH("日曜日",I1)))</formula>
    </cfRule>
    <cfRule type="containsText" dxfId="12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36:O37 M16:O19 M11:O14 C43:O50 M31:O34 D59 M21:O24 M26:O29 C39:O41 N6:O9 D51:D57 C51:C59" xr:uid="{BB5123A2-580E-4962-84D2-0F4F9788436E}"/>
    <dataValidation imeMode="on" allowBlank="1" showInputMessage="1" showErrorMessage="1" sqref="A66:I66 A60:F62 G51:O54 G56:O62" xr:uid="{AD53E268-9B7B-42CA-A144-59E1231B386A}"/>
    <dataValidation allowBlank="1" showInputMessage="1" sqref="C30:L30 C15:L15 C20:L20 C25:L25 C10:L10" xr:uid="{67F4167F-D533-423C-89A9-0BE7B8F1E47E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14669C59-EC34-4970-BEEF-8D868C125C8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5B12382-1714-42DC-B9D4-CFABB43AD9EC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B9A7DAD7-B121-4A15-877B-27412FA39D75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07ECEF6D-6B1E-4ADB-B232-FC18A987A2ED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82B98-03CA-4EB1-B643-D9E8617D6FCD}">
  <sheetPr>
    <tabColor rgb="FFFF0000"/>
  </sheetPr>
  <dimension ref="A1:S66"/>
  <sheetViews>
    <sheetView zoomScale="115" zoomScaleNormal="115" workbookViewId="0">
      <pane ySplit="4" topLeftCell="A8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170">
        <f>DATE(祝日リスト!C1, 4, 12)</f>
        <v>46124</v>
      </c>
      <c r="F1" s="171"/>
      <c r="G1" s="171"/>
      <c r="H1" s="171"/>
      <c r="I1" s="83" t="str">
        <f>TEXT(E1,"aaaa")</f>
        <v>日曜日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169"/>
      <c r="H3" s="169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8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8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8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8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8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8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8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8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8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8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8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8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8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  <c r="R29" s="73"/>
    </row>
    <row r="30" spans="1:18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8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8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/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24" priority="5" stopIfTrue="1">
      <formula>WEEKDAY($E$1)=7</formula>
    </cfRule>
    <cfRule type="expression" dxfId="123" priority="6" stopIfTrue="1">
      <formula>WEEKDAY($E$1)=1</formula>
    </cfRule>
  </conditionalFormatting>
  <conditionalFormatting sqref="I1:L1">
    <cfRule type="containsText" dxfId="121" priority="3" stopIfTrue="1" operator="containsText" text="日曜日">
      <formula>NOT(ISERROR(SEARCH("日曜日",I1)))</formula>
    </cfRule>
    <cfRule type="containsText" dxfId="12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1D7B232-6277-4712-881A-D1B7526082E8}"/>
    <dataValidation allowBlank="1" showInputMessage="1" sqref="C30:L30 C15:L15 C20:L20 C25:L25 C10:L10" xr:uid="{E260EBC0-45FF-45C7-8668-692177F3FF1D}"/>
    <dataValidation imeMode="on" allowBlank="1" showInputMessage="1" showErrorMessage="1" sqref="A66:I66 A60:F62 G51:O54 G56:O62" xr:uid="{33AA4E05-B799-42EC-B609-29594553B1E9}"/>
    <dataValidation imeMode="disabled" allowBlank="1" showInputMessage="1" showErrorMessage="1" sqref="C51:C59 C36:O37 M16:O19 M11:O14 C43:O50 M31:O34 D59 M21:O24 M26:O29 D51:D57 N6:O9 C39:O41" xr:uid="{C79639B5-758B-408A-BF4E-46AAA47B0BE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2AF35EDC-D460-49A6-BDDF-F271649BD2C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A1DBB70-371A-4273-86FB-104032E2606F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3DC6F82B-040D-4B52-88F5-FD9523A1082B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C0B5D-38C3-429F-95C2-23760C747904}">
  <sheetPr>
    <tabColor rgb="FFFFFF99"/>
  </sheetPr>
  <dimension ref="A1:S66"/>
  <sheetViews>
    <sheetView zoomScale="115" zoomScaleNormal="115" workbookViewId="0">
      <pane ySplit="4" topLeftCell="A26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f>DATE(祝日リスト!C1, 4, 13)</f>
        <v>46125</v>
      </c>
      <c r="F1" s="82"/>
      <c r="G1" s="82"/>
      <c r="H1" s="82"/>
      <c r="I1" s="83" t="str">
        <f>TEXT(E1,"aaaa")</f>
        <v>月曜日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169"/>
      <c r="H3" s="169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/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18" priority="5" stopIfTrue="1">
      <formula>WEEKDAY($E$1)=7</formula>
    </cfRule>
    <cfRule type="expression" dxfId="117" priority="6" stopIfTrue="1">
      <formula>WEEKDAY($E$1)=1</formula>
    </cfRule>
  </conditionalFormatting>
  <conditionalFormatting sqref="I1:L1">
    <cfRule type="containsText" dxfId="115" priority="3" stopIfTrue="1" operator="containsText" text="日曜日">
      <formula>NOT(ISERROR(SEARCH("日曜日",I1)))</formula>
    </cfRule>
    <cfRule type="containsText" dxfId="11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36:O37 M16:O19 M11:O14 C43:O50 M31:O34 D59 M21:O24 M26:O29 C39:O41 N6:O9 D51:D57 C51:C59" xr:uid="{2ED95AC8-D168-41B1-A7A6-DCEB453E1F98}"/>
    <dataValidation imeMode="on" allowBlank="1" showInputMessage="1" showErrorMessage="1" sqref="A66:I66 A60:F62 G51:O54 G56:O62" xr:uid="{3A05B64F-996B-4BF9-A4CB-16ADE1FEABDA}"/>
    <dataValidation allowBlank="1" showInputMessage="1" sqref="C30:L30 C15:L15 C20:L20 C25:L25 C10:L10" xr:uid="{567A987A-3AF0-442C-B2D0-F8E122F831E6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EA4D6AB9-8DDA-4D66-8BC1-22AB84B122B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804626CD-0D5F-4DD3-9854-F943E4469670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D3D9D605-09AB-4E77-9EFA-852C41486F03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5698CAF-5F18-4F58-B698-CEDABE29F2F9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CB933-FC1D-49BD-B7BF-F558E0F0617A}">
  <sheetPr>
    <tabColor rgb="FFFFFF99"/>
  </sheetPr>
  <dimension ref="A1:S66"/>
  <sheetViews>
    <sheetView zoomScale="115" zoomScaleNormal="115" workbookViewId="0">
      <pane ySplit="4" topLeftCell="A29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f>DATE(祝日リスト!C1, 4, 14)</f>
        <v>46126</v>
      </c>
      <c r="F1" s="82"/>
      <c r="G1" s="82"/>
      <c r="H1" s="82"/>
      <c r="I1" s="83" t="str">
        <f>TEXT(E1,"aaaa")</f>
        <v>火曜日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169"/>
      <c r="H3" s="169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/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12" priority="5" stopIfTrue="1">
      <formula>WEEKDAY($E$1)=7</formula>
    </cfRule>
    <cfRule type="expression" dxfId="111" priority="6" stopIfTrue="1">
      <formula>WEEKDAY($E$1)=1</formula>
    </cfRule>
  </conditionalFormatting>
  <conditionalFormatting sqref="I1:L1">
    <cfRule type="containsText" dxfId="109" priority="3" stopIfTrue="1" operator="containsText" text="日曜日">
      <formula>NOT(ISERROR(SEARCH("日曜日",I1)))</formula>
    </cfRule>
    <cfRule type="containsText" dxfId="10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D7E211A0-AFA1-4273-8F48-3F25BBCDD2EC}"/>
    <dataValidation allowBlank="1" showInputMessage="1" sqref="C30:L30 C15:L15 C20:L20 C25:L25 C10:L10" xr:uid="{0F5D34DF-5AC8-4BFB-B71B-C7F6B7F48D3C}"/>
    <dataValidation imeMode="on" allowBlank="1" showInputMessage="1" showErrorMessage="1" sqref="A66:I66 A60:F62 G51:O54 G56:O62" xr:uid="{098A9E28-8008-445D-85DB-063B66DB088E}"/>
    <dataValidation imeMode="disabled" allowBlank="1" showInputMessage="1" showErrorMessage="1" sqref="C36:O37 M16:O19 M11:O14 C43:O50 M31:O34 D59 M21:O24 M26:O29 C39:O41 N6:O9 D51:D57 C51:C59" xr:uid="{F955DD86-5781-48C1-A585-90717EF6820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6A7C5F2B-3624-47D0-A17D-FB070F646123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BC6D675D-A6B7-4BF1-B45B-C6E68E1D6EDB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9EB23F4F-1643-4F1D-B765-31E59E4848B1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86553-D259-4BD4-97E9-6CC41C90E389}">
  <sheetPr>
    <tabColor rgb="FFFFFF99"/>
  </sheetPr>
  <dimension ref="A1:S66"/>
  <sheetViews>
    <sheetView zoomScale="115" zoomScaleNormal="115" workbookViewId="0">
      <pane ySplit="4" topLeftCell="A32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f>DATE(祝日リスト!C1, 4, 15)</f>
        <v>46127</v>
      </c>
      <c r="F1" s="82"/>
      <c r="G1" s="82"/>
      <c r="H1" s="82"/>
      <c r="I1" s="83" t="str">
        <f>TEXT(E1,"aaaa")</f>
        <v>水曜日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169"/>
      <c r="H3" s="169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/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06" priority="5" stopIfTrue="1">
      <formula>WEEKDAY($E$1)=7</formula>
    </cfRule>
    <cfRule type="expression" dxfId="105" priority="6" stopIfTrue="1">
      <formula>WEEKDAY($E$1)=1</formula>
    </cfRule>
  </conditionalFormatting>
  <conditionalFormatting sqref="I1:L1">
    <cfRule type="containsText" dxfId="103" priority="3" stopIfTrue="1" operator="containsText" text="日曜日">
      <formula>NOT(ISERROR(SEARCH("日曜日",I1)))</formula>
    </cfRule>
    <cfRule type="containsText" dxfId="10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36:O37 M16:O19 M11:O14 C43:O50 M31:O34 D59 M21:O24 M26:O29 C39:O41 N6:O9 D51:D57 C51:C59" xr:uid="{E3C1CA34-8C12-49C1-8239-7DBAF25AC8DE}"/>
    <dataValidation imeMode="on" allowBlank="1" showInputMessage="1" showErrorMessage="1" sqref="A66:I66 A60:F62 G51:O54 G56:O62" xr:uid="{8217554C-D877-4B0B-9BF5-B0A3F8F577D7}"/>
    <dataValidation allowBlank="1" showInputMessage="1" sqref="C30:L30 C15:L15 C20:L20 C25:L25 C10:L10" xr:uid="{17D34089-0F2F-4974-BF08-4C38666E7443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FE6D6EF8-0667-448E-A4DC-3030C8CEF50C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8C3A3E2D-52E6-42B8-9B7C-DCCAAFF6F7D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2C95E67A-FD36-4F87-BCA9-AFCB5883925C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F5A8B369-29A7-4828-8269-BAB87D5AE11E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1F59C-D6B9-4B1D-980C-55A45A275656}">
  <sheetPr>
    <tabColor rgb="FFFFFF99"/>
  </sheetPr>
  <dimension ref="A1:S66"/>
  <sheetViews>
    <sheetView zoomScale="115" zoomScaleNormal="115" workbookViewId="0">
      <pane ySplit="4" topLeftCell="A3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f>DATE(祝日リスト!C1, 4, 16)</f>
        <v>46128</v>
      </c>
      <c r="F1" s="82"/>
      <c r="G1" s="82"/>
      <c r="H1" s="82"/>
      <c r="I1" s="83" t="str">
        <f>TEXT(E1,"aaaa")</f>
        <v>木曜日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169"/>
      <c r="H3" s="169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/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00" priority="5" stopIfTrue="1">
      <formula>WEEKDAY($E$1)=7</formula>
    </cfRule>
    <cfRule type="expression" dxfId="99" priority="6" stopIfTrue="1">
      <formula>WEEKDAY($E$1)=1</formula>
    </cfRule>
  </conditionalFormatting>
  <conditionalFormatting sqref="I1:L1">
    <cfRule type="containsText" dxfId="97" priority="3" stopIfTrue="1" operator="containsText" text="日曜日">
      <formula>NOT(ISERROR(SEARCH("日曜日",I1)))</formula>
    </cfRule>
    <cfRule type="containsText" dxfId="9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828B38B-8502-4F14-8769-FFB2DC6F951D}"/>
    <dataValidation allowBlank="1" showInputMessage="1" sqref="C30:L30 C15:L15 C20:L20 C25:L25 C10:L10" xr:uid="{2685F030-B842-4FFA-9EC7-B91C57FE22E7}"/>
    <dataValidation imeMode="on" allowBlank="1" showInputMessage="1" showErrorMessage="1" sqref="A66:I66 A60:F62 G51:O54 G56:O62" xr:uid="{269FE4BC-C68C-4A9A-9EC4-9EF2A4444255}"/>
    <dataValidation imeMode="disabled" allowBlank="1" showInputMessage="1" showErrorMessage="1" sqref="C36:O37 M16:O19 M11:O14 C43:O50 M31:O34 D59 M21:O24 M26:O29 C39:O41 N6:O9 D51:D57 C51:C59" xr:uid="{C44F46EA-0D98-4BD3-91C7-6E373DFD198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33AE38CD-D2F2-4D13-8B93-1FD66D71B785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EF217AEB-814C-4161-A3BB-DD360788AE4F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8CFC5641-9425-4880-BEDE-2B2A0A6BEBCC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F8CAB-B7A2-4F6A-BA6C-A262B2422E99}">
  <sheetPr>
    <tabColor rgb="FFFFFF99"/>
  </sheetPr>
  <dimension ref="A1:S66"/>
  <sheetViews>
    <sheetView zoomScale="115" zoomScaleNormal="115" workbookViewId="0">
      <pane ySplit="4" topLeftCell="A32" activePane="bottomLeft" state="frozen"/>
      <selection activeCell="C53" sqref="C53:D53"/>
      <selection pane="bottomLeft" activeCell="T53" sqref="T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f>DATE(祝日リスト!C1, 4, 17)</f>
        <v>46129</v>
      </c>
      <c r="F1" s="82"/>
      <c r="G1" s="82"/>
      <c r="H1" s="82"/>
      <c r="I1" s="83" t="str">
        <f>TEXT(E1,"aaaa")</f>
        <v>金曜日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169"/>
      <c r="H3" s="169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/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94" priority="5" stopIfTrue="1">
      <formula>WEEKDAY($E$1)=7</formula>
    </cfRule>
    <cfRule type="expression" dxfId="93" priority="6" stopIfTrue="1">
      <formula>WEEKDAY($E$1)=1</formula>
    </cfRule>
  </conditionalFormatting>
  <conditionalFormatting sqref="I1:L1">
    <cfRule type="containsText" dxfId="91" priority="3" stopIfTrue="1" operator="containsText" text="日曜日">
      <formula>NOT(ISERROR(SEARCH("日曜日",I1)))</formula>
    </cfRule>
    <cfRule type="containsText" dxfId="9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36:O37 M16:O19 M11:O14 C43:O50 M31:O34 D59 M21:O24 M26:O29 C39:O41 N6:O9 D51:D57 C51:C59" xr:uid="{AA0E62CE-D730-4D64-90F2-2AEC031DAE2D}"/>
    <dataValidation imeMode="on" allowBlank="1" showInputMessage="1" showErrorMessage="1" sqref="A66:I66 A60:F62 G51:O54 G56:O62" xr:uid="{E6036416-9EA6-4962-8505-9B788C96D093}"/>
    <dataValidation allowBlank="1" showInputMessage="1" sqref="C30:L30 C15:L15 C20:L20 C25:L25 C10:L10" xr:uid="{548F0AF8-87A9-4F46-B692-354482D6DA1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53F1A50-33C9-4EC7-BDA8-126E693F6C2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17958DA5-A5BB-4ED0-9FC9-6E294DD07FE2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729422B4-2E22-4CFB-B0AF-5421E1A48B55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007A3DEB-4948-4A5E-A37C-668E697964CE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2B2EA-8A6F-40DC-AD4C-8FD723CE5E4F}">
  <sheetPr>
    <tabColor rgb="FF0070C0"/>
  </sheetPr>
  <dimension ref="A1:S66"/>
  <sheetViews>
    <sheetView zoomScale="115" zoomScaleNormal="115" workbookViewId="0">
      <pane ySplit="4" topLeftCell="A29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f>DATE(祝日リスト!C1, 4, 18)</f>
        <v>46130</v>
      </c>
      <c r="F1" s="82"/>
      <c r="G1" s="82"/>
      <c r="H1" s="82"/>
      <c r="I1" s="83" t="str">
        <f>TEXT(E1,"aaaa")</f>
        <v>土曜日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169"/>
      <c r="H3" s="169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/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88" priority="5" stopIfTrue="1">
      <formula>WEEKDAY($E$1)=7</formula>
    </cfRule>
    <cfRule type="expression" dxfId="87" priority="6" stopIfTrue="1">
      <formula>WEEKDAY($E$1)=1</formula>
    </cfRule>
  </conditionalFormatting>
  <conditionalFormatting sqref="I1:L1">
    <cfRule type="containsText" dxfId="85" priority="3" stopIfTrue="1" operator="containsText" text="日曜日">
      <formula>NOT(ISERROR(SEARCH("日曜日",I1)))</formula>
    </cfRule>
    <cfRule type="containsText" dxfId="8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DFD43531-DE70-42C4-A5F7-EE3AC0FFC669}"/>
    <dataValidation allowBlank="1" showInputMessage="1" sqref="C30:L30 C15:L15 C20:L20 C25:L25 C10:L10" xr:uid="{C4A418A0-8FA4-4836-BEC5-88A888897412}"/>
    <dataValidation imeMode="on" allowBlank="1" showInputMessage="1" showErrorMessage="1" sqref="A66:I66 A60:F62 G51:O54 G56:O62" xr:uid="{D319F481-4F8A-433F-B3C9-4B4BFA561DEC}"/>
    <dataValidation imeMode="disabled" allowBlank="1" showInputMessage="1" showErrorMessage="1" sqref="C36:O37 M16:O19 M11:O14 C43:O50 M31:O34 D59 M21:O24 M26:O29 C39:O41 N6:O9 D51:D57 C51:C59" xr:uid="{54CC4114-FB2B-45B4-88C4-E789082B47A5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6BE2078F-D635-4D52-B021-A8BEC4233D2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F4044D3-E207-4B78-BABB-ACBF81CF73F1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20E2496B-C7FA-47E2-B755-6FF71396DC1F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6CF54-26E4-4B26-9E34-F3811E2BBF7E}">
  <sheetPr>
    <tabColor rgb="FFFF000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f>DATE(祝日リスト!C1, 4, 19)</f>
        <v>46131</v>
      </c>
      <c r="F1" s="82"/>
      <c r="G1" s="82"/>
      <c r="H1" s="82"/>
      <c r="I1" s="83" t="str">
        <f>TEXT(E1,"aaaa")</f>
        <v>日曜日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169"/>
      <c r="H3" s="169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/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82" priority="5" stopIfTrue="1">
      <formula>WEEKDAY($E$1)=7</formula>
    </cfRule>
    <cfRule type="expression" dxfId="81" priority="6" stopIfTrue="1">
      <formula>WEEKDAY($E$1)=1</formula>
    </cfRule>
  </conditionalFormatting>
  <conditionalFormatting sqref="I1:L1">
    <cfRule type="containsText" dxfId="79" priority="3" stopIfTrue="1" operator="containsText" text="日曜日">
      <formula>NOT(ISERROR(SEARCH("日曜日",I1)))</formula>
    </cfRule>
    <cfRule type="containsText" dxfId="7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5BFCDF3D-22D9-433F-B23C-6DF71ABCDE9B}"/>
    <dataValidation imeMode="on" allowBlank="1" showInputMessage="1" showErrorMessage="1" sqref="A66:I66 A60:F62 G51:O54 G56:O62" xr:uid="{2FE6A425-DE0F-48CC-80B2-B3F89DF1A558}"/>
    <dataValidation allowBlank="1" showInputMessage="1" sqref="C30:L30 C15:L15 C20:L20 C25:L25 C10:L10" xr:uid="{391E9913-B1B8-42A6-8860-9A774854C811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4A4DC35-9903-4C15-A064-AD51D42F74DB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AD22D50-0C2B-4C59-86B3-48A6424CFAB9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405B34D9-579A-455E-87DF-4804A19F44B9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1B16870-8E1A-45BB-B933-066C0F5A3CBA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7DCA8-352A-4066-8944-77019823B095}">
  <sheetPr>
    <tabColor rgb="FFFFFF99"/>
  </sheetPr>
  <dimension ref="A1:S66"/>
  <sheetViews>
    <sheetView zoomScale="115" zoomScaleNormal="115" workbookViewId="0">
      <pane ySplit="4" topLeftCell="A26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f>DATE(祝日リスト!C1, 4, 20)</f>
        <v>46132</v>
      </c>
      <c r="F1" s="82"/>
      <c r="G1" s="82"/>
      <c r="H1" s="82"/>
      <c r="I1" s="83" t="str">
        <f>TEXT(E1,"aaaa")</f>
        <v>月曜日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169"/>
      <c r="H3" s="169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/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76" priority="5" stopIfTrue="1">
      <formula>WEEKDAY($E$1)=7</formula>
    </cfRule>
    <cfRule type="expression" dxfId="75" priority="6" stopIfTrue="1">
      <formula>WEEKDAY($E$1)=1</formula>
    </cfRule>
  </conditionalFormatting>
  <conditionalFormatting sqref="I1:L1">
    <cfRule type="containsText" dxfId="73" priority="3" stopIfTrue="1" operator="containsText" text="日曜日">
      <formula>NOT(ISERROR(SEARCH("日曜日",I1)))</formula>
    </cfRule>
    <cfRule type="containsText" dxfId="7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829D63AD-9608-4635-81E6-0CD1F59668B1}"/>
    <dataValidation allowBlank="1" showInputMessage="1" sqref="C30:L30 C15:L15 C20:L20 C25:L25 C10:L10" xr:uid="{657110EA-A05D-4E42-9317-85A8F3DFFEA0}"/>
    <dataValidation imeMode="on" allowBlank="1" showInputMessage="1" showErrorMessage="1" sqref="A66:I66 A60:F62 G51:O54 G56:O62" xr:uid="{00D47038-DA34-4632-8155-17B89A03B8E8}"/>
    <dataValidation imeMode="disabled" allowBlank="1" showInputMessage="1" showErrorMessage="1" sqref="C36:O37 M16:O19 M11:O14 C43:O50 M31:O34 D59 M21:O24 M26:O29 C39:O41 N6:O9 D51:D57 C51:C59" xr:uid="{FF823537-080A-4920-9ED4-9585C31E3E8B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353782A9-D424-4438-9EF5-789C4826B11A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20A01C5D-935E-460B-B2EB-0E9B6A28BD7C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CE60F38D-D183-490C-8509-C680D171A103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42CA-F6DE-4CD9-AF5E-81DA582EAC52}">
  <sheetPr>
    <tabColor rgb="FFFFFF99"/>
  </sheetPr>
  <dimension ref="A1:S66"/>
  <sheetViews>
    <sheetView zoomScale="115" zoomScaleNormal="115" workbookViewId="0">
      <pane ySplit="4" topLeftCell="A32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f>DATE(祝日リスト!C1, 4, 21)</f>
        <v>46133</v>
      </c>
      <c r="F1" s="82"/>
      <c r="G1" s="82"/>
      <c r="H1" s="82"/>
      <c r="I1" s="83" t="str">
        <f>TEXT(E1,"aaaa")</f>
        <v>火曜日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169"/>
      <c r="H3" s="169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/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70" priority="5" stopIfTrue="1">
      <formula>WEEKDAY($E$1)=7</formula>
    </cfRule>
    <cfRule type="expression" dxfId="69" priority="6" stopIfTrue="1">
      <formula>WEEKDAY($E$1)=1</formula>
    </cfRule>
  </conditionalFormatting>
  <conditionalFormatting sqref="I1:L1">
    <cfRule type="containsText" dxfId="67" priority="3" stopIfTrue="1" operator="containsText" text="日曜日">
      <formula>NOT(ISERROR(SEARCH("日曜日",I1)))</formula>
    </cfRule>
    <cfRule type="containsText" dxfId="6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36:O37 M16:O19 M11:O14 C43:O50 M31:O34 D59 M21:O24 M26:O29 C39:O41 N6:O9 D51:D57 C51:C59" xr:uid="{6C2DFB15-F258-4504-BF86-BD0F54AEDA0A}"/>
    <dataValidation imeMode="on" allowBlank="1" showInputMessage="1" showErrorMessage="1" sqref="A66:I66 A60:F62 G51:O54 G56:O62" xr:uid="{4B532F0E-891E-4F63-93F9-783381F3E8E6}"/>
    <dataValidation allowBlank="1" showInputMessage="1" sqref="C30:L30 C15:L15 C20:L20 C25:L25 C10:L10" xr:uid="{DEA27970-BF36-4F45-ADC7-26AE1FE8A614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7BAF23C-5EDB-440F-9807-F21A28EFD67A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FC6070B-8F10-4D9C-93C3-4FD34A2B0A21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655AEFC-8407-41A6-BC5E-6FB063DAD81E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ABEB64E6-3420-4E23-B5F3-D836E97B4802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FB016-CB6C-4ABE-A2CC-238FB8F802D2}">
  <sheetPr>
    <tabColor rgb="FFFFFF99"/>
  </sheetPr>
  <dimension ref="A1:S66"/>
  <sheetViews>
    <sheetView zoomScale="115" zoomScaleNormal="115" workbookViewId="0">
      <pane ySplit="4" topLeftCell="A32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f>DATE(祝日リスト!C1, 4, 22)</f>
        <v>46134</v>
      </c>
      <c r="F1" s="82"/>
      <c r="G1" s="82"/>
      <c r="H1" s="82"/>
      <c r="I1" s="83" t="str">
        <f>TEXT(E1,"aaaa")</f>
        <v>水曜日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169"/>
      <c r="H3" s="169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/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64" priority="5" stopIfTrue="1">
      <formula>WEEKDAY($E$1)=7</formula>
    </cfRule>
    <cfRule type="expression" dxfId="63" priority="6" stopIfTrue="1">
      <formula>WEEKDAY($E$1)=1</formula>
    </cfRule>
  </conditionalFormatting>
  <conditionalFormatting sqref="I1:L1">
    <cfRule type="containsText" dxfId="61" priority="3" stopIfTrue="1" operator="containsText" text="日曜日">
      <formula>NOT(ISERROR(SEARCH("日曜日",I1)))</formula>
    </cfRule>
    <cfRule type="containsText" dxfId="6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75C8C3E-AEEA-46D3-824A-F2BB6C706F44}"/>
    <dataValidation allowBlank="1" showInputMessage="1" sqref="C30:L30 C15:L15 C20:L20 C25:L25 C10:L10" xr:uid="{CC7E2FB8-0AD0-46D4-B5B0-48DD80424987}"/>
    <dataValidation imeMode="on" allowBlank="1" showInputMessage="1" showErrorMessage="1" sqref="A66:I66 A60:F62 G51:O54 G56:O62" xr:uid="{C67074B3-68C1-4332-ADBF-62CD1FA7EB51}"/>
    <dataValidation imeMode="disabled" allowBlank="1" showInputMessage="1" showErrorMessage="1" sqref="C36:O37 M16:O19 M11:O14 C43:O50 M31:O34 D59 M21:O24 M26:O29 C39:O41 N6:O9 D51:D57 C51:C59" xr:uid="{2F40860C-9018-4225-9824-7FBFA9D0735B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7FEF74B1-213B-4820-8C44-F9E33C5E13B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544DD099-06C5-41CB-9B35-133DD27B71BD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83E6C11F-256C-43C6-A260-3C5E4C40911D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22649-EA26-4F91-8DB8-AABFD7C705B0}">
  <sheetPr>
    <tabColor rgb="FFFFFF99"/>
  </sheetPr>
  <dimension ref="A1:S66"/>
  <sheetViews>
    <sheetView zoomScale="115" zoomScaleNormal="115" workbookViewId="0">
      <pane ySplit="4" topLeftCell="A32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f>DATE(祝日リスト!C1, 4, 23)</f>
        <v>46135</v>
      </c>
      <c r="F1" s="82"/>
      <c r="G1" s="82"/>
      <c r="H1" s="82"/>
      <c r="I1" s="83" t="str">
        <f>TEXT(E1,"aaaa")</f>
        <v>木曜日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169"/>
      <c r="H3" s="169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/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58" priority="5" stopIfTrue="1">
      <formula>WEEKDAY($E$1)=7</formula>
    </cfRule>
    <cfRule type="expression" dxfId="57" priority="6" stopIfTrue="1">
      <formula>WEEKDAY($E$1)=1</formula>
    </cfRule>
  </conditionalFormatting>
  <conditionalFormatting sqref="I1:L1">
    <cfRule type="containsText" dxfId="55" priority="3" stopIfTrue="1" operator="containsText" text="日曜日">
      <formula>NOT(ISERROR(SEARCH("日曜日",I1)))</formula>
    </cfRule>
    <cfRule type="containsText" dxfId="5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36:O37 M16:O19 M11:O14 C43:O50 M31:O34 D59 M21:O24 M26:O29 C39:O41 N6:O9 D51:D57 C51:C59" xr:uid="{ACB7D74C-2B7E-4CD9-8493-62EBDAD9F052}"/>
    <dataValidation imeMode="on" allowBlank="1" showInputMessage="1" showErrorMessage="1" sqref="A66:I66 A60:F62 G51:O54 G56:O62" xr:uid="{D24985AA-233D-452C-AF4A-513E94DB3E0E}"/>
    <dataValidation allowBlank="1" showInputMessage="1" sqref="C30:L30 C15:L15 C20:L20 C25:L25 C10:L10" xr:uid="{110014C5-1E85-4BE0-8794-20DD7D73ABF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639726B-D7DA-40D8-AC8F-57ADC4607297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29B312C-B653-485D-9B52-5097C4C4EDB9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6ADF8EE8-E096-4A78-85C1-8396C10ED5A1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8DBF9031-9D8E-405F-A439-1633EC963B10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3D9AB-6496-4AE8-A308-12C68BC894B7}">
  <sheetPr>
    <tabColor rgb="FFFFFF99"/>
  </sheetPr>
  <dimension ref="A1:S66"/>
  <sheetViews>
    <sheetView zoomScale="115" zoomScaleNormal="115" workbookViewId="0">
      <pane ySplit="4" topLeftCell="A26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f>DATE(祝日リスト!C1, 4, 24)</f>
        <v>46136</v>
      </c>
      <c r="F1" s="82"/>
      <c r="G1" s="82"/>
      <c r="H1" s="82"/>
      <c r="I1" s="83" t="str">
        <f>TEXT(E1,"aaaa")</f>
        <v>金曜日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169"/>
      <c r="H3" s="169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/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52" priority="5" stopIfTrue="1">
      <formula>WEEKDAY($E$1)=7</formula>
    </cfRule>
    <cfRule type="expression" dxfId="51" priority="6" stopIfTrue="1">
      <formula>WEEKDAY($E$1)=1</formula>
    </cfRule>
  </conditionalFormatting>
  <conditionalFormatting sqref="I1:L1">
    <cfRule type="containsText" dxfId="49" priority="3" stopIfTrue="1" operator="containsText" text="日曜日">
      <formula>NOT(ISERROR(SEARCH("日曜日",I1)))</formula>
    </cfRule>
    <cfRule type="containsText" dxfId="4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5ACEEAE0-57A1-44F7-AC85-CD8F45B36C65}"/>
    <dataValidation allowBlank="1" showInputMessage="1" sqref="C30:L30 C15:L15 C20:L20 C25:L25 C10:L10" xr:uid="{AC3F8883-198F-4BE6-8BB0-FCA91B2DA49F}"/>
    <dataValidation imeMode="on" allowBlank="1" showInputMessage="1" showErrorMessage="1" sqref="A66:I66 A60:F62 G51:O54 G56:O62" xr:uid="{411C72B8-9892-4129-8923-A35B88987211}"/>
    <dataValidation imeMode="disabled" allowBlank="1" showInputMessage="1" showErrorMessage="1" sqref="C36:O37 M16:O19 M11:O14 C43:O50 M31:O34 D59 M21:O24 M26:O29 C39:O41 N6:O9 D51:D57 C51:C59" xr:uid="{F3E7CBEB-7A0B-40DF-BDA8-553DCA4FBCF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12325C41-3776-457C-A0B8-11A7BA8424C8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66C1485-3D6E-48C6-8496-4B8EB2DCAA88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6FF81F0E-AFBC-4673-8B95-B2BDDA6DC141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52E15-4AB5-4532-8D8C-03081B36DE1B}">
  <sheetPr>
    <tabColor rgb="FF0070C0"/>
  </sheetPr>
  <dimension ref="A1:S66"/>
  <sheetViews>
    <sheetView zoomScale="115" zoomScaleNormal="115" workbookViewId="0">
      <pane ySplit="4" topLeftCell="A29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f>DATE(祝日リスト!C1, 4, 25)</f>
        <v>46137</v>
      </c>
      <c r="F1" s="82"/>
      <c r="G1" s="82"/>
      <c r="H1" s="82"/>
      <c r="I1" s="83" t="str">
        <f>TEXT(E1,"aaaa")</f>
        <v>土曜日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169"/>
      <c r="H3" s="169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/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46" priority="5" stopIfTrue="1">
      <formula>WEEKDAY($E$1)=7</formula>
    </cfRule>
    <cfRule type="expression" dxfId="45" priority="6" stopIfTrue="1">
      <formula>WEEKDAY($E$1)=1</formula>
    </cfRule>
  </conditionalFormatting>
  <conditionalFormatting sqref="I1:L1">
    <cfRule type="containsText" dxfId="43" priority="3" stopIfTrue="1" operator="containsText" text="日曜日">
      <formula>NOT(ISERROR(SEARCH("日曜日",I1)))</formula>
    </cfRule>
    <cfRule type="containsText" dxfId="4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36:O37 M16:O19 M11:O14 C43:O50 M31:O34 D59 M21:O24 M26:O29 C39:O41 N6:O9 D51:D57 C51:C59" xr:uid="{F0CDC4D9-C9D5-4504-8BB9-1313B4DEF886}"/>
    <dataValidation imeMode="on" allowBlank="1" showInputMessage="1" showErrorMessage="1" sqref="A66:I66 A60:F62 G51:O54 G56:O62" xr:uid="{44D7C21B-8BF2-4ED4-BDA5-6111D339EBC8}"/>
    <dataValidation allowBlank="1" showInputMessage="1" sqref="C30:L30 C15:L15 C20:L20 C25:L25 C10:L10" xr:uid="{CCC025C9-79C5-4661-98C1-C0F54B2E952A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B3E73D3-9524-480A-8E2A-7747B2B46785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FF5145A-5AEC-4B36-8194-4123ADCA55F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D8CA3B36-B032-4B19-A846-A6EC4383CBE6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EC55432A-6A91-4394-8FF0-409E6C94843A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D85DA-F213-4489-9B6E-B0BA7413E324}">
  <sheetPr>
    <tabColor rgb="FFFF000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f>DATE(祝日リスト!C1, 4, 26)</f>
        <v>46138</v>
      </c>
      <c r="F1" s="82"/>
      <c r="G1" s="82"/>
      <c r="H1" s="82"/>
      <c r="I1" s="83" t="str">
        <f>TEXT(E1,"aaaa")</f>
        <v>日曜日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169"/>
      <c r="H3" s="169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/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40" priority="5" stopIfTrue="1">
      <formula>WEEKDAY($E$1)=7</formula>
    </cfRule>
    <cfRule type="expression" dxfId="39" priority="6" stopIfTrue="1">
      <formula>WEEKDAY($E$1)=1</formula>
    </cfRule>
  </conditionalFormatting>
  <conditionalFormatting sqref="I1:L1">
    <cfRule type="containsText" dxfId="37" priority="3" stopIfTrue="1" operator="containsText" text="日曜日">
      <formula>NOT(ISERROR(SEARCH("日曜日",I1)))</formula>
    </cfRule>
    <cfRule type="containsText" dxfId="3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C87CAB92-C49F-4287-86B2-4A2CF07727F4}"/>
    <dataValidation allowBlank="1" showInputMessage="1" sqref="C30:L30 C15:L15 C20:L20 C25:L25 C10:L10" xr:uid="{5B3519AD-477F-404B-BA75-E00F17391652}"/>
    <dataValidation imeMode="on" allowBlank="1" showInputMessage="1" showErrorMessage="1" sqref="A66:I66 A60:F62 G51:O54 G56:O62" xr:uid="{A5D746F8-4539-433A-8FEB-0FE5F617970B}"/>
    <dataValidation imeMode="disabled" allowBlank="1" showInputMessage="1" showErrorMessage="1" sqref="C51:C59 C36:O37 M16:O19 M11:O14 C43:O50 M31:O34 D59 M21:O24 M26:O29 D51:D57 N6:O9 C39:O41" xr:uid="{F9CB08AB-A4A8-4008-85F8-6DEA52B06EA2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7A49C9DC-86C9-4AC0-B168-302275BFBA9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10AC37C-06AF-4971-B5CD-9EE1A94BD610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68990A68-DA7F-4762-9688-9717A072EC82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F9B2F-7ACF-4D22-AAED-4DEB80D746D9}">
  <sheetPr>
    <tabColor rgb="FFFFFF99"/>
  </sheetPr>
  <dimension ref="A1:S66"/>
  <sheetViews>
    <sheetView zoomScale="115" zoomScaleNormal="115" workbookViewId="0">
      <pane ySplit="4" topLeftCell="A29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f>DATE(祝日リスト!C1, 4, 27)</f>
        <v>46139</v>
      </c>
      <c r="F1" s="82"/>
      <c r="G1" s="82"/>
      <c r="H1" s="82"/>
      <c r="I1" s="83" t="str">
        <f>TEXT(E1,"aaaa")</f>
        <v>月曜日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169"/>
      <c r="H3" s="169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/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34" priority="5" stopIfTrue="1">
      <formula>WEEKDAY($E$1)=7</formula>
    </cfRule>
    <cfRule type="expression" dxfId="33" priority="6" stopIfTrue="1">
      <formula>WEEKDAY($E$1)=1</formula>
    </cfRule>
  </conditionalFormatting>
  <conditionalFormatting sqref="I1:L1">
    <cfRule type="containsText" dxfId="31" priority="3" stopIfTrue="1" operator="containsText" text="日曜日">
      <formula>NOT(ISERROR(SEARCH("日曜日",I1)))</formula>
    </cfRule>
    <cfRule type="containsText" dxfId="3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36:O37 M16:O19 M11:O14 C43:O50 M31:O34 D59 M21:O24 M26:O29 C39:O41 N6:O9 D51:D57 C51:C59" xr:uid="{8CFE857C-BAB7-414D-B9D9-6F1B867840FA}"/>
    <dataValidation imeMode="on" allowBlank="1" showInputMessage="1" showErrorMessage="1" sqref="A66:I66 A60:F62 G51:O54 G56:O62" xr:uid="{EFDA2805-2A4B-45CC-92EB-EEFBDC816776}"/>
    <dataValidation allowBlank="1" showInputMessage="1" sqref="C30:L30 C15:L15 C20:L20 C25:L25 C10:L10" xr:uid="{5FC8D69C-BE8C-4D4F-BBBE-E6D96A25062F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DB9D836-3AB9-41AA-A404-F3AFABAF735C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D0965227-ABE4-47E2-AFCF-CFA0BCFAC30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DD09D39E-3430-4909-9296-C1013E29BB5A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D9B6CD46-AF50-4B8A-B4A5-B4F59169858D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29010-1085-40B4-BE5A-AED15C0E0401}">
  <sheetPr>
    <tabColor rgb="FFFFFF99"/>
  </sheetPr>
  <dimension ref="A1:S66"/>
  <sheetViews>
    <sheetView zoomScale="115" zoomScaleNormal="115" workbookViewId="0">
      <pane ySplit="4" topLeftCell="A29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f>DATE(祝日リスト!C1, 4,  28)</f>
        <v>46140</v>
      </c>
      <c r="F1" s="82"/>
      <c r="G1" s="82"/>
      <c r="H1" s="82"/>
      <c r="I1" s="83" t="str">
        <f>TEXT(E1,"aaaa")</f>
        <v>火曜日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169"/>
      <c r="H3" s="169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/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28" priority="5" stopIfTrue="1">
      <formula>WEEKDAY($E$1)=7</formula>
    </cfRule>
    <cfRule type="expression" dxfId="27" priority="6" stopIfTrue="1">
      <formula>WEEKDAY($E$1)=1</formula>
    </cfRule>
  </conditionalFormatting>
  <conditionalFormatting sqref="I1:L1">
    <cfRule type="containsText" dxfId="25" priority="3" stopIfTrue="1" operator="containsText" text="日曜日">
      <formula>NOT(ISERROR(SEARCH("日曜日",I1)))</formula>
    </cfRule>
    <cfRule type="containsText" dxfId="2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72D44F7-562C-48EC-BA40-7DA96164D701}"/>
    <dataValidation allowBlank="1" showInputMessage="1" sqref="C30:L30 C15:L15 C20:L20 C25:L25 C10:L10" xr:uid="{ACE0E721-D216-4DCC-BBFC-DD692EE0F91B}"/>
    <dataValidation imeMode="on" allowBlank="1" showInputMessage="1" showErrorMessage="1" sqref="A66:I66 A60:F62 G51:O54 G56:O62" xr:uid="{AF045496-780E-41D5-AE18-12C30E55579E}"/>
    <dataValidation imeMode="disabled" allowBlank="1" showInputMessage="1" showErrorMessage="1" sqref="C36:O37 M16:O19 M11:O14 C43:O50 M31:O34 D59 M21:O24 M26:O29 C39:O41 N6:O9 D51:D57 C51:C59" xr:uid="{3BB2E19D-FB28-4059-832E-1FCFBF03BC4F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B1E52F32-60A6-4CEE-9BBD-3E11D94C887F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4F44636D-219C-4B27-88E4-CBAE245243DC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D34188E6-589F-4E8B-9E69-2C9A58E1A3B7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0E84-456F-4391-BD7E-8646615E88DC}">
  <sheetPr>
    <tabColor rgb="FFFF000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f>DATE(祝日リスト!C1, 4, 29)</f>
        <v>46141</v>
      </c>
      <c r="F1" s="82"/>
      <c r="G1" s="82"/>
      <c r="H1" s="82"/>
      <c r="I1" s="83" t="str">
        <f>TEXT(E1,"aaaa")</f>
        <v>水曜日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169"/>
      <c r="H3" s="169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/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22" priority="5" stopIfTrue="1">
      <formula>WEEKDAY($E$1)=7</formula>
    </cfRule>
    <cfRule type="expression" dxfId="21" priority="6" stopIfTrue="1">
      <formula>WEEKDAY($E$1)=1</formula>
    </cfRule>
  </conditionalFormatting>
  <conditionalFormatting sqref="I1:L1">
    <cfRule type="containsText" dxfId="19" priority="3" stopIfTrue="1" operator="containsText" text="日曜日">
      <formula>NOT(ISERROR(SEARCH("日曜日",I1)))</formula>
    </cfRule>
    <cfRule type="containsText" dxfId="1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054B9F03-35ED-40F9-83CF-89BC640F6437}"/>
    <dataValidation imeMode="on" allowBlank="1" showInputMessage="1" showErrorMessage="1" sqref="A66:I66 A60:F62 G51:O54 G56:O62" xr:uid="{A2D54FB5-52DE-4482-BD82-2CD7DF2C3177}"/>
    <dataValidation allowBlank="1" showInputMessage="1" sqref="C30:L30 C15:L15 C20:L20 C25:L25 C10:L10" xr:uid="{B6BC1D27-A9A5-4D3C-89CE-2187B1C87656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6D091BA7-46E8-4BC8-B6E9-41C18EAFE6D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F03D8DDA-8818-4D40-81DF-A0997F3762D8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8410ADD2-629A-4F12-B151-C59D556FAA1E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EF64E95A-8C3E-4196-B932-08BF50DFC16A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CC984-33A8-4C5D-8DAE-C7C3B7D5D6F1}">
  <sheetPr>
    <tabColor rgb="FFFFFF99"/>
  </sheetPr>
  <dimension ref="A1:S66"/>
  <sheetViews>
    <sheetView zoomScale="115" zoomScaleNormal="115" workbookViewId="0">
      <pane ySplit="4" topLeftCell="A29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f>DATE(祝日リスト!C1, 4, 30)</f>
        <v>46142</v>
      </c>
      <c r="F1" s="82"/>
      <c r="G1" s="82"/>
      <c r="H1" s="82"/>
      <c r="I1" s="83" t="str">
        <f>TEXT(E1,"aaaa")</f>
        <v>木曜日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169"/>
      <c r="H3" s="169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/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6" priority="5" stopIfTrue="1">
      <formula>WEEKDAY($E$1)=7</formula>
    </cfRule>
    <cfRule type="expression" dxfId="15" priority="6" stopIfTrue="1">
      <formula>WEEKDAY($E$1)=1</formula>
    </cfRule>
  </conditionalFormatting>
  <conditionalFormatting sqref="I1:L1">
    <cfRule type="containsText" dxfId="13" priority="3" stopIfTrue="1" operator="containsText" text="日曜日">
      <formula>NOT(ISERROR(SEARCH("日曜日",I1)))</formula>
    </cfRule>
    <cfRule type="containsText" dxfId="1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FBDEA5AB-37A1-458C-9C74-7E2DB1F5583F}"/>
    <dataValidation allowBlank="1" showInputMessage="1" sqref="C30:L30 C15:L15 C20:L20 C25:L25 C10:L10" xr:uid="{2D946271-4224-42DE-9CEA-33E723829754}"/>
    <dataValidation imeMode="on" allowBlank="1" showInputMessage="1" showErrorMessage="1" sqref="A66:I66 A60:F62 G51:O54 G56:O62" xr:uid="{066239F6-262F-45F0-A266-B03DBDF1D4C2}"/>
    <dataValidation imeMode="disabled" allowBlank="1" showInputMessage="1" showErrorMessage="1" sqref="C36:O37 M16:O19 M11:O14 C43:O50 M31:O34 D59 M21:O24 M26:O29 C39:O41 N6:O9 D51:D57 C51:C59" xr:uid="{71EB2C29-BC1B-4D65-8834-96B2693ED544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64CA64FF-951F-4B82-BC0C-AB75042CA3F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0907633-BAEC-4E8E-A542-B6DF42F33F78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BB2C61BF-B18A-41CB-9138-A716678C960A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3063E-1601-42C8-B762-90CF6A7D7E50}">
  <sheetPr>
    <tabColor rgb="FFFFFF99"/>
  </sheetPr>
  <dimension ref="A1:S66"/>
  <sheetViews>
    <sheetView zoomScale="115" zoomScaleNormal="115" workbookViewId="0">
      <pane ySplit="4" topLeftCell="A32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f>DATE(祝日リスト!C1, 4, 1)</f>
        <v>46113</v>
      </c>
      <c r="F1" s="82"/>
      <c r="G1" s="82"/>
      <c r="H1" s="82"/>
      <c r="I1" s="83" t="str">
        <f>TEXT(E1,"aaaa")</f>
        <v>水曜日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169"/>
      <c r="H3" s="169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50"/>
      <c r="D53" s="151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10" priority="5" stopIfTrue="1">
      <formula>WEEKDAY($E$1)=7</formula>
    </cfRule>
    <cfRule type="expression" dxfId="9" priority="6" stopIfTrue="1">
      <formula>WEEKDAY($E$1)=1</formula>
    </cfRule>
  </conditionalFormatting>
  <conditionalFormatting sqref="I1:L1">
    <cfRule type="containsText" dxfId="7" priority="3" stopIfTrue="1" operator="containsText" text="日曜日">
      <formula>NOT(ISERROR(SEARCH("日曜日",I1)))</formula>
    </cfRule>
    <cfRule type="containsText" dxfId="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36:O37 M16:O19 M11:O14 C43:O50 M31:O34 D59 M21:O24 M26:O29 C39:O41 N6:O9 D51:D57 C51:C59" xr:uid="{545C2446-6929-4FB6-8CF9-7458E8C19FD4}"/>
    <dataValidation imeMode="on" allowBlank="1" showInputMessage="1" showErrorMessage="1" sqref="A66:I66 A60:F62 G51:O54 G56:O62" xr:uid="{E928F0CF-D1AE-4435-8A48-2EBF5CBD2A8B}"/>
    <dataValidation allowBlank="1" showInputMessage="1" sqref="C30:L30 C15:L15 C20:L20 C25:L25 C10:L10" xr:uid="{D89C69AC-25F7-4CE3-AEE7-97CAB16BD3AA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139C4663-68CF-45CD-8838-89DA88803DED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F1EFB6AE-7746-4F55-8E81-42EDB32D9AC2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29688EF4-F874-4071-A0A2-1F8A71FBFB2A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910C3C09-C161-484F-9E12-0E172141F0E2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1DDA4-7832-4964-AA0D-085FA0021E23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Q25" sqref="Q25"/>
      <selection pane="bottomLeft" activeCell="Q25" sqref="Q25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78" t="s">
        <v>59</v>
      </c>
      <c r="B1" s="79"/>
      <c r="C1" s="78" t="s">
        <v>68</v>
      </c>
      <c r="D1" s="80"/>
      <c r="E1" s="81">
        <v>45748</v>
      </c>
      <c r="F1" s="82"/>
      <c r="G1" s="82"/>
      <c r="H1" s="82"/>
      <c r="I1" s="83" t="str">
        <f>TEXT(E1,"aaaa")</f>
        <v>火曜日</v>
      </c>
      <c r="J1" s="83"/>
      <c r="K1" s="83"/>
      <c r="L1" s="83"/>
      <c r="M1" s="4"/>
      <c r="N1" s="55" t="s">
        <v>69</v>
      </c>
      <c r="O1" s="55" t="s">
        <v>5</v>
      </c>
    </row>
    <row r="2" spans="1:15" ht="12.75" customHeight="1" x14ac:dyDescent="0.15">
      <c r="A2" s="84"/>
      <c r="B2" s="85"/>
      <c r="C2" s="84"/>
      <c r="D2" s="90"/>
      <c r="E2" s="93"/>
      <c r="F2" s="94"/>
      <c r="G2" s="94"/>
      <c r="H2" s="94"/>
      <c r="I2" s="94"/>
      <c r="J2" s="94"/>
      <c r="K2" s="94"/>
      <c r="L2" s="95"/>
      <c r="M2" s="6"/>
      <c r="N2" s="7"/>
      <c r="O2" s="8"/>
    </row>
    <row r="3" spans="1:15" ht="12.75" customHeight="1" x14ac:dyDescent="0.15">
      <c r="A3" s="86"/>
      <c r="B3" s="87"/>
      <c r="C3" s="86"/>
      <c r="D3" s="91"/>
      <c r="E3" s="9"/>
      <c r="F3" s="54" t="s">
        <v>64</v>
      </c>
      <c r="G3" s="169"/>
      <c r="H3" s="169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88"/>
      <c r="B4" s="89"/>
      <c r="C4" s="88"/>
      <c r="D4" s="92"/>
      <c r="E4" s="12"/>
      <c r="F4" s="11"/>
      <c r="G4" s="11"/>
      <c r="H4" s="11"/>
      <c r="I4" s="89"/>
      <c r="J4" s="89"/>
      <c r="K4" s="89"/>
      <c r="L4" s="89"/>
      <c r="M4" s="9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01" t="s">
        <v>24</v>
      </c>
      <c r="D5" s="101"/>
      <c r="E5" s="101" t="s">
        <v>25</v>
      </c>
      <c r="F5" s="102"/>
      <c r="G5" s="101" t="s">
        <v>26</v>
      </c>
      <c r="H5" s="101"/>
      <c r="I5" s="101" t="s">
        <v>27</v>
      </c>
      <c r="J5" s="102"/>
      <c r="K5" s="101" t="s">
        <v>28</v>
      </c>
      <c r="L5" s="101"/>
      <c r="M5" s="16"/>
      <c r="N5" s="14" t="s">
        <v>0</v>
      </c>
      <c r="O5" s="17" t="s">
        <v>1</v>
      </c>
    </row>
    <row r="6" spans="1:15" ht="12.75" customHeight="1" x14ac:dyDescent="0.15">
      <c r="A6" s="96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96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96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97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98" t="s">
        <v>24</v>
      </c>
      <c r="D10" s="99"/>
      <c r="E10" s="98" t="s">
        <v>25</v>
      </c>
      <c r="F10" s="98"/>
      <c r="G10" s="100" t="s">
        <v>26</v>
      </c>
      <c r="H10" s="98"/>
      <c r="I10" s="98" t="s">
        <v>27</v>
      </c>
      <c r="J10" s="98"/>
      <c r="K10" s="98" t="s">
        <v>28</v>
      </c>
      <c r="L10" s="98"/>
      <c r="M10" s="16"/>
      <c r="N10" s="14" t="s">
        <v>10</v>
      </c>
      <c r="O10" s="17" t="s">
        <v>1</v>
      </c>
    </row>
    <row r="11" spans="1:15" ht="12.75" customHeight="1" x14ac:dyDescent="0.15">
      <c r="A11" s="96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96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96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97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01" t="s">
        <v>24</v>
      </c>
      <c r="D15" s="102"/>
      <c r="E15" s="101" t="s">
        <v>25</v>
      </c>
      <c r="F15" s="101"/>
      <c r="G15" s="103" t="s">
        <v>26</v>
      </c>
      <c r="H15" s="101"/>
      <c r="I15" s="101" t="s">
        <v>27</v>
      </c>
      <c r="J15" s="101"/>
      <c r="K15" s="101" t="s">
        <v>28</v>
      </c>
      <c r="L15" s="101"/>
      <c r="M15" s="16"/>
      <c r="N15" s="14" t="s">
        <v>10</v>
      </c>
      <c r="O15" s="17" t="s">
        <v>1</v>
      </c>
    </row>
    <row r="16" spans="1:15" ht="12.75" customHeight="1" x14ac:dyDescent="0.15">
      <c r="A16" s="96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96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96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97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01" t="s">
        <v>24</v>
      </c>
      <c r="D20" s="102"/>
      <c r="E20" s="101" t="s">
        <v>25</v>
      </c>
      <c r="F20" s="101"/>
      <c r="G20" s="103" t="s">
        <v>26</v>
      </c>
      <c r="H20" s="101"/>
      <c r="I20" s="101" t="s">
        <v>27</v>
      </c>
      <c r="J20" s="101"/>
      <c r="K20" s="101" t="s">
        <v>28</v>
      </c>
      <c r="L20" s="101"/>
      <c r="M20" s="16"/>
      <c r="N20" s="14" t="s">
        <v>10</v>
      </c>
      <c r="O20" s="17" t="s">
        <v>1</v>
      </c>
    </row>
    <row r="21" spans="1:15" ht="12.75" customHeight="1" x14ac:dyDescent="0.15">
      <c r="A21" s="96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96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96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0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01" t="s">
        <v>24</v>
      </c>
      <c r="D25" s="102"/>
      <c r="E25" s="101" t="s">
        <v>25</v>
      </c>
      <c r="F25" s="101"/>
      <c r="G25" s="103" t="s">
        <v>26</v>
      </c>
      <c r="H25" s="101"/>
      <c r="I25" s="101" t="s">
        <v>27</v>
      </c>
      <c r="J25" s="101"/>
      <c r="K25" s="101" t="s">
        <v>28</v>
      </c>
      <c r="L25" s="101"/>
      <c r="M25" s="16"/>
      <c r="N25" s="14" t="s">
        <v>10</v>
      </c>
      <c r="O25" s="17" t="s">
        <v>1</v>
      </c>
    </row>
    <row r="26" spans="1:15" ht="12.75" customHeight="1" x14ac:dyDescent="0.15">
      <c r="A26" s="96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96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96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97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01" t="s">
        <v>24</v>
      </c>
      <c r="D30" s="102"/>
      <c r="E30" s="101" t="s">
        <v>25</v>
      </c>
      <c r="F30" s="101"/>
      <c r="G30" s="103" t="s">
        <v>26</v>
      </c>
      <c r="H30" s="101"/>
      <c r="I30" s="101" t="s">
        <v>27</v>
      </c>
      <c r="J30" s="101"/>
      <c r="K30" s="101" t="s">
        <v>28</v>
      </c>
      <c r="L30" s="101"/>
      <c r="M30" s="16"/>
      <c r="N30" s="60" t="s">
        <v>10</v>
      </c>
      <c r="O30" s="17" t="s">
        <v>1</v>
      </c>
    </row>
    <row r="31" spans="1:15" ht="12.75" customHeight="1" x14ac:dyDescent="0.15">
      <c r="A31" s="96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96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96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97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08" t="s">
        <v>11</v>
      </c>
      <c r="B35" s="109"/>
      <c r="C35" s="101" t="s">
        <v>29</v>
      </c>
      <c r="D35" s="101"/>
      <c r="E35" s="101" t="s">
        <v>33</v>
      </c>
      <c r="F35" s="101"/>
      <c r="G35" s="101" t="s">
        <v>2</v>
      </c>
      <c r="H35" s="101"/>
      <c r="I35" s="101" t="s">
        <v>31</v>
      </c>
      <c r="J35" s="101"/>
      <c r="K35" s="101" t="s">
        <v>34</v>
      </c>
      <c r="L35" s="101"/>
      <c r="M35" s="16"/>
      <c r="N35" s="14" t="s">
        <v>10</v>
      </c>
      <c r="O35" s="17" t="s">
        <v>1</v>
      </c>
    </row>
    <row r="36" spans="1:19" ht="12.75" customHeight="1" x14ac:dyDescent="0.15">
      <c r="A36" s="105" t="s">
        <v>36</v>
      </c>
      <c r="B36" s="106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10" t="s">
        <v>37</v>
      </c>
      <c r="B37" s="111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43"/>
      <c r="N37" s="44" t="str">
        <f>IF(SUM(C37:L37)&gt;0,SUM(C37:L37),"")</f>
        <v/>
      </c>
      <c r="O37" s="45"/>
    </row>
    <row r="38" spans="1:19" ht="12.75" customHeight="1" x14ac:dyDescent="0.15">
      <c r="A38" s="108" t="s">
        <v>9</v>
      </c>
      <c r="B38" s="109"/>
      <c r="C38" s="101" t="s">
        <v>29</v>
      </c>
      <c r="D38" s="101"/>
      <c r="E38" s="101" t="s">
        <v>33</v>
      </c>
      <c r="F38" s="101"/>
      <c r="G38" s="101" t="s">
        <v>2</v>
      </c>
      <c r="H38" s="101"/>
      <c r="I38" s="101" t="s">
        <v>31</v>
      </c>
      <c r="J38" s="101"/>
      <c r="K38" s="101" t="s">
        <v>34</v>
      </c>
      <c r="L38" s="101"/>
      <c r="M38" s="16"/>
      <c r="N38" s="14" t="s">
        <v>0</v>
      </c>
      <c r="O38" s="17" t="s">
        <v>1</v>
      </c>
    </row>
    <row r="39" spans="1:19" ht="12.75" customHeight="1" x14ac:dyDescent="0.15">
      <c r="A39" s="105" t="s">
        <v>61</v>
      </c>
      <c r="B39" s="106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41"/>
      <c r="N39" s="65" t="str">
        <f>IF(SUM(C39:L39)&gt;0,SUM(C39:L39),"")</f>
        <v/>
      </c>
      <c r="O39" s="45"/>
    </row>
    <row r="40" spans="1:19" ht="12.75" customHeight="1" x14ac:dyDescent="0.15">
      <c r="A40" s="105" t="s">
        <v>52</v>
      </c>
      <c r="B40" s="106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05" t="s">
        <v>51</v>
      </c>
      <c r="B41" s="106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13" t="s">
        <v>54</v>
      </c>
      <c r="B42" s="114"/>
      <c r="C42" s="101" t="s">
        <v>29</v>
      </c>
      <c r="D42" s="101"/>
      <c r="E42" s="101" t="s">
        <v>33</v>
      </c>
      <c r="F42" s="101"/>
      <c r="G42" s="101" t="s">
        <v>2</v>
      </c>
      <c r="H42" s="101"/>
      <c r="I42" s="101" t="s">
        <v>31</v>
      </c>
      <c r="J42" s="101"/>
      <c r="K42" s="101" t="s">
        <v>34</v>
      </c>
      <c r="L42" s="115"/>
      <c r="M42" s="49"/>
      <c r="N42" s="14" t="s">
        <v>10</v>
      </c>
      <c r="O42" s="17" t="s">
        <v>1</v>
      </c>
    </row>
    <row r="43" spans="1:19" ht="12.75" customHeight="1" x14ac:dyDescent="0.15">
      <c r="A43" s="105" t="s">
        <v>35</v>
      </c>
      <c r="B43" s="106"/>
      <c r="C43" s="107"/>
      <c r="D43" s="107"/>
      <c r="E43" s="107"/>
      <c r="F43" s="107"/>
      <c r="G43" s="107"/>
      <c r="H43" s="107"/>
      <c r="I43" s="107"/>
      <c r="J43" s="107"/>
      <c r="K43" s="107"/>
      <c r="L43" s="118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16" t="s">
        <v>56</v>
      </c>
      <c r="B44" s="117"/>
      <c r="C44" s="107"/>
      <c r="D44" s="107"/>
      <c r="E44" s="107"/>
      <c r="F44" s="107"/>
      <c r="G44" s="107"/>
      <c r="H44" s="107"/>
      <c r="I44" s="107"/>
      <c r="J44" s="107"/>
      <c r="K44" s="107"/>
      <c r="L44" s="118"/>
      <c r="M44" s="50"/>
      <c r="N44" s="46"/>
      <c r="O44" s="42" t="str">
        <f t="shared" si="0"/>
        <v/>
      </c>
    </row>
    <row r="45" spans="1:19" ht="12.75" customHeight="1" x14ac:dyDescent="0.15">
      <c r="A45" s="105" t="s">
        <v>38</v>
      </c>
      <c r="B45" s="106"/>
      <c r="C45" s="107"/>
      <c r="D45" s="107"/>
      <c r="E45" s="107"/>
      <c r="F45" s="107"/>
      <c r="G45" s="107" t="s">
        <v>57</v>
      </c>
      <c r="H45" s="107"/>
      <c r="I45" s="107"/>
      <c r="J45" s="107"/>
      <c r="K45" s="107"/>
      <c r="L45" s="118"/>
      <c r="M45" s="50"/>
      <c r="N45" s="46"/>
      <c r="O45" s="42" t="str">
        <f t="shared" si="0"/>
        <v/>
      </c>
    </row>
    <row r="46" spans="1:19" ht="12.75" customHeight="1" x14ac:dyDescent="0.15">
      <c r="A46" s="105" t="s">
        <v>53</v>
      </c>
      <c r="B46" s="106"/>
      <c r="C46" s="107"/>
      <c r="D46" s="107"/>
      <c r="E46" s="107"/>
      <c r="F46" s="107"/>
      <c r="G46" s="107"/>
      <c r="H46" s="107"/>
      <c r="I46" s="107"/>
      <c r="J46" s="107"/>
      <c r="K46" s="107"/>
      <c r="L46" s="118"/>
      <c r="M46" s="50"/>
      <c r="N46" s="46"/>
      <c r="O46" s="42" t="str">
        <f t="shared" si="0"/>
        <v/>
      </c>
    </row>
    <row r="47" spans="1:19" ht="12.75" customHeight="1" x14ac:dyDescent="0.15">
      <c r="A47" s="105" t="s">
        <v>39</v>
      </c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18"/>
      <c r="M47" s="50"/>
      <c r="N47" s="46"/>
      <c r="O47" s="42" t="str">
        <f t="shared" si="0"/>
        <v/>
      </c>
    </row>
    <row r="48" spans="1:19" ht="12.75" customHeight="1" x14ac:dyDescent="0.15">
      <c r="A48" s="105" t="s">
        <v>55</v>
      </c>
      <c r="B48" s="106"/>
      <c r="C48" s="107"/>
      <c r="D48" s="107"/>
      <c r="E48" s="107"/>
      <c r="F48" s="107"/>
      <c r="G48" s="107"/>
      <c r="H48" s="107"/>
      <c r="I48" s="107"/>
      <c r="J48" s="107"/>
      <c r="K48" s="107"/>
      <c r="L48" s="118"/>
      <c r="M48" s="50"/>
      <c r="N48" s="46"/>
      <c r="O48" s="42" t="str">
        <f t="shared" si="0"/>
        <v/>
      </c>
    </row>
    <row r="49" spans="1:15" ht="12.75" customHeight="1" x14ac:dyDescent="0.15">
      <c r="A49" s="105" t="s">
        <v>12</v>
      </c>
      <c r="B49" s="106"/>
      <c r="C49" s="121"/>
      <c r="D49" s="121"/>
      <c r="E49" s="121"/>
      <c r="F49" s="121"/>
      <c r="G49" s="107"/>
      <c r="H49" s="107"/>
      <c r="I49" s="107"/>
      <c r="J49" s="107"/>
      <c r="K49" s="107"/>
      <c r="L49" s="118"/>
      <c r="M49" s="50"/>
      <c r="N49" s="46"/>
      <c r="O49" s="42" t="str">
        <f t="shared" si="0"/>
        <v/>
      </c>
    </row>
    <row r="50" spans="1:15" ht="12.75" customHeight="1" thickBot="1" x14ac:dyDescent="0.2">
      <c r="A50" s="110" t="s">
        <v>37</v>
      </c>
      <c r="B50" s="111"/>
      <c r="C50" s="112"/>
      <c r="D50" s="112"/>
      <c r="E50" s="112"/>
      <c r="F50" s="112"/>
      <c r="G50" s="119"/>
      <c r="H50" s="112"/>
      <c r="I50" s="112"/>
      <c r="J50" s="112"/>
      <c r="K50" s="112"/>
      <c r="L50" s="120"/>
      <c r="M50" s="51"/>
      <c r="N50" s="52" t="str">
        <f>IF(SUM(C50:L50)&gt;0,SUM(C50:L50),"")</f>
        <v/>
      </c>
      <c r="O50" s="48"/>
    </row>
    <row r="51" spans="1:15" ht="12.75" customHeight="1" x14ac:dyDescent="0.15">
      <c r="A51" s="122" t="s">
        <v>13</v>
      </c>
      <c r="B51" s="123"/>
      <c r="C51" s="135"/>
      <c r="D51" s="136"/>
      <c r="E51" s="137" t="s">
        <v>40</v>
      </c>
      <c r="F51" s="138"/>
      <c r="G51" s="139" t="s">
        <v>65</v>
      </c>
      <c r="H51" s="140"/>
      <c r="I51" s="140"/>
      <c r="J51" s="140"/>
      <c r="K51" s="140"/>
      <c r="L51" s="140"/>
      <c r="M51" s="140"/>
      <c r="N51" s="140"/>
      <c r="O51" s="141"/>
    </row>
    <row r="52" spans="1:15" ht="12.75" customHeight="1" x14ac:dyDescent="0.15">
      <c r="A52" s="131" t="s">
        <v>14</v>
      </c>
      <c r="B52" s="132"/>
      <c r="C52" s="142"/>
      <c r="D52" s="143"/>
      <c r="E52" s="126" t="s">
        <v>49</v>
      </c>
      <c r="F52" s="127"/>
      <c r="G52" s="128"/>
      <c r="H52" s="129"/>
      <c r="I52" s="129"/>
      <c r="J52" s="129"/>
      <c r="K52" s="129"/>
      <c r="L52" s="129"/>
      <c r="M52" s="129"/>
      <c r="N52" s="129"/>
      <c r="O52" s="130"/>
    </row>
    <row r="53" spans="1:15" ht="12.75" customHeight="1" x14ac:dyDescent="0.15">
      <c r="A53" s="122" t="s">
        <v>22</v>
      </c>
      <c r="B53" s="123"/>
      <c r="C53" s="124"/>
      <c r="D53" s="125"/>
      <c r="E53" s="126" t="s">
        <v>49</v>
      </c>
      <c r="F53" s="127"/>
      <c r="G53" s="128"/>
      <c r="H53" s="129"/>
      <c r="I53" s="129"/>
      <c r="J53" s="129"/>
      <c r="K53" s="129"/>
      <c r="L53" s="129"/>
      <c r="M53" s="129"/>
      <c r="N53" s="129"/>
      <c r="O53" s="130"/>
    </row>
    <row r="54" spans="1:15" ht="12.75" customHeight="1" x14ac:dyDescent="0.15">
      <c r="A54" s="131" t="s">
        <v>15</v>
      </c>
      <c r="B54" s="132"/>
      <c r="C54" s="133"/>
      <c r="D54" s="134"/>
      <c r="E54" s="126" t="s">
        <v>49</v>
      </c>
      <c r="F54" s="127"/>
      <c r="G54" s="128"/>
      <c r="H54" s="129"/>
      <c r="I54" s="129"/>
      <c r="J54" s="129"/>
      <c r="K54" s="129"/>
      <c r="L54" s="129"/>
      <c r="M54" s="129"/>
      <c r="N54" s="129"/>
      <c r="O54" s="130"/>
    </row>
    <row r="55" spans="1:15" ht="12.75" customHeight="1" thickBot="1" x14ac:dyDescent="0.2">
      <c r="A55" s="122" t="s">
        <v>19</v>
      </c>
      <c r="B55" s="123"/>
      <c r="C55" s="150"/>
      <c r="D55" s="151"/>
      <c r="E55" s="126" t="s">
        <v>43</v>
      </c>
      <c r="F55" s="127"/>
      <c r="G55" s="152"/>
      <c r="H55" s="153"/>
      <c r="I55" s="153"/>
      <c r="J55" s="153"/>
      <c r="K55" s="153"/>
      <c r="L55" s="153"/>
      <c r="M55" s="153"/>
      <c r="N55" s="153"/>
      <c r="O55" s="154"/>
    </row>
    <row r="56" spans="1:15" ht="12.75" customHeight="1" x14ac:dyDescent="0.15">
      <c r="A56" s="131" t="s">
        <v>21</v>
      </c>
      <c r="B56" s="132"/>
      <c r="C56" s="150"/>
      <c r="D56" s="151"/>
      <c r="E56" s="126" t="s">
        <v>41</v>
      </c>
      <c r="F56" s="127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122" t="s">
        <v>16</v>
      </c>
      <c r="B57" s="123"/>
      <c r="C57" s="144"/>
      <c r="D57" s="145"/>
      <c r="E57" s="126" t="s">
        <v>42</v>
      </c>
      <c r="F57" s="127"/>
      <c r="G57" s="146"/>
      <c r="H57" s="147"/>
      <c r="I57" s="147"/>
      <c r="J57" s="147"/>
      <c r="K57" s="147"/>
      <c r="L57" s="147"/>
      <c r="M57" s="147"/>
      <c r="N57" s="147"/>
      <c r="O57" s="148"/>
    </row>
    <row r="58" spans="1:15" ht="12.75" customHeight="1" x14ac:dyDescent="0.15">
      <c r="A58" s="131" t="s">
        <v>17</v>
      </c>
      <c r="B58" s="149"/>
      <c r="C58" s="150"/>
      <c r="D58" s="151"/>
      <c r="E58" s="53" t="s">
        <v>41</v>
      </c>
      <c r="F58" s="64"/>
      <c r="G58" s="128"/>
      <c r="H58" s="129"/>
      <c r="I58" s="129"/>
      <c r="J58" s="129"/>
      <c r="K58" s="129"/>
      <c r="L58" s="129"/>
      <c r="M58" s="129"/>
      <c r="N58" s="129"/>
      <c r="O58" s="130"/>
    </row>
    <row r="59" spans="1:15" ht="12.75" customHeight="1" thickBot="1" x14ac:dyDescent="0.2">
      <c r="A59" s="158" t="s">
        <v>18</v>
      </c>
      <c r="B59" s="159"/>
      <c r="C59" s="160"/>
      <c r="D59" s="119"/>
      <c r="E59" s="161" t="s">
        <v>41</v>
      </c>
      <c r="F59" s="162"/>
      <c r="G59" s="163"/>
      <c r="H59" s="164"/>
      <c r="I59" s="164"/>
      <c r="J59" s="164"/>
      <c r="K59" s="164"/>
      <c r="L59" s="164"/>
      <c r="M59" s="164"/>
      <c r="N59" s="164"/>
      <c r="O59" s="165"/>
    </row>
    <row r="60" spans="1:15" ht="12.75" customHeight="1" x14ac:dyDescent="0.15">
      <c r="A60" s="139" t="s">
        <v>20</v>
      </c>
      <c r="B60" s="140"/>
      <c r="C60" s="140"/>
      <c r="D60" s="140"/>
      <c r="E60" s="140"/>
      <c r="F60" s="140"/>
      <c r="G60" s="128" t="s">
        <v>32</v>
      </c>
      <c r="H60" s="129"/>
      <c r="I60" s="129"/>
      <c r="J60" s="129"/>
      <c r="K60" s="129"/>
      <c r="L60" s="129"/>
      <c r="M60" s="129"/>
      <c r="N60" s="129"/>
      <c r="O60" s="130"/>
    </row>
    <row r="61" spans="1:15" ht="12.75" customHeight="1" x14ac:dyDescent="0.15">
      <c r="A61" s="128"/>
      <c r="B61" s="129"/>
      <c r="C61" s="129"/>
      <c r="D61" s="129"/>
      <c r="E61" s="129"/>
      <c r="F61" s="129"/>
      <c r="G61" s="128"/>
      <c r="H61" s="129"/>
      <c r="I61" s="129"/>
      <c r="J61" s="129"/>
      <c r="K61" s="129"/>
      <c r="L61" s="129"/>
      <c r="M61" s="129"/>
      <c r="N61" s="129"/>
      <c r="O61" s="130"/>
    </row>
    <row r="62" spans="1:15" ht="12.75" customHeight="1" thickBot="1" x14ac:dyDescent="0.2">
      <c r="A62" s="155"/>
      <c r="B62" s="156"/>
      <c r="C62" s="156"/>
      <c r="D62" s="156"/>
      <c r="E62" s="156"/>
      <c r="F62" s="156"/>
      <c r="G62" s="155"/>
      <c r="H62" s="156"/>
      <c r="I62" s="156"/>
      <c r="J62" s="156"/>
      <c r="K62" s="156"/>
      <c r="L62" s="156"/>
      <c r="M62" s="156"/>
      <c r="N62" s="156"/>
      <c r="O62" s="157"/>
    </row>
    <row r="66" spans="1:9" x14ac:dyDescent="0.15">
      <c r="A66" s="129"/>
      <c r="B66" s="129"/>
      <c r="C66" s="129"/>
      <c r="D66" s="129"/>
      <c r="E66" s="129"/>
      <c r="F66" s="129"/>
      <c r="G66" s="129"/>
      <c r="H66" s="129"/>
      <c r="I66" s="12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C5:D5"/>
    <mergeCell ref="E5:F5"/>
    <mergeCell ref="G5:H5"/>
    <mergeCell ref="I5:J5"/>
    <mergeCell ref="K5:L5"/>
    <mergeCell ref="A6:A7"/>
    <mergeCell ref="A8:A9"/>
    <mergeCell ref="C10:D10"/>
    <mergeCell ref="E10:F10"/>
    <mergeCell ref="G10:H10"/>
    <mergeCell ref="I10:J10"/>
    <mergeCell ref="K10:L10"/>
    <mergeCell ref="A11:A12"/>
    <mergeCell ref="A13:A14"/>
    <mergeCell ref="C15:D15"/>
    <mergeCell ref="E15:F15"/>
    <mergeCell ref="G15:H15"/>
    <mergeCell ref="I15:J15"/>
    <mergeCell ref="K15:L15"/>
    <mergeCell ref="A16:A17"/>
    <mergeCell ref="A18:A19"/>
    <mergeCell ref="C20:D20"/>
    <mergeCell ref="E20:F20"/>
    <mergeCell ref="G20:H20"/>
    <mergeCell ref="I20:J20"/>
    <mergeCell ref="K20:L20"/>
    <mergeCell ref="A21:A22"/>
    <mergeCell ref="A23:A24"/>
    <mergeCell ref="C25:D25"/>
    <mergeCell ref="E25:F25"/>
    <mergeCell ref="G25:H25"/>
    <mergeCell ref="I25:J25"/>
    <mergeCell ref="K25:L25"/>
    <mergeCell ref="A26:A27"/>
    <mergeCell ref="A28:A29"/>
    <mergeCell ref="C30:D30"/>
    <mergeCell ref="E30:F30"/>
    <mergeCell ref="G30:H30"/>
    <mergeCell ref="I30:J30"/>
    <mergeCell ref="K30:L30"/>
    <mergeCell ref="A31:A32"/>
    <mergeCell ref="A33:A34"/>
    <mergeCell ref="A35:B35"/>
    <mergeCell ref="C35:D35"/>
    <mergeCell ref="E35:F35"/>
    <mergeCell ref="G35:H35"/>
    <mergeCell ref="I35:J35"/>
    <mergeCell ref="K35:L35"/>
    <mergeCell ref="A36:B36"/>
    <mergeCell ref="C36:D36"/>
    <mergeCell ref="E36:F36"/>
    <mergeCell ref="G36:H36"/>
    <mergeCell ref="I36:J36"/>
    <mergeCell ref="K36:L36"/>
    <mergeCell ref="A37:B37"/>
    <mergeCell ref="C37:D37"/>
    <mergeCell ref="E37:F37"/>
    <mergeCell ref="G37:H37"/>
    <mergeCell ref="I37:J37"/>
    <mergeCell ref="K37:L37"/>
    <mergeCell ref="A38:B38"/>
    <mergeCell ref="C38:D38"/>
    <mergeCell ref="E38:F38"/>
    <mergeCell ref="G38:H38"/>
    <mergeCell ref="I38:J38"/>
    <mergeCell ref="K38:L38"/>
    <mergeCell ref="A39:B39"/>
    <mergeCell ref="C39:D39"/>
    <mergeCell ref="E39:F39"/>
    <mergeCell ref="G39:H39"/>
    <mergeCell ref="I39:J39"/>
    <mergeCell ref="K39:L39"/>
    <mergeCell ref="A40:B40"/>
    <mergeCell ref="C40:D40"/>
    <mergeCell ref="E40:F40"/>
    <mergeCell ref="G40:H40"/>
    <mergeCell ref="I40:J40"/>
    <mergeCell ref="K40:L40"/>
    <mergeCell ref="A41:B41"/>
    <mergeCell ref="C41:D41"/>
    <mergeCell ref="E41:F41"/>
    <mergeCell ref="G41:H41"/>
    <mergeCell ref="I41:J41"/>
    <mergeCell ref="K41:L41"/>
    <mergeCell ref="A42:B42"/>
    <mergeCell ref="C42:D42"/>
    <mergeCell ref="E42:F42"/>
    <mergeCell ref="G42:H42"/>
    <mergeCell ref="I42:J42"/>
    <mergeCell ref="K42:L42"/>
    <mergeCell ref="A43:B43"/>
    <mergeCell ref="C43:D43"/>
    <mergeCell ref="E43:F43"/>
    <mergeCell ref="G43:H43"/>
    <mergeCell ref="I43:J43"/>
    <mergeCell ref="K43:L43"/>
    <mergeCell ref="A44:B44"/>
    <mergeCell ref="C44:D44"/>
    <mergeCell ref="E44:F44"/>
    <mergeCell ref="G44:H44"/>
    <mergeCell ref="I44:J44"/>
    <mergeCell ref="K44:L44"/>
    <mergeCell ref="A45:B45"/>
    <mergeCell ref="C45:D45"/>
    <mergeCell ref="E45:F45"/>
    <mergeCell ref="G45:H45"/>
    <mergeCell ref="I45:J45"/>
    <mergeCell ref="K45:L45"/>
    <mergeCell ref="A46:B46"/>
    <mergeCell ref="C46:D46"/>
    <mergeCell ref="E46:F46"/>
    <mergeCell ref="G46:H46"/>
    <mergeCell ref="I46:J46"/>
    <mergeCell ref="K46:L46"/>
    <mergeCell ref="A47:B47"/>
    <mergeCell ref="C47:D47"/>
    <mergeCell ref="E47:F47"/>
    <mergeCell ref="G47:H47"/>
    <mergeCell ref="I47:J47"/>
    <mergeCell ref="K47:L47"/>
    <mergeCell ref="A48:B48"/>
    <mergeCell ref="C48:D48"/>
    <mergeCell ref="E48:F48"/>
    <mergeCell ref="G48:H48"/>
    <mergeCell ref="I48:J48"/>
    <mergeCell ref="K48:L48"/>
    <mergeCell ref="A49:B49"/>
    <mergeCell ref="C49:D49"/>
    <mergeCell ref="E49:F49"/>
    <mergeCell ref="G49:H49"/>
    <mergeCell ref="I49:J49"/>
    <mergeCell ref="K49:L49"/>
    <mergeCell ref="A50:B50"/>
    <mergeCell ref="C50:D50"/>
    <mergeCell ref="E50:F50"/>
    <mergeCell ref="G50:H50"/>
    <mergeCell ref="I50:J50"/>
    <mergeCell ref="K50:L50"/>
    <mergeCell ref="A51:B51"/>
    <mergeCell ref="C51:D51"/>
    <mergeCell ref="E51:F51"/>
    <mergeCell ref="G51:O51"/>
    <mergeCell ref="A52:B52"/>
    <mergeCell ref="C52:D52"/>
    <mergeCell ref="E52:F52"/>
    <mergeCell ref="G52:O52"/>
    <mergeCell ref="A53:B53"/>
    <mergeCell ref="C53:D53"/>
    <mergeCell ref="E53:F53"/>
    <mergeCell ref="G53:O53"/>
    <mergeCell ref="A54:B54"/>
    <mergeCell ref="C54:D54"/>
    <mergeCell ref="E54:F54"/>
    <mergeCell ref="G54:O54"/>
    <mergeCell ref="A55:B55"/>
    <mergeCell ref="C55:D55"/>
    <mergeCell ref="E55:F55"/>
    <mergeCell ref="G55:O55"/>
    <mergeCell ref="A56:B56"/>
    <mergeCell ref="C56:D56"/>
    <mergeCell ref="E56:F56"/>
    <mergeCell ref="A57:B57"/>
    <mergeCell ref="C57:D57"/>
    <mergeCell ref="E57:F57"/>
    <mergeCell ref="G57:O57"/>
    <mergeCell ref="A58:B58"/>
    <mergeCell ref="C58:D58"/>
    <mergeCell ref="G58:O58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4" priority="11" stopIfTrue="1">
      <formula>WEEKDAY($E$1)=7</formula>
    </cfRule>
    <cfRule type="expression" dxfId="3" priority="12" stopIfTrue="1">
      <formula>WEEKDAY($E$1)=1</formula>
    </cfRule>
  </conditionalFormatting>
  <conditionalFormatting sqref="I1:L1">
    <cfRule type="containsText" dxfId="1" priority="8" stopIfTrue="1" operator="containsText" text="日曜日">
      <formula>NOT(ISERROR(SEARCH("日曜日",I1)))</formula>
    </cfRule>
    <cfRule type="containsText" dxfId="0" priority="9" stopIfTrue="1" operator="containsText" text="土曜日">
      <formula>NOT(ISERROR(SEARCH("土曜日",I1)))</formula>
    </cfRule>
  </conditionalFormatting>
  <dataValidations disablePrompts="1"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120220D-AF1A-49AA-AB89-66A47B8E59F0}"/>
    <dataValidation allowBlank="1" showInputMessage="1" sqref="C30:L30 C15:L15 C20:L20 C25:L25 C10:L10" xr:uid="{7B387B21-8F83-4133-AFF6-2CF2A9EA5C7C}"/>
    <dataValidation imeMode="on" allowBlank="1" showInputMessage="1" showErrorMessage="1" sqref="A66:I66 A60:F62 G51:O54 G56:O62" xr:uid="{301F7673-0218-4003-A89A-454EA8B433AE}"/>
    <dataValidation imeMode="disabled" allowBlank="1" showInputMessage="1" showErrorMessage="1" sqref="C51:C59 C36:O37 M16:O19 M11:O14 C43:O50 M31:O34 D59 M21:O24 M26:O29 D51:D57 N6:O9 C39:O41" xr:uid="{95AC589D-3598-4C89-AC28-29DE5EB258C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DD65D08D-D84C-4094-9B64-42BC3B0AE8F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C680F702-9C65-4DAB-9AE1-96667D69A308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44A5FB0C-FEEA-49AD-BAD6-3132F35EA3F4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5B90F-A3CF-4C47-832C-36A3FEAE3940}">
  <dimension ref="A1:C19"/>
  <sheetViews>
    <sheetView workbookViewId="0">
      <selection activeCell="Q25" sqref="Q25"/>
    </sheetView>
  </sheetViews>
  <sheetFormatPr defaultRowHeight="13.5" x14ac:dyDescent="0.15"/>
  <cols>
    <col min="1" max="1" width="13" style="77" customWidth="1"/>
    <col min="2" max="2" width="16.375" style="75" customWidth="1"/>
    <col min="3" max="3" width="15.625" style="72" customWidth="1"/>
    <col min="4" max="16384" width="9" style="71"/>
  </cols>
  <sheetData>
    <row r="1" spans="1:3" x14ac:dyDescent="0.15">
      <c r="A1" s="76">
        <v>46141</v>
      </c>
      <c r="B1" s="74" t="s">
        <v>76</v>
      </c>
      <c r="C1" s="70">
        <v>2026</v>
      </c>
    </row>
    <row r="2" spans="1:3" x14ac:dyDescent="0.15">
      <c r="A2" s="76">
        <v>46145</v>
      </c>
      <c r="B2" s="74" t="s">
        <v>77</v>
      </c>
      <c r="C2" s="70"/>
    </row>
    <row r="3" spans="1:3" x14ac:dyDescent="0.15">
      <c r="A3" s="76">
        <v>46146</v>
      </c>
      <c r="B3" s="74" t="s">
        <v>78</v>
      </c>
      <c r="C3" s="70"/>
    </row>
    <row r="4" spans="1:3" x14ac:dyDescent="0.15">
      <c r="A4" s="76">
        <v>46147</v>
      </c>
      <c r="B4" s="74" t="s">
        <v>79</v>
      </c>
      <c r="C4" s="70"/>
    </row>
    <row r="5" spans="1:3" x14ac:dyDescent="0.15">
      <c r="A5" s="76">
        <v>46148</v>
      </c>
      <c r="B5" s="74" t="s">
        <v>74</v>
      </c>
      <c r="C5" s="70"/>
    </row>
    <row r="6" spans="1:3" x14ac:dyDescent="0.15">
      <c r="A6" s="76">
        <v>46223</v>
      </c>
      <c r="B6" s="74" t="s">
        <v>80</v>
      </c>
      <c r="C6" s="70"/>
    </row>
    <row r="7" spans="1:3" x14ac:dyDescent="0.15">
      <c r="A7" s="76">
        <v>46245</v>
      </c>
      <c r="B7" s="74" t="s">
        <v>81</v>
      </c>
      <c r="C7" s="70"/>
    </row>
    <row r="8" spans="1:3" x14ac:dyDescent="0.15">
      <c r="A8" s="76">
        <v>46286</v>
      </c>
      <c r="B8" s="74" t="s">
        <v>82</v>
      </c>
      <c r="C8" s="70"/>
    </row>
    <row r="9" spans="1:3" x14ac:dyDescent="0.15">
      <c r="A9" s="76">
        <v>46287</v>
      </c>
      <c r="B9" s="74" t="s">
        <v>87</v>
      </c>
      <c r="C9" s="70"/>
    </row>
    <row r="10" spans="1:3" x14ac:dyDescent="0.15">
      <c r="A10" s="76">
        <v>46288</v>
      </c>
      <c r="B10" s="74" t="s">
        <v>83</v>
      </c>
      <c r="C10" s="70"/>
    </row>
    <row r="11" spans="1:3" x14ac:dyDescent="0.15">
      <c r="A11" s="76">
        <v>46307</v>
      </c>
      <c r="B11" s="74" t="s">
        <v>84</v>
      </c>
      <c r="C11" s="70"/>
    </row>
    <row r="12" spans="1:3" x14ac:dyDescent="0.15">
      <c r="A12" s="76">
        <v>46329</v>
      </c>
      <c r="B12" s="74" t="s">
        <v>85</v>
      </c>
      <c r="C12" s="70"/>
    </row>
    <row r="13" spans="1:3" x14ac:dyDescent="0.15">
      <c r="A13" s="76">
        <v>46349</v>
      </c>
      <c r="B13" s="74" t="s">
        <v>86</v>
      </c>
      <c r="C13" s="70"/>
    </row>
    <row r="14" spans="1:3" x14ac:dyDescent="0.15">
      <c r="A14" s="76">
        <v>46388</v>
      </c>
      <c r="B14" s="74" t="s">
        <v>70</v>
      </c>
      <c r="C14" s="70"/>
    </row>
    <row r="15" spans="1:3" x14ac:dyDescent="0.15">
      <c r="A15" s="76">
        <v>46398</v>
      </c>
      <c r="B15" s="74" t="s">
        <v>71</v>
      </c>
      <c r="C15" s="70"/>
    </row>
    <row r="16" spans="1:3" x14ac:dyDescent="0.15">
      <c r="A16" s="76">
        <v>46429</v>
      </c>
      <c r="B16" s="74" t="s">
        <v>72</v>
      </c>
      <c r="C16" s="70"/>
    </row>
    <row r="17" spans="1:3" x14ac:dyDescent="0.15">
      <c r="A17" s="76">
        <v>46441</v>
      </c>
      <c r="B17" s="74" t="s">
        <v>73</v>
      </c>
      <c r="C17" s="70"/>
    </row>
    <row r="18" spans="1:3" x14ac:dyDescent="0.15">
      <c r="A18" s="76">
        <v>46467</v>
      </c>
      <c r="B18" s="74" t="s">
        <v>75</v>
      </c>
      <c r="C18" s="70"/>
    </row>
    <row r="19" spans="1:3" x14ac:dyDescent="0.15">
      <c r="A19" s="76">
        <v>46468</v>
      </c>
      <c r="B19" s="74" t="s">
        <v>74</v>
      </c>
      <c r="C19" s="70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35</vt:i4>
      </vt:variant>
      <vt:variant>
        <vt:lpstr>名前付き一覧</vt:lpstr>
      </vt:variant>
      <vt:variant>
        <vt:i4>32</vt:i4>
      </vt:variant>
    </vt:vector>
  </HeadingPairs>
  <TitlesOfParts>
    <vt:vector size="67" baseType="lpstr">
      <vt:lpstr>祝日リスト (2)</vt:lpstr>
      <vt:lpstr>表紙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様式</vt:lpstr>
      <vt:lpstr>祝日リスト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様式!Print_Area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利尻郡清掃組合</dc:creator>
  <cp:lastModifiedBy>焼却場</cp:lastModifiedBy>
  <cp:lastPrinted>2026-04-02T22:30:41Z</cp:lastPrinted>
  <dcterms:created xsi:type="dcterms:W3CDTF">2006-10-04T10:30:20Z</dcterms:created>
  <dcterms:modified xsi:type="dcterms:W3CDTF">2026-04-03T06:58:25Z</dcterms:modified>
</cp:coreProperties>
</file>