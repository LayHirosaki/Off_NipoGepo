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okyaku\Documents\業務日誌（永年保存年度別）\令和8年度\"/>
    </mc:Choice>
  </mc:AlternateContent>
  <xr:revisionPtr revIDLastSave="0" documentId="13_ncr:1_{FDCD0708-48D4-48E3-9000-4015FACBE553}" xr6:coauthVersionLast="47" xr6:coauthVersionMax="47" xr10:uidLastSave="{00000000-0000-0000-0000-000000000000}"/>
  <bookViews>
    <workbookView xWindow="-120" yWindow="-120" windowWidth="29040" windowHeight="15720" tabRatio="870" firstSheet="1" activeTab="18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様式" sheetId="31" r:id="rId33"/>
    <sheet name="祝日リスト" sheetId="95" r:id="rId34"/>
  </sheets>
  <externalReferences>
    <externalReference r:id="rId35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_xlnm.Print_Area" localSheetId="32">様式!$A$1:$O$62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73" l="1"/>
  <c r="E1" i="72"/>
  <c r="E1" i="71"/>
  <c r="A1" i="95"/>
  <c r="B1" i="95"/>
  <c r="C1" i="95"/>
  <c r="E1" i="94" s="1"/>
  <c r="A2" i="95"/>
  <c r="B2" i="95"/>
  <c r="C2" i="95"/>
  <c r="A3" i="95"/>
  <c r="B3" i="95"/>
  <c r="C3" i="95"/>
  <c r="A4" i="95"/>
  <c r="B4" i="95"/>
  <c r="C4" i="95"/>
  <c r="A5" i="95"/>
  <c r="B5" i="95"/>
  <c r="C5" i="95"/>
  <c r="A6" i="95"/>
  <c r="B6" i="95"/>
  <c r="C6" i="95"/>
  <c r="A7" i="95"/>
  <c r="B7" i="95"/>
  <c r="C7" i="95"/>
  <c r="A8" i="95"/>
  <c r="B8" i="95"/>
  <c r="C8" i="95"/>
  <c r="A9" i="95"/>
  <c r="B9" i="95"/>
  <c r="C9" i="95"/>
  <c r="A10" i="95"/>
  <c r="B10" i="95"/>
  <c r="C10" i="95"/>
  <c r="A11" i="95"/>
  <c r="B11" i="95"/>
  <c r="C11" i="95"/>
  <c r="A12" i="95"/>
  <c r="B12" i="95"/>
  <c r="C12" i="95"/>
  <c r="A13" i="95"/>
  <c r="B13" i="95"/>
  <c r="C13" i="95"/>
  <c r="A14" i="95"/>
  <c r="B14" i="95"/>
  <c r="C14" i="95"/>
  <c r="A15" i="95"/>
  <c r="B15" i="95"/>
  <c r="C15" i="95"/>
  <c r="A16" i="95"/>
  <c r="B16" i="95"/>
  <c r="C16" i="95"/>
  <c r="A17" i="95"/>
  <c r="B17" i="95"/>
  <c r="C17" i="95"/>
  <c r="A18" i="95"/>
  <c r="B18" i="95"/>
  <c r="C18" i="95"/>
  <c r="A19" i="95"/>
  <c r="B19" i="95"/>
  <c r="C19" i="95"/>
  <c r="A20" i="95"/>
  <c r="B20" i="95"/>
  <c r="C20" i="95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E1" i="84" l="1"/>
  <c r="E1" i="83"/>
  <c r="E1" i="74"/>
  <c r="E1" i="86"/>
  <c r="E1" i="85"/>
  <c r="E1" i="75"/>
  <c r="E1" i="87"/>
  <c r="E1" i="63"/>
  <c r="E1" i="76"/>
  <c r="E1" i="88"/>
  <c r="E1" i="65"/>
  <c r="E1" i="77"/>
  <c r="I1" i="77" s="1"/>
  <c r="E1" i="89"/>
  <c r="E1" i="66"/>
  <c r="E1" i="78"/>
  <c r="E1" i="90"/>
  <c r="I1" i="90" s="1"/>
  <c r="E1" i="67"/>
  <c r="E1" i="79"/>
  <c r="E1" i="91"/>
  <c r="E1" i="68"/>
  <c r="E1" i="80"/>
  <c r="E1" i="92"/>
  <c r="E1" i="69"/>
  <c r="E1" i="81"/>
  <c r="I1" i="81" s="1"/>
  <c r="E1" i="93"/>
  <c r="I1" i="93" s="1"/>
  <c r="E1" i="70"/>
  <c r="E1" i="82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I1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I1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I1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I1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I1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I1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I1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I1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I1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I1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I1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I1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I1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I1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I1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I1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I1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I1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I1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I1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I1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I1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I1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I1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I1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I1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I1" i="63"/>
  <c r="N50" i="31"/>
  <c r="O49" i="31"/>
  <c r="O48" i="31"/>
  <c r="O47" i="31"/>
  <c r="O46" i="31"/>
  <c r="O45" i="31"/>
  <c r="O44" i="31"/>
  <c r="O43" i="31"/>
  <c r="N41" i="31"/>
  <c r="N40" i="31"/>
  <c r="N39" i="31"/>
  <c r="N37" i="31"/>
  <c r="O36" i="31"/>
  <c r="N34" i="31"/>
  <c r="N33" i="31"/>
  <c r="N32" i="31"/>
  <c r="N31" i="31"/>
  <c r="O29" i="31"/>
  <c r="O28" i="31"/>
  <c r="O27" i="31"/>
  <c r="O26" i="31"/>
  <c r="N24" i="31"/>
  <c r="N23" i="31"/>
  <c r="N22" i="31"/>
  <c r="N21" i="31"/>
  <c r="N19" i="31"/>
  <c r="N18" i="31"/>
  <c r="N17" i="31"/>
  <c r="N16" i="31"/>
  <c r="O14" i="31"/>
  <c r="O13" i="31"/>
  <c r="O12" i="31"/>
  <c r="O11" i="31"/>
  <c r="N9" i="31"/>
  <c r="N8" i="31"/>
  <c r="N7" i="31"/>
  <c r="N6" i="31"/>
  <c r="I1" i="31"/>
</calcChain>
</file>

<file path=xl/sharedStrings.xml><?xml version="1.0" encoding="utf-8"?>
<sst xmlns="http://schemas.openxmlformats.org/spreadsheetml/2006/main" count="5061" uniqueCount="70">
  <si>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</si>
  <si>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</si>
  <si>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</si>
  <si>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</si>
  <si>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</si>
  <si>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</si>
  <si>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</si>
  <si>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</si>
  <si>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</si>
  <si>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</si>
  <si>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</si>
  <si>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</si>
  <si>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</si>
  <si>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</si>
  <si>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</si>
  <si>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</si>
  <si>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</si>
  <si>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</si>
  <si>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</si>
  <si>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</si>
  <si>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</si>
  <si>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</si>
  <si>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</si>
  <si>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</si>
  <si>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</si>
  <si>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</si>
  <si>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</si>
  <si>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</si>
  <si>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</si>
  <si>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</si>
  <si>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</si>
  <si>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</si>
  <si>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</si>
  <si>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</si>
  <si>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</si>
  <si>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</si>
  <si>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</si>
  <si>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</si>
  <si>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</si>
  <si>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</si>
  <si>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</si>
  <si>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</si>
  <si>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</si>
  <si>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</si>
  <si>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</si>
  <si>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</si>
  <si>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</si>
  <si>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</si>
  <si>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</si>
  <si>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</si>
  <si>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</si>
  <si>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</si>
  <si>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</si>
  <si>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</si>
  <si>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</si>
  <si>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</si>
  <si>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</si>
  <si>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</si>
  <si>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</si>
  <si>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</si>
  <si>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</si>
  <si>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</si>
  <si>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</si>
  <si>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</si>
  <si>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</si>
  <si>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</si>
  <si>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令和 3 年度</t>
    <rPh sb="0" eb="1">
      <t>レイ</t>
    </rPh>
    <rPh sb="1" eb="2">
      <t>ワ</t>
    </rPh>
    <rPh sb="5" eb="6">
      <t>ネン</t>
    </rPh>
    <rPh sb="6" eb="7">
      <t>ド</t>
    </rPh>
    <phoneticPr fontId="1"/>
  </si>
  <si>
    <t>6 月分</t>
    <rPh sb="2" eb="3">
      <t>ガツ</t>
    </rPh>
    <rPh sb="3" eb="4">
      <t>ブン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</si>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</sst>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0_ ;[Red]\-0\ "/>
    <numFmt numFmtId="178" formatCode="#,##0.0_ "/>
    <numFmt numFmtId="179" formatCode="#,##0.000_ "/>
    <numFmt numFmtId="180" formatCode="[h]:mm&quot; &quot;"/>
    <numFmt numFmtId="181" formatCode="[$]ggge&quot;年&quot;m&quot;月&quot;d&quot;日&quot;;@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70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3" fillId="0" borderId="0" xfId="1" applyFont="1" applyAlignment="1">
      <alignment horizontal="center"/>
    </xf>
    <xf numFmtId="0" fontId="13" fillId="0" borderId="0" xfId="1" applyFont="1" applyAlignment="1">
      <alignment horizontal="left"/>
    </xf>
    <xf numFmtId="0" fontId="11" fillId="0" borderId="0" xfId="0" applyFont="1"/>
    <xf numFmtId="1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5" fillId="0" borderId="5" xfId="0" applyNumberFormat="1" applyFont="1" applyBorder="1" applyAlignment="1">
      <alignment vertical="center"/>
    </xf>
    <xf numFmtId="14" fontId="13" fillId="0" borderId="0" xfId="1" applyNumberFormat="1" applyFont="1" applyAlignment="1">
      <alignment horizontal="right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80" fontId="5" fillId="0" borderId="31" xfId="0" applyNumberFormat="1" applyFont="1" applyBorder="1" applyAlignment="1">
      <alignment horizontal="right" vertical="center"/>
    </xf>
    <xf numFmtId="180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shrinkToFit="1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20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1" fontId="7" fillId="0" borderId="47" xfId="0" applyNumberFormat="1" applyFont="1" applyBorder="1" applyAlignment="1">
      <alignment horizontal="right" vertical="center"/>
    </xf>
    <xf numFmtId="181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標準" xfId="0" builtinId="0"/>
    <cellStyle name="標準 2" xfId="1" xr:uid="{50F53C47-DBD2-4504-9830-D45CD7119AE4}"/>
  </cellStyles>
  <dxfs count="192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\Desktop\&#26989;&#21209;&#26085;&#35468;&#65288;&#27704;&#24180;&#20445;&#23384;&#24180;&#24230;&#21029;&#65289;\(&#26528;)&#20196;&#21644;&#9675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祝日リスト (2)"/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様式"/>
      <sheetName val="祝日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1">
          <cell r="A1">
            <v>46141</v>
          </cell>
          <cell r="B1" t="str">
            <v>昭和の日</v>
          </cell>
          <cell r="C1">
            <v>2026</v>
          </cell>
        </row>
        <row r="2">
          <cell r="A2">
            <v>46145</v>
          </cell>
          <cell r="B2" t="str">
            <v>憲法記念日</v>
          </cell>
          <cell r="C2"/>
        </row>
        <row r="3">
          <cell r="A3">
            <v>46146</v>
          </cell>
          <cell r="B3" t="str">
            <v>みどりの日</v>
          </cell>
          <cell r="C3"/>
        </row>
        <row r="4">
          <cell r="A4">
            <v>46147</v>
          </cell>
          <cell r="B4" t="str">
            <v>こどもの日</v>
          </cell>
          <cell r="C4"/>
        </row>
        <row r="5">
          <cell r="A5">
            <v>46148</v>
          </cell>
          <cell r="B5" t="str">
            <v>振替休日</v>
          </cell>
          <cell r="C5"/>
        </row>
        <row r="6">
          <cell r="A6">
            <v>46223</v>
          </cell>
          <cell r="B6" t="str">
            <v>海の日</v>
          </cell>
          <cell r="C6"/>
        </row>
        <row r="7">
          <cell r="A7">
            <v>46245</v>
          </cell>
          <cell r="B7" t="str">
            <v>山の日</v>
          </cell>
          <cell r="C7"/>
        </row>
        <row r="8">
          <cell r="A8">
            <v>46286</v>
          </cell>
          <cell r="B8" t="str">
            <v>敬老の日</v>
          </cell>
          <cell r="C8"/>
        </row>
        <row r="9">
          <cell r="A9">
            <v>46287</v>
          </cell>
          <cell r="B9" t="str">
            <v>国民の休日</v>
          </cell>
          <cell r="C9"/>
        </row>
        <row r="10">
          <cell r="A10">
            <v>46288</v>
          </cell>
          <cell r="B10" t="str">
            <v>秋分の日</v>
          </cell>
          <cell r="C10"/>
        </row>
        <row r="11">
          <cell r="A11">
            <v>46307</v>
          </cell>
          <cell r="B11" t="str">
            <v>スポーツの日</v>
          </cell>
          <cell r="C11"/>
        </row>
        <row r="12">
          <cell r="A12">
            <v>46329</v>
          </cell>
          <cell r="B12" t="str">
            <v>文化の日</v>
          </cell>
          <cell r="C12"/>
        </row>
        <row r="13">
          <cell r="A13">
            <v>46349</v>
          </cell>
          <cell r="B13" t="str">
            <v>勤労感謝の日</v>
          </cell>
          <cell r="C13"/>
        </row>
        <row r="14">
          <cell r="A14">
            <v>46388</v>
          </cell>
          <cell r="B14" t="str">
            <v>元日</v>
          </cell>
          <cell r="C14"/>
        </row>
        <row r="15">
          <cell r="A15">
            <v>46398</v>
          </cell>
          <cell r="B15" t="str">
            <v>成人の日</v>
          </cell>
          <cell r="C15"/>
        </row>
        <row r="16">
          <cell r="A16">
            <v>46429</v>
          </cell>
          <cell r="B16" t="str">
            <v>建国記念の日</v>
          </cell>
          <cell r="C16"/>
        </row>
        <row r="17">
          <cell r="A17">
            <v>46441</v>
          </cell>
          <cell r="B17" t="str">
            <v>天皇誕生日</v>
          </cell>
          <cell r="C17"/>
        </row>
        <row r="18">
          <cell r="A18">
            <v>46467</v>
          </cell>
          <cell r="B18" t="str">
            <v>春分の日</v>
          </cell>
          <cell r="C18"/>
        </row>
        <row r="19">
          <cell r="A19">
            <v>46468</v>
          </cell>
          <cell r="B19" t="str">
            <v>振替休日</v>
          </cell>
          <cell r="C19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F6" sqref="F6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167" t="s">
        <v>66</v>
      </c>
      <c r="B1" s="167"/>
      <c r="C1" s="167"/>
    </row>
    <row r="2" spans="1:6" ht="75.75" customHeight="1" x14ac:dyDescent="0.4">
      <c r="A2" s="2"/>
      <c r="B2" s="2"/>
      <c r="C2" s="2"/>
    </row>
    <row r="3" spans="1:6" ht="65.25" customHeight="1" x14ac:dyDescent="0.4">
      <c r="A3" s="167" t="s">
        <v>67</v>
      </c>
      <c r="B3" s="167"/>
      <c r="C3" s="167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168" t="s">
        <v>44</v>
      </c>
      <c r="B5" s="168"/>
      <c r="C5" s="168"/>
    </row>
    <row r="6" spans="1:6" ht="169.5" customHeight="1" x14ac:dyDescent="0.4">
      <c r="A6" s="3"/>
      <c r="B6" s="3"/>
      <c r="C6" s="3"/>
    </row>
    <row r="7" spans="1:6" ht="54" customHeight="1" x14ac:dyDescent="0.4">
      <c r="A7" s="169" t="s">
        <v>45</v>
      </c>
      <c r="B7" s="169"/>
      <c r="C7" s="169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S66"/>
  <sheetViews>
    <sheetView zoomScale="115" zoomScaleNormal="115" workbookViewId="0">
      <pane ySplit="4" topLeftCell="A32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DATE(祝日リスト!C1+1,3,1)</f>
        <v>46447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90" priority="5" stopIfTrue="1">
      <formula>WEEKDAY($E$1)=7</formula>
    </cfRule>
    <cfRule type="expression" dxfId="189" priority="6" stopIfTrue="1">
      <formula>WEEKDAY($E$1)=1</formula>
    </cfRule>
  </conditionalFormatting>
  <conditionalFormatting sqref="I1:L1">
    <cfRule type="containsText" dxfId="187" priority="3" stopIfTrue="1" operator="containsText" text="日曜日">
      <formula>NOT(ISERROR(SEARCH("日曜日",I1)))</formula>
    </cfRule>
    <cfRule type="containsText" dxfId="18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DATE(祝日リスト!C1+1,3,2)</f>
        <v>46448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DATE(祝日リスト!C1+1,3,3)</f>
        <v>46449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DATE(祝日リスト!C1+1,3,4)</f>
        <v>46450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DATE(祝日リスト!C1+1,3,5)</f>
        <v>46451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DATE(祝日リスト!C1+1,3,6)</f>
        <v>46452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DATE(祝日リスト!C1+1,3,7)</f>
        <v>46453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DATE(祝日リスト!C1+1,3,8)</f>
        <v>46454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DATE(祝日リスト!C1+1,3,9)</f>
        <v>46455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DATE(祝日リスト!C1+1,3,10)</f>
        <v>46456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DATE(祝日リスト!C1+1,3,11)</f>
        <v>46457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DATE(祝日リスト!C1+1,3,12)</f>
        <v>46458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DATE(祝日リスト!C1+1,3,13)</f>
        <v>46459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DATE(祝日リスト!C1+1,3,14)</f>
        <v>46460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DATE(祝日リスト!C1+1,3,15)</f>
        <v>46461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DATE(祝日リスト!C1+1,3,16)</f>
        <v>46462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DATE(祝日リスト!C1+1,3,17)</f>
        <v>46463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S66"/>
  <sheetViews>
    <sheetView tabSelected="1" zoomScale="115" zoomScaleNormal="115" workbookViewId="0">
      <pane ySplit="4" topLeftCell="A5" activePane="bottomLeft" state="frozen"/>
      <selection activeCell="C53" sqref="C53:D53"/>
      <selection pane="bottomLeft" activeCell="S29" sqref="S2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DATE(祝日リスト!C1+1,3,18)</f>
        <v>46464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DATE(祝日リスト!C1+1,3,19)</f>
        <v>46465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DATE(祝日リスト!C1+1,3,20)</f>
        <v>46466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DATE(祝日リスト!C1+1,3,21)</f>
        <v>46467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DATE(祝日リスト!C1+1,3,22)</f>
        <v>46468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DATE(祝日リスト!C1+1,3,23)</f>
        <v>46469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76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DATE(祝日リスト!C1+1,3,24)</f>
        <v>46470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DATE(祝日リスト!C1+1,3,25)</f>
        <v>46471</v>
      </c>
      <c r="F1" s="152"/>
      <c r="G1" s="152"/>
      <c r="H1" s="152"/>
      <c r="I1" s="153" t="str">
        <f>TEXT(E1,"aaaa")</f>
        <v>木曜日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DATE(祝日リスト!C1+1,3,26)</f>
        <v>46472</v>
      </c>
      <c r="F1" s="152"/>
      <c r="G1" s="152"/>
      <c r="H1" s="152"/>
      <c r="I1" s="153" t="str">
        <f>TEXT(E1,"aaaa")</f>
        <v>金曜日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0070C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DATE(祝日リスト!C1+1,3,27)</f>
        <v>46473</v>
      </c>
      <c r="F1" s="152"/>
      <c r="G1" s="152"/>
      <c r="H1" s="152"/>
      <c r="I1" s="153" t="str">
        <f>TEXT(E1,"aaaa")</f>
        <v>土曜日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0000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DATE(祝日リスト!C1+1,3,28)</f>
        <v>46474</v>
      </c>
      <c r="F1" s="152"/>
      <c r="G1" s="152"/>
      <c r="H1" s="152"/>
      <c r="I1" s="153" t="str">
        <f>TEXT(E1,"aaaa")</f>
        <v>日曜日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DATE(祝日リスト!C1+1,3,29)</f>
        <v>46475</v>
      </c>
      <c r="F1" s="152"/>
      <c r="G1" s="152"/>
      <c r="H1" s="152"/>
      <c r="I1" s="153" t="str">
        <f>TEXT(E1,"aaaa")</f>
        <v>月曜日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DATE(祝日リスト!C1+1,3,30)</f>
        <v>46476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S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f>DATE(祝日リスト!C1+1,3,31)</f>
        <v>46477</v>
      </c>
      <c r="F1" s="152"/>
      <c r="G1" s="152"/>
      <c r="H1" s="152"/>
      <c r="I1" s="153" t="str">
        <f>TEXT(E1,"aaaa")</f>
        <v>水曜日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06"/>
      <c r="D53" s="107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DDA4-7832-4964-AA0D-085FA0021E23}">
  <sheetPr>
    <tabColor rgb="FFFFFF99"/>
  </sheetPr>
  <dimension ref="A1:S66"/>
  <sheetViews>
    <sheetView zoomScale="115" zoomScaleNormal="115" workbookViewId="0">
      <pane ySplit="4" topLeftCell="A5" activePane="bottomLeft" state="frozen"/>
      <selection pane="bottomLeft" activeCell="T19" sqref="T19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48" t="s">
        <v>59</v>
      </c>
      <c r="B1" s="149"/>
      <c r="C1" s="148" t="s">
        <v>68</v>
      </c>
      <c r="D1" s="150"/>
      <c r="E1" s="151">
        <v>45748</v>
      </c>
      <c r="F1" s="152"/>
      <c r="G1" s="152"/>
      <c r="H1" s="152"/>
      <c r="I1" s="153" t="str">
        <f>TEXT(E1,"aaaa")</f>
        <v>火曜日</v>
      </c>
      <c r="J1" s="153"/>
      <c r="K1" s="153"/>
      <c r="L1" s="153"/>
      <c r="M1" s="4"/>
      <c r="N1" s="55" t="s">
        <v>69</v>
      </c>
      <c r="O1" s="55" t="s">
        <v>5</v>
      </c>
    </row>
    <row r="2" spans="1:15" ht="12.75" customHeight="1" x14ac:dyDescent="0.15">
      <c r="A2" s="154"/>
      <c r="B2" s="155"/>
      <c r="C2" s="154"/>
      <c r="D2" s="160"/>
      <c r="E2" s="163"/>
      <c r="F2" s="164"/>
      <c r="G2" s="164"/>
      <c r="H2" s="164"/>
      <c r="I2" s="164"/>
      <c r="J2" s="164"/>
      <c r="K2" s="164"/>
      <c r="L2" s="165"/>
      <c r="M2" s="6"/>
      <c r="N2" s="7"/>
      <c r="O2" s="8"/>
    </row>
    <row r="3" spans="1:15" ht="12.75" customHeight="1" x14ac:dyDescent="0.15">
      <c r="A3" s="156"/>
      <c r="B3" s="157"/>
      <c r="C3" s="156"/>
      <c r="D3" s="161"/>
      <c r="E3" s="9"/>
      <c r="F3" s="54" t="s">
        <v>64</v>
      </c>
      <c r="G3" s="166"/>
      <c r="H3" s="166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58"/>
      <c r="B4" s="159"/>
      <c r="C4" s="158"/>
      <c r="D4" s="162"/>
      <c r="E4" s="12"/>
      <c r="F4" s="11"/>
      <c r="G4" s="11"/>
      <c r="H4" s="11"/>
      <c r="I4" s="159"/>
      <c r="J4" s="159"/>
      <c r="K4" s="159"/>
      <c r="L4" s="159"/>
      <c r="M4" s="162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6" t="s">
        <v>24</v>
      </c>
      <c r="D5" s="136"/>
      <c r="E5" s="136" t="s">
        <v>25</v>
      </c>
      <c r="F5" s="142"/>
      <c r="G5" s="136" t="s">
        <v>26</v>
      </c>
      <c r="H5" s="136"/>
      <c r="I5" s="136" t="s">
        <v>27</v>
      </c>
      <c r="J5" s="142"/>
      <c r="K5" s="136" t="s">
        <v>28</v>
      </c>
      <c r="L5" s="136"/>
      <c r="M5" s="16"/>
      <c r="N5" s="14" t="s">
        <v>0</v>
      </c>
      <c r="O5" s="17" t="s">
        <v>1</v>
      </c>
    </row>
    <row r="6" spans="1:15" ht="12.75" customHeight="1" x14ac:dyDescent="0.15">
      <c r="A6" s="140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0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0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1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5" t="s">
        <v>24</v>
      </c>
      <c r="D10" s="146"/>
      <c r="E10" s="145" t="s">
        <v>25</v>
      </c>
      <c r="F10" s="145"/>
      <c r="G10" s="147" t="s">
        <v>26</v>
      </c>
      <c r="H10" s="145"/>
      <c r="I10" s="145" t="s">
        <v>27</v>
      </c>
      <c r="J10" s="145"/>
      <c r="K10" s="145" t="s">
        <v>28</v>
      </c>
      <c r="L10" s="145"/>
      <c r="M10" s="16"/>
      <c r="N10" s="14" t="s">
        <v>10</v>
      </c>
      <c r="O10" s="17" t="s">
        <v>1</v>
      </c>
    </row>
    <row r="11" spans="1:15" ht="12.75" customHeight="1" x14ac:dyDescent="0.15">
      <c r="A11" s="140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0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0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1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6" t="s">
        <v>24</v>
      </c>
      <c r="D15" s="142"/>
      <c r="E15" s="136" t="s">
        <v>25</v>
      </c>
      <c r="F15" s="136"/>
      <c r="G15" s="143" t="s">
        <v>26</v>
      </c>
      <c r="H15" s="136"/>
      <c r="I15" s="136" t="s">
        <v>27</v>
      </c>
      <c r="J15" s="136"/>
      <c r="K15" s="136" t="s">
        <v>28</v>
      </c>
      <c r="L15" s="136"/>
      <c r="M15" s="16"/>
      <c r="N15" s="14" t="s">
        <v>10</v>
      </c>
      <c r="O15" s="17" t="s">
        <v>1</v>
      </c>
    </row>
    <row r="16" spans="1:15" ht="12.75" customHeight="1" x14ac:dyDescent="0.15">
      <c r="A16" s="140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5" ht="12.75" customHeight="1" x14ac:dyDescent="0.15">
      <c r="A17" s="140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5" ht="12.75" customHeight="1" x14ac:dyDescent="0.15">
      <c r="A18" s="140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5" ht="12.75" customHeight="1" thickBot="1" x14ac:dyDescent="0.2">
      <c r="A19" s="141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5" ht="12.75" customHeight="1" x14ac:dyDescent="0.15">
      <c r="A20" s="63" t="s">
        <v>4</v>
      </c>
      <c r="B20" s="15" t="s">
        <v>23</v>
      </c>
      <c r="C20" s="136" t="s">
        <v>24</v>
      </c>
      <c r="D20" s="142"/>
      <c r="E20" s="136" t="s">
        <v>25</v>
      </c>
      <c r="F20" s="136"/>
      <c r="G20" s="143" t="s">
        <v>26</v>
      </c>
      <c r="H20" s="136"/>
      <c r="I20" s="136" t="s">
        <v>27</v>
      </c>
      <c r="J20" s="136"/>
      <c r="K20" s="136" t="s">
        <v>28</v>
      </c>
      <c r="L20" s="136"/>
      <c r="M20" s="16"/>
      <c r="N20" s="14" t="s">
        <v>10</v>
      </c>
      <c r="O20" s="17" t="s">
        <v>1</v>
      </c>
    </row>
    <row r="21" spans="1:15" ht="12.75" customHeight="1" x14ac:dyDescent="0.15">
      <c r="A21" s="140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5" ht="12.75" customHeight="1" x14ac:dyDescent="0.15">
      <c r="A22" s="140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5" ht="12.75" customHeight="1" x14ac:dyDescent="0.15">
      <c r="A23" s="140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5" ht="12.75" customHeight="1" thickBot="1" x14ac:dyDescent="0.2">
      <c r="A24" s="144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5" ht="12.75" customHeight="1" x14ac:dyDescent="0.15">
      <c r="A25" s="63" t="s">
        <v>47</v>
      </c>
      <c r="B25" s="15" t="s">
        <v>23</v>
      </c>
      <c r="C25" s="136" t="s">
        <v>24</v>
      </c>
      <c r="D25" s="142"/>
      <c r="E25" s="136" t="s">
        <v>25</v>
      </c>
      <c r="F25" s="136"/>
      <c r="G25" s="143" t="s">
        <v>26</v>
      </c>
      <c r="H25" s="136"/>
      <c r="I25" s="136" t="s">
        <v>27</v>
      </c>
      <c r="J25" s="136"/>
      <c r="K25" s="136" t="s">
        <v>28</v>
      </c>
      <c r="L25" s="136"/>
      <c r="M25" s="16"/>
      <c r="N25" s="14" t="s">
        <v>10</v>
      </c>
      <c r="O25" s="17" t="s">
        <v>1</v>
      </c>
    </row>
    <row r="26" spans="1:15" ht="12.75" customHeight="1" x14ac:dyDescent="0.15">
      <c r="A26" s="140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5" ht="12.75" customHeight="1" x14ac:dyDescent="0.15">
      <c r="A27" s="140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5" ht="12.75" customHeight="1" x14ac:dyDescent="0.15">
      <c r="A28" s="140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</row>
    <row r="29" spans="1:15" ht="12.75" customHeight="1" thickBot="1" x14ac:dyDescent="0.2">
      <c r="A29" s="141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5" ht="12.75" customHeight="1" x14ac:dyDescent="0.15">
      <c r="A30" s="63" t="s">
        <v>48</v>
      </c>
      <c r="B30" s="15" t="s">
        <v>23</v>
      </c>
      <c r="C30" s="136" t="s">
        <v>24</v>
      </c>
      <c r="D30" s="142"/>
      <c r="E30" s="136" t="s">
        <v>25</v>
      </c>
      <c r="F30" s="136"/>
      <c r="G30" s="143" t="s">
        <v>26</v>
      </c>
      <c r="H30" s="136"/>
      <c r="I30" s="136" t="s">
        <v>27</v>
      </c>
      <c r="J30" s="136"/>
      <c r="K30" s="136" t="s">
        <v>28</v>
      </c>
      <c r="L30" s="136"/>
      <c r="M30" s="16"/>
      <c r="N30" s="60" t="s">
        <v>10</v>
      </c>
      <c r="O30" s="17" t="s">
        <v>1</v>
      </c>
    </row>
    <row r="31" spans="1:15" ht="12.75" customHeight="1" x14ac:dyDescent="0.15">
      <c r="A31" s="140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5" ht="12.75" customHeight="1" x14ac:dyDescent="0.15">
      <c r="A32" s="140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0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1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38" t="s">
        <v>11</v>
      </c>
      <c r="B35" s="139"/>
      <c r="C35" s="136" t="s">
        <v>29</v>
      </c>
      <c r="D35" s="136"/>
      <c r="E35" s="136" t="s">
        <v>33</v>
      </c>
      <c r="F35" s="136"/>
      <c r="G35" s="136" t="s">
        <v>2</v>
      </c>
      <c r="H35" s="136"/>
      <c r="I35" s="136" t="s">
        <v>31</v>
      </c>
      <c r="J35" s="136"/>
      <c r="K35" s="136" t="s">
        <v>34</v>
      </c>
      <c r="L35" s="136"/>
      <c r="M35" s="16"/>
      <c r="N35" s="14" t="s">
        <v>10</v>
      </c>
      <c r="O35" s="17" t="s">
        <v>1</v>
      </c>
    </row>
    <row r="36" spans="1:19" ht="12.75" customHeight="1" x14ac:dyDescent="0.15">
      <c r="A36" s="127" t="s">
        <v>36</v>
      </c>
      <c r="B36" s="128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3" t="s">
        <v>37</v>
      </c>
      <c r="B37" s="124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43"/>
      <c r="N37" s="44" t="str">
        <f>IF(SUM(C37:L37)&gt;0,SUM(C37:L37),"")</f>
        <v/>
      </c>
      <c r="O37" s="45"/>
    </row>
    <row r="38" spans="1:19" ht="12.75" customHeight="1" x14ac:dyDescent="0.15">
      <c r="A38" s="138" t="s">
        <v>9</v>
      </c>
      <c r="B38" s="139"/>
      <c r="C38" s="136" t="s">
        <v>29</v>
      </c>
      <c r="D38" s="136"/>
      <c r="E38" s="136" t="s">
        <v>33</v>
      </c>
      <c r="F38" s="136"/>
      <c r="G38" s="136" t="s">
        <v>2</v>
      </c>
      <c r="H38" s="136"/>
      <c r="I38" s="136" t="s">
        <v>31</v>
      </c>
      <c r="J38" s="136"/>
      <c r="K38" s="136" t="s">
        <v>34</v>
      </c>
      <c r="L38" s="136"/>
      <c r="M38" s="16"/>
      <c r="N38" s="14" t="s">
        <v>0</v>
      </c>
      <c r="O38" s="17" t="s">
        <v>1</v>
      </c>
    </row>
    <row r="39" spans="1:19" ht="12.75" customHeight="1" x14ac:dyDescent="0.15">
      <c r="A39" s="127" t="s">
        <v>61</v>
      </c>
      <c r="B39" s="128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7" t="s">
        <v>52</v>
      </c>
      <c r="B40" s="128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7" t="s">
        <v>51</v>
      </c>
      <c r="B41" s="128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4" t="s">
        <v>54</v>
      </c>
      <c r="B42" s="135"/>
      <c r="C42" s="136" t="s">
        <v>29</v>
      </c>
      <c r="D42" s="136"/>
      <c r="E42" s="136" t="s">
        <v>33</v>
      </c>
      <c r="F42" s="136"/>
      <c r="G42" s="136" t="s">
        <v>2</v>
      </c>
      <c r="H42" s="136"/>
      <c r="I42" s="136" t="s">
        <v>31</v>
      </c>
      <c r="J42" s="136"/>
      <c r="K42" s="136" t="s">
        <v>34</v>
      </c>
      <c r="L42" s="137"/>
      <c r="M42" s="49"/>
      <c r="N42" s="14" t="s">
        <v>10</v>
      </c>
      <c r="O42" s="17" t="s">
        <v>1</v>
      </c>
    </row>
    <row r="43" spans="1:19" ht="12.75" customHeight="1" x14ac:dyDescent="0.15">
      <c r="A43" s="127" t="s">
        <v>35</v>
      </c>
      <c r="B43" s="128"/>
      <c r="C43" s="130"/>
      <c r="D43" s="130"/>
      <c r="E43" s="130"/>
      <c r="F43" s="130"/>
      <c r="G43" s="130"/>
      <c r="H43" s="130"/>
      <c r="I43" s="130"/>
      <c r="J43" s="130"/>
      <c r="K43" s="130"/>
      <c r="L43" s="131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2" t="s">
        <v>56</v>
      </c>
      <c r="B44" s="133"/>
      <c r="C44" s="130"/>
      <c r="D44" s="130"/>
      <c r="E44" s="130"/>
      <c r="F44" s="130"/>
      <c r="G44" s="130"/>
      <c r="H44" s="130"/>
      <c r="I44" s="130"/>
      <c r="J44" s="130"/>
      <c r="K44" s="130"/>
      <c r="L44" s="131"/>
      <c r="M44" s="50"/>
      <c r="N44" s="46"/>
      <c r="O44" s="42" t="str">
        <f t="shared" si="0"/>
        <v/>
      </c>
    </row>
    <row r="45" spans="1:19" ht="12.75" customHeight="1" x14ac:dyDescent="0.15">
      <c r="A45" s="127" t="s">
        <v>38</v>
      </c>
      <c r="B45" s="128"/>
      <c r="C45" s="130"/>
      <c r="D45" s="130"/>
      <c r="E45" s="130"/>
      <c r="F45" s="130"/>
      <c r="G45" s="130" t="s">
        <v>57</v>
      </c>
      <c r="H45" s="130"/>
      <c r="I45" s="130"/>
      <c r="J45" s="130"/>
      <c r="K45" s="130"/>
      <c r="L45" s="131"/>
      <c r="M45" s="50"/>
      <c r="N45" s="46"/>
      <c r="O45" s="42" t="str">
        <f t="shared" si="0"/>
        <v/>
      </c>
    </row>
    <row r="46" spans="1:19" ht="12.75" customHeight="1" x14ac:dyDescent="0.15">
      <c r="A46" s="127" t="s">
        <v>53</v>
      </c>
      <c r="B46" s="128"/>
      <c r="C46" s="130"/>
      <c r="D46" s="130"/>
      <c r="E46" s="130"/>
      <c r="F46" s="130"/>
      <c r="G46" s="130"/>
      <c r="H46" s="130"/>
      <c r="I46" s="130"/>
      <c r="J46" s="130"/>
      <c r="K46" s="130"/>
      <c r="L46" s="131"/>
      <c r="M46" s="50"/>
      <c r="N46" s="46"/>
      <c r="O46" s="42" t="str">
        <f t="shared" si="0"/>
        <v/>
      </c>
    </row>
    <row r="47" spans="1:19" ht="12.75" customHeight="1" x14ac:dyDescent="0.15">
      <c r="A47" s="127" t="s">
        <v>39</v>
      </c>
      <c r="B47" s="128"/>
      <c r="C47" s="130"/>
      <c r="D47" s="130"/>
      <c r="E47" s="130"/>
      <c r="F47" s="130"/>
      <c r="G47" s="130"/>
      <c r="H47" s="130"/>
      <c r="I47" s="130"/>
      <c r="J47" s="130"/>
      <c r="K47" s="130"/>
      <c r="L47" s="131"/>
      <c r="M47" s="50"/>
      <c r="N47" s="46"/>
      <c r="O47" s="42" t="str">
        <f t="shared" si="0"/>
        <v/>
      </c>
    </row>
    <row r="48" spans="1:19" ht="12.75" customHeight="1" x14ac:dyDescent="0.15">
      <c r="A48" s="127" t="s">
        <v>55</v>
      </c>
      <c r="B48" s="128"/>
      <c r="C48" s="130"/>
      <c r="D48" s="130"/>
      <c r="E48" s="130"/>
      <c r="F48" s="130"/>
      <c r="G48" s="130"/>
      <c r="H48" s="130"/>
      <c r="I48" s="130"/>
      <c r="J48" s="130"/>
      <c r="K48" s="130"/>
      <c r="L48" s="131"/>
      <c r="M48" s="50"/>
      <c r="N48" s="46"/>
      <c r="O48" s="42" t="str">
        <f t="shared" si="0"/>
        <v/>
      </c>
    </row>
    <row r="49" spans="1:15" ht="12.75" customHeight="1" x14ac:dyDescent="0.15">
      <c r="A49" s="127" t="s">
        <v>12</v>
      </c>
      <c r="B49" s="128"/>
      <c r="C49" s="129"/>
      <c r="D49" s="129"/>
      <c r="E49" s="129"/>
      <c r="F49" s="129"/>
      <c r="G49" s="130"/>
      <c r="H49" s="130"/>
      <c r="I49" s="130"/>
      <c r="J49" s="130"/>
      <c r="K49" s="130"/>
      <c r="L49" s="131"/>
      <c r="M49" s="50"/>
      <c r="N49" s="46"/>
      <c r="O49" s="42" t="str">
        <f t="shared" si="0"/>
        <v/>
      </c>
    </row>
    <row r="50" spans="1:15" ht="12.75" customHeight="1" thickBot="1" x14ac:dyDescent="0.2">
      <c r="A50" s="123" t="s">
        <v>37</v>
      </c>
      <c r="B50" s="124"/>
      <c r="C50" s="125"/>
      <c r="D50" s="125"/>
      <c r="E50" s="125"/>
      <c r="F50" s="125"/>
      <c r="G50" s="87"/>
      <c r="H50" s="125"/>
      <c r="I50" s="125"/>
      <c r="J50" s="125"/>
      <c r="K50" s="125"/>
      <c r="L50" s="126"/>
      <c r="M50" s="51"/>
      <c r="N50" s="52" t="str">
        <f>IF(SUM(C50:L50)&gt;0,SUM(C50:L50),"")</f>
        <v/>
      </c>
      <c r="O50" s="48"/>
    </row>
    <row r="51" spans="1:15" ht="12.75" customHeight="1" x14ac:dyDescent="0.15">
      <c r="A51" s="95" t="s">
        <v>13</v>
      </c>
      <c r="B51" s="96"/>
      <c r="C51" s="116"/>
      <c r="D51" s="117"/>
      <c r="E51" s="118" t="s">
        <v>40</v>
      </c>
      <c r="F51" s="119"/>
      <c r="G51" s="93" t="s">
        <v>65</v>
      </c>
      <c r="H51" s="94"/>
      <c r="I51" s="94"/>
      <c r="J51" s="94"/>
      <c r="K51" s="94"/>
      <c r="L51" s="94"/>
      <c r="M51" s="94"/>
      <c r="N51" s="94"/>
      <c r="O51" s="120"/>
    </row>
    <row r="52" spans="1:15" ht="12.75" customHeight="1" x14ac:dyDescent="0.15">
      <c r="A52" s="104" t="s">
        <v>14</v>
      </c>
      <c r="B52" s="111"/>
      <c r="C52" s="121"/>
      <c r="D52" s="122"/>
      <c r="E52" s="99" t="s">
        <v>49</v>
      </c>
      <c r="F52" s="100"/>
      <c r="G52" s="78"/>
      <c r="H52" s="79"/>
      <c r="I52" s="79"/>
      <c r="J52" s="79"/>
      <c r="K52" s="79"/>
      <c r="L52" s="79"/>
      <c r="M52" s="79"/>
      <c r="N52" s="79"/>
      <c r="O52" s="80"/>
    </row>
    <row r="53" spans="1:15" ht="12.75" customHeight="1" x14ac:dyDescent="0.15">
      <c r="A53" s="95" t="s">
        <v>22</v>
      </c>
      <c r="B53" s="96"/>
      <c r="C53" s="112"/>
      <c r="D53" s="113"/>
      <c r="E53" s="99" t="s">
        <v>49</v>
      </c>
      <c r="F53" s="100"/>
      <c r="G53" s="78"/>
      <c r="H53" s="79"/>
      <c r="I53" s="79"/>
      <c r="J53" s="79"/>
      <c r="K53" s="79"/>
      <c r="L53" s="79"/>
      <c r="M53" s="79"/>
      <c r="N53" s="79"/>
      <c r="O53" s="80"/>
    </row>
    <row r="54" spans="1:15" ht="12.75" customHeight="1" x14ac:dyDescent="0.15">
      <c r="A54" s="104" t="s">
        <v>15</v>
      </c>
      <c r="B54" s="111"/>
      <c r="C54" s="114"/>
      <c r="D54" s="115"/>
      <c r="E54" s="99" t="s">
        <v>49</v>
      </c>
      <c r="F54" s="100"/>
      <c r="G54" s="78"/>
      <c r="H54" s="79"/>
      <c r="I54" s="79"/>
      <c r="J54" s="79"/>
      <c r="K54" s="79"/>
      <c r="L54" s="79"/>
      <c r="M54" s="79"/>
      <c r="N54" s="79"/>
      <c r="O54" s="80"/>
    </row>
    <row r="55" spans="1:15" ht="12.75" customHeight="1" thickBot="1" x14ac:dyDescent="0.2">
      <c r="A55" s="95" t="s">
        <v>19</v>
      </c>
      <c r="B55" s="96"/>
      <c r="C55" s="106"/>
      <c r="D55" s="107"/>
      <c r="E55" s="99" t="s">
        <v>43</v>
      </c>
      <c r="F55" s="100"/>
      <c r="G55" s="108"/>
      <c r="H55" s="109"/>
      <c r="I55" s="109"/>
      <c r="J55" s="109"/>
      <c r="K55" s="109"/>
      <c r="L55" s="109"/>
      <c r="M55" s="109"/>
      <c r="N55" s="109"/>
      <c r="O55" s="110"/>
    </row>
    <row r="56" spans="1:15" ht="12.75" customHeight="1" x14ac:dyDescent="0.15">
      <c r="A56" s="104" t="s">
        <v>21</v>
      </c>
      <c r="B56" s="111"/>
      <c r="C56" s="106"/>
      <c r="D56" s="107"/>
      <c r="E56" s="99" t="s">
        <v>41</v>
      </c>
      <c r="F56" s="100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15" ht="12.75" customHeight="1" x14ac:dyDescent="0.15">
      <c r="A57" s="95" t="s">
        <v>16</v>
      </c>
      <c r="B57" s="96"/>
      <c r="C57" s="97"/>
      <c r="D57" s="98"/>
      <c r="E57" s="99" t="s">
        <v>42</v>
      </c>
      <c r="F57" s="100"/>
      <c r="G57" s="101"/>
      <c r="H57" s="102"/>
      <c r="I57" s="102"/>
      <c r="J57" s="102"/>
      <c r="K57" s="102"/>
      <c r="L57" s="102"/>
      <c r="M57" s="102"/>
      <c r="N57" s="102"/>
      <c r="O57" s="103"/>
    </row>
    <row r="58" spans="1:15" ht="12.75" customHeight="1" x14ac:dyDescent="0.15">
      <c r="A58" s="104" t="s">
        <v>17</v>
      </c>
      <c r="B58" s="105"/>
      <c r="C58" s="106"/>
      <c r="D58" s="107"/>
      <c r="E58" s="53" t="s">
        <v>41</v>
      </c>
      <c r="F58" s="64"/>
      <c r="G58" s="78"/>
      <c r="H58" s="79"/>
      <c r="I58" s="79"/>
      <c r="J58" s="79"/>
      <c r="K58" s="79"/>
      <c r="L58" s="79"/>
      <c r="M58" s="79"/>
      <c r="N58" s="79"/>
      <c r="O58" s="80"/>
    </row>
    <row r="59" spans="1:15" ht="12.75" customHeight="1" thickBot="1" x14ac:dyDescent="0.2">
      <c r="A59" s="84" t="s">
        <v>18</v>
      </c>
      <c r="B59" s="85"/>
      <c r="C59" s="86"/>
      <c r="D59" s="87"/>
      <c r="E59" s="88" t="s">
        <v>41</v>
      </c>
      <c r="F59" s="89"/>
      <c r="G59" s="90"/>
      <c r="H59" s="91"/>
      <c r="I59" s="91"/>
      <c r="J59" s="91"/>
      <c r="K59" s="91"/>
      <c r="L59" s="91"/>
      <c r="M59" s="91"/>
      <c r="N59" s="91"/>
      <c r="O59" s="92"/>
    </row>
    <row r="60" spans="1:15" ht="12.75" customHeight="1" x14ac:dyDescent="0.15">
      <c r="A60" s="93" t="s">
        <v>20</v>
      </c>
      <c r="B60" s="94"/>
      <c r="C60" s="94"/>
      <c r="D60" s="94"/>
      <c r="E60" s="94"/>
      <c r="F60" s="94"/>
      <c r="G60" s="78" t="s">
        <v>32</v>
      </c>
      <c r="H60" s="79"/>
      <c r="I60" s="79"/>
      <c r="J60" s="79"/>
      <c r="K60" s="79"/>
      <c r="L60" s="79"/>
      <c r="M60" s="79"/>
      <c r="N60" s="79"/>
      <c r="O60" s="80"/>
    </row>
    <row r="61" spans="1:15" ht="12.75" customHeight="1" x14ac:dyDescent="0.15">
      <c r="A61" s="78"/>
      <c r="B61" s="79"/>
      <c r="C61" s="79"/>
      <c r="D61" s="79"/>
      <c r="E61" s="79"/>
      <c r="F61" s="79"/>
      <c r="G61" s="78"/>
      <c r="H61" s="79"/>
      <c r="I61" s="79"/>
      <c r="J61" s="79"/>
      <c r="K61" s="79"/>
      <c r="L61" s="79"/>
      <c r="M61" s="79"/>
      <c r="N61" s="79"/>
      <c r="O61" s="80"/>
    </row>
    <row r="62" spans="1:15" ht="12.75" customHeight="1" thickBot="1" x14ac:dyDescent="0.2">
      <c r="A62" s="81"/>
      <c r="B62" s="82"/>
      <c r="C62" s="82"/>
      <c r="D62" s="82"/>
      <c r="E62" s="82"/>
      <c r="F62" s="82"/>
      <c r="G62" s="81"/>
      <c r="H62" s="82"/>
      <c r="I62" s="82"/>
      <c r="J62" s="82"/>
      <c r="K62" s="82"/>
      <c r="L62" s="82"/>
      <c r="M62" s="82"/>
      <c r="N62" s="82"/>
      <c r="O62" s="83"/>
    </row>
    <row r="66" spans="1:9" x14ac:dyDescent="0.15">
      <c r="A66" s="79"/>
      <c r="B66" s="79"/>
      <c r="C66" s="79"/>
      <c r="D66" s="79"/>
      <c r="E66" s="79"/>
      <c r="F66" s="79"/>
      <c r="G66" s="79"/>
      <c r="H66" s="79"/>
      <c r="I66" s="79"/>
    </row>
  </sheetData>
  <mergeCells count="188"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  <mergeCell ref="A57:B57"/>
    <mergeCell ref="C57:D57"/>
    <mergeCell ref="E57:F57"/>
    <mergeCell ref="G57:O57"/>
    <mergeCell ref="A58:B58"/>
    <mergeCell ref="C58:D58"/>
    <mergeCell ref="G58:O58"/>
    <mergeCell ref="A61:F61"/>
    <mergeCell ref="G61:O61"/>
    <mergeCell ref="A54:B54"/>
    <mergeCell ref="C54:D54"/>
    <mergeCell ref="E54:F54"/>
    <mergeCell ref="G54:O54"/>
    <mergeCell ref="A55:B55"/>
    <mergeCell ref="C55:D55"/>
    <mergeCell ref="E55:F55"/>
    <mergeCell ref="G55:O55"/>
    <mergeCell ref="A56:B56"/>
    <mergeCell ref="C56:D56"/>
    <mergeCell ref="E56:F56"/>
    <mergeCell ref="A51:B51"/>
    <mergeCell ref="C51:D51"/>
    <mergeCell ref="E51:F51"/>
    <mergeCell ref="G51:O51"/>
    <mergeCell ref="A52:B52"/>
    <mergeCell ref="C52:D52"/>
    <mergeCell ref="E52:F52"/>
    <mergeCell ref="G52:O52"/>
    <mergeCell ref="A53:B53"/>
    <mergeCell ref="C53:D53"/>
    <mergeCell ref="E53:F53"/>
    <mergeCell ref="G53:O53"/>
    <mergeCell ref="A49:B49"/>
    <mergeCell ref="C49:D49"/>
    <mergeCell ref="E49:F49"/>
    <mergeCell ref="G49:H49"/>
    <mergeCell ref="I49:J49"/>
    <mergeCell ref="K49:L49"/>
    <mergeCell ref="A50:B50"/>
    <mergeCell ref="C50:D50"/>
    <mergeCell ref="E50:F50"/>
    <mergeCell ref="G50:H50"/>
    <mergeCell ref="I50:J50"/>
    <mergeCell ref="K50:L50"/>
    <mergeCell ref="A47:B47"/>
    <mergeCell ref="C47:D47"/>
    <mergeCell ref="E47:F47"/>
    <mergeCell ref="G47:H47"/>
    <mergeCell ref="I47:J47"/>
    <mergeCell ref="K47:L47"/>
    <mergeCell ref="A48:B48"/>
    <mergeCell ref="C48:D48"/>
    <mergeCell ref="E48:F48"/>
    <mergeCell ref="G48:H48"/>
    <mergeCell ref="I48:J48"/>
    <mergeCell ref="K48:L48"/>
    <mergeCell ref="A45:B45"/>
    <mergeCell ref="C45:D45"/>
    <mergeCell ref="E45:F45"/>
    <mergeCell ref="G45:H45"/>
    <mergeCell ref="I45:J45"/>
    <mergeCell ref="K45:L45"/>
    <mergeCell ref="A46:B46"/>
    <mergeCell ref="C46:D46"/>
    <mergeCell ref="E46:F46"/>
    <mergeCell ref="G46:H46"/>
    <mergeCell ref="I46:J46"/>
    <mergeCell ref="K46:L46"/>
    <mergeCell ref="A43:B43"/>
    <mergeCell ref="C43:D43"/>
    <mergeCell ref="E43:F43"/>
    <mergeCell ref="G43:H43"/>
    <mergeCell ref="I43:J43"/>
    <mergeCell ref="K43:L43"/>
    <mergeCell ref="A44:B44"/>
    <mergeCell ref="C44:D44"/>
    <mergeCell ref="E44:F44"/>
    <mergeCell ref="G44:H44"/>
    <mergeCell ref="I44:J44"/>
    <mergeCell ref="K44:L44"/>
    <mergeCell ref="A41:B41"/>
    <mergeCell ref="C41:D41"/>
    <mergeCell ref="E41:F41"/>
    <mergeCell ref="G41:H41"/>
    <mergeCell ref="I41:J41"/>
    <mergeCell ref="K41:L41"/>
    <mergeCell ref="A42:B42"/>
    <mergeCell ref="C42:D42"/>
    <mergeCell ref="E42:F42"/>
    <mergeCell ref="G42:H42"/>
    <mergeCell ref="I42:J42"/>
    <mergeCell ref="K42:L42"/>
    <mergeCell ref="A39:B39"/>
    <mergeCell ref="C39:D39"/>
    <mergeCell ref="E39:F39"/>
    <mergeCell ref="G39:H39"/>
    <mergeCell ref="I39:J39"/>
    <mergeCell ref="K39:L39"/>
    <mergeCell ref="A40:B40"/>
    <mergeCell ref="C40:D40"/>
    <mergeCell ref="E40:F40"/>
    <mergeCell ref="G40:H40"/>
    <mergeCell ref="I40:J40"/>
    <mergeCell ref="K40:L40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K38:L38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K36:L36"/>
    <mergeCell ref="A26:A27"/>
    <mergeCell ref="A28:A29"/>
    <mergeCell ref="C30:D30"/>
    <mergeCell ref="E30:F30"/>
    <mergeCell ref="G30:H30"/>
    <mergeCell ref="I30:J30"/>
    <mergeCell ref="K30:L30"/>
    <mergeCell ref="A31:A32"/>
    <mergeCell ref="A33:A34"/>
    <mergeCell ref="C20:D20"/>
    <mergeCell ref="E20:F20"/>
    <mergeCell ref="G20:H20"/>
    <mergeCell ref="I20:J20"/>
    <mergeCell ref="K20:L20"/>
    <mergeCell ref="A21:A22"/>
    <mergeCell ref="A23:A24"/>
    <mergeCell ref="C25:D25"/>
    <mergeCell ref="E25:F25"/>
    <mergeCell ref="G25:H25"/>
    <mergeCell ref="I25:J25"/>
    <mergeCell ref="K25:L25"/>
    <mergeCell ref="A11:A12"/>
    <mergeCell ref="A13:A14"/>
    <mergeCell ref="C15:D15"/>
    <mergeCell ref="E15:F15"/>
    <mergeCell ref="G15:H15"/>
    <mergeCell ref="I15:J15"/>
    <mergeCell ref="K15:L15"/>
    <mergeCell ref="A16:A17"/>
    <mergeCell ref="A18:A19"/>
    <mergeCell ref="C5:D5"/>
    <mergeCell ref="E5:F5"/>
    <mergeCell ref="G5:H5"/>
    <mergeCell ref="I5:J5"/>
    <mergeCell ref="K5:L5"/>
    <mergeCell ref="A6:A7"/>
    <mergeCell ref="A8:A9"/>
    <mergeCell ref="C10:D10"/>
    <mergeCell ref="E10:F10"/>
    <mergeCell ref="G10:H10"/>
    <mergeCell ref="I10:J10"/>
    <mergeCell ref="K10:L10"/>
    <mergeCell ref="A1:B1"/>
    <mergeCell ref="C1:D1"/>
    <mergeCell ref="E1:H1"/>
    <mergeCell ref="I1:L1"/>
    <mergeCell ref="A2:B4"/>
    <mergeCell ref="C2:D4"/>
    <mergeCell ref="E2:L2"/>
    <mergeCell ref="G3:H3"/>
    <mergeCell ref="I4:M4"/>
  </mergeCells>
  <phoneticPr fontId="1"/>
  <conditionalFormatting sqref="E1:H1">
    <cfRule type="expression" dxfId="4" priority="11" stopIfTrue="1">
      <formula>WEEKDAY($E$1)=7</formula>
    </cfRule>
    <cfRule type="expression" dxfId="3" priority="12" stopIfTrue="1">
      <formula>WEEKDAY($E$1)=1</formula>
    </cfRule>
  </conditionalFormatting>
  <conditionalFormatting sqref="I1:L1">
    <cfRule type="containsText" dxfId="1" priority="8" stopIfTrue="1" operator="containsText" text="日曜日">
      <formula>NOT(ISERROR(SEARCH("日曜日",I1)))</formula>
    </cfRule>
    <cfRule type="containsText" dxfId="0" priority="9" stopIfTrue="1" operator="containsText" text="土曜日">
      <formula>NOT(ISERROR(SEARCH("土曜日",I1)))</formula>
    </cfRule>
  </conditionalFormatting>
  <dataValidations disablePrompts="1"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120220D-AF1A-49AA-AB89-66A47B8E59F0}"/>
    <dataValidation allowBlank="1" showInputMessage="1" sqref="C30:L30 C15:L15 C20:L20 C25:L25 C10:L10" xr:uid="{7B387B21-8F83-4133-AFF6-2CF2A9EA5C7C}"/>
    <dataValidation imeMode="on" allowBlank="1" showInputMessage="1" showErrorMessage="1" sqref="A66:I66 A60:F62 G51:O54 G56:O62" xr:uid="{301F7673-0218-4003-A89A-454EA8B433AE}"/>
    <dataValidation imeMode="disabled" allowBlank="1" showInputMessage="1" showErrorMessage="1" sqref="C51:C59 C36:O37 M16:O19 M11:O14 C43:O50 M31:O34 D59 M21:O24 M26:O29 D51:D57 N6:O9 C39:O41" xr:uid="{95AC589D-3598-4C89-AC28-29DE5EB258C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D65D08D-D84C-4094-9B64-42BC3B0AE8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C680F702-9C65-4DAB-9AE1-96667D69A308}">
            <xm:f>COUNTIF(祝日リスト!$A:$A,E1)=1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4A5FB0C-FEEA-49AD-BAD6-3132F35EA3F4}">
            <xm:f>COUNTIF(祝日リスト!$A:$A,E1)=1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C30"/>
  <sheetViews>
    <sheetView showZeros="0" workbookViewId="0">
      <selection activeCell="E9" sqref="E9:E10"/>
    </sheetView>
  </sheetViews>
  <sheetFormatPr defaultRowHeight="13.5" x14ac:dyDescent="0.15"/>
  <cols>
    <col min="1" max="1" width="16.625" style="73" customWidth="1"/>
    <col min="2" max="2" width="15.125" style="74" customWidth="1"/>
    <col min="3" max="3" width="15.625" style="75" customWidth="1"/>
    <col min="4" max="16384" width="9" style="72"/>
  </cols>
  <sheetData>
    <row r="1" spans="1:3" x14ac:dyDescent="0.15">
      <c r="A1" s="77">
        <f>[1]祝日リスト!A1</f>
        <v>46141</v>
      </c>
      <c r="B1" s="70" t="str">
        <f>[1]祝日リスト!B1</f>
        <v>昭和の日</v>
      </c>
      <c r="C1" s="71">
        <f>[1]祝日リスト!C1</f>
        <v>2026</v>
      </c>
    </row>
    <row r="2" spans="1:3" x14ac:dyDescent="0.15">
      <c r="A2" s="77">
        <f>[1]祝日リスト!A2</f>
        <v>46145</v>
      </c>
      <c r="B2" s="70" t="str">
        <f>[1]祝日リスト!B2</f>
        <v>憲法記念日</v>
      </c>
      <c r="C2" s="71">
        <f>[1]祝日リスト!C2</f>
        <v>0</v>
      </c>
    </row>
    <row r="3" spans="1:3" x14ac:dyDescent="0.15">
      <c r="A3" s="77">
        <f>[1]祝日リスト!A3</f>
        <v>46146</v>
      </c>
      <c r="B3" s="70" t="str">
        <f>[1]祝日リスト!B3</f>
        <v>みどりの日</v>
      </c>
      <c r="C3" s="71">
        <f>[1]祝日リスト!C3</f>
        <v>0</v>
      </c>
    </row>
    <row r="4" spans="1:3" x14ac:dyDescent="0.15">
      <c r="A4" s="77">
        <f>[1]祝日リスト!A4</f>
        <v>46147</v>
      </c>
      <c r="B4" s="70" t="str">
        <f>[1]祝日リスト!B4</f>
        <v>こどもの日</v>
      </c>
      <c r="C4" s="71">
        <f>[1]祝日リスト!C4</f>
        <v>0</v>
      </c>
    </row>
    <row r="5" spans="1:3" x14ac:dyDescent="0.15">
      <c r="A5" s="77">
        <f>[1]祝日リスト!A5</f>
        <v>46148</v>
      </c>
      <c r="B5" s="70" t="str">
        <f>[1]祝日リスト!B5</f>
        <v>振替休日</v>
      </c>
      <c r="C5" s="71">
        <f>[1]祝日リスト!C5</f>
        <v>0</v>
      </c>
    </row>
    <row r="6" spans="1:3" x14ac:dyDescent="0.15">
      <c r="A6" s="77">
        <f>[1]祝日リスト!A6</f>
        <v>46223</v>
      </c>
      <c r="B6" s="70" t="str">
        <f>[1]祝日リスト!B6</f>
        <v>海の日</v>
      </c>
      <c r="C6" s="71">
        <f>[1]祝日リスト!C6</f>
        <v>0</v>
      </c>
    </row>
    <row r="7" spans="1:3" x14ac:dyDescent="0.15">
      <c r="A7" s="77">
        <f>[1]祝日リスト!A7</f>
        <v>46245</v>
      </c>
      <c r="B7" s="70" t="str">
        <f>[1]祝日リスト!B7</f>
        <v>山の日</v>
      </c>
      <c r="C7" s="71">
        <f>[1]祝日リスト!C7</f>
        <v>0</v>
      </c>
    </row>
    <row r="8" spans="1:3" x14ac:dyDescent="0.15">
      <c r="A8" s="77">
        <f>[1]祝日リスト!A8</f>
        <v>46286</v>
      </c>
      <c r="B8" s="70" t="str">
        <f>[1]祝日リスト!B8</f>
        <v>敬老の日</v>
      </c>
      <c r="C8" s="71">
        <f>[1]祝日リスト!C8</f>
        <v>0</v>
      </c>
    </row>
    <row r="9" spans="1:3" x14ac:dyDescent="0.15">
      <c r="A9" s="77">
        <f>[1]祝日リスト!A9</f>
        <v>46287</v>
      </c>
      <c r="B9" s="70" t="str">
        <f>[1]祝日リスト!B9</f>
        <v>国民の休日</v>
      </c>
      <c r="C9" s="71">
        <f>[1]祝日リスト!C9</f>
        <v>0</v>
      </c>
    </row>
    <row r="10" spans="1:3" x14ac:dyDescent="0.15">
      <c r="A10" s="77">
        <f>[1]祝日リスト!A10</f>
        <v>46288</v>
      </c>
      <c r="B10" s="70" t="str">
        <f>[1]祝日リスト!B10</f>
        <v>秋分の日</v>
      </c>
      <c r="C10" s="71">
        <f>[1]祝日リスト!C10</f>
        <v>0</v>
      </c>
    </row>
    <row r="11" spans="1:3" x14ac:dyDescent="0.15">
      <c r="A11" s="77">
        <f>[1]祝日リスト!A11</f>
        <v>46307</v>
      </c>
      <c r="B11" s="70" t="str">
        <f>[1]祝日リスト!B11</f>
        <v>スポーツの日</v>
      </c>
      <c r="C11" s="71">
        <f>[1]祝日リスト!C11</f>
        <v>0</v>
      </c>
    </row>
    <row r="12" spans="1:3" x14ac:dyDescent="0.15">
      <c r="A12" s="77">
        <f>[1]祝日リスト!A12</f>
        <v>46329</v>
      </c>
      <c r="B12" s="70" t="str">
        <f>[1]祝日リスト!B12</f>
        <v>文化の日</v>
      </c>
      <c r="C12" s="71">
        <f>[1]祝日リスト!C12</f>
        <v>0</v>
      </c>
    </row>
    <row r="13" spans="1:3" x14ac:dyDescent="0.15">
      <c r="A13" s="77">
        <f>[1]祝日リスト!A13</f>
        <v>46349</v>
      </c>
      <c r="B13" s="70" t="str">
        <f>[1]祝日リスト!B13</f>
        <v>勤労感謝の日</v>
      </c>
      <c r="C13" s="71">
        <f>[1]祝日リスト!C13</f>
        <v>0</v>
      </c>
    </row>
    <row r="14" spans="1:3" x14ac:dyDescent="0.15">
      <c r="A14" s="77">
        <f>[1]祝日リスト!A14</f>
        <v>46388</v>
      </c>
      <c r="B14" s="70" t="str">
        <f>[1]祝日リスト!B14</f>
        <v>元日</v>
      </c>
      <c r="C14" s="71">
        <f>[1]祝日リスト!C14</f>
        <v>0</v>
      </c>
    </row>
    <row r="15" spans="1:3" x14ac:dyDescent="0.15">
      <c r="A15" s="77">
        <f>[1]祝日リスト!A15</f>
        <v>46398</v>
      </c>
      <c r="B15" s="70" t="str">
        <f>[1]祝日リスト!B15</f>
        <v>成人の日</v>
      </c>
      <c r="C15" s="71">
        <f>[1]祝日リスト!C15</f>
        <v>0</v>
      </c>
    </row>
    <row r="16" spans="1:3" x14ac:dyDescent="0.15">
      <c r="A16" s="77">
        <f>[1]祝日リスト!A16</f>
        <v>46429</v>
      </c>
      <c r="B16" s="70" t="str">
        <f>[1]祝日リスト!B16</f>
        <v>建国記念の日</v>
      </c>
      <c r="C16" s="71">
        <f>[1]祝日リスト!C16</f>
        <v>0</v>
      </c>
    </row>
    <row r="17" spans="1:3" x14ac:dyDescent="0.15">
      <c r="A17" s="77">
        <f>[1]祝日リスト!A17</f>
        <v>46441</v>
      </c>
      <c r="B17" s="70" t="str">
        <f>[1]祝日リスト!B17</f>
        <v>天皇誕生日</v>
      </c>
      <c r="C17" s="71">
        <f>[1]祝日リスト!C17</f>
        <v>0</v>
      </c>
    </row>
    <row r="18" spans="1:3" x14ac:dyDescent="0.15">
      <c r="A18" s="77">
        <f>[1]祝日リスト!A18</f>
        <v>46467</v>
      </c>
      <c r="B18" s="70" t="str">
        <f>[1]祝日リスト!B18</f>
        <v>春分の日</v>
      </c>
      <c r="C18" s="71">
        <f>[1]祝日リスト!C18</f>
        <v>0</v>
      </c>
    </row>
    <row r="19" spans="1:3" x14ac:dyDescent="0.15">
      <c r="A19" s="77">
        <f>[1]祝日リスト!A19</f>
        <v>46468</v>
      </c>
      <c r="B19" s="70" t="str">
        <f>[1]祝日リスト!B19</f>
        <v>振替休日</v>
      </c>
      <c r="C19" s="71">
        <f>[1]祝日リスト!C19</f>
        <v>0</v>
      </c>
    </row>
    <row r="20" spans="1:3" x14ac:dyDescent="0.15">
      <c r="A20" s="73">
        <f>[1]祝日リスト!A20</f>
        <v>0</v>
      </c>
      <c r="B20" s="74">
        <f>[1]祝日リスト!B20</f>
        <v>0</v>
      </c>
      <c r="C20" s="75">
        <f>[1]祝日リスト!C20</f>
        <v>0</v>
      </c>
    </row>
    <row r="21" spans="1:3" x14ac:dyDescent="0.15">
      <c r="A21" s="73">
        <f>[1]祝日リスト!A21</f>
        <v>0</v>
      </c>
      <c r="B21" s="74">
        <f>[1]祝日リスト!B21</f>
        <v>0</v>
      </c>
      <c r="C21" s="75">
        <f>[1]祝日リスト!C21</f>
        <v>0</v>
      </c>
    </row>
    <row r="22" spans="1:3" x14ac:dyDescent="0.15">
      <c r="A22" s="73">
        <f>[1]祝日リスト!A22</f>
        <v>0</v>
      </c>
      <c r="B22" s="74">
        <f>[1]祝日リスト!B22</f>
        <v>0</v>
      </c>
      <c r="C22" s="75">
        <f>[1]祝日リスト!C22</f>
        <v>0</v>
      </c>
    </row>
    <row r="23" spans="1:3" x14ac:dyDescent="0.15">
      <c r="A23" s="73">
        <f>[1]祝日リスト!A23</f>
        <v>0</v>
      </c>
      <c r="B23" s="74">
        <f>[1]祝日リスト!B23</f>
        <v>0</v>
      </c>
      <c r="C23" s="75">
        <f>[1]祝日リスト!C23</f>
        <v>0</v>
      </c>
    </row>
    <row r="24" spans="1:3" x14ac:dyDescent="0.15">
      <c r="A24" s="73">
        <f>[1]祝日リスト!A24</f>
        <v>0</v>
      </c>
      <c r="B24" s="74">
        <f>[1]祝日リスト!B24</f>
        <v>0</v>
      </c>
      <c r="C24" s="75">
        <f>[1]祝日リスト!C24</f>
        <v>0</v>
      </c>
    </row>
    <row r="25" spans="1:3" x14ac:dyDescent="0.15">
      <c r="A25" s="73">
        <f>[1]祝日リスト!A25</f>
        <v>0</v>
      </c>
      <c r="B25" s="74">
        <f>[1]祝日リスト!B25</f>
        <v>0</v>
      </c>
      <c r="C25" s="75">
        <f>[1]祝日リスト!C25</f>
        <v>0</v>
      </c>
    </row>
    <row r="26" spans="1:3" x14ac:dyDescent="0.15">
      <c r="A26" s="73">
        <f>[1]祝日リスト!A26</f>
        <v>0</v>
      </c>
      <c r="B26" s="74">
        <f>[1]祝日リスト!B26</f>
        <v>0</v>
      </c>
      <c r="C26" s="75">
        <f>[1]祝日リスト!C26</f>
        <v>0</v>
      </c>
    </row>
    <row r="27" spans="1:3" x14ac:dyDescent="0.15">
      <c r="A27" s="73">
        <f>[1]祝日リスト!A27</f>
        <v>0</v>
      </c>
      <c r="B27" s="74">
        <f>[1]祝日リスト!B27</f>
        <v>0</v>
      </c>
      <c r="C27" s="75">
        <f>[1]祝日リスト!C27</f>
        <v>0</v>
      </c>
    </row>
    <row r="28" spans="1:3" x14ac:dyDescent="0.15">
      <c r="A28" s="73">
        <f>[1]祝日リスト!A28</f>
        <v>0</v>
      </c>
      <c r="B28" s="74">
        <f>[1]祝日リスト!B28</f>
        <v>0</v>
      </c>
      <c r="C28" s="75">
        <f>[1]祝日リスト!C28</f>
        <v>0</v>
      </c>
    </row>
    <row r="29" spans="1:3" x14ac:dyDescent="0.15">
      <c r="A29" s="73">
        <f>[1]祝日リスト!A29</f>
        <v>0</v>
      </c>
      <c r="B29" s="74">
        <f>[1]祝日リスト!B29</f>
        <v>0</v>
      </c>
      <c r="C29" s="75">
        <f>[1]祝日リスト!C29</f>
        <v>0</v>
      </c>
    </row>
    <row r="30" spans="1:3" x14ac:dyDescent="0.15">
      <c r="A30" s="73">
        <f>[1]祝日リスト!A30</f>
        <v>0</v>
      </c>
      <c r="B30" s="74">
        <f>[1]祝日リスト!B30</f>
        <v>0</v>
      </c>
      <c r="C30" s="75">
        <f>[1]祝日リスト!C30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34</vt:i4>
      </vt:variant>
      <vt:variant>
        <vt:lpstr>名前付き一覧</vt:lpstr>
      </vt:variant>
      <vt:variant>
        <vt:i4>32</vt:i4>
      </vt:variant>
    </vt:vector>
  </HeadingPairs>
  <TitlesOfParts>
    <vt:vector size="66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様式</vt:lpstr>
      <vt:lpstr>祝日リスト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様式!Print_Area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焼却場</cp:lastModifiedBy>
  <cp:lastPrinted>2021-05-11T22:50:14Z</cp:lastPrinted>
  <dcterms:created xsi:type="dcterms:W3CDTF">2006-10-04T10:30:20Z</dcterms:created>
  <dcterms:modified xsi:type="dcterms:W3CDTF">2026-04-02T01:02:53Z</dcterms:modified>
</cp:coreProperties>
</file>