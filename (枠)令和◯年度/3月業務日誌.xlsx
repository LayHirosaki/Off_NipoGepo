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E22F6DB8-88D3-4288-9285-4A1D49447DC7}" xr6:coauthVersionLast="47" xr6:coauthVersionMax="47" xr10:uidLastSave="{00000000-0000-0000-0000-000000000000}"/>
  <bookViews>
    <workbookView xWindow="150" yWindow="1020" windowWidth="22590" windowHeight="14460" tabRatio="870" firstSheet="15" activeTab="32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95" l="1"/>
  <c r="B1" i="95"/>
  <c r="C1" i="95"/>
  <c r="D1" i="95"/>
  <c r="E1" i="95"/>
  <c r="E1" i="82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4"/>
  <c r="E1" i="93"/>
  <c r="E1" i="91"/>
  <c r="E1" i="90"/>
  <c r="E1" i="89"/>
  <c r="E1" i="88"/>
  <c r="E1" i="87"/>
  <c r="E1" i="86"/>
  <c r="E1" i="85"/>
  <c r="E1" i="84"/>
  <c r="E1" i="83"/>
  <c r="E1" i="78"/>
  <c r="E1" i="77"/>
  <c r="E1" i="75"/>
  <c r="E1" i="74"/>
  <c r="E1" i="73"/>
  <c r="E1" i="72"/>
  <c r="E1" i="71"/>
  <c r="E1" i="70"/>
  <c r="E1" i="69"/>
  <c r="E1" i="68"/>
  <c r="E1" i="67"/>
  <c r="E1" i="76" l="1"/>
  <c r="E1" i="92"/>
  <c r="A1" i="29"/>
  <c r="E1" i="79"/>
  <c r="E1" i="63"/>
  <c r="E1" i="80"/>
  <c r="I1" i="80" s="1"/>
  <c r="E1" i="65"/>
  <c r="E1" i="81"/>
  <c r="I1" i="81" s="1"/>
  <c r="E1" i="66"/>
  <c r="I1" i="86"/>
  <c r="I1" i="85"/>
  <c r="I1" i="76"/>
  <c r="I1" i="88"/>
  <c r="I1" i="65"/>
  <c r="I1" i="77"/>
  <c r="I1" i="89"/>
  <c r="I1" i="78"/>
  <c r="I1" i="90"/>
  <c r="I1" i="91"/>
  <c r="I1" i="69"/>
  <c r="I1" i="93"/>
  <c r="I1" i="82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I1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I1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I1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I1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I1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I1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I1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I1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I1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I1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I1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I1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I1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I1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I1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I1" i="63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<sst xmlns="http://schemas.openxmlformats.org/spreadsheetml/2006/main" count="4902" uniqueCount="69">
  <si>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</si>
  <si>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</si>
  <si>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</si>
  <si>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</si>
  <si>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</si>
  <si>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</si>
  <si>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</si>
  <si>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</si>
  <si>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</si>
  <si>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</si>
  <si>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</si>
  <si>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</si>
  <si>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</si>
  <si>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</si>
  <si>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</si>
  <si>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</si>
  <si>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</si>
  <si>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</si>
  <si>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</si>
  <si>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</si>
  <si>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</si>
  <si>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</si>
  <si>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</si>
  <si>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</si>
  <si>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</si>
  <si>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</si>
  <si>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</si>
  <si>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</si>
  <si>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</si>
  <si>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</si>
  <si>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</si>
  <si>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</si>
  <si>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</si>
  <si>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</si>
  <si>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</si>
  <si>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</si>
  <si>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</si>
  <si>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</si>
  <si>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</si>
  <si>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</si>
  <si>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</si>
  <si>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</si>
  <si>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</si>
  <si>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</si>
  <si>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</si>
  <si>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</si>
  <si>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</si>
  <si>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</si>
  <si>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</si>
  <si>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</si>
  <si>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</si>
  <si>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</si>
  <si>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</si>
  <si>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</si>
  <si>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</si>
  <si>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</si>
  <si>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</si>
  <si>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</si>
  <si>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</si>
  <si>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</si>
  <si>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</si>
  <si>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</si>
  <si>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</si>
  <si>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</si>
  <si>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</si>
  <si>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</si>
  <si>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</si>
  <si>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</si>
  <si>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3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</si>
</sst>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80" formatCode="[h]:mm&quot; &quot;"/>
    <numFmt numFmtId="181" formatCode="[$]ggge&quot;年&quot;m&quot;月&quot;d&quot;日&quot;;@"/>
    <numFmt numFmtId="182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2" fillId="0" borderId="0"/>
  </cellStyleXfs>
  <cellXfs count="18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14" fontId="5" fillId="0" borderId="5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182" fontId="13" fillId="0" borderId="15" xfId="1" applyNumberFormat="1" applyFont="1" applyBorder="1" applyAlignment="1">
      <alignment horizontal="center"/>
    </xf>
    <xf numFmtId="0" fontId="13" fillId="0" borderId="49" xfId="1" applyFont="1" applyBorder="1" applyAlignment="1">
      <alignment horizontal="left" indent="1"/>
    </xf>
    <xf numFmtId="182" fontId="13" fillId="0" borderId="49" xfId="1" applyNumberFormat="1" applyFont="1" applyBorder="1" applyAlignment="1">
      <alignment horizontal="center"/>
    </xf>
    <xf numFmtId="0" fontId="13" fillId="0" borderId="16" xfId="1" applyFont="1" applyBorder="1" applyAlignment="1">
      <alignment horizontal="left"/>
    </xf>
    <xf numFmtId="182" fontId="13" fillId="0" borderId="50" xfId="1" applyNumberFormat="1" applyFont="1" applyBorder="1" applyAlignment="1">
      <alignment horizontal="center"/>
    </xf>
    <xf numFmtId="0" fontId="13" fillId="0" borderId="0" xfId="1" applyFont="1" applyAlignment="1">
      <alignment horizontal="left" indent="1"/>
    </xf>
    <xf numFmtId="182" fontId="13" fillId="0" borderId="0" xfId="1" applyNumberFormat="1" applyFont="1" applyAlignment="1">
      <alignment horizontal="center"/>
    </xf>
    <xf numFmtId="0" fontId="13" fillId="0" borderId="51" xfId="1" applyFont="1" applyBorder="1" applyAlignment="1">
      <alignment horizontal="left"/>
    </xf>
    <xf numFmtId="182" fontId="11" fillId="0" borderId="50" xfId="0" applyNumberFormat="1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0" borderId="51" xfId="0" applyFont="1" applyBorder="1" applyAlignment="1">
      <alignment horizontal="left"/>
    </xf>
    <xf numFmtId="182" fontId="11" fillId="0" borderId="41" xfId="0" applyNumberFormat="1" applyFont="1" applyBorder="1" applyAlignment="1">
      <alignment horizontal="center"/>
    </xf>
    <xf numFmtId="0" fontId="11" fillId="0" borderId="43" xfId="0" applyFont="1" applyBorder="1" applyAlignment="1">
      <alignment horizontal="left" indent="1"/>
    </xf>
    <xf numFmtId="0" fontId="11" fillId="0" borderId="42" xfId="0" applyFont="1" applyBorder="1" applyAlignment="1">
      <alignment horizontal="left"/>
    </xf>
    <xf numFmtId="182" fontId="11" fillId="0" borderId="0" xfId="0" applyNumberFormat="1" applyFont="1" applyAlignment="1">
      <alignment horizontal="right"/>
    </xf>
    <xf numFmtId="182" fontId="11" fillId="0" borderId="0" xfId="0" applyNumberFormat="1" applyFont="1" applyAlignment="1">
      <alignment horizontal="center"/>
    </xf>
    <xf numFmtId="182" fontId="11" fillId="0" borderId="43" xfId="0" applyNumberFormat="1" applyFont="1" applyBorder="1" applyAlignment="1">
      <alignment horizontal="center"/>
    </xf>
    <xf numFmtId="182" fontId="11" fillId="0" borderId="0" xfId="0" applyNumberFormat="1" applyFont="1" applyAlignment="1">
      <alignment horizontal="left"/>
    </xf>
  </cellXfs>
  <cellStyles count="2">
    <cellStyle name="標準" xfId="0" builtinId="0"/>
    <cellStyle name="標準 2" xfId="1" xr:uid="{50F53C47-DBD2-4504-9830-D45CD7119AE4}"/>
  </cellStyles>
  <dxfs count="36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</row>
        <row r="6">
          <cell r="A6">
            <v>46610</v>
          </cell>
          <cell r="B6" t="str">
            <v>山の日</v>
          </cell>
        </row>
        <row r="7">
          <cell r="A7">
            <v>46650</v>
          </cell>
          <cell r="B7" t="str">
            <v>敬老の日</v>
          </cell>
        </row>
        <row r="8">
          <cell r="A8">
            <v>46653</v>
          </cell>
          <cell r="B8" t="str">
            <v>秋分の日</v>
          </cell>
        </row>
        <row r="9">
          <cell r="A9">
            <v>46671</v>
          </cell>
          <cell r="B9" t="str">
            <v>スポーツの日</v>
          </cell>
        </row>
        <row r="10">
          <cell r="A10">
            <v>46694</v>
          </cell>
          <cell r="B10" t="str">
            <v>文化の日</v>
          </cell>
        </row>
        <row r="11">
          <cell r="A11">
            <v>46714</v>
          </cell>
          <cell r="B11" t="str">
            <v>勤労感謝の日</v>
          </cell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D3" sqref="D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2" t="str">
        <f>"令和 "&amp;祝日!E1-2018&amp;" 年度"</f>
        <v>令和 9 年度</v>
      </c>
      <c r="B1" s="72"/>
      <c r="C1" s="72"/>
    </row>
    <row r="2" spans="1:6" ht="75.75" customHeight="1" x14ac:dyDescent="0.4">
      <c r="A2" s="2"/>
      <c r="B2" s="2"/>
      <c r="C2" s="2"/>
    </row>
    <row r="3" spans="1:6" ht="65.25" customHeight="1" x14ac:dyDescent="0.4">
      <c r="A3" s="72" t="s">
        <v>68</v>
      </c>
      <c r="B3" s="72"/>
      <c r="C3" s="72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73" t="s">
        <v>44</v>
      </c>
      <c r="B5" s="73"/>
      <c r="C5" s="73"/>
    </row>
    <row r="6" spans="1:6" ht="169.5" customHeight="1" x14ac:dyDescent="0.4">
      <c r="A6" s="3"/>
      <c r="B6" s="3"/>
      <c r="C6" s="3"/>
    </row>
    <row r="7" spans="1:6" ht="54" customHeight="1" x14ac:dyDescent="0.4">
      <c r="A7" s="74" t="s">
        <v>45</v>
      </c>
      <c r="B7" s="74"/>
      <c r="C7" s="74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E1" sqref="E1:L1"/>
      <selection pane="bottomLeft" activeCell="P45" sqref="P45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DATE(祝日!E1+1,3,1)</f>
        <v>46813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2" priority="3" stopIfTrue="1" operator="containsText" text="日曜日">
      <formula>NOT(ISERROR(SEARCH("日曜日",I1)))</formula>
    </cfRule>
    <cfRule type="containsText" dxfId="181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DATE(祝日!E1+1,3,2)</f>
        <v>46814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07B533A-B1B9-4494-8411-111D0B67309A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2651E21-D975-4A5A-9153-641D62311E51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DATE(祝日!E1+1,3,3)</f>
        <v>46815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DBE4AF6-1870-4996-81D5-B8DB1EFE4085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29EB715-193B-4186-ADDF-5A5A6D1493C9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DATE(祝日!E1+1,3,4)</f>
        <v>46816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D17656B-661F-4B90-B596-039AB3A4374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AD8DFC3-8381-474B-9B69-1026C13447E6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DATE(祝日!E1+1,3,5)</f>
        <v>46817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9D634AB-19B9-432F-AE9A-685505F1CDAA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8067BE9-0F5E-447E-AD4E-142B42128C3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DATE(祝日!E1+1,3,6)</f>
        <v>46818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6D3E4E5-C096-43F9-B164-EF9D30AD16B6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87FBD07-6525-4939-A300-56F8AD30D2F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DATE(祝日!E1+1,3,7)</f>
        <v>46819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FB8E9577-1616-4AF6-B4BD-DC972DBABA9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66317F0-A571-4560-91CD-8DEC43CA03CD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DATE(祝日!E1+1,3,8)</f>
        <v>46820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43C0583-D0BE-4304-9170-17C43161DC0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5D3CD417-1929-4F8D-BA7B-4F3A7F7773F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DATE(祝日!E1+1,3,9)</f>
        <v>46821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7672488-0BC6-4783-A97D-918A6C396E0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E0E1B33-4053-4232-9E2D-1FD3AFAB0FF2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DATE(祝日!E1+1,3,10)</f>
        <v>46822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E9FE191-5E58-42B6-B48D-1911C27CF72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493E811-F29E-420E-B04A-E051487FCFA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DATE(祝日!E1+1,3,11)</f>
        <v>46823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2267834-DC0B-4331-BB3B-F6C4442F5F63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9E40149-8210-4022-B281-D9A1AC6495D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DATE(祝日!E1+1,3,12)</f>
        <v>46824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A108803-A4AA-4CE4-8675-8A5D1CAF85D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515706-9801-45AD-8432-1701068102ED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DATE(祝日!E1+1,3,13)</f>
        <v>46825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0B7C8F-9BC3-493F-B88D-0FA392086B8C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5B04CD95-62CF-4525-AA3D-01AFB5C28E8B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DATE(祝日!E1+1,3,14)</f>
        <v>46826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9F59814-EE06-4C28-9EB3-0CAF35D6B1AE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9EDB6B8-4A0B-44D5-8A3E-368AAE1966B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DATE(祝日!E1+1,3,15)</f>
        <v>46827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7943C4E-1383-4BBC-9254-AFFA9F5F5E3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A31588-543B-4F75-8AD0-F68590AB8DC5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DATE(祝日!E1+1,3,16)</f>
        <v>46828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74857FD-B170-4349-9928-E201B7974DD6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F00D4D6-6A27-49A6-804D-C45A6B35D7ED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DATE(祝日!E1+1,3,17)</f>
        <v>46829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C25E91F-4AF9-4940-9C02-91CF4BE274EF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8EF57D3-9EF4-4823-9363-3BE4AA191EDC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DATE(祝日!E1+1,3,18)</f>
        <v>46830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4A7A0DF-7F30-40E5-BB10-355E1F5D3F79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DEDCF94-E4A5-4FAB-8EEB-00BF49B7415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DATE(祝日!E1+1,3,19)</f>
        <v>46831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CBFC615-89EC-48CA-A859-5B1DB9E95BF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554DB477-DAD0-4C85-8EE4-2EF52694DD0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DATE(祝日!E1+1,3,20)</f>
        <v>46832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13C429-A0D6-4970-85F6-6437D8E64411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23EFA3B-65DD-4617-98E7-D07E81E5477A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DATE(祝日!E1+1,3,21)</f>
        <v>46833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BA315F6-48AB-46AF-9205-64CEED486B8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28BF91C-ADBD-4C3D-8246-4F55F88C1B56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DATE(祝日!E1+1,3,22)</f>
        <v>46834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9894E75-C96B-4CB2-BABF-C8D582893224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DAF972-44E9-4D71-8A78-B43287B4C938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DATE(祝日!E1+1,3,23)</f>
        <v>46835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71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B967557-FD71-40DC-A220-588F1DEA2CEE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11C831-65EB-480B-85B2-E3334A0F24E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DATE(祝日!E1+1,3,24)</f>
        <v>46836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C663F57-39C5-45EC-AF55-30768D47CE2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918191-3BA2-4DFD-B45C-5809F0DDAFB7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DATE(祝日!E1+1,3,25)</f>
        <v>46837</v>
      </c>
      <c r="F1" s="79"/>
      <c r="G1" s="79"/>
      <c r="H1" s="79"/>
      <c r="I1" s="80" t="str">
        <f>TEXT(E1,"aaaa")</f>
        <v>土曜日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BA6B523-E180-4260-B876-C2D610E02CAB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579C2D2-BCA2-49B9-A75C-87EACAC205B6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DATE(祝日!E1+1,3,26)</f>
        <v>46838</v>
      </c>
      <c r="F1" s="79"/>
      <c r="G1" s="79"/>
      <c r="H1" s="79"/>
      <c r="I1" s="80" t="str">
        <f>TEXT(E1,"aaaa")</f>
        <v>日曜日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5195AF4-A3B1-4208-AC69-A8A85D0ECA32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A05347F-4B00-4F47-AFD1-FF21DA3EFA20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DATE(祝日!E1+1,3,27)</f>
        <v>46839</v>
      </c>
      <c r="F1" s="79"/>
      <c r="G1" s="79"/>
      <c r="H1" s="79"/>
      <c r="I1" s="80" t="str">
        <f>TEXT(E1,"aaaa")</f>
        <v>月曜日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8DB13E-B490-4EFC-81DD-BD21570D38E6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0D89479-C6FE-4618-8C19-39ECACEA2F2E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DATE(祝日!E1+1,3,28)</f>
        <v>46840</v>
      </c>
      <c r="F1" s="79"/>
      <c r="G1" s="79"/>
      <c r="H1" s="79"/>
      <c r="I1" s="80" t="str">
        <f>TEXT(E1,"aaaa")</f>
        <v>火曜日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47776E5-2BA4-41D3-96D2-2C7111AC0A3D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F32075-E59A-420A-87D3-7EC38C20F851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DATE(祝日!E1+1,3,29)</f>
        <v>46841</v>
      </c>
      <c r="F1" s="79"/>
      <c r="G1" s="79"/>
      <c r="H1" s="79"/>
      <c r="I1" s="80" t="str">
        <f>TEXT(E1,"aaaa")</f>
        <v>水曜日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71C407C-FB67-4CB9-8B95-EC140F0010C2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54630057-A92D-4833-AB3C-32CF7E90C99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DATE(祝日!E1+1,3,30)</f>
        <v>46842</v>
      </c>
      <c r="F1" s="79"/>
      <c r="G1" s="79"/>
      <c r="H1" s="79"/>
      <c r="I1" s="80" t="str">
        <f>TEXT(E1,"aaaa")</f>
        <v>木曜日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ED26E8C-774B-4BCE-BBBF-FEE51D7121B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7B0CF29-44C9-4BD5-9358-DACC18A85BE4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E1" sqref="E1:L1"/>
      <selection pane="bottomLeft" activeCell="E1" sqref="E1:L1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5" t="s">
        <v>59</v>
      </c>
      <c r="B1" s="76"/>
      <c r="C1" s="75" t="s">
        <v>66</v>
      </c>
      <c r="D1" s="77"/>
      <c r="E1" s="78">
        <f>DATE(祝日!E1+1,3,31)</f>
        <v>46843</v>
      </c>
      <c r="F1" s="79"/>
      <c r="G1" s="79"/>
      <c r="H1" s="79"/>
      <c r="I1" s="80" t="str">
        <f>TEXT(E1,"aaaa")</f>
        <v>金曜日</v>
      </c>
      <c r="J1" s="80"/>
      <c r="K1" s="80"/>
      <c r="L1" s="80"/>
      <c r="M1" s="4"/>
      <c r="N1" s="55" t="s">
        <v>67</v>
      </c>
      <c r="O1" s="55" t="s">
        <v>5</v>
      </c>
    </row>
    <row r="2" spans="1:15" ht="12.75" customHeight="1" x14ac:dyDescent="0.15">
      <c r="A2" s="81"/>
      <c r="B2" s="82"/>
      <c r="C2" s="81"/>
      <c r="D2" s="87"/>
      <c r="E2" s="90"/>
      <c r="F2" s="91"/>
      <c r="G2" s="91"/>
      <c r="H2" s="91"/>
      <c r="I2" s="91"/>
      <c r="J2" s="91"/>
      <c r="K2" s="91"/>
      <c r="L2" s="92"/>
      <c r="M2" s="6"/>
      <c r="N2" s="7"/>
      <c r="O2" s="8"/>
    </row>
    <row r="3" spans="1:15" ht="12.75" customHeight="1" x14ac:dyDescent="0.15">
      <c r="A3" s="83"/>
      <c r="B3" s="84"/>
      <c r="C3" s="83"/>
      <c r="D3" s="88"/>
      <c r="E3" s="9"/>
      <c r="F3" s="54" t="s">
        <v>64</v>
      </c>
      <c r="G3" s="93"/>
      <c r="H3" s="93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5"/>
      <c r="B4" s="86"/>
      <c r="C4" s="85"/>
      <c r="D4" s="89"/>
      <c r="E4" s="12"/>
      <c r="F4" s="11"/>
      <c r="G4" s="11"/>
      <c r="H4" s="11"/>
      <c r="I4" s="86"/>
      <c r="J4" s="86"/>
      <c r="K4" s="86"/>
      <c r="L4" s="86"/>
      <c r="M4" s="89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99" t="s">
        <v>24</v>
      </c>
      <c r="D5" s="99"/>
      <c r="E5" s="99" t="s">
        <v>25</v>
      </c>
      <c r="F5" s="100"/>
      <c r="G5" s="99" t="s">
        <v>26</v>
      </c>
      <c r="H5" s="99"/>
      <c r="I5" s="99" t="s">
        <v>27</v>
      </c>
      <c r="J5" s="100"/>
      <c r="K5" s="99" t="s">
        <v>28</v>
      </c>
      <c r="L5" s="99"/>
      <c r="M5" s="16"/>
      <c r="N5" s="14" t="s">
        <v>0</v>
      </c>
      <c r="O5" s="17" t="s">
        <v>1</v>
      </c>
    </row>
    <row r="6" spans="1:15" ht="12.75" customHeight="1" x14ac:dyDescent="0.15">
      <c r="A6" s="94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4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4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5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6" t="s">
        <v>24</v>
      </c>
      <c r="D10" s="97"/>
      <c r="E10" s="96" t="s">
        <v>25</v>
      </c>
      <c r="F10" s="96"/>
      <c r="G10" s="98" t="s">
        <v>26</v>
      </c>
      <c r="H10" s="96"/>
      <c r="I10" s="96" t="s">
        <v>27</v>
      </c>
      <c r="J10" s="96"/>
      <c r="K10" s="96" t="s">
        <v>28</v>
      </c>
      <c r="L10" s="96"/>
      <c r="M10" s="16"/>
      <c r="N10" s="14" t="s">
        <v>10</v>
      </c>
      <c r="O10" s="17" t="s">
        <v>1</v>
      </c>
    </row>
    <row r="11" spans="1:15" ht="12.75" customHeight="1" x14ac:dyDescent="0.15">
      <c r="A11" s="94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4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4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5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99" t="s">
        <v>24</v>
      </c>
      <c r="D15" s="100"/>
      <c r="E15" s="99" t="s">
        <v>25</v>
      </c>
      <c r="F15" s="99"/>
      <c r="G15" s="101" t="s">
        <v>26</v>
      </c>
      <c r="H15" s="99"/>
      <c r="I15" s="99" t="s">
        <v>27</v>
      </c>
      <c r="J15" s="99"/>
      <c r="K15" s="99" t="s">
        <v>28</v>
      </c>
      <c r="L15" s="99"/>
      <c r="M15" s="16"/>
      <c r="N15" s="14" t="s">
        <v>10</v>
      </c>
      <c r="O15" s="17" t="s">
        <v>1</v>
      </c>
    </row>
    <row r="16" spans="1:15" ht="12.75" customHeight="1" x14ac:dyDescent="0.15">
      <c r="A16" s="94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4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4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5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99" t="s">
        <v>24</v>
      </c>
      <c r="D20" s="100"/>
      <c r="E20" s="99" t="s">
        <v>25</v>
      </c>
      <c r="F20" s="99"/>
      <c r="G20" s="101" t="s">
        <v>26</v>
      </c>
      <c r="H20" s="99"/>
      <c r="I20" s="99" t="s">
        <v>27</v>
      </c>
      <c r="J20" s="99"/>
      <c r="K20" s="99" t="s">
        <v>28</v>
      </c>
      <c r="L20" s="99"/>
      <c r="M20" s="16"/>
      <c r="N20" s="14" t="s">
        <v>10</v>
      </c>
      <c r="O20" s="17" t="s">
        <v>1</v>
      </c>
    </row>
    <row r="21" spans="1:15" ht="12.75" customHeight="1" x14ac:dyDescent="0.15">
      <c r="A21" s="94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4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4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2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99" t="s">
        <v>24</v>
      </c>
      <c r="D25" s="100"/>
      <c r="E25" s="99" t="s">
        <v>25</v>
      </c>
      <c r="F25" s="99"/>
      <c r="G25" s="101" t="s">
        <v>26</v>
      </c>
      <c r="H25" s="99"/>
      <c r="I25" s="99" t="s">
        <v>27</v>
      </c>
      <c r="J25" s="99"/>
      <c r="K25" s="99" t="s">
        <v>28</v>
      </c>
      <c r="L25" s="99"/>
      <c r="M25" s="16"/>
      <c r="N25" s="14" t="s">
        <v>10</v>
      </c>
      <c r="O25" s="17" t="s">
        <v>1</v>
      </c>
    </row>
    <row r="26" spans="1:15" ht="12.75" customHeight="1" x14ac:dyDescent="0.15">
      <c r="A26" s="94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4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4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5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99" t="s">
        <v>24</v>
      </c>
      <c r="D30" s="100"/>
      <c r="E30" s="99" t="s">
        <v>25</v>
      </c>
      <c r="F30" s="99"/>
      <c r="G30" s="101" t="s">
        <v>26</v>
      </c>
      <c r="H30" s="99"/>
      <c r="I30" s="99" t="s">
        <v>27</v>
      </c>
      <c r="J30" s="99"/>
      <c r="K30" s="99" t="s">
        <v>28</v>
      </c>
      <c r="L30" s="99"/>
      <c r="M30" s="16"/>
      <c r="N30" s="60" t="s">
        <v>10</v>
      </c>
      <c r="O30" s="17" t="s">
        <v>1</v>
      </c>
    </row>
    <row r="31" spans="1:15" ht="12.75" customHeight="1" x14ac:dyDescent="0.15">
      <c r="A31" s="94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4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4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5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6" t="s">
        <v>11</v>
      </c>
      <c r="B35" s="107"/>
      <c r="C35" s="99" t="s">
        <v>29</v>
      </c>
      <c r="D35" s="99"/>
      <c r="E35" s="99" t="s">
        <v>33</v>
      </c>
      <c r="F35" s="99"/>
      <c r="G35" s="99" t="s">
        <v>2</v>
      </c>
      <c r="H35" s="99"/>
      <c r="I35" s="99" t="s">
        <v>31</v>
      </c>
      <c r="J35" s="99"/>
      <c r="K35" s="99" t="s">
        <v>34</v>
      </c>
      <c r="L35" s="99"/>
      <c r="M35" s="16"/>
      <c r="N35" s="14" t="s">
        <v>10</v>
      </c>
      <c r="O35" s="17" t="s">
        <v>1</v>
      </c>
    </row>
    <row r="36" spans="1:19" ht="12.75" customHeight="1" x14ac:dyDescent="0.15">
      <c r="A36" s="103" t="s">
        <v>36</v>
      </c>
      <c r="B36" s="104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08" t="s">
        <v>37</v>
      </c>
      <c r="B37" s="109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6" t="s">
        <v>9</v>
      </c>
      <c r="B38" s="107"/>
      <c r="C38" s="99" t="s">
        <v>29</v>
      </c>
      <c r="D38" s="99"/>
      <c r="E38" s="99" t="s">
        <v>33</v>
      </c>
      <c r="F38" s="99"/>
      <c r="G38" s="99" t="s">
        <v>2</v>
      </c>
      <c r="H38" s="99"/>
      <c r="I38" s="99" t="s">
        <v>31</v>
      </c>
      <c r="J38" s="99"/>
      <c r="K38" s="99" t="s">
        <v>34</v>
      </c>
      <c r="L38" s="99"/>
      <c r="M38" s="16"/>
      <c r="N38" s="14" t="s">
        <v>0</v>
      </c>
      <c r="O38" s="17" t="s">
        <v>1</v>
      </c>
    </row>
    <row r="39" spans="1:19" ht="12.75" customHeight="1" x14ac:dyDescent="0.15">
      <c r="A39" s="103" t="s">
        <v>61</v>
      </c>
      <c r="B39" s="104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3" t="s">
        <v>52</v>
      </c>
      <c r="B40" s="104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3" t="s">
        <v>51</v>
      </c>
      <c r="B41" s="104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1" t="s">
        <v>54</v>
      </c>
      <c r="B42" s="112"/>
      <c r="C42" s="99" t="s">
        <v>29</v>
      </c>
      <c r="D42" s="99"/>
      <c r="E42" s="99" t="s">
        <v>33</v>
      </c>
      <c r="F42" s="99"/>
      <c r="G42" s="99" t="s">
        <v>2</v>
      </c>
      <c r="H42" s="99"/>
      <c r="I42" s="99" t="s">
        <v>31</v>
      </c>
      <c r="J42" s="99"/>
      <c r="K42" s="99" t="s">
        <v>34</v>
      </c>
      <c r="L42" s="113"/>
      <c r="M42" s="49"/>
      <c r="N42" s="14" t="s">
        <v>10</v>
      </c>
      <c r="O42" s="17" t="s">
        <v>1</v>
      </c>
    </row>
    <row r="43" spans="1:19" ht="12.75" customHeight="1" x14ac:dyDescent="0.15">
      <c r="A43" s="103" t="s">
        <v>35</v>
      </c>
      <c r="B43" s="104"/>
      <c r="C43" s="105"/>
      <c r="D43" s="105"/>
      <c r="E43" s="105"/>
      <c r="F43" s="105"/>
      <c r="G43" s="105"/>
      <c r="H43" s="105"/>
      <c r="I43" s="105"/>
      <c r="J43" s="105"/>
      <c r="K43" s="105"/>
      <c r="L43" s="116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4" t="s">
        <v>56</v>
      </c>
      <c r="B44" s="115"/>
      <c r="C44" s="105"/>
      <c r="D44" s="105"/>
      <c r="E44" s="105"/>
      <c r="F44" s="105"/>
      <c r="G44" s="105"/>
      <c r="H44" s="105"/>
      <c r="I44" s="105"/>
      <c r="J44" s="105"/>
      <c r="K44" s="105"/>
      <c r="L44" s="116"/>
      <c r="M44" s="50"/>
      <c r="N44" s="46"/>
      <c r="O44" s="42" t="str">
        <f t="shared" si="0"/>
        <v/>
      </c>
    </row>
    <row r="45" spans="1:19" ht="12.75" customHeight="1" x14ac:dyDescent="0.15">
      <c r="A45" s="103" t="s">
        <v>38</v>
      </c>
      <c r="B45" s="104"/>
      <c r="C45" s="105"/>
      <c r="D45" s="105"/>
      <c r="E45" s="105"/>
      <c r="F45" s="105"/>
      <c r="G45" s="105" t="s">
        <v>57</v>
      </c>
      <c r="H45" s="105"/>
      <c r="I45" s="105"/>
      <c r="J45" s="105"/>
      <c r="K45" s="105"/>
      <c r="L45" s="116"/>
      <c r="M45" s="50"/>
      <c r="N45" s="46"/>
      <c r="O45" s="42" t="str">
        <f t="shared" si="0"/>
        <v/>
      </c>
    </row>
    <row r="46" spans="1:19" ht="12.75" customHeight="1" x14ac:dyDescent="0.15">
      <c r="A46" s="103" t="s">
        <v>53</v>
      </c>
      <c r="B46" s="104"/>
      <c r="C46" s="105"/>
      <c r="D46" s="105"/>
      <c r="E46" s="105"/>
      <c r="F46" s="105"/>
      <c r="G46" s="105"/>
      <c r="H46" s="105"/>
      <c r="I46" s="105"/>
      <c r="J46" s="105"/>
      <c r="K46" s="105"/>
      <c r="L46" s="116"/>
      <c r="M46" s="50"/>
      <c r="N46" s="46"/>
      <c r="O46" s="42" t="str">
        <f t="shared" si="0"/>
        <v/>
      </c>
    </row>
    <row r="47" spans="1:19" ht="12.75" customHeight="1" x14ac:dyDescent="0.15">
      <c r="A47" s="103" t="s">
        <v>39</v>
      </c>
      <c r="B47" s="104"/>
      <c r="C47" s="105"/>
      <c r="D47" s="105"/>
      <c r="E47" s="105"/>
      <c r="F47" s="105"/>
      <c r="G47" s="105"/>
      <c r="H47" s="105"/>
      <c r="I47" s="105"/>
      <c r="J47" s="105"/>
      <c r="K47" s="105"/>
      <c r="L47" s="116"/>
      <c r="M47" s="50"/>
      <c r="N47" s="46"/>
      <c r="O47" s="42" t="str">
        <f t="shared" si="0"/>
        <v/>
      </c>
    </row>
    <row r="48" spans="1:19" ht="12.75" customHeight="1" x14ac:dyDescent="0.15">
      <c r="A48" s="103" t="s">
        <v>55</v>
      </c>
      <c r="B48" s="104"/>
      <c r="C48" s="105"/>
      <c r="D48" s="105"/>
      <c r="E48" s="105"/>
      <c r="F48" s="105"/>
      <c r="G48" s="105"/>
      <c r="H48" s="105"/>
      <c r="I48" s="105"/>
      <c r="J48" s="105"/>
      <c r="K48" s="105"/>
      <c r="L48" s="116"/>
      <c r="M48" s="50"/>
      <c r="N48" s="46"/>
      <c r="O48" s="42" t="str">
        <f t="shared" si="0"/>
        <v/>
      </c>
    </row>
    <row r="49" spans="1:15" ht="12.75" customHeight="1" x14ac:dyDescent="0.15">
      <c r="A49" s="103" t="s">
        <v>12</v>
      </c>
      <c r="B49" s="104"/>
      <c r="C49" s="119"/>
      <c r="D49" s="119"/>
      <c r="E49" s="119"/>
      <c r="F49" s="119"/>
      <c r="G49" s="105"/>
      <c r="H49" s="105"/>
      <c r="I49" s="105"/>
      <c r="J49" s="105"/>
      <c r="K49" s="105"/>
      <c r="L49" s="116"/>
      <c r="M49" s="50"/>
      <c r="N49" s="46"/>
      <c r="O49" s="42" t="str">
        <f t="shared" si="0"/>
        <v/>
      </c>
    </row>
    <row r="50" spans="1:15" ht="12.75" customHeight="1" thickBot="1" x14ac:dyDescent="0.2">
      <c r="A50" s="108" t="s">
        <v>37</v>
      </c>
      <c r="B50" s="109"/>
      <c r="C50" s="110"/>
      <c r="D50" s="110"/>
      <c r="E50" s="110"/>
      <c r="F50" s="110"/>
      <c r="G50" s="117"/>
      <c r="H50" s="110"/>
      <c r="I50" s="110"/>
      <c r="J50" s="110"/>
      <c r="K50" s="110"/>
      <c r="L50" s="118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0" t="s">
        <v>13</v>
      </c>
      <c r="B51" s="121"/>
      <c r="C51" s="133"/>
      <c r="D51" s="134"/>
      <c r="E51" s="135" t="s">
        <v>40</v>
      </c>
      <c r="F51" s="136"/>
      <c r="G51" s="137" t="s">
        <v>65</v>
      </c>
      <c r="H51" s="138"/>
      <c r="I51" s="138"/>
      <c r="J51" s="138"/>
      <c r="K51" s="138"/>
      <c r="L51" s="138"/>
      <c r="M51" s="138"/>
      <c r="N51" s="138"/>
      <c r="O51" s="139"/>
    </row>
    <row r="52" spans="1:15" ht="12.75" customHeight="1" x14ac:dyDescent="0.15">
      <c r="A52" s="129" t="s">
        <v>14</v>
      </c>
      <c r="B52" s="130"/>
      <c r="C52" s="140"/>
      <c r="D52" s="141"/>
      <c r="E52" s="124" t="s">
        <v>49</v>
      </c>
      <c r="F52" s="125"/>
      <c r="G52" s="126"/>
      <c r="H52" s="127"/>
      <c r="I52" s="127"/>
      <c r="J52" s="127"/>
      <c r="K52" s="127"/>
      <c r="L52" s="127"/>
      <c r="M52" s="127"/>
      <c r="N52" s="127"/>
      <c r="O52" s="128"/>
    </row>
    <row r="53" spans="1:15" ht="12.75" customHeight="1" x14ac:dyDescent="0.15">
      <c r="A53" s="120" t="s">
        <v>22</v>
      </c>
      <c r="B53" s="121"/>
      <c r="C53" s="122"/>
      <c r="D53" s="123"/>
      <c r="E53" s="124" t="s">
        <v>49</v>
      </c>
      <c r="F53" s="125"/>
      <c r="G53" s="126"/>
      <c r="H53" s="127"/>
      <c r="I53" s="127"/>
      <c r="J53" s="127"/>
      <c r="K53" s="127"/>
      <c r="L53" s="127"/>
      <c r="M53" s="127"/>
      <c r="N53" s="127"/>
      <c r="O53" s="128"/>
    </row>
    <row r="54" spans="1:15" ht="12.75" customHeight="1" x14ac:dyDescent="0.15">
      <c r="A54" s="129" t="s">
        <v>15</v>
      </c>
      <c r="B54" s="130"/>
      <c r="C54" s="131"/>
      <c r="D54" s="132"/>
      <c r="E54" s="124" t="s">
        <v>49</v>
      </c>
      <c r="F54" s="125"/>
      <c r="G54" s="126"/>
      <c r="H54" s="127"/>
      <c r="I54" s="127"/>
      <c r="J54" s="127"/>
      <c r="K54" s="127"/>
      <c r="L54" s="127"/>
      <c r="M54" s="127"/>
      <c r="N54" s="127"/>
      <c r="O54" s="128"/>
    </row>
    <row r="55" spans="1:15" ht="12.75" customHeight="1" thickBot="1" x14ac:dyDescent="0.2">
      <c r="A55" s="120" t="s">
        <v>19</v>
      </c>
      <c r="B55" s="121"/>
      <c r="C55" s="122"/>
      <c r="D55" s="123"/>
      <c r="E55" s="124" t="s">
        <v>43</v>
      </c>
      <c r="F55" s="125"/>
      <c r="G55" s="148"/>
      <c r="H55" s="149"/>
      <c r="I55" s="149"/>
      <c r="J55" s="149"/>
      <c r="K55" s="149"/>
      <c r="L55" s="149"/>
      <c r="M55" s="149"/>
      <c r="N55" s="149"/>
      <c r="O55" s="150"/>
    </row>
    <row r="56" spans="1:15" ht="12.75" customHeight="1" x14ac:dyDescent="0.15">
      <c r="A56" s="129" t="s">
        <v>21</v>
      </c>
      <c r="B56" s="130"/>
      <c r="C56" s="122"/>
      <c r="D56" s="123"/>
      <c r="E56" s="124" t="s">
        <v>41</v>
      </c>
      <c r="F56" s="125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0" t="s">
        <v>16</v>
      </c>
      <c r="B57" s="121"/>
      <c r="C57" s="142"/>
      <c r="D57" s="143"/>
      <c r="E57" s="124" t="s">
        <v>42</v>
      </c>
      <c r="F57" s="125"/>
      <c r="G57" s="144"/>
      <c r="H57" s="145"/>
      <c r="I57" s="145"/>
      <c r="J57" s="145"/>
      <c r="K57" s="145"/>
      <c r="L57" s="145"/>
      <c r="M57" s="145"/>
      <c r="N57" s="145"/>
      <c r="O57" s="146"/>
    </row>
    <row r="58" spans="1:15" ht="12.75" customHeight="1" x14ac:dyDescent="0.15">
      <c r="A58" s="129" t="s">
        <v>17</v>
      </c>
      <c r="B58" s="147"/>
      <c r="C58" s="122"/>
      <c r="D58" s="123"/>
      <c r="E58" s="53" t="s">
        <v>41</v>
      </c>
      <c r="F58" s="64"/>
      <c r="G58" s="126"/>
      <c r="H58" s="127"/>
      <c r="I58" s="127"/>
      <c r="J58" s="127"/>
      <c r="K58" s="127"/>
      <c r="L58" s="127"/>
      <c r="M58" s="127"/>
      <c r="N58" s="127"/>
      <c r="O58" s="128"/>
    </row>
    <row r="59" spans="1:15" ht="12.75" customHeight="1" thickBot="1" x14ac:dyDescent="0.2">
      <c r="A59" s="154" t="s">
        <v>18</v>
      </c>
      <c r="B59" s="155"/>
      <c r="C59" s="156"/>
      <c r="D59" s="117"/>
      <c r="E59" s="157" t="s">
        <v>41</v>
      </c>
      <c r="F59" s="158"/>
      <c r="G59" s="159"/>
      <c r="H59" s="160"/>
      <c r="I59" s="160"/>
      <c r="J59" s="160"/>
      <c r="K59" s="160"/>
      <c r="L59" s="160"/>
      <c r="M59" s="160"/>
      <c r="N59" s="160"/>
      <c r="O59" s="161"/>
    </row>
    <row r="60" spans="1:15" ht="12.75" customHeight="1" x14ac:dyDescent="0.15">
      <c r="A60" s="137" t="s">
        <v>20</v>
      </c>
      <c r="B60" s="138"/>
      <c r="C60" s="138"/>
      <c r="D60" s="138"/>
      <c r="E60" s="138"/>
      <c r="F60" s="138"/>
      <c r="G60" s="126" t="s">
        <v>32</v>
      </c>
      <c r="H60" s="127"/>
      <c r="I60" s="127"/>
      <c r="J60" s="127"/>
      <c r="K60" s="127"/>
      <c r="L60" s="127"/>
      <c r="M60" s="127"/>
      <c r="N60" s="127"/>
      <c r="O60" s="128"/>
    </row>
    <row r="61" spans="1:15" ht="12.75" customHeight="1" x14ac:dyDescent="0.15">
      <c r="A61" s="126"/>
      <c r="B61" s="127"/>
      <c r="C61" s="127"/>
      <c r="D61" s="127"/>
      <c r="E61" s="127"/>
      <c r="F61" s="127"/>
      <c r="G61" s="126"/>
      <c r="H61" s="127"/>
      <c r="I61" s="127"/>
      <c r="J61" s="127"/>
      <c r="K61" s="127"/>
      <c r="L61" s="127"/>
      <c r="M61" s="127"/>
      <c r="N61" s="127"/>
      <c r="O61" s="128"/>
    </row>
    <row r="62" spans="1:15" ht="12.75" customHeight="1" thickBot="1" x14ac:dyDescent="0.2">
      <c r="A62" s="151"/>
      <c r="B62" s="152"/>
      <c r="C62" s="152"/>
      <c r="D62" s="152"/>
      <c r="E62" s="152"/>
      <c r="F62" s="152"/>
      <c r="G62" s="151"/>
      <c r="H62" s="152"/>
      <c r="I62" s="152"/>
      <c r="J62" s="152"/>
      <c r="K62" s="152"/>
      <c r="L62" s="152"/>
      <c r="M62" s="152"/>
      <c r="N62" s="152"/>
      <c r="O62" s="153"/>
    </row>
    <row r="66" spans="1:9" x14ac:dyDescent="0.15">
      <c r="A66" s="127"/>
      <c r="B66" s="127"/>
      <c r="C66" s="127"/>
      <c r="D66" s="127"/>
      <c r="E66" s="127"/>
      <c r="F66" s="127"/>
      <c r="G66" s="127"/>
      <c r="H66" s="127"/>
      <c r="I66" s="127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1BBD34D-7A46-444C-8507-0FF93B8E0EC0}">
            <xm:f>COUNTIF(祝日!$C:$C,E1)=1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1892BE9-A2AD-4DFE-8142-BC96185CB6DF}">
            <xm:f>COUNTIF(祝日!$C:$C,E1)=1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20"/>
  <sheetViews>
    <sheetView showZeros="0" tabSelected="1" workbookViewId="0">
      <selection activeCell="L14" sqref="L14"/>
    </sheetView>
  </sheetViews>
  <sheetFormatPr defaultRowHeight="13.5" x14ac:dyDescent="0.15"/>
  <cols>
    <col min="1" max="1" width="15.5" style="176" customWidth="1"/>
    <col min="2" max="2" width="15.875" style="171" customWidth="1"/>
    <col min="3" max="3" width="15.5" style="179" customWidth="1"/>
    <col min="4" max="4" width="15.875" style="171" customWidth="1"/>
    <col min="5" max="16384" width="9" style="70"/>
  </cols>
  <sheetData>
    <row r="1" spans="1:5" x14ac:dyDescent="0.15">
      <c r="A1" s="162">
        <f>[1]祝日!A1</f>
        <v>46506</v>
      </c>
      <c r="B1" s="163" t="str">
        <f>[1]祝日!B1</f>
        <v>昭和の日</v>
      </c>
      <c r="C1" s="164">
        <f>[1]祝日!C1</f>
        <v>46753</v>
      </c>
      <c r="D1" s="163" t="str">
        <f>[1]祝日!D1</f>
        <v>元日</v>
      </c>
      <c r="E1" s="165">
        <f>[1]祝日!E1</f>
        <v>2027</v>
      </c>
    </row>
    <row r="2" spans="1:5" x14ac:dyDescent="0.15">
      <c r="A2" s="166">
        <f>[1]祝日!A2</f>
        <v>46510</v>
      </c>
      <c r="B2" s="167" t="str">
        <f>[1]祝日!B2</f>
        <v>憲法記念日</v>
      </c>
      <c r="C2" s="168">
        <f>[1]祝日!C2</f>
        <v>46762</v>
      </c>
      <c r="D2" s="167" t="str">
        <f>[1]祝日!D2</f>
        <v>成人の日</v>
      </c>
      <c r="E2" s="169">
        <f>[1]祝日!E2</f>
        <v>0</v>
      </c>
    </row>
    <row r="3" spans="1:5" x14ac:dyDescent="0.15">
      <c r="A3" s="166">
        <f>[1]祝日!A3</f>
        <v>46511</v>
      </c>
      <c r="B3" s="167" t="str">
        <f>[1]祝日!B3</f>
        <v>みどりの日</v>
      </c>
      <c r="C3" s="168">
        <f>[1]祝日!C3</f>
        <v>46794</v>
      </c>
      <c r="D3" s="167" t="str">
        <f>[1]祝日!D3</f>
        <v>建国記念の日</v>
      </c>
      <c r="E3" s="169">
        <f>[1]祝日!E3</f>
        <v>0</v>
      </c>
    </row>
    <row r="4" spans="1:5" x14ac:dyDescent="0.15">
      <c r="A4" s="166">
        <f>[1]祝日!A4</f>
        <v>46512</v>
      </c>
      <c r="B4" s="167" t="str">
        <f>[1]祝日!B4</f>
        <v>こどもの日</v>
      </c>
      <c r="C4" s="168">
        <f>[1]祝日!C4</f>
        <v>46806</v>
      </c>
      <c r="D4" s="167" t="str">
        <f>[1]祝日!D4</f>
        <v>天皇誕生日</v>
      </c>
      <c r="E4" s="169">
        <f>[1]祝日!E4</f>
        <v>0</v>
      </c>
    </row>
    <row r="5" spans="1:5" x14ac:dyDescent="0.15">
      <c r="A5" s="166">
        <f>[1]祝日!A5</f>
        <v>46587</v>
      </c>
      <c r="B5" s="167" t="str">
        <f>[1]祝日!B5</f>
        <v>海の日</v>
      </c>
      <c r="C5" s="168">
        <f>[1]祝日!C5</f>
        <v>46832</v>
      </c>
      <c r="D5" s="167" t="str">
        <f>[1]祝日!D5</f>
        <v>春分の日</v>
      </c>
      <c r="E5" s="169">
        <f>[1]祝日!E5</f>
        <v>0</v>
      </c>
    </row>
    <row r="6" spans="1:5" x14ac:dyDescent="0.15">
      <c r="A6" s="166">
        <f>[1]祝日!A6</f>
        <v>46610</v>
      </c>
      <c r="B6" s="167" t="str">
        <f>[1]祝日!B6</f>
        <v>山の日</v>
      </c>
      <c r="C6" s="168">
        <f>[1]祝日!C6</f>
        <v>0</v>
      </c>
      <c r="D6" s="167">
        <f>[1]祝日!D6</f>
        <v>0</v>
      </c>
      <c r="E6" s="169">
        <f>[1]祝日!E6</f>
        <v>0</v>
      </c>
    </row>
    <row r="7" spans="1:5" x14ac:dyDescent="0.15">
      <c r="A7" s="166">
        <f>[1]祝日!A7</f>
        <v>46650</v>
      </c>
      <c r="B7" s="167" t="str">
        <f>[1]祝日!B7</f>
        <v>敬老の日</v>
      </c>
      <c r="C7" s="168">
        <f>[1]祝日!C7</f>
        <v>0</v>
      </c>
      <c r="D7" s="167">
        <f>[1]祝日!D7</f>
        <v>0</v>
      </c>
      <c r="E7" s="169">
        <f>[1]祝日!E7</f>
        <v>0</v>
      </c>
    </row>
    <row r="8" spans="1:5" x14ac:dyDescent="0.15">
      <c r="A8" s="166">
        <f>[1]祝日!A8</f>
        <v>46653</v>
      </c>
      <c r="B8" s="167" t="str">
        <f>[1]祝日!B8</f>
        <v>秋分の日</v>
      </c>
      <c r="C8" s="168">
        <f>[1]祝日!C8</f>
        <v>0</v>
      </c>
      <c r="D8" s="167">
        <f>[1]祝日!D8</f>
        <v>0</v>
      </c>
      <c r="E8" s="169">
        <f>[1]祝日!E8</f>
        <v>0</v>
      </c>
    </row>
    <row r="9" spans="1:5" x14ac:dyDescent="0.15">
      <c r="A9" s="166">
        <f>[1]祝日!A9</f>
        <v>46671</v>
      </c>
      <c r="B9" s="167" t="str">
        <f>[1]祝日!B9</f>
        <v>スポーツの日</v>
      </c>
      <c r="C9" s="168">
        <f>[1]祝日!C9</f>
        <v>0</v>
      </c>
      <c r="D9" s="167">
        <f>[1]祝日!D9</f>
        <v>0</v>
      </c>
      <c r="E9" s="169">
        <f>[1]祝日!E9</f>
        <v>0</v>
      </c>
    </row>
    <row r="10" spans="1:5" x14ac:dyDescent="0.15">
      <c r="A10" s="166">
        <f>[1]祝日!A10</f>
        <v>46694</v>
      </c>
      <c r="B10" s="167" t="str">
        <f>[1]祝日!B10</f>
        <v>文化の日</v>
      </c>
      <c r="C10" s="168">
        <f>[1]祝日!C10</f>
        <v>0</v>
      </c>
      <c r="D10" s="167">
        <f>[1]祝日!D10</f>
        <v>0</v>
      </c>
      <c r="E10" s="169">
        <f>[1]祝日!E10</f>
        <v>0</v>
      </c>
    </row>
    <row r="11" spans="1:5" x14ac:dyDescent="0.15">
      <c r="A11" s="166">
        <f>[1]祝日!A11</f>
        <v>46714</v>
      </c>
      <c r="B11" s="167" t="str">
        <f>[1]祝日!B11</f>
        <v>勤労感謝の日</v>
      </c>
      <c r="C11" s="168">
        <f>[1]祝日!C11</f>
        <v>0</v>
      </c>
      <c r="D11" s="167">
        <f>[1]祝日!D11</f>
        <v>0</v>
      </c>
      <c r="E11" s="169">
        <f>[1]祝日!E11</f>
        <v>0</v>
      </c>
    </row>
    <row r="12" spans="1:5" x14ac:dyDescent="0.15">
      <c r="A12" s="166">
        <f>[1]祝日!A12</f>
        <v>0</v>
      </c>
      <c r="B12" s="167">
        <f>[1]祝日!B12</f>
        <v>0</v>
      </c>
      <c r="C12" s="168">
        <f>[1]祝日!C12</f>
        <v>0</v>
      </c>
      <c r="D12" s="167">
        <f>[1]祝日!D12</f>
        <v>0</v>
      </c>
      <c r="E12" s="169">
        <f>[1]祝日!E12</f>
        <v>0</v>
      </c>
    </row>
    <row r="13" spans="1:5" x14ac:dyDescent="0.15">
      <c r="A13" s="166">
        <f>[1]祝日!A13</f>
        <v>0</v>
      </c>
      <c r="B13" s="167">
        <f>[1]祝日!B13</f>
        <v>0</v>
      </c>
      <c r="C13" s="168">
        <f>[1]祝日!C13</f>
        <v>0</v>
      </c>
      <c r="D13" s="167">
        <f>[1]祝日!D13</f>
        <v>0</v>
      </c>
      <c r="E13" s="169">
        <f>[1]祝日!E13</f>
        <v>0</v>
      </c>
    </row>
    <row r="14" spans="1:5" x14ac:dyDescent="0.15">
      <c r="A14" s="166">
        <f>[1]祝日!A14</f>
        <v>0</v>
      </c>
      <c r="B14" s="167">
        <f>[1]祝日!B14</f>
        <v>0</v>
      </c>
      <c r="C14" s="168">
        <f>[1]祝日!C14</f>
        <v>0</v>
      </c>
      <c r="D14" s="167">
        <f>[1]祝日!D14</f>
        <v>0</v>
      </c>
      <c r="E14" s="169">
        <f>[1]祝日!E14</f>
        <v>0</v>
      </c>
    </row>
    <row r="15" spans="1:5" x14ac:dyDescent="0.15">
      <c r="A15" s="166">
        <f>[1]祝日!A15</f>
        <v>0</v>
      </c>
      <c r="B15" s="167">
        <f>[1]祝日!B15</f>
        <v>0</v>
      </c>
      <c r="C15" s="168">
        <f>[1]祝日!C15</f>
        <v>0</v>
      </c>
      <c r="D15" s="167">
        <f>[1]祝日!D15</f>
        <v>0</v>
      </c>
      <c r="E15" s="169">
        <f>[1]祝日!E15</f>
        <v>0</v>
      </c>
    </row>
    <row r="16" spans="1:5" x14ac:dyDescent="0.15">
      <c r="A16" s="166">
        <f>[1]祝日!A16</f>
        <v>0</v>
      </c>
      <c r="B16" s="167">
        <f>[1]祝日!B16</f>
        <v>0</v>
      </c>
      <c r="C16" s="168">
        <f>[1]祝日!C16</f>
        <v>0</v>
      </c>
      <c r="D16" s="167">
        <f>[1]祝日!D16</f>
        <v>0</v>
      </c>
      <c r="E16" s="169">
        <f>[1]祝日!E16</f>
        <v>0</v>
      </c>
    </row>
    <row r="17" spans="1:5" x14ac:dyDescent="0.15">
      <c r="A17" s="170">
        <f>[1]祝日!A17</f>
        <v>0</v>
      </c>
      <c r="B17" s="171">
        <f>[1]祝日!B17</f>
        <v>0</v>
      </c>
      <c r="C17" s="177">
        <f>[1]祝日!C17</f>
        <v>0</v>
      </c>
      <c r="D17" s="171">
        <f>[1]祝日!D17</f>
        <v>0</v>
      </c>
      <c r="E17" s="172">
        <f>[1]祝日!E17</f>
        <v>0</v>
      </c>
    </row>
    <row r="18" spans="1:5" x14ac:dyDescent="0.15">
      <c r="A18" s="170">
        <f>[1]祝日!A18</f>
        <v>0</v>
      </c>
      <c r="B18" s="171">
        <f>[1]祝日!B18</f>
        <v>0</v>
      </c>
      <c r="C18" s="177">
        <f>[1]祝日!C18</f>
        <v>0</v>
      </c>
      <c r="D18" s="171">
        <f>[1]祝日!D18</f>
        <v>0</v>
      </c>
      <c r="E18" s="172">
        <f>[1]祝日!E18</f>
        <v>0</v>
      </c>
    </row>
    <row r="19" spans="1:5" x14ac:dyDescent="0.15">
      <c r="A19" s="170">
        <f>[1]祝日!A19</f>
        <v>0</v>
      </c>
      <c r="B19" s="171">
        <f>[1]祝日!B19</f>
        <v>0</v>
      </c>
      <c r="C19" s="177">
        <f>[1]祝日!C19</f>
        <v>0</v>
      </c>
      <c r="D19" s="171">
        <f>[1]祝日!D19</f>
        <v>0</v>
      </c>
      <c r="E19" s="172">
        <f>[1]祝日!E19</f>
        <v>0</v>
      </c>
    </row>
    <row r="20" spans="1:5" x14ac:dyDescent="0.15">
      <c r="A20" s="173">
        <f>[1]祝日!A20</f>
        <v>0</v>
      </c>
      <c r="B20" s="174">
        <f>[1]祝日!B20</f>
        <v>0</v>
      </c>
      <c r="C20" s="178">
        <f>[1]祝日!C20</f>
        <v>0</v>
      </c>
      <c r="D20" s="174">
        <f>[1]祝日!D20</f>
        <v>0</v>
      </c>
      <c r="E20" s="175">
        <f>[1]祝日!E20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2026-04-08T06:03:06Z</dcterms:modified>
</cp:coreProperties>
</file>