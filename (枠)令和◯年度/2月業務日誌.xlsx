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令和◯年度\"/>
    </mc:Choice>
  </mc:AlternateContent>
  <xr:revisionPtr revIDLastSave="0" documentId="13_ncr:1_{85B56175-9E4E-416A-864C-D94C59315900}" xr6:coauthVersionLast="47" xr6:coauthVersionMax="47" xr10:uidLastSave="{00000000-0000-0000-0000-000000000000}"/>
  <bookViews>
    <workbookView xWindow="150" yWindow="1065" windowWidth="22590" windowHeight="14460" tabRatio="870" activeTab="1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祝日" sheetId="95" r:id="rId31"/>
  </sheets>
  <externalReferences>
    <externalReference r:id="rId32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29" l="1"/>
  <c r="C1" i="95"/>
  <c r="C19" i="95"/>
  <c r="C18" i="95"/>
  <c r="C17" i="95"/>
  <c r="C16" i="95"/>
  <c r="C15" i="95"/>
  <c r="C14" i="95"/>
  <c r="C13" i="95"/>
  <c r="C12" i="95"/>
  <c r="C11" i="95"/>
  <c r="C10" i="95"/>
  <c r="E1" i="91"/>
  <c r="E1" i="90"/>
  <c r="E1" i="89"/>
  <c r="E1" i="88"/>
  <c r="E1" i="76"/>
  <c r="A1" i="95"/>
  <c r="B1" i="95"/>
  <c r="D1" i="95"/>
  <c r="E1" i="95"/>
  <c r="E1" i="87" s="1"/>
  <c r="A2" i="95"/>
  <c r="B2" i="95"/>
  <c r="C2" i="95"/>
  <c r="D2" i="95"/>
  <c r="E2" i="95"/>
  <c r="A3" i="95"/>
  <c r="B3" i="95"/>
  <c r="C3" i="95"/>
  <c r="D3" i="95"/>
  <c r="E3" i="95"/>
  <c r="A4" i="95"/>
  <c r="B4" i="95"/>
  <c r="C4" i="95"/>
  <c r="D4" i="95"/>
  <c r="E4" i="95"/>
  <c r="A5" i="95"/>
  <c r="B5" i="95"/>
  <c r="C5" i="95"/>
  <c r="D5" i="95"/>
  <c r="E5" i="95"/>
  <c r="A6" i="95"/>
  <c r="B6" i="95"/>
  <c r="C6" i="95"/>
  <c r="D6" i="95"/>
  <c r="E6" i="95"/>
  <c r="A7" i="95"/>
  <c r="B7" i="95"/>
  <c r="C7" i="95"/>
  <c r="D7" i="95"/>
  <c r="E7" i="95"/>
  <c r="A8" i="95"/>
  <c r="B8" i="95"/>
  <c r="C8" i="95"/>
  <c r="D8" i="95"/>
  <c r="E8" i="95"/>
  <c r="A9" i="95"/>
  <c r="B9" i="95"/>
  <c r="C9" i="95"/>
  <c r="D9" i="95"/>
  <c r="E9" i="95"/>
  <c r="A10" i="95"/>
  <c r="B10" i="95"/>
  <c r="D10" i="95"/>
  <c r="E10" i="95"/>
  <c r="A11" i="95"/>
  <c r="B11" i="95"/>
  <c r="D11" i="95"/>
  <c r="E11" i="95"/>
  <c r="A12" i="95"/>
  <c r="B12" i="95"/>
  <c r="D12" i="95"/>
  <c r="E12" i="95"/>
  <c r="A13" i="95"/>
  <c r="B13" i="95"/>
  <c r="D13" i="95"/>
  <c r="E13" i="95"/>
  <c r="A14" i="95"/>
  <c r="B14" i="95"/>
  <c r="D14" i="95"/>
  <c r="E14" i="95"/>
  <c r="A15" i="95"/>
  <c r="B15" i="95"/>
  <c r="D15" i="95"/>
  <c r="E15" i="95"/>
  <c r="A16" i="95"/>
  <c r="B16" i="95"/>
  <c r="D16" i="95"/>
  <c r="E16" i="95"/>
  <c r="A17" i="95"/>
  <c r="B17" i="95"/>
  <c r="D17" i="95"/>
  <c r="E17" i="95"/>
  <c r="A18" i="95"/>
  <c r="B18" i="95"/>
  <c r="D18" i="95"/>
  <c r="E18" i="95"/>
  <c r="A19" i="95"/>
  <c r="B19" i="95"/>
  <c r="D19" i="95"/>
  <c r="E19" i="95"/>
  <c r="A20" i="95"/>
  <c r="B20" i="95"/>
  <c r="C20" i="95"/>
  <c r="D20" i="95"/>
  <c r="E20" i="95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  <c r="E1" i="73" l="1"/>
  <c r="E1" i="74"/>
  <c r="E1" i="72"/>
  <c r="E1" i="75"/>
  <c r="E1" i="92"/>
  <c r="I1" i="92" s="1"/>
  <c r="E1" i="77"/>
  <c r="E1" i="78"/>
  <c r="E1" i="79"/>
  <c r="E1" i="63"/>
  <c r="E1" i="80"/>
  <c r="I1" i="80" s="1"/>
  <c r="E1" i="65"/>
  <c r="E1" i="81"/>
  <c r="I1" i="81" s="1"/>
  <c r="E1" i="66"/>
  <c r="I1" i="66" s="1"/>
  <c r="E1" i="82"/>
  <c r="I1" i="82" s="1"/>
  <c r="E1" i="67"/>
  <c r="I1" i="67" s="1"/>
  <c r="E1" i="83"/>
  <c r="I1" i="83" s="1"/>
  <c r="E1" i="84"/>
  <c r="I1" i="84" s="1"/>
  <c r="E1" i="68"/>
  <c r="I1" i="68" s="1"/>
  <c r="E1" i="69"/>
  <c r="I1" i="69" s="1"/>
  <c r="E1" i="85"/>
  <c r="I1" i="85" s="1"/>
  <c r="E1" i="70"/>
  <c r="E1" i="86"/>
  <c r="I1" i="86" s="1"/>
  <c r="E1" i="71"/>
  <c r="I1" i="91"/>
  <c r="I1" i="79"/>
  <c r="I1" i="90"/>
  <c r="I1" i="63"/>
  <c r="I1" i="89"/>
  <c r="I1" i="77"/>
  <c r="I1" i="65"/>
  <c r="I1" i="88"/>
  <c r="I1" i="76"/>
  <c r="I1" i="87"/>
  <c r="I1" i="75"/>
  <c r="I1" i="74"/>
  <c r="I1" i="73"/>
  <c r="I1" i="78"/>
  <c r="I1" i="72"/>
  <c r="I1" i="71"/>
  <c r="I1" i="70"/>
</calcChain>
</file>

<file path=xl/sharedStrings.xml><?xml version="1.0" encoding="utf-8"?>
<sst xmlns="http://schemas.openxmlformats.org/spreadsheetml/2006/main" count="4586" uniqueCount="69">
  <si>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</si>
  <si>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</si>
  <si>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</si>
  <si>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</si>
  <si>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</si>
  <si>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</si>
  <si>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</si>
  <si>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</si>
  <si>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</si>
  <si>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</si>
  <si>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</si>
  <si>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</si>
  <si>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</si>
  <si>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</si>
  <si>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</si>
  <si>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</si>
  <si>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</si>
  <si>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</si>
  <si>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</si>
  <si>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</si>
  <si>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</si>
  <si>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</si>
  <si>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</si>
  <si>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</si>
  <si>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</si>
  <si>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</si>
  <si>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</si>
  <si>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</si>
  <si>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</si>
  <si>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</si>
  <si>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</si>
  <si>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</si>
  <si>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</si>
  <si>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</si>
  <si>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</si>
  <si>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</si>
  <si>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</si>
  <si>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</si>
  <si>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</si>
  <si>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</si>
  <si>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</si>
  <si>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</si>
  <si>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</si>
  <si>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</si>
  <si>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</si>
  <si>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</si>
  <si>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</si>
  <si>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</si>
  <si>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</si>
  <si>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</si>
  <si>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</si>
  <si>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</si>
  <si>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</si>
  <si>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</si>
  <si>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</si>
  <si>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</si>
  <si>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</si>
  <si>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</si>
  <si>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</si>
  <si>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</si>
  <si>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</si>
  <si>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</si>
  <si>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</si>
  <si>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</si>
  <si>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</si>
  <si>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</si>
  <si>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</si>
  <si>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</si>
  <si>
    <t>2 月分</t>
    <rPh sb="2" eb="3">
      <t>ガツ</t>
    </rPh>
    <rPh sb="3" eb="4">
      <t>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</si>
</sst>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0_ ;[Red]\-0\ "/>
    <numFmt numFmtId="178" formatCode="#,##0.0_ "/>
    <numFmt numFmtId="180" formatCode="[h]:mm&quot; &quot;"/>
    <numFmt numFmtId="181" formatCode="[$]ggge&quot;年&quot;m&quot;月&quot;d&quot;日&quot;;@"/>
    <numFmt numFmtId="182" formatCode="yyyy/mm/dd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67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/>
    </xf>
    <xf numFmtId="14" fontId="5" fillId="0" borderId="5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1" fontId="7" fillId="0" borderId="47" xfId="0" applyNumberFormat="1" applyFont="1" applyBorder="1" applyAlignment="1">
      <alignment horizontal="right" vertical="center"/>
    </xf>
    <xf numFmtId="18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14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180" fontId="5" fillId="0" borderId="31" xfId="0" applyNumberFormat="1" applyFont="1" applyBorder="1" applyAlignment="1">
      <alignment horizontal="right" vertical="center"/>
    </xf>
    <xf numFmtId="180" fontId="5" fillId="0" borderId="22" xfId="0" applyNumberFormat="1" applyFont="1" applyBorder="1" applyAlignment="1">
      <alignment horizontal="right" vertical="center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22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0" fontId="13" fillId="0" borderId="0" xfId="1" applyFont="1" applyAlignment="1">
      <alignment horizontal="left" indent="1"/>
    </xf>
    <xf numFmtId="0" fontId="11" fillId="0" borderId="0" xfId="0" applyFont="1" applyAlignment="1">
      <alignment horizontal="left" indent="1"/>
    </xf>
    <xf numFmtId="182" fontId="13" fillId="0" borderId="0" xfId="1" applyNumberFormat="1" applyFont="1" applyAlignment="1">
      <alignment horizontal="center"/>
    </xf>
    <xf numFmtId="182" fontId="11" fillId="0" borderId="0" xfId="0" applyNumberFormat="1" applyFont="1" applyAlignment="1">
      <alignment horizontal="center"/>
    </xf>
  </cellXfs>
  <cellStyles count="2">
    <cellStyle name="標準" xfId="0" builtinId="0"/>
    <cellStyle name="標準 2" xfId="1" xr:uid="{50F53C47-DBD2-4504-9830-D45CD7119AE4}"/>
  </cellStyles>
  <dxfs count="342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20196;&#21644;&#9711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祝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>
            <v>46506</v>
          </cell>
          <cell r="B1" t="str">
            <v>昭和の日</v>
          </cell>
          <cell r="C1">
            <v>46753</v>
          </cell>
          <cell r="D1" t="str">
            <v>元日</v>
          </cell>
          <cell r="E1">
            <v>2027</v>
          </cell>
        </row>
        <row r="2">
          <cell r="A2">
            <v>46510</v>
          </cell>
          <cell r="B2" t="str">
            <v>憲法記念日</v>
          </cell>
          <cell r="C2">
            <v>46762</v>
          </cell>
          <cell r="D2" t="str">
            <v>成人の日</v>
          </cell>
          <cell r="E2"/>
        </row>
        <row r="3">
          <cell r="A3">
            <v>46511</v>
          </cell>
          <cell r="B3" t="str">
            <v>みどりの日</v>
          </cell>
          <cell r="C3">
            <v>46794</v>
          </cell>
          <cell r="D3" t="str">
            <v>建国記念の日</v>
          </cell>
          <cell r="E3"/>
        </row>
        <row r="4">
          <cell r="A4">
            <v>46512</v>
          </cell>
          <cell r="B4" t="str">
            <v>こどもの日</v>
          </cell>
          <cell r="C4">
            <v>46806</v>
          </cell>
          <cell r="D4" t="str">
            <v>天皇誕生日</v>
          </cell>
          <cell r="E4"/>
        </row>
        <row r="5">
          <cell r="A5">
            <v>46587</v>
          </cell>
          <cell r="B5" t="str">
            <v>海の日</v>
          </cell>
          <cell r="C5">
            <v>46832</v>
          </cell>
          <cell r="D5" t="str">
            <v>春分の日</v>
          </cell>
          <cell r="E5"/>
        </row>
        <row r="6">
          <cell r="A6">
            <v>46610</v>
          </cell>
          <cell r="B6" t="str">
            <v>山の日</v>
          </cell>
          <cell r="C6"/>
          <cell r="D6"/>
          <cell r="E6"/>
        </row>
        <row r="7">
          <cell r="A7">
            <v>46650</v>
          </cell>
          <cell r="B7" t="str">
            <v>敬老の日</v>
          </cell>
          <cell r="C7"/>
          <cell r="D7"/>
          <cell r="E7"/>
        </row>
        <row r="8">
          <cell r="A8">
            <v>46653</v>
          </cell>
          <cell r="B8" t="str">
            <v>秋分の日</v>
          </cell>
          <cell r="C8"/>
          <cell r="D8"/>
          <cell r="E8"/>
        </row>
        <row r="9">
          <cell r="A9">
            <v>46671</v>
          </cell>
          <cell r="B9" t="str">
            <v>スポーツの日</v>
          </cell>
          <cell r="C9"/>
          <cell r="D9"/>
          <cell r="E9"/>
        </row>
        <row r="10">
          <cell r="A10">
            <v>46694</v>
          </cell>
          <cell r="B10" t="str">
            <v>文化の日</v>
          </cell>
          <cell r="D10"/>
          <cell r="E10"/>
        </row>
        <row r="11">
          <cell r="A11">
            <v>46714</v>
          </cell>
          <cell r="B11" t="str">
            <v>勤労感謝の日</v>
          </cell>
          <cell r="D11"/>
          <cell r="E11"/>
        </row>
        <row r="12">
          <cell r="A12"/>
          <cell r="B12"/>
          <cell r="D12"/>
          <cell r="E12"/>
        </row>
        <row r="13">
          <cell r="A13"/>
          <cell r="B13"/>
          <cell r="D13"/>
          <cell r="E13"/>
        </row>
        <row r="14">
          <cell r="A14"/>
          <cell r="B14"/>
          <cell r="D14"/>
          <cell r="E14"/>
        </row>
        <row r="15">
          <cell r="A15"/>
          <cell r="B15"/>
          <cell r="D15"/>
          <cell r="E15"/>
        </row>
        <row r="16">
          <cell r="A16"/>
          <cell r="B16"/>
          <cell r="D16"/>
          <cell r="E16"/>
        </row>
        <row r="17">
          <cell r="A17"/>
          <cell r="B17"/>
          <cell r="D17"/>
          <cell r="E17"/>
        </row>
        <row r="18">
          <cell r="A18"/>
          <cell r="B18"/>
          <cell r="D18"/>
          <cell r="E18"/>
        </row>
        <row r="19">
          <cell r="A19"/>
          <cell r="B19"/>
          <cell r="D19"/>
          <cell r="E19"/>
        </row>
        <row r="20">
          <cell r="A20"/>
          <cell r="B20"/>
          <cell r="C20"/>
          <cell r="D20"/>
          <cell r="E20"/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D3" sqref="D3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73" t="str">
        <f>"令和 "&amp;祝日!E1-2018&amp;" 年度"</f>
        <v>令和 9 年度</v>
      </c>
      <c r="B1" s="73"/>
      <c r="C1" s="73"/>
    </row>
    <row r="2" spans="1:6" ht="75.75" customHeight="1" x14ac:dyDescent="0.4">
      <c r="A2" s="2"/>
      <c r="B2" s="2"/>
      <c r="C2" s="2"/>
    </row>
    <row r="3" spans="1:6" ht="65.25" customHeight="1" x14ac:dyDescent="0.4">
      <c r="A3" s="73" t="s">
        <v>68</v>
      </c>
      <c r="B3" s="73"/>
      <c r="C3" s="73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74" t="s">
        <v>44</v>
      </c>
      <c r="B5" s="74"/>
      <c r="C5" s="74"/>
    </row>
    <row r="6" spans="1:6" ht="169.5" customHeight="1" x14ac:dyDescent="0.4">
      <c r="A6" s="3"/>
      <c r="B6" s="3"/>
      <c r="C6" s="3"/>
    </row>
    <row r="7" spans="1:6" ht="54" customHeight="1" x14ac:dyDescent="0.4">
      <c r="A7" s="75" t="s">
        <v>45</v>
      </c>
      <c r="B7" s="75"/>
      <c r="C7" s="75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FF99"/>
  </sheetPr>
  <dimension ref="A1:S66"/>
  <sheetViews>
    <sheetView tabSelected="1" zoomScale="115" zoomScaleNormal="115" workbookViewId="0">
      <pane ySplit="4" topLeftCell="A5" activePane="bottomLeft" state="frozen"/>
      <selection activeCell="O20" sqref="O20"/>
      <selection pane="bottomLeft" activeCell="Q13" sqref="Q1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DATE(祝日!E1+1,2,1)</f>
        <v>46784</v>
      </c>
      <c r="F1" s="80"/>
      <c r="G1" s="80"/>
      <c r="H1" s="80"/>
      <c r="I1" s="81" t="str">
        <f>TEXT(E1,"aaaa")</f>
        <v>火曜日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70" priority="3" stopIfTrue="1" operator="containsText" text="日曜日">
      <formula>NOT(ISERROR(SEARCH("日曜日",I1)))</formula>
    </cfRule>
    <cfRule type="containsText" dxfId="169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6A3E7EB-9BF1-4173-9A29-C70BDC08DA50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DATE(祝日!E1+1,2,2)</f>
        <v>46785</v>
      </c>
      <c r="F1" s="80"/>
      <c r="G1" s="80"/>
      <c r="H1" s="80"/>
      <c r="I1" s="81" t="str">
        <f>TEXT(E1,"aaaa")</f>
        <v>水曜日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" priority="5" stopIfTrue="1">
      <formula>WEEKDAY($E$1)=7</formula>
    </cfRule>
    <cfRule type="expression" dxfId="3" priority="6" stopIfTrue="1">
      <formula>WEEKDAY($E$1)=1</formula>
    </cfRule>
  </conditionalFormatting>
  <conditionalFormatting sqref="I1:L1">
    <cfRule type="containsText" dxfId="1" priority="3" stopIfTrue="1" operator="containsText" text="日曜日">
      <formula>NOT(ISERROR(SEARCH("日曜日",I1)))</formula>
    </cfRule>
    <cfRule type="containsText" dxfId="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9EB8303-99AB-45F8-83A0-8A03E9CD36A3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574008DB-16E0-4429-B663-20FC3F69EC52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DATE(祝日!E1+1,2,3)</f>
        <v>46786</v>
      </c>
      <c r="F1" s="80"/>
      <c r="G1" s="80"/>
      <c r="H1" s="80"/>
      <c r="I1" s="81" t="str">
        <f>TEXT(E1,"aaaa")</f>
        <v>木曜日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BD71C7-6313-4C56-866A-5A9B3E8135FD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9995365-2595-4AE2-841D-91D789229DC2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DATE(祝日!E1+1,2,4)</f>
        <v>46787</v>
      </c>
      <c r="F1" s="80"/>
      <c r="G1" s="80"/>
      <c r="H1" s="80"/>
      <c r="I1" s="81" t="str">
        <f>TEXT(E1,"aaaa")</f>
        <v>金曜日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189CCDB-886F-4E5E-A239-B467B05CB478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3AC0938-F5FE-45CC-8C86-1FA6A94D3AA2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DATE(祝日!E1+1,2,5)</f>
        <v>46788</v>
      </c>
      <c r="F1" s="80"/>
      <c r="G1" s="80"/>
      <c r="H1" s="80"/>
      <c r="I1" s="81" t="str">
        <f>TEXT(E1,"aaaa")</f>
        <v>土曜日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1503A19-6780-417D-962E-0AB138A1E5DB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772DC47-D567-4299-B2CB-5BDE934F59B8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DATE(祝日!E1+1,2,6)</f>
        <v>46789</v>
      </c>
      <c r="F1" s="80"/>
      <c r="G1" s="80"/>
      <c r="H1" s="80"/>
      <c r="I1" s="81" t="str">
        <f>TEXT(E1,"aaaa")</f>
        <v>日曜日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AE06C7-E84B-4645-81EA-CB35B13F17A9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9864B3C-6EFA-40F7-8AE7-B0BDC516BC4F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DATE(祝日!E1+1,2,7)</f>
        <v>46790</v>
      </c>
      <c r="F1" s="80"/>
      <c r="G1" s="80"/>
      <c r="H1" s="80"/>
      <c r="I1" s="81" t="str">
        <f>TEXT(E1,"aaaa")</f>
        <v>月曜日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7D92911-2268-45B8-901F-E6703675BF31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96B3BA3-905C-45FC-9E2F-7A8E3985461D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DATE(祝日!E1+1,2,8)</f>
        <v>46791</v>
      </c>
      <c r="F1" s="80"/>
      <c r="G1" s="80"/>
      <c r="H1" s="80"/>
      <c r="I1" s="81" t="str">
        <f>TEXT(E1,"aaaa")</f>
        <v>火曜日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8C0FD39-09B0-4926-940D-2E70AE597B1F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CB9688F-C49A-4A88-8A23-DCB9CD87E1D0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DATE(祝日!E1+1,2,9)</f>
        <v>46792</v>
      </c>
      <c r="F1" s="80"/>
      <c r="G1" s="80"/>
      <c r="H1" s="80"/>
      <c r="I1" s="81" t="str">
        <f>TEXT(E1,"aaaa")</f>
        <v>水曜日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E879590-BBC7-408F-BB5A-AEE839C70E69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03250CF-41BF-48EC-8D99-644CCEF38D28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DATE(祝日!E1+1,2,10)</f>
        <v>46793</v>
      </c>
      <c r="F1" s="80"/>
      <c r="G1" s="80"/>
      <c r="H1" s="80"/>
      <c r="I1" s="81" t="str">
        <f>TEXT(E1,"aaaa")</f>
        <v>木曜日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6712A20-72E8-439C-B3AD-56BCE057AECB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53F3360-FC10-4D0A-86CD-9D91710AC8DB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DATE(祝日!E1+1,2,11)</f>
        <v>46794</v>
      </c>
      <c r="F1" s="80"/>
      <c r="G1" s="80"/>
      <c r="H1" s="80"/>
      <c r="I1" s="81" t="str">
        <f>TEXT(E1,"aaaa")</f>
        <v>金曜日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BF325C9-AF05-42CA-AF76-73ECECF597BD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ADC1D97-023A-41D8-BAE3-BA39DF20276B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DATE(祝日!E1+1,2,12)</f>
        <v>46795</v>
      </c>
      <c r="F1" s="80"/>
      <c r="G1" s="80"/>
      <c r="H1" s="80"/>
      <c r="I1" s="81" t="str">
        <f>TEXT(E1,"aaaa")</f>
        <v>土曜日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F323521-5DC3-4AE7-9226-E748F94B647B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D810D76-F035-4855-9BEF-D813E31307D6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DATE(祝日!E1+1,2,13)</f>
        <v>46796</v>
      </c>
      <c r="F1" s="80"/>
      <c r="G1" s="80"/>
      <c r="H1" s="80"/>
      <c r="I1" s="81" t="str">
        <f>TEXT(E1,"aaaa")</f>
        <v>日曜日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98B3EA8-ECD5-41A3-B2F6-82C8376191EF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9C17414-CCA6-40F3-B8D2-52F21A1C38FD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DATE(祝日!E1+1,2,14)</f>
        <v>46797</v>
      </c>
      <c r="F1" s="80"/>
      <c r="G1" s="80"/>
      <c r="H1" s="80"/>
      <c r="I1" s="81" t="str">
        <f>TEXT(E1,"aaaa")</f>
        <v>月曜日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800A0B8-B645-4290-A79F-5691B673418B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B55335A-23CB-4DF0-A278-35AAED51E0B5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DATE(祝日!E1+1,2,15)</f>
        <v>46798</v>
      </c>
      <c r="F1" s="80"/>
      <c r="G1" s="80"/>
      <c r="H1" s="80"/>
      <c r="I1" s="81" t="str">
        <f>TEXT(E1,"aaaa")</f>
        <v>火曜日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FA75A7A7-8338-46AB-8B47-B590726B77CE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7D9BABE-3E77-404A-B80B-84EFE4186A7C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DATE(祝日!E1+1,2,16)</f>
        <v>46799</v>
      </c>
      <c r="F1" s="80"/>
      <c r="G1" s="80"/>
      <c r="H1" s="80"/>
      <c r="I1" s="81" t="str">
        <f>TEXT(E1,"aaaa")</f>
        <v>水曜日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E6CF59E-D704-424E-8DAD-B68C7FE73E19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FEC5934-BDB1-485D-BC09-61C54E1A2D69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DATE(祝日!E1+1,2,17)</f>
        <v>46800</v>
      </c>
      <c r="F1" s="80"/>
      <c r="G1" s="80"/>
      <c r="H1" s="80"/>
      <c r="I1" s="81" t="str">
        <f>TEXT(E1,"aaaa")</f>
        <v>木曜日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65EA2F3-13BB-4FCF-A9A7-A04D26434450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B598F95-F96B-4169-8692-DDF11ADE3444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DATE(祝日!E1+1,2,18)</f>
        <v>46801</v>
      </c>
      <c r="F1" s="80"/>
      <c r="G1" s="80"/>
      <c r="H1" s="80"/>
      <c r="I1" s="81" t="str">
        <f>TEXT(E1,"aaaa")</f>
        <v>金曜日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C0FEF5E8-7E5A-4ACC-9969-00A10683927C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2A97CBE-A48F-43E1-8951-C0554C23607F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DATE(祝日!E1+1,2,19)</f>
        <v>46802</v>
      </c>
      <c r="F1" s="80"/>
      <c r="G1" s="80"/>
      <c r="H1" s="80"/>
      <c r="I1" s="81" t="str">
        <f>TEXT(E1,"aaaa")</f>
        <v>土曜日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73B052-031E-4A7C-996B-4A3A74B4DDFD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2C8F870-4FA9-4A2E-B155-8E4A99CAD58A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DATE(祝日!E1+1,2,20)</f>
        <v>46803</v>
      </c>
      <c r="F1" s="80"/>
      <c r="G1" s="80"/>
      <c r="H1" s="80"/>
      <c r="I1" s="81" t="str">
        <f>TEXT(E1,"aaaa")</f>
        <v>日曜日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11B456-8C28-45A7-896B-95543D9EF8F5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92AEE6A-E1DD-4B0D-9B17-5BFFE5857E74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DATE(祝日!E1+1,2,21)</f>
        <v>46804</v>
      </c>
      <c r="F1" s="80"/>
      <c r="G1" s="80"/>
      <c r="H1" s="80"/>
      <c r="I1" s="81" t="str">
        <f>TEXT(E1,"aaaa")</f>
        <v>月曜日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9F80BD3-2CD8-497B-9ECD-0B5A7739F228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20BA762-4D41-4156-80B5-61E926370105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DATE(祝日!E1+1,2,22)</f>
        <v>46805</v>
      </c>
      <c r="F1" s="80"/>
      <c r="G1" s="80"/>
      <c r="H1" s="80"/>
      <c r="I1" s="81" t="str">
        <f>TEXT(E1,"aaaa")</f>
        <v>火曜日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52C8C54-02DA-4C93-AFC7-B9484240B387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D54F0C-9BA1-499D-9A3F-583867EA53CF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FF99"/>
  </sheetPr>
  <dimension ref="A1:S66"/>
  <sheetViews>
    <sheetView zoomScale="115" zoomScaleNormal="115" workbookViewId="0">
      <pane ySplit="4" topLeftCell="A3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DATE(祝日!E1+1,2,23)</f>
        <v>46806</v>
      </c>
      <c r="F1" s="80"/>
      <c r="G1" s="80"/>
      <c r="H1" s="80"/>
      <c r="I1" s="81" t="str">
        <f>TEXT(E1,"aaaa")</f>
        <v>水曜日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72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38F56A9-9B1A-4D34-8BD5-8B952EC37245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4CA48B7-78EC-4027-A02F-C4A19D0C0FAE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DATE(祝日!E1+1,2,24)</f>
        <v>46807</v>
      </c>
      <c r="F1" s="80"/>
      <c r="G1" s="80"/>
      <c r="H1" s="80"/>
      <c r="I1" s="81" t="str">
        <f>TEXT(E1,"aaaa")</f>
        <v>木曜日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EB55368-C0C4-4A63-B2D3-518586D49061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05E1E22-75BB-4B02-B302-4D820CB3F35B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DATE(祝日!E1+1,2,25)</f>
        <v>46808</v>
      </c>
      <c r="F1" s="80"/>
      <c r="G1" s="80"/>
      <c r="H1" s="80"/>
      <c r="I1" s="81" t="str">
        <f>TEXT(E1,"aaaa")</f>
        <v>金曜日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FACCC5A1-7C69-4FBA-A978-1C1CE423C525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A358200-AB0C-45CE-93BB-C72432F58A1C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DATE(祝日!E1+1,2,26)</f>
        <v>46809</v>
      </c>
      <c r="F1" s="80"/>
      <c r="G1" s="80"/>
      <c r="H1" s="80"/>
      <c r="I1" s="81" t="str">
        <f>TEXT(E1,"aaaa")</f>
        <v>土曜日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44B040F-A469-4E9E-9090-C5ABDAE760F8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F98476C-C135-420A-8436-AD082EC9A3E2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DATE(祝日!E1+1,2,27)</f>
        <v>46810</v>
      </c>
      <c r="F1" s="80"/>
      <c r="G1" s="80"/>
      <c r="H1" s="80"/>
      <c r="I1" s="81" t="str">
        <f>TEXT(E1,"aaaa")</f>
        <v>日曜日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B48C3C2-310E-413A-A99B-9BA76445FAEE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9921C39-D48E-4EC4-8789-2A56FE7E3A62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O20" sqref="O2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DATE(祝日!E1+1,2,28)</f>
        <v>46811</v>
      </c>
      <c r="F1" s="80"/>
      <c r="G1" s="80"/>
      <c r="H1" s="80"/>
      <c r="I1" s="81" t="str">
        <f>TEXT(E1,"aaaa")</f>
        <v>月曜日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D15399C-139C-4428-9061-5D666C6B8324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362EDE2-51F6-44A1-85A5-C9550152064A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O20" sqref="O20"/>
      <selection pane="bottomLeft" activeCell="J19" sqref="J1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DATE(祝日!E1+1,2,29)</f>
        <v>46812</v>
      </c>
      <c r="F1" s="80"/>
      <c r="G1" s="80"/>
      <c r="H1" s="80"/>
      <c r="I1" s="81" t="str">
        <f>TEXT(E1,"aaaa")</f>
        <v>火曜日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609401B-C4E1-4769-9535-DE2EC16B4CE4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352FF6-B90A-4E0D-B945-942E6B20B0D5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E20"/>
  <sheetViews>
    <sheetView showZeros="0" workbookViewId="0">
      <selection activeCell="H23" sqref="H23"/>
    </sheetView>
  </sheetViews>
  <sheetFormatPr defaultRowHeight="13.5" x14ac:dyDescent="0.15"/>
  <cols>
    <col min="1" max="1" width="14.875" style="166" customWidth="1"/>
    <col min="2" max="2" width="14.5" style="164" customWidth="1"/>
    <col min="3" max="3" width="14.875" style="166" customWidth="1"/>
    <col min="4" max="4" width="14.5" style="164" customWidth="1"/>
    <col min="5" max="16384" width="9" style="70"/>
  </cols>
  <sheetData>
    <row r="1" spans="1:5" x14ac:dyDescent="0.15">
      <c r="A1" s="165">
        <f>[1]祝日!A1</f>
        <v>46506</v>
      </c>
      <c r="B1" s="163" t="str">
        <f>[1]祝日!B1</f>
        <v>昭和の日</v>
      </c>
      <c r="C1" s="165">
        <f>[1]祝日!C1</f>
        <v>46753</v>
      </c>
      <c r="D1" s="164" t="str">
        <f>[1]祝日!D1</f>
        <v>元日</v>
      </c>
      <c r="E1" s="71">
        <f>[1]祝日!E1</f>
        <v>2027</v>
      </c>
    </row>
    <row r="2" spans="1:5" x14ac:dyDescent="0.15">
      <c r="A2" s="165">
        <f>[1]祝日!A2</f>
        <v>46510</v>
      </c>
      <c r="B2" s="163" t="str">
        <f>[1]祝日!B2</f>
        <v>憲法記念日</v>
      </c>
      <c r="C2" s="165">
        <f>[1]祝日!C2</f>
        <v>46762</v>
      </c>
      <c r="D2" s="164" t="str">
        <f>[1]祝日!D2</f>
        <v>成人の日</v>
      </c>
      <c r="E2" s="70">
        <f>[1]祝日!E2</f>
        <v>0</v>
      </c>
    </row>
    <row r="3" spans="1:5" x14ac:dyDescent="0.15">
      <c r="A3" s="165">
        <f>[1]祝日!A3</f>
        <v>46511</v>
      </c>
      <c r="B3" s="163" t="str">
        <f>[1]祝日!B3</f>
        <v>みどりの日</v>
      </c>
      <c r="C3" s="165">
        <f>[1]祝日!C3</f>
        <v>46794</v>
      </c>
      <c r="D3" s="164" t="str">
        <f>[1]祝日!D3</f>
        <v>建国記念の日</v>
      </c>
      <c r="E3" s="70">
        <f>[1]祝日!E3</f>
        <v>0</v>
      </c>
    </row>
    <row r="4" spans="1:5" x14ac:dyDescent="0.15">
      <c r="A4" s="165">
        <f>[1]祝日!A4</f>
        <v>46512</v>
      </c>
      <c r="B4" s="163" t="str">
        <f>[1]祝日!B4</f>
        <v>こどもの日</v>
      </c>
      <c r="C4" s="165">
        <f>[1]祝日!C4</f>
        <v>46806</v>
      </c>
      <c r="D4" s="164" t="str">
        <f>[1]祝日!D4</f>
        <v>天皇誕生日</v>
      </c>
      <c r="E4" s="70">
        <f>[1]祝日!E4</f>
        <v>0</v>
      </c>
    </row>
    <row r="5" spans="1:5" x14ac:dyDescent="0.15">
      <c r="A5" s="165">
        <f>[1]祝日!A5</f>
        <v>46587</v>
      </c>
      <c r="B5" s="163" t="str">
        <f>[1]祝日!B5</f>
        <v>海の日</v>
      </c>
      <c r="C5" s="165">
        <f>[1]祝日!C5</f>
        <v>46832</v>
      </c>
      <c r="D5" s="164" t="str">
        <f>[1]祝日!D5</f>
        <v>春分の日</v>
      </c>
      <c r="E5" s="70">
        <f>[1]祝日!E5</f>
        <v>0</v>
      </c>
    </row>
    <row r="6" spans="1:5" x14ac:dyDescent="0.15">
      <c r="A6" s="165">
        <f>[1]祝日!A6</f>
        <v>46610</v>
      </c>
      <c r="B6" s="163" t="str">
        <f>[1]祝日!B6</f>
        <v>山の日</v>
      </c>
      <c r="C6" s="165">
        <f>[1]祝日!C6</f>
        <v>0</v>
      </c>
      <c r="D6" s="164">
        <f>[1]祝日!D6</f>
        <v>0</v>
      </c>
      <c r="E6" s="70">
        <f>[1]祝日!E6</f>
        <v>0</v>
      </c>
    </row>
    <row r="7" spans="1:5" x14ac:dyDescent="0.15">
      <c r="A7" s="165">
        <f>[1]祝日!A7</f>
        <v>46650</v>
      </c>
      <c r="B7" s="163" t="str">
        <f>[1]祝日!B7</f>
        <v>敬老の日</v>
      </c>
      <c r="C7" s="165">
        <f>[1]祝日!C7</f>
        <v>0</v>
      </c>
      <c r="D7" s="164">
        <f>[1]祝日!D7</f>
        <v>0</v>
      </c>
      <c r="E7" s="70">
        <f>[1]祝日!E7</f>
        <v>0</v>
      </c>
    </row>
    <row r="8" spans="1:5" x14ac:dyDescent="0.15">
      <c r="A8" s="165">
        <f>[1]祝日!A8</f>
        <v>46653</v>
      </c>
      <c r="B8" s="163" t="str">
        <f>[1]祝日!B8</f>
        <v>秋分の日</v>
      </c>
      <c r="C8" s="165">
        <f>[1]祝日!C8</f>
        <v>0</v>
      </c>
      <c r="D8" s="164">
        <f>[1]祝日!D8</f>
        <v>0</v>
      </c>
      <c r="E8" s="70">
        <f>[1]祝日!E8</f>
        <v>0</v>
      </c>
    </row>
    <row r="9" spans="1:5" x14ac:dyDescent="0.15">
      <c r="A9" s="165">
        <f>[1]祝日!A9</f>
        <v>46671</v>
      </c>
      <c r="B9" s="163" t="str">
        <f>[1]祝日!B9</f>
        <v>スポーツの日</v>
      </c>
      <c r="C9" s="165">
        <f>[1]祝日!C9</f>
        <v>0</v>
      </c>
      <c r="D9" s="164">
        <f>[1]祝日!D9</f>
        <v>0</v>
      </c>
      <c r="E9" s="70">
        <f>[1]祝日!E9</f>
        <v>0</v>
      </c>
    </row>
    <row r="10" spans="1:5" x14ac:dyDescent="0.15">
      <c r="A10" s="165">
        <f>[1]祝日!A10</f>
        <v>46694</v>
      </c>
      <c r="B10" s="163" t="str">
        <f>[1]祝日!B10</f>
        <v>文化の日</v>
      </c>
      <c r="C10" s="165">
        <f>[1]祝日!E10</f>
        <v>0</v>
      </c>
      <c r="D10" s="164">
        <f>[1]祝日!D10</f>
        <v>0</v>
      </c>
      <c r="E10" s="70">
        <f>[1]祝日!E10</f>
        <v>0</v>
      </c>
    </row>
    <row r="11" spans="1:5" x14ac:dyDescent="0.15">
      <c r="A11" s="165">
        <f>[1]祝日!A11</f>
        <v>46714</v>
      </c>
      <c r="B11" s="163" t="str">
        <f>[1]祝日!B11</f>
        <v>勤労感謝の日</v>
      </c>
      <c r="C11" s="165">
        <f>[1]祝日!E11</f>
        <v>0</v>
      </c>
      <c r="D11" s="164">
        <f>[1]祝日!D11</f>
        <v>0</v>
      </c>
      <c r="E11" s="70">
        <f>[1]祝日!E11</f>
        <v>0</v>
      </c>
    </row>
    <row r="12" spans="1:5" x14ac:dyDescent="0.15">
      <c r="A12" s="165">
        <f>[1]祝日!A12</f>
        <v>0</v>
      </c>
      <c r="B12" s="163">
        <f>[1]祝日!B12</f>
        <v>0</v>
      </c>
      <c r="C12" s="165">
        <f>[1]祝日!E12</f>
        <v>0</v>
      </c>
      <c r="D12" s="164">
        <f>[1]祝日!D12</f>
        <v>0</v>
      </c>
      <c r="E12" s="70">
        <f>[1]祝日!E12</f>
        <v>0</v>
      </c>
    </row>
    <row r="13" spans="1:5" x14ac:dyDescent="0.15">
      <c r="A13" s="165">
        <f>[1]祝日!A13</f>
        <v>0</v>
      </c>
      <c r="B13" s="163">
        <f>[1]祝日!B13</f>
        <v>0</v>
      </c>
      <c r="C13" s="165">
        <f>[1]祝日!E13</f>
        <v>0</v>
      </c>
      <c r="D13" s="164">
        <f>[1]祝日!D13</f>
        <v>0</v>
      </c>
      <c r="E13" s="70">
        <f>[1]祝日!E13</f>
        <v>0</v>
      </c>
    </row>
    <row r="14" spans="1:5" x14ac:dyDescent="0.15">
      <c r="A14" s="165">
        <f>[1]祝日!A14</f>
        <v>0</v>
      </c>
      <c r="B14" s="163">
        <f>[1]祝日!B14</f>
        <v>0</v>
      </c>
      <c r="C14" s="165">
        <f>[1]祝日!E14</f>
        <v>0</v>
      </c>
      <c r="D14" s="164">
        <f>[1]祝日!D14</f>
        <v>0</v>
      </c>
      <c r="E14" s="70">
        <f>[1]祝日!E14</f>
        <v>0</v>
      </c>
    </row>
    <row r="15" spans="1:5" x14ac:dyDescent="0.15">
      <c r="A15" s="165">
        <f>[1]祝日!A15</f>
        <v>0</v>
      </c>
      <c r="B15" s="163">
        <f>[1]祝日!B15</f>
        <v>0</v>
      </c>
      <c r="C15" s="165">
        <f>[1]祝日!E15</f>
        <v>0</v>
      </c>
      <c r="D15" s="164">
        <f>[1]祝日!D15</f>
        <v>0</v>
      </c>
      <c r="E15" s="70">
        <f>[1]祝日!E15</f>
        <v>0</v>
      </c>
    </row>
    <row r="16" spans="1:5" x14ac:dyDescent="0.15">
      <c r="A16" s="165">
        <f>[1]祝日!A16</f>
        <v>0</v>
      </c>
      <c r="B16" s="163">
        <f>[1]祝日!B16</f>
        <v>0</v>
      </c>
      <c r="C16" s="165">
        <f>[1]祝日!E16</f>
        <v>0</v>
      </c>
      <c r="D16" s="164">
        <f>[1]祝日!D16</f>
        <v>0</v>
      </c>
      <c r="E16" s="70">
        <f>[1]祝日!E16</f>
        <v>0</v>
      </c>
    </row>
    <row r="17" spans="1:5" x14ac:dyDescent="0.15">
      <c r="A17" s="165">
        <f>[1]祝日!A17</f>
        <v>0</v>
      </c>
      <c r="B17" s="163">
        <f>[1]祝日!B17</f>
        <v>0</v>
      </c>
      <c r="C17" s="165">
        <f>[1]祝日!E17</f>
        <v>0</v>
      </c>
      <c r="D17" s="164">
        <f>[1]祝日!D17</f>
        <v>0</v>
      </c>
      <c r="E17" s="70">
        <f>[1]祝日!E17</f>
        <v>0</v>
      </c>
    </row>
    <row r="18" spans="1:5" x14ac:dyDescent="0.15">
      <c r="A18" s="165">
        <f>[1]祝日!A18</f>
        <v>0</v>
      </c>
      <c r="B18" s="163">
        <f>[1]祝日!B18</f>
        <v>0</v>
      </c>
      <c r="C18" s="165">
        <f>[1]祝日!E18</f>
        <v>0</v>
      </c>
      <c r="D18" s="164">
        <f>[1]祝日!D18</f>
        <v>0</v>
      </c>
      <c r="E18" s="70">
        <f>[1]祝日!E18</f>
        <v>0</v>
      </c>
    </row>
    <row r="19" spans="1:5" x14ac:dyDescent="0.15">
      <c r="A19" s="165">
        <f>[1]祝日!A19</f>
        <v>0</v>
      </c>
      <c r="B19" s="163">
        <f>[1]祝日!B19</f>
        <v>0</v>
      </c>
      <c r="C19" s="165">
        <f>[1]祝日!E19</f>
        <v>0</v>
      </c>
      <c r="D19" s="164">
        <f>[1]祝日!D19</f>
        <v>0</v>
      </c>
      <c r="E19" s="70">
        <f>[1]祝日!E19</f>
        <v>0</v>
      </c>
    </row>
    <row r="20" spans="1:5" x14ac:dyDescent="0.15">
      <c r="A20" s="166">
        <f>[1]祝日!A20</f>
        <v>0</v>
      </c>
      <c r="B20" s="164">
        <f>[1]祝日!B20</f>
        <v>0</v>
      </c>
      <c r="C20" s="166">
        <f>[1]祝日!C20</f>
        <v>0</v>
      </c>
      <c r="D20" s="164">
        <f>[1]祝日!D20</f>
        <v>0</v>
      </c>
      <c r="E20" s="70">
        <f>[1]祝日!E20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31</vt:i4>
      </vt:variant>
      <vt:variant>
        <vt:lpstr>名前付き一覧</vt:lpstr>
      </vt:variant>
      <vt:variant>
        <vt:i4>29</vt:i4>
      </vt:variant>
    </vt:vector>
  </HeadingPairs>
  <TitlesOfParts>
    <vt:vector size="60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祝日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Lay Hirosaki</cp:lastModifiedBy>
  <cp:lastPrinted>2021-05-11T22:50:14Z</cp:lastPrinted>
  <dcterms:created xsi:type="dcterms:W3CDTF">2006-10-04T10:30:20Z</dcterms:created>
  <dcterms:modified xsi:type="dcterms:W3CDTF">2026-04-08T05:56:01Z</dcterms:modified>
</cp:coreProperties>
</file>