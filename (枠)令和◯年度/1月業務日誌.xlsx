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令和◯年度\"/>
    </mc:Choice>
  </mc:AlternateContent>
  <xr:revisionPtr revIDLastSave="0" documentId="13_ncr:1_{8C050D3B-594F-4833-B1B8-B3EB8567C628}" xr6:coauthVersionLast="47" xr6:coauthVersionMax="47" xr10:uidLastSave="{00000000-0000-0000-0000-000000000000}"/>
  <bookViews>
    <workbookView xWindow="3045" yWindow="840" windowWidth="22590" windowHeight="14460" tabRatio="870" activeTab="1" xr2:uid="{E25C800C-7DD1-4E24-A99F-F3E303FA5DEC}"/>
  </bookViews>
  <sheets>
    <sheet name="表紙" sheetId="29" r:id="rId1"/>
    <sheet name="1" sheetId="63" r:id="rId2"/>
    <sheet name="2" sheetId="65" r:id="rId3"/>
    <sheet name="3" sheetId="66" r:id="rId4"/>
    <sheet name="4" sheetId="67" r:id="rId5"/>
    <sheet name="5" sheetId="68" r:id="rId6"/>
    <sheet name="6" sheetId="69" r:id="rId7"/>
    <sheet name="7" sheetId="70" r:id="rId8"/>
    <sheet name="8" sheetId="71" r:id="rId9"/>
    <sheet name="9" sheetId="72" r:id="rId10"/>
    <sheet name="10" sheetId="73" r:id="rId11"/>
    <sheet name="11" sheetId="74" r:id="rId12"/>
    <sheet name="12" sheetId="75" r:id="rId13"/>
    <sheet name="13" sheetId="76" r:id="rId14"/>
    <sheet name="14" sheetId="77" r:id="rId15"/>
    <sheet name="15" sheetId="78" r:id="rId16"/>
    <sheet name="16" sheetId="79" r:id="rId17"/>
    <sheet name="17" sheetId="80" r:id="rId18"/>
    <sheet name="18" sheetId="81" r:id="rId19"/>
    <sheet name="19" sheetId="82" r:id="rId20"/>
    <sheet name="20" sheetId="83" r:id="rId21"/>
    <sheet name="21" sheetId="84" r:id="rId22"/>
    <sheet name="22" sheetId="85" r:id="rId23"/>
    <sheet name="23" sheetId="86" r:id="rId24"/>
    <sheet name="24" sheetId="87" r:id="rId25"/>
    <sheet name="25" sheetId="88" r:id="rId26"/>
    <sheet name="26" sheetId="89" r:id="rId27"/>
    <sheet name="27" sheetId="90" r:id="rId28"/>
    <sheet name="28" sheetId="91" r:id="rId29"/>
    <sheet name="29" sheetId="92" r:id="rId30"/>
    <sheet name="30" sheetId="93" r:id="rId31"/>
    <sheet name="31" sheetId="94" r:id="rId32"/>
    <sheet name="祝日" sheetId="95" r:id="rId33"/>
  </sheets>
  <externalReferences>
    <externalReference r:id="rId34"/>
  </externalReferences>
  <definedNames>
    <definedName name="_xlnm.Print_Area" localSheetId="1">'1'!$A$1:$O$62</definedName>
    <definedName name="_xlnm.Print_Area" localSheetId="10">'10'!$A$1:$O$62</definedName>
    <definedName name="_xlnm.Print_Area" localSheetId="11">'11'!$A$1:$O$62</definedName>
    <definedName name="_xlnm.Print_Area" localSheetId="12">'12'!$A$1:$O$62</definedName>
    <definedName name="_xlnm.Print_Area" localSheetId="13">'13'!$A$1:$O$62</definedName>
    <definedName name="_xlnm.Print_Area" localSheetId="14">'14'!$A$1:$O$62</definedName>
    <definedName name="_xlnm.Print_Area" localSheetId="15">'15'!$A$1:$O$62</definedName>
    <definedName name="_xlnm.Print_Area" localSheetId="16">'16'!$A$1:$O$62</definedName>
    <definedName name="_xlnm.Print_Area" localSheetId="17">'17'!$A$1:$O$62</definedName>
    <definedName name="_xlnm.Print_Area" localSheetId="18">'18'!$A$1:$O$62</definedName>
    <definedName name="_xlnm.Print_Area" localSheetId="19">'19'!$A$1:$O$62</definedName>
    <definedName name="_xlnm.Print_Area" localSheetId="2">'2'!$A$1:$O$62</definedName>
    <definedName name="_xlnm.Print_Area" localSheetId="20">'20'!$A$1:$O$62</definedName>
    <definedName name="_xlnm.Print_Area" localSheetId="21">'21'!$A$1:$O$62</definedName>
    <definedName name="_xlnm.Print_Area" localSheetId="22">'22'!$A$1:$O$62</definedName>
    <definedName name="_xlnm.Print_Area" localSheetId="23">'23'!$A$1:$O$62</definedName>
    <definedName name="_xlnm.Print_Area" localSheetId="24">'24'!$A$1:$O$62</definedName>
    <definedName name="_xlnm.Print_Area" localSheetId="25">'25'!$A$1:$O$62</definedName>
    <definedName name="_xlnm.Print_Area" localSheetId="26">'26'!$A$1:$O$62</definedName>
    <definedName name="_xlnm.Print_Area" localSheetId="27">'27'!$A$1:$O$62</definedName>
    <definedName name="_xlnm.Print_Area" localSheetId="28">'28'!$A$1:$O$62</definedName>
    <definedName name="_xlnm.Print_Area" localSheetId="29">'29'!$A$1:$O$62</definedName>
    <definedName name="_xlnm.Print_Area" localSheetId="3">'3'!$A$1:$O$62</definedName>
    <definedName name="_xlnm.Print_Area" localSheetId="30">'30'!$A$1:$O$62</definedName>
    <definedName name="_xlnm.Print_Area" localSheetId="31">'31'!$A$1:$O$62</definedName>
    <definedName name="_xlnm.Print_Area" localSheetId="4">'4'!$A$1:$O$62</definedName>
    <definedName name="_xlnm.Print_Area" localSheetId="5">'5'!$A$1:$O$62</definedName>
    <definedName name="_xlnm.Print_Area" localSheetId="6">'6'!$A$1:$O$62</definedName>
    <definedName name="_xlnm.Print_Area" localSheetId="7">'7'!$A$1:$O$62</definedName>
    <definedName name="_xlnm.Print_Area" localSheetId="8">'8'!$A$1:$O$62</definedName>
    <definedName name="_xlnm.Print_Area" localSheetId="9">'9'!$A$1:$O$62</definedName>
    <definedName name="沓_形">#REF!</definedName>
    <definedName name="祝日リス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" i="95" l="1"/>
  <c r="B16" i="95"/>
  <c r="A16" i="95"/>
  <c r="B15" i="95"/>
  <c r="A15" i="95"/>
  <c r="B14" i="95"/>
  <c r="A14" i="95"/>
  <c r="B13" i="95"/>
  <c r="A13" i="95"/>
  <c r="B12" i="95"/>
  <c r="A1" i="95"/>
  <c r="B1" i="95"/>
  <c r="C1" i="95"/>
  <c r="D1" i="95"/>
  <c r="E1" i="95"/>
  <c r="A1" i="29" s="1"/>
  <c r="A2" i="95"/>
  <c r="B2" i="95"/>
  <c r="C2" i="95"/>
  <c r="D2" i="95"/>
  <c r="E2" i="95"/>
  <c r="A3" i="95"/>
  <c r="B3" i="95"/>
  <c r="C3" i="95"/>
  <c r="D3" i="95"/>
  <c r="E3" i="95"/>
  <c r="A4" i="95"/>
  <c r="B4" i="95"/>
  <c r="C4" i="95"/>
  <c r="D4" i="95"/>
  <c r="E4" i="95"/>
  <c r="A5" i="95"/>
  <c r="B5" i="95"/>
  <c r="C5" i="95"/>
  <c r="D5" i="95"/>
  <c r="E5" i="95"/>
  <c r="A6" i="95"/>
  <c r="B6" i="95"/>
  <c r="C6" i="95"/>
  <c r="D6" i="95"/>
  <c r="E6" i="95"/>
  <c r="A7" i="95"/>
  <c r="B7" i="95"/>
  <c r="C7" i="95"/>
  <c r="D7" i="95"/>
  <c r="E7" i="95"/>
  <c r="A8" i="95"/>
  <c r="B8" i="95"/>
  <c r="C8" i="95"/>
  <c r="D8" i="95"/>
  <c r="E8" i="95"/>
  <c r="A9" i="95"/>
  <c r="B9" i="95"/>
  <c r="C9" i="95"/>
  <c r="D9" i="95"/>
  <c r="E9" i="95"/>
  <c r="A10" i="95"/>
  <c r="B10" i="95"/>
  <c r="C10" i="95"/>
  <c r="D10" i="95"/>
  <c r="E10" i="95"/>
  <c r="A11" i="95"/>
  <c r="B11" i="95"/>
  <c r="C11" i="95"/>
  <c r="D11" i="95"/>
  <c r="E11" i="95"/>
  <c r="C12" i="95"/>
  <c r="D12" i="95"/>
  <c r="E12" i="95"/>
  <c r="C13" i="95"/>
  <c r="D13" i="95"/>
  <c r="E13" i="95"/>
  <c r="C14" i="95"/>
  <c r="D14" i="95"/>
  <c r="E14" i="95"/>
  <c r="C15" i="95"/>
  <c r="D15" i="95"/>
  <c r="E15" i="95"/>
  <c r="C16" i="95"/>
  <c r="D16" i="95"/>
  <c r="E16" i="95"/>
  <c r="A17" i="95"/>
  <c r="B17" i="95"/>
  <c r="C17" i="95"/>
  <c r="D17" i="95"/>
  <c r="E17" i="95"/>
  <c r="A18" i="95"/>
  <c r="B18" i="95"/>
  <c r="C18" i="95"/>
  <c r="D18" i="95"/>
  <c r="E18" i="95"/>
  <c r="A19" i="95"/>
  <c r="B19" i="95"/>
  <c r="C19" i="95"/>
  <c r="D19" i="95"/>
  <c r="E19" i="95"/>
  <c r="A20" i="95"/>
  <c r="B20" i="95"/>
  <c r="C20" i="95"/>
  <c r="D20" i="95"/>
  <c r="E20" i="95"/>
  <c r="E1" i="85"/>
  <c r="E1" i="84"/>
  <c r="E1" i="83"/>
  <c r="E1" i="70"/>
  <c r="E1" i="69"/>
  <c r="E1" i="68"/>
  <c r="E1" i="67"/>
  <c r="N50" i="94"/>
  <c r="O49" i="94"/>
  <c r="O48" i="94"/>
  <c r="O47" i="94"/>
  <c r="O46" i="94"/>
  <c r="O45" i="94"/>
  <c r="O44" i="94"/>
  <c r="O43" i="94"/>
  <c r="N41" i="94"/>
  <c r="N40" i="94"/>
  <c r="N39" i="94"/>
  <c r="N37" i="94"/>
  <c r="O36" i="94"/>
  <c r="N34" i="94"/>
  <c r="N33" i="94"/>
  <c r="N32" i="94"/>
  <c r="N31" i="94"/>
  <c r="O29" i="94"/>
  <c r="O28" i="94"/>
  <c r="O27" i="94"/>
  <c r="O26" i="94"/>
  <c r="N24" i="94"/>
  <c r="N23" i="94"/>
  <c r="N22" i="94"/>
  <c r="N21" i="94"/>
  <c r="N19" i="94"/>
  <c r="N18" i="94"/>
  <c r="N17" i="94"/>
  <c r="N16" i="94"/>
  <c r="O14" i="94"/>
  <c r="O13" i="94"/>
  <c r="O12" i="94"/>
  <c r="O11" i="94"/>
  <c r="N9" i="94"/>
  <c r="N8" i="94"/>
  <c r="N7" i="94"/>
  <c r="N6" i="94"/>
  <c r="N50" i="93"/>
  <c r="O49" i="93"/>
  <c r="O48" i="93"/>
  <c r="O47" i="93"/>
  <c r="O46" i="93"/>
  <c r="O45" i="93"/>
  <c r="O44" i="93"/>
  <c r="O43" i="93"/>
  <c r="N41" i="93"/>
  <c r="N40" i="93"/>
  <c r="N39" i="93"/>
  <c r="N37" i="93"/>
  <c r="O36" i="93"/>
  <c r="N34" i="93"/>
  <c r="N33" i="93"/>
  <c r="N32" i="93"/>
  <c r="N31" i="93"/>
  <c r="O29" i="93"/>
  <c r="O28" i="93"/>
  <c r="O27" i="93"/>
  <c r="O26" i="93"/>
  <c r="N24" i="93"/>
  <c r="N23" i="93"/>
  <c r="N22" i="93"/>
  <c r="N21" i="93"/>
  <c r="N19" i="93"/>
  <c r="N18" i="93"/>
  <c r="N17" i="93"/>
  <c r="N16" i="93"/>
  <c r="O14" i="93"/>
  <c r="O13" i="93"/>
  <c r="O12" i="93"/>
  <c r="O11" i="93"/>
  <c r="N9" i="93"/>
  <c r="N8" i="93"/>
  <c r="N7" i="93"/>
  <c r="N6" i="93"/>
  <c r="N50" i="92"/>
  <c r="O49" i="92"/>
  <c r="O48" i="92"/>
  <c r="O47" i="92"/>
  <c r="O46" i="92"/>
  <c r="O45" i="92"/>
  <c r="O44" i="92"/>
  <c r="O43" i="92"/>
  <c r="N41" i="92"/>
  <c r="N40" i="92"/>
  <c r="N39" i="92"/>
  <c r="N37" i="92"/>
  <c r="O36" i="92"/>
  <c r="N34" i="92"/>
  <c r="N33" i="92"/>
  <c r="N32" i="92"/>
  <c r="N31" i="92"/>
  <c r="O29" i="92"/>
  <c r="O28" i="92"/>
  <c r="O27" i="92"/>
  <c r="O26" i="92"/>
  <c r="N24" i="92"/>
  <c r="N23" i="92"/>
  <c r="N22" i="92"/>
  <c r="N21" i="92"/>
  <c r="N19" i="92"/>
  <c r="N18" i="92"/>
  <c r="N17" i="92"/>
  <c r="N16" i="92"/>
  <c r="O14" i="92"/>
  <c r="O13" i="92"/>
  <c r="O12" i="92"/>
  <c r="O11" i="92"/>
  <c r="N9" i="92"/>
  <c r="N8" i="92"/>
  <c r="N7" i="92"/>
  <c r="N6" i="92"/>
  <c r="N50" i="91"/>
  <c r="O49" i="91"/>
  <c r="O48" i="91"/>
  <c r="O47" i="91"/>
  <c r="O46" i="91"/>
  <c r="O45" i="91"/>
  <c r="O44" i="91"/>
  <c r="O43" i="91"/>
  <c r="N41" i="91"/>
  <c r="N40" i="91"/>
  <c r="N39" i="91"/>
  <c r="N37" i="91"/>
  <c r="O36" i="91"/>
  <c r="N34" i="91"/>
  <c r="N33" i="91"/>
  <c r="N32" i="91"/>
  <c r="N31" i="91"/>
  <c r="O29" i="91"/>
  <c r="O28" i="91"/>
  <c r="O27" i="91"/>
  <c r="O26" i="91"/>
  <c r="N24" i="91"/>
  <c r="N23" i="91"/>
  <c r="N22" i="91"/>
  <c r="N21" i="91"/>
  <c r="N19" i="91"/>
  <c r="N18" i="91"/>
  <c r="N17" i="91"/>
  <c r="N16" i="91"/>
  <c r="O14" i="91"/>
  <c r="O13" i="91"/>
  <c r="O12" i="91"/>
  <c r="O11" i="91"/>
  <c r="N9" i="91"/>
  <c r="N8" i="91"/>
  <c r="N7" i="91"/>
  <c r="N6" i="91"/>
  <c r="N50" i="90"/>
  <c r="O49" i="90"/>
  <c r="O48" i="90"/>
  <c r="O47" i="90"/>
  <c r="O46" i="90"/>
  <c r="O45" i="90"/>
  <c r="O44" i="90"/>
  <c r="O43" i="90"/>
  <c r="N41" i="90"/>
  <c r="N40" i="90"/>
  <c r="N39" i="90"/>
  <c r="N37" i="90"/>
  <c r="O36" i="90"/>
  <c r="N34" i="90"/>
  <c r="N33" i="90"/>
  <c r="N32" i="90"/>
  <c r="N31" i="90"/>
  <c r="O29" i="90"/>
  <c r="O28" i="90"/>
  <c r="O27" i="90"/>
  <c r="O26" i="90"/>
  <c r="N24" i="90"/>
  <c r="N23" i="90"/>
  <c r="N22" i="90"/>
  <c r="N21" i="90"/>
  <c r="N19" i="90"/>
  <c r="N18" i="90"/>
  <c r="N17" i="90"/>
  <c r="N16" i="90"/>
  <c r="O14" i="90"/>
  <c r="O13" i="90"/>
  <c r="O12" i="90"/>
  <c r="O11" i="90"/>
  <c r="N9" i="90"/>
  <c r="N8" i="90"/>
  <c r="N7" i="90"/>
  <c r="N6" i="90"/>
  <c r="N50" i="89"/>
  <c r="O49" i="89"/>
  <c r="O48" i="89"/>
  <c r="O47" i="89"/>
  <c r="O46" i="89"/>
  <c r="O45" i="89"/>
  <c r="O44" i="89"/>
  <c r="O43" i="89"/>
  <c r="N41" i="89"/>
  <c r="N40" i="89"/>
  <c r="N39" i="89"/>
  <c r="N37" i="89"/>
  <c r="O36" i="89"/>
  <c r="N34" i="89"/>
  <c r="N33" i="89"/>
  <c r="N32" i="89"/>
  <c r="N31" i="89"/>
  <c r="O29" i="89"/>
  <c r="O28" i="89"/>
  <c r="O27" i="89"/>
  <c r="O26" i="89"/>
  <c r="N24" i="89"/>
  <c r="N23" i="89"/>
  <c r="N22" i="89"/>
  <c r="N21" i="89"/>
  <c r="N19" i="89"/>
  <c r="N18" i="89"/>
  <c r="N17" i="89"/>
  <c r="N16" i="89"/>
  <c r="O14" i="89"/>
  <c r="O13" i="89"/>
  <c r="O12" i="89"/>
  <c r="O11" i="89"/>
  <c r="N9" i="89"/>
  <c r="N8" i="89"/>
  <c r="N7" i="89"/>
  <c r="N6" i="89"/>
  <c r="N50" i="88"/>
  <c r="O49" i="88"/>
  <c r="O48" i="88"/>
  <c r="O47" i="88"/>
  <c r="O46" i="88"/>
  <c r="O45" i="88"/>
  <c r="O44" i="88"/>
  <c r="O43" i="88"/>
  <c r="N41" i="88"/>
  <c r="N40" i="88"/>
  <c r="N39" i="88"/>
  <c r="N37" i="88"/>
  <c r="O36" i="88"/>
  <c r="N34" i="88"/>
  <c r="N33" i="88"/>
  <c r="N32" i="88"/>
  <c r="N31" i="88"/>
  <c r="O29" i="88"/>
  <c r="O28" i="88"/>
  <c r="O27" i="88"/>
  <c r="O26" i="88"/>
  <c r="N24" i="88"/>
  <c r="N23" i="88"/>
  <c r="N22" i="88"/>
  <c r="N21" i="88"/>
  <c r="N19" i="88"/>
  <c r="N18" i="88"/>
  <c r="N17" i="88"/>
  <c r="N16" i="88"/>
  <c r="O14" i="88"/>
  <c r="O13" i="88"/>
  <c r="O12" i="88"/>
  <c r="O11" i="88"/>
  <c r="N9" i="88"/>
  <c r="N8" i="88"/>
  <c r="N7" i="88"/>
  <c r="N6" i="88"/>
  <c r="N50" i="87"/>
  <c r="O49" i="87"/>
  <c r="O48" i="87"/>
  <c r="O47" i="87"/>
  <c r="O46" i="87"/>
  <c r="O45" i="87"/>
  <c r="O44" i="87"/>
  <c r="O43" i="87"/>
  <c r="N41" i="87"/>
  <c r="N40" i="87"/>
  <c r="N39" i="87"/>
  <c r="N37" i="87"/>
  <c r="O36" i="87"/>
  <c r="N34" i="87"/>
  <c r="N33" i="87"/>
  <c r="N32" i="87"/>
  <c r="N31" i="87"/>
  <c r="O29" i="87"/>
  <c r="O28" i="87"/>
  <c r="O27" i="87"/>
  <c r="O26" i="87"/>
  <c r="N24" i="87"/>
  <c r="N23" i="87"/>
  <c r="N22" i="87"/>
  <c r="N21" i="87"/>
  <c r="N19" i="87"/>
  <c r="N18" i="87"/>
  <c r="N17" i="87"/>
  <c r="N16" i="87"/>
  <c r="O14" i="87"/>
  <c r="O13" i="87"/>
  <c r="O12" i="87"/>
  <c r="O11" i="87"/>
  <c r="N9" i="87"/>
  <c r="N8" i="87"/>
  <c r="N7" i="87"/>
  <c r="N6" i="87"/>
  <c r="N50" i="86"/>
  <c r="O49" i="86"/>
  <c r="O48" i="86"/>
  <c r="O47" i="86"/>
  <c r="O46" i="86"/>
  <c r="O45" i="86"/>
  <c r="O44" i="86"/>
  <c r="O43" i="86"/>
  <c r="N41" i="86"/>
  <c r="N40" i="86"/>
  <c r="N39" i="86"/>
  <c r="N37" i="86"/>
  <c r="O36" i="86"/>
  <c r="N34" i="86"/>
  <c r="N33" i="86"/>
  <c r="N32" i="86"/>
  <c r="N31" i="86"/>
  <c r="O29" i="86"/>
  <c r="O28" i="86"/>
  <c r="O27" i="86"/>
  <c r="O26" i="86"/>
  <c r="N24" i="86"/>
  <c r="N23" i="86"/>
  <c r="N22" i="86"/>
  <c r="N21" i="86"/>
  <c r="N19" i="86"/>
  <c r="N18" i="86"/>
  <c r="N17" i="86"/>
  <c r="N16" i="86"/>
  <c r="O14" i="86"/>
  <c r="O13" i="86"/>
  <c r="O12" i="86"/>
  <c r="O11" i="86"/>
  <c r="N9" i="86"/>
  <c r="N8" i="86"/>
  <c r="N7" i="86"/>
  <c r="N6" i="86"/>
  <c r="N50" i="85"/>
  <c r="O49" i="85"/>
  <c r="O48" i="85"/>
  <c r="O47" i="85"/>
  <c r="O46" i="85"/>
  <c r="O45" i="85"/>
  <c r="O44" i="85"/>
  <c r="O43" i="85"/>
  <c r="N41" i="85"/>
  <c r="N40" i="85"/>
  <c r="N39" i="85"/>
  <c r="N37" i="85"/>
  <c r="O36" i="85"/>
  <c r="N34" i="85"/>
  <c r="N33" i="85"/>
  <c r="N32" i="85"/>
  <c r="N31" i="85"/>
  <c r="O29" i="85"/>
  <c r="O28" i="85"/>
  <c r="O27" i="85"/>
  <c r="O26" i="85"/>
  <c r="N24" i="85"/>
  <c r="N23" i="85"/>
  <c r="N22" i="85"/>
  <c r="N21" i="85"/>
  <c r="N19" i="85"/>
  <c r="N18" i="85"/>
  <c r="N17" i="85"/>
  <c r="N16" i="85"/>
  <c r="O14" i="85"/>
  <c r="O13" i="85"/>
  <c r="O12" i="85"/>
  <c r="O11" i="85"/>
  <c r="N9" i="85"/>
  <c r="N8" i="85"/>
  <c r="N7" i="85"/>
  <c r="N6" i="85"/>
  <c r="N50" i="84"/>
  <c r="O49" i="84"/>
  <c r="O48" i="84"/>
  <c r="O47" i="84"/>
  <c r="O46" i="84"/>
  <c r="O45" i="84"/>
  <c r="O44" i="84"/>
  <c r="O43" i="84"/>
  <c r="N41" i="84"/>
  <c r="N40" i="84"/>
  <c r="N39" i="84"/>
  <c r="N37" i="84"/>
  <c r="O36" i="84"/>
  <c r="N34" i="84"/>
  <c r="N33" i="84"/>
  <c r="N32" i="84"/>
  <c r="N31" i="84"/>
  <c r="O29" i="84"/>
  <c r="O28" i="84"/>
  <c r="O27" i="84"/>
  <c r="O26" i="84"/>
  <c r="N24" i="84"/>
  <c r="N23" i="84"/>
  <c r="N22" i="84"/>
  <c r="N21" i="84"/>
  <c r="N19" i="84"/>
  <c r="N18" i="84"/>
  <c r="N17" i="84"/>
  <c r="N16" i="84"/>
  <c r="O14" i="84"/>
  <c r="O13" i="84"/>
  <c r="O12" i="84"/>
  <c r="O11" i="84"/>
  <c r="N9" i="84"/>
  <c r="N8" i="84"/>
  <c r="N7" i="84"/>
  <c r="N6" i="84"/>
  <c r="N50" i="83"/>
  <c r="O49" i="83"/>
  <c r="O48" i="83"/>
  <c r="O47" i="83"/>
  <c r="O46" i="83"/>
  <c r="O45" i="83"/>
  <c r="O44" i="83"/>
  <c r="O43" i="83"/>
  <c r="N41" i="83"/>
  <c r="N40" i="83"/>
  <c r="N39" i="83"/>
  <c r="N37" i="83"/>
  <c r="O36" i="83"/>
  <c r="N34" i="83"/>
  <c r="N33" i="83"/>
  <c r="N32" i="83"/>
  <c r="N31" i="83"/>
  <c r="O29" i="83"/>
  <c r="O28" i="83"/>
  <c r="O27" i="83"/>
  <c r="O26" i="83"/>
  <c r="N24" i="83"/>
  <c r="N23" i="83"/>
  <c r="N22" i="83"/>
  <c r="N21" i="83"/>
  <c r="N19" i="83"/>
  <c r="N18" i="83"/>
  <c r="N17" i="83"/>
  <c r="N16" i="83"/>
  <c r="O14" i="83"/>
  <c r="O13" i="83"/>
  <c r="O12" i="83"/>
  <c r="O11" i="83"/>
  <c r="N9" i="83"/>
  <c r="N8" i="83"/>
  <c r="N7" i="83"/>
  <c r="N6" i="83"/>
  <c r="N50" i="82"/>
  <c r="O49" i="82"/>
  <c r="O48" i="82"/>
  <c r="O47" i="82"/>
  <c r="O46" i="82"/>
  <c r="O45" i="82"/>
  <c r="O44" i="82"/>
  <c r="O43" i="82"/>
  <c r="N41" i="82"/>
  <c r="N40" i="82"/>
  <c r="N39" i="82"/>
  <c r="N37" i="82"/>
  <c r="O36" i="82"/>
  <c r="N34" i="82"/>
  <c r="N33" i="82"/>
  <c r="N32" i="82"/>
  <c r="N31" i="82"/>
  <c r="O29" i="82"/>
  <c r="O28" i="82"/>
  <c r="O27" i="82"/>
  <c r="O26" i="82"/>
  <c r="N24" i="82"/>
  <c r="N23" i="82"/>
  <c r="N22" i="82"/>
  <c r="N21" i="82"/>
  <c r="N19" i="82"/>
  <c r="N18" i="82"/>
  <c r="N17" i="82"/>
  <c r="N16" i="82"/>
  <c r="O14" i="82"/>
  <c r="O13" i="82"/>
  <c r="O12" i="82"/>
  <c r="O11" i="82"/>
  <c r="N9" i="82"/>
  <c r="N8" i="82"/>
  <c r="N7" i="82"/>
  <c r="N6" i="82"/>
  <c r="N50" i="81"/>
  <c r="O49" i="81"/>
  <c r="O48" i="81"/>
  <c r="O47" i="81"/>
  <c r="O46" i="81"/>
  <c r="O45" i="81"/>
  <c r="O44" i="81"/>
  <c r="O43" i="81"/>
  <c r="N41" i="81"/>
  <c r="N40" i="81"/>
  <c r="N39" i="81"/>
  <c r="N37" i="81"/>
  <c r="O36" i="81"/>
  <c r="N34" i="81"/>
  <c r="N33" i="81"/>
  <c r="N32" i="81"/>
  <c r="N31" i="81"/>
  <c r="O29" i="81"/>
  <c r="O28" i="81"/>
  <c r="O27" i="81"/>
  <c r="O26" i="81"/>
  <c r="N24" i="81"/>
  <c r="N23" i="81"/>
  <c r="N22" i="81"/>
  <c r="N21" i="81"/>
  <c r="N19" i="81"/>
  <c r="N18" i="81"/>
  <c r="N17" i="81"/>
  <c r="N16" i="81"/>
  <c r="O14" i="81"/>
  <c r="O13" i="81"/>
  <c r="O12" i="81"/>
  <c r="O11" i="81"/>
  <c r="N9" i="81"/>
  <c r="N8" i="81"/>
  <c r="N7" i="81"/>
  <c r="N6" i="81"/>
  <c r="N50" i="80"/>
  <c r="O49" i="80"/>
  <c r="O48" i="80"/>
  <c r="O47" i="80"/>
  <c r="O46" i="80"/>
  <c r="O45" i="80"/>
  <c r="O44" i="80"/>
  <c r="O43" i="80"/>
  <c r="N41" i="80"/>
  <c r="N40" i="80"/>
  <c r="N39" i="80"/>
  <c r="N37" i="80"/>
  <c r="O36" i="80"/>
  <c r="N34" i="80"/>
  <c r="N33" i="80"/>
  <c r="N32" i="80"/>
  <c r="N31" i="80"/>
  <c r="O29" i="80"/>
  <c r="O28" i="80"/>
  <c r="O27" i="80"/>
  <c r="O26" i="80"/>
  <c r="N24" i="80"/>
  <c r="N23" i="80"/>
  <c r="N22" i="80"/>
  <c r="N21" i="80"/>
  <c r="N19" i="80"/>
  <c r="N18" i="80"/>
  <c r="N17" i="80"/>
  <c r="N16" i="80"/>
  <c r="O14" i="80"/>
  <c r="O13" i="80"/>
  <c r="O12" i="80"/>
  <c r="O11" i="80"/>
  <c r="N9" i="80"/>
  <c r="N8" i="80"/>
  <c r="N7" i="80"/>
  <c r="N6" i="80"/>
  <c r="N50" i="79"/>
  <c r="O49" i="79"/>
  <c r="O48" i="79"/>
  <c r="O47" i="79"/>
  <c r="O46" i="79"/>
  <c r="O45" i="79"/>
  <c r="O44" i="79"/>
  <c r="O43" i="79"/>
  <c r="N41" i="79"/>
  <c r="N40" i="79"/>
  <c r="N39" i="79"/>
  <c r="N37" i="79"/>
  <c r="O36" i="79"/>
  <c r="N34" i="79"/>
  <c r="N33" i="79"/>
  <c r="N32" i="79"/>
  <c r="N31" i="79"/>
  <c r="O29" i="79"/>
  <c r="O28" i="79"/>
  <c r="O27" i="79"/>
  <c r="O26" i="79"/>
  <c r="N24" i="79"/>
  <c r="N23" i="79"/>
  <c r="N22" i="79"/>
  <c r="N21" i="79"/>
  <c r="N19" i="79"/>
  <c r="N18" i="79"/>
  <c r="N17" i="79"/>
  <c r="N16" i="79"/>
  <c r="O14" i="79"/>
  <c r="O13" i="79"/>
  <c r="O12" i="79"/>
  <c r="O11" i="79"/>
  <c r="N9" i="79"/>
  <c r="N8" i="79"/>
  <c r="N7" i="79"/>
  <c r="N6" i="79"/>
  <c r="N50" i="78"/>
  <c r="O49" i="78"/>
  <c r="O48" i="78"/>
  <c r="O47" i="78"/>
  <c r="O46" i="78"/>
  <c r="O45" i="78"/>
  <c r="O44" i="78"/>
  <c r="O43" i="78"/>
  <c r="N41" i="78"/>
  <c r="N40" i="78"/>
  <c r="N39" i="78"/>
  <c r="N37" i="78"/>
  <c r="O36" i="78"/>
  <c r="N34" i="78"/>
  <c r="N33" i="78"/>
  <c r="N32" i="78"/>
  <c r="N31" i="78"/>
  <c r="O29" i="78"/>
  <c r="O28" i="78"/>
  <c r="O27" i="78"/>
  <c r="O26" i="78"/>
  <c r="N24" i="78"/>
  <c r="N23" i="78"/>
  <c r="N22" i="78"/>
  <c r="N21" i="78"/>
  <c r="N19" i="78"/>
  <c r="N18" i="78"/>
  <c r="N17" i="78"/>
  <c r="N16" i="78"/>
  <c r="O14" i="78"/>
  <c r="O13" i="78"/>
  <c r="O12" i="78"/>
  <c r="O11" i="78"/>
  <c r="N9" i="78"/>
  <c r="N8" i="78"/>
  <c r="N7" i="78"/>
  <c r="N6" i="78"/>
  <c r="N50" i="77"/>
  <c r="O49" i="77"/>
  <c r="O48" i="77"/>
  <c r="O47" i="77"/>
  <c r="O46" i="77"/>
  <c r="O45" i="77"/>
  <c r="O44" i="77"/>
  <c r="O43" i="77"/>
  <c r="N41" i="77"/>
  <c r="N40" i="77"/>
  <c r="N39" i="77"/>
  <c r="N37" i="77"/>
  <c r="O36" i="77"/>
  <c r="N34" i="77"/>
  <c r="N33" i="77"/>
  <c r="N32" i="77"/>
  <c r="N31" i="77"/>
  <c r="O29" i="77"/>
  <c r="O28" i="77"/>
  <c r="O27" i="77"/>
  <c r="O26" i="77"/>
  <c r="N24" i="77"/>
  <c r="N23" i="77"/>
  <c r="N22" i="77"/>
  <c r="N21" i="77"/>
  <c r="N19" i="77"/>
  <c r="N18" i="77"/>
  <c r="N17" i="77"/>
  <c r="N16" i="77"/>
  <c r="O14" i="77"/>
  <c r="O13" i="77"/>
  <c r="O12" i="77"/>
  <c r="O11" i="77"/>
  <c r="N9" i="77"/>
  <c r="N8" i="77"/>
  <c r="N7" i="77"/>
  <c r="N6" i="77"/>
  <c r="N50" i="76"/>
  <c r="O49" i="76"/>
  <c r="O48" i="76"/>
  <c r="O47" i="76"/>
  <c r="O46" i="76"/>
  <c r="O45" i="76"/>
  <c r="O44" i="76"/>
  <c r="O43" i="76"/>
  <c r="N41" i="76"/>
  <c r="N40" i="76"/>
  <c r="N39" i="76"/>
  <c r="N37" i="76"/>
  <c r="O36" i="76"/>
  <c r="N34" i="76"/>
  <c r="N33" i="76"/>
  <c r="N32" i="76"/>
  <c r="N31" i="76"/>
  <c r="O29" i="76"/>
  <c r="O28" i="76"/>
  <c r="O27" i="76"/>
  <c r="O26" i="76"/>
  <c r="N24" i="76"/>
  <c r="N23" i="76"/>
  <c r="N22" i="76"/>
  <c r="N21" i="76"/>
  <c r="N19" i="76"/>
  <c r="N18" i="76"/>
  <c r="N17" i="76"/>
  <c r="N16" i="76"/>
  <c r="O14" i="76"/>
  <c r="O13" i="76"/>
  <c r="O12" i="76"/>
  <c r="O11" i="76"/>
  <c r="N9" i="76"/>
  <c r="N8" i="76"/>
  <c r="N7" i="76"/>
  <c r="N6" i="76"/>
  <c r="N50" i="75"/>
  <c r="O49" i="75"/>
  <c r="O48" i="75"/>
  <c r="O47" i="75"/>
  <c r="O46" i="75"/>
  <c r="O45" i="75"/>
  <c r="O44" i="75"/>
  <c r="O43" i="75"/>
  <c r="N41" i="75"/>
  <c r="N40" i="75"/>
  <c r="N39" i="75"/>
  <c r="N37" i="75"/>
  <c r="O36" i="75"/>
  <c r="N34" i="75"/>
  <c r="N33" i="75"/>
  <c r="N32" i="75"/>
  <c r="N31" i="75"/>
  <c r="O29" i="75"/>
  <c r="O28" i="75"/>
  <c r="O27" i="75"/>
  <c r="O26" i="75"/>
  <c r="N24" i="75"/>
  <c r="N23" i="75"/>
  <c r="N22" i="75"/>
  <c r="N21" i="75"/>
  <c r="N19" i="75"/>
  <c r="N18" i="75"/>
  <c r="N17" i="75"/>
  <c r="N16" i="75"/>
  <c r="O14" i="75"/>
  <c r="O13" i="75"/>
  <c r="O12" i="75"/>
  <c r="O11" i="75"/>
  <c r="N9" i="75"/>
  <c r="N8" i="75"/>
  <c r="N7" i="75"/>
  <c r="N6" i="75"/>
  <c r="N50" i="74"/>
  <c r="O49" i="74"/>
  <c r="O48" i="74"/>
  <c r="O47" i="74"/>
  <c r="O46" i="74"/>
  <c r="O45" i="74"/>
  <c r="O44" i="74"/>
  <c r="O43" i="74"/>
  <c r="N41" i="74"/>
  <c r="N40" i="74"/>
  <c r="N39" i="74"/>
  <c r="N37" i="74"/>
  <c r="O36" i="74"/>
  <c r="N34" i="74"/>
  <c r="N33" i="74"/>
  <c r="N32" i="74"/>
  <c r="N31" i="74"/>
  <c r="O29" i="74"/>
  <c r="O28" i="74"/>
  <c r="O27" i="74"/>
  <c r="O26" i="74"/>
  <c r="N24" i="74"/>
  <c r="N23" i="74"/>
  <c r="N22" i="74"/>
  <c r="N21" i="74"/>
  <c r="N19" i="74"/>
  <c r="N18" i="74"/>
  <c r="N17" i="74"/>
  <c r="N16" i="74"/>
  <c r="O14" i="74"/>
  <c r="O13" i="74"/>
  <c r="O12" i="74"/>
  <c r="O11" i="74"/>
  <c r="N9" i="74"/>
  <c r="N8" i="74"/>
  <c r="N7" i="74"/>
  <c r="N6" i="74"/>
  <c r="N50" i="73"/>
  <c r="O49" i="73"/>
  <c r="O48" i="73"/>
  <c r="O47" i="73"/>
  <c r="O46" i="73"/>
  <c r="O45" i="73"/>
  <c r="O44" i="73"/>
  <c r="O43" i="73"/>
  <c r="N41" i="73"/>
  <c r="N40" i="73"/>
  <c r="N39" i="73"/>
  <c r="N37" i="73"/>
  <c r="O36" i="73"/>
  <c r="N34" i="73"/>
  <c r="N33" i="73"/>
  <c r="N32" i="73"/>
  <c r="N31" i="73"/>
  <c r="O29" i="73"/>
  <c r="O28" i="73"/>
  <c r="O27" i="73"/>
  <c r="O26" i="73"/>
  <c r="N24" i="73"/>
  <c r="N23" i="73"/>
  <c r="N22" i="73"/>
  <c r="N21" i="73"/>
  <c r="N19" i="73"/>
  <c r="N18" i="73"/>
  <c r="N17" i="73"/>
  <c r="N16" i="73"/>
  <c r="O14" i="73"/>
  <c r="O13" i="73"/>
  <c r="O12" i="73"/>
  <c r="O11" i="73"/>
  <c r="N9" i="73"/>
  <c r="N8" i="73"/>
  <c r="N7" i="73"/>
  <c r="N6" i="73"/>
  <c r="N50" i="72"/>
  <c r="O49" i="72"/>
  <c r="O48" i="72"/>
  <c r="O47" i="72"/>
  <c r="O46" i="72"/>
  <c r="O45" i="72"/>
  <c r="O44" i="72"/>
  <c r="O43" i="72"/>
  <c r="N41" i="72"/>
  <c r="N40" i="72"/>
  <c r="N39" i="72"/>
  <c r="N37" i="72"/>
  <c r="O36" i="72"/>
  <c r="N34" i="72"/>
  <c r="N33" i="72"/>
  <c r="N32" i="72"/>
  <c r="N31" i="72"/>
  <c r="O29" i="72"/>
  <c r="O28" i="72"/>
  <c r="O27" i="72"/>
  <c r="O26" i="72"/>
  <c r="N24" i="72"/>
  <c r="N23" i="72"/>
  <c r="N22" i="72"/>
  <c r="N21" i="72"/>
  <c r="N19" i="72"/>
  <c r="N18" i="72"/>
  <c r="N17" i="72"/>
  <c r="N16" i="72"/>
  <c r="O14" i="72"/>
  <c r="O13" i="72"/>
  <c r="O12" i="72"/>
  <c r="O11" i="72"/>
  <c r="N9" i="72"/>
  <c r="N8" i="72"/>
  <c r="N7" i="72"/>
  <c r="N6" i="72"/>
  <c r="N50" i="71"/>
  <c r="O49" i="71"/>
  <c r="O48" i="71"/>
  <c r="O47" i="71"/>
  <c r="O46" i="71"/>
  <c r="O45" i="71"/>
  <c r="O44" i="71"/>
  <c r="O43" i="71"/>
  <c r="N41" i="71"/>
  <c r="N40" i="71"/>
  <c r="N39" i="71"/>
  <c r="N37" i="71"/>
  <c r="O36" i="71"/>
  <c r="N34" i="71"/>
  <c r="N33" i="71"/>
  <c r="N32" i="71"/>
  <c r="N31" i="71"/>
  <c r="O29" i="71"/>
  <c r="O28" i="71"/>
  <c r="O27" i="71"/>
  <c r="O26" i="71"/>
  <c r="N24" i="71"/>
  <c r="N23" i="71"/>
  <c r="N22" i="71"/>
  <c r="N21" i="71"/>
  <c r="N19" i="71"/>
  <c r="N18" i="71"/>
  <c r="N17" i="71"/>
  <c r="N16" i="71"/>
  <c r="O14" i="71"/>
  <c r="O13" i="71"/>
  <c r="O12" i="71"/>
  <c r="O11" i="71"/>
  <c r="N9" i="71"/>
  <c r="N8" i="71"/>
  <c r="N7" i="71"/>
  <c r="N6" i="71"/>
  <c r="N50" i="70"/>
  <c r="O49" i="70"/>
  <c r="O48" i="70"/>
  <c r="O47" i="70"/>
  <c r="O46" i="70"/>
  <c r="O45" i="70"/>
  <c r="O44" i="70"/>
  <c r="O43" i="70"/>
  <c r="N41" i="70"/>
  <c r="N40" i="70"/>
  <c r="N39" i="70"/>
  <c r="N37" i="70"/>
  <c r="O36" i="70"/>
  <c r="N34" i="70"/>
  <c r="N33" i="70"/>
  <c r="N32" i="70"/>
  <c r="N31" i="70"/>
  <c r="O29" i="70"/>
  <c r="O28" i="70"/>
  <c r="O27" i="70"/>
  <c r="O26" i="70"/>
  <c r="N24" i="70"/>
  <c r="N23" i="70"/>
  <c r="N22" i="70"/>
  <c r="N21" i="70"/>
  <c r="N19" i="70"/>
  <c r="N18" i="70"/>
  <c r="N17" i="70"/>
  <c r="N16" i="70"/>
  <c r="O14" i="70"/>
  <c r="O13" i="70"/>
  <c r="O12" i="70"/>
  <c r="O11" i="70"/>
  <c r="N9" i="70"/>
  <c r="N8" i="70"/>
  <c r="N7" i="70"/>
  <c r="N6" i="70"/>
  <c r="N50" i="69"/>
  <c r="O49" i="69"/>
  <c r="O48" i="69"/>
  <c r="O47" i="69"/>
  <c r="O46" i="69"/>
  <c r="O45" i="69"/>
  <c r="O44" i="69"/>
  <c r="O43" i="69"/>
  <c r="N41" i="69"/>
  <c r="N40" i="69"/>
  <c r="N39" i="69"/>
  <c r="N37" i="69"/>
  <c r="O36" i="69"/>
  <c r="N34" i="69"/>
  <c r="N33" i="69"/>
  <c r="N32" i="69"/>
  <c r="N31" i="69"/>
  <c r="O29" i="69"/>
  <c r="O28" i="69"/>
  <c r="O27" i="69"/>
  <c r="O26" i="69"/>
  <c r="N24" i="69"/>
  <c r="N23" i="69"/>
  <c r="N22" i="69"/>
  <c r="N21" i="69"/>
  <c r="N19" i="69"/>
  <c r="N18" i="69"/>
  <c r="N17" i="69"/>
  <c r="N16" i="69"/>
  <c r="O14" i="69"/>
  <c r="O13" i="69"/>
  <c r="O12" i="69"/>
  <c r="O11" i="69"/>
  <c r="N9" i="69"/>
  <c r="N8" i="69"/>
  <c r="N7" i="69"/>
  <c r="N6" i="69"/>
  <c r="N50" i="68"/>
  <c r="O49" i="68"/>
  <c r="O48" i="68"/>
  <c r="O47" i="68"/>
  <c r="O46" i="68"/>
  <c r="O45" i="68"/>
  <c r="O44" i="68"/>
  <c r="O43" i="68"/>
  <c r="N41" i="68"/>
  <c r="N40" i="68"/>
  <c r="N39" i="68"/>
  <c r="N37" i="68"/>
  <c r="O36" i="68"/>
  <c r="N34" i="68"/>
  <c r="N33" i="68"/>
  <c r="N32" i="68"/>
  <c r="N31" i="68"/>
  <c r="O29" i="68"/>
  <c r="O28" i="68"/>
  <c r="O27" i="68"/>
  <c r="O26" i="68"/>
  <c r="N24" i="68"/>
  <c r="N23" i="68"/>
  <c r="N22" i="68"/>
  <c r="N21" i="68"/>
  <c r="N19" i="68"/>
  <c r="N18" i="68"/>
  <c r="N17" i="68"/>
  <c r="N16" i="68"/>
  <c r="O14" i="68"/>
  <c r="O13" i="68"/>
  <c r="O12" i="68"/>
  <c r="O11" i="68"/>
  <c r="N9" i="68"/>
  <c r="N8" i="68"/>
  <c r="N7" i="68"/>
  <c r="N6" i="68"/>
  <c r="N50" i="67"/>
  <c r="O49" i="67"/>
  <c r="O48" i="67"/>
  <c r="O47" i="67"/>
  <c r="O46" i="67"/>
  <c r="O45" i="67"/>
  <c r="O44" i="67"/>
  <c r="O43" i="67"/>
  <c r="N41" i="67"/>
  <c r="N40" i="67"/>
  <c r="N39" i="67"/>
  <c r="N37" i="67"/>
  <c r="O36" i="67"/>
  <c r="N34" i="67"/>
  <c r="N33" i="67"/>
  <c r="N32" i="67"/>
  <c r="N31" i="67"/>
  <c r="O29" i="67"/>
  <c r="O28" i="67"/>
  <c r="O27" i="67"/>
  <c r="O26" i="67"/>
  <c r="N24" i="67"/>
  <c r="N23" i="67"/>
  <c r="N22" i="67"/>
  <c r="N21" i="67"/>
  <c r="N19" i="67"/>
  <c r="N18" i="67"/>
  <c r="N17" i="67"/>
  <c r="N16" i="67"/>
  <c r="O14" i="67"/>
  <c r="O13" i="67"/>
  <c r="O12" i="67"/>
  <c r="O11" i="67"/>
  <c r="N9" i="67"/>
  <c r="N8" i="67"/>
  <c r="N7" i="67"/>
  <c r="N6" i="67"/>
  <c r="N50" i="66"/>
  <c r="O49" i="66"/>
  <c r="O48" i="66"/>
  <c r="O47" i="66"/>
  <c r="O46" i="66"/>
  <c r="O45" i="66"/>
  <c r="O44" i="66"/>
  <c r="O43" i="66"/>
  <c r="N41" i="66"/>
  <c r="N40" i="66"/>
  <c r="N39" i="66"/>
  <c r="N37" i="66"/>
  <c r="O36" i="66"/>
  <c r="N34" i="66"/>
  <c r="N33" i="66"/>
  <c r="N32" i="66"/>
  <c r="N31" i="66"/>
  <c r="O29" i="66"/>
  <c r="O28" i="66"/>
  <c r="O27" i="66"/>
  <c r="O26" i="66"/>
  <c r="N24" i="66"/>
  <c r="N23" i="66"/>
  <c r="N22" i="66"/>
  <c r="N21" i="66"/>
  <c r="N19" i="66"/>
  <c r="N18" i="66"/>
  <c r="N17" i="66"/>
  <c r="N16" i="66"/>
  <c r="O14" i="66"/>
  <c r="O13" i="66"/>
  <c r="O12" i="66"/>
  <c r="O11" i="66"/>
  <c r="N9" i="66"/>
  <c r="N8" i="66"/>
  <c r="N7" i="66"/>
  <c r="N6" i="66"/>
  <c r="N50" i="65"/>
  <c r="O49" i="65"/>
  <c r="O48" i="65"/>
  <c r="O47" i="65"/>
  <c r="O46" i="65"/>
  <c r="O45" i="65"/>
  <c r="O44" i="65"/>
  <c r="O43" i="65"/>
  <c r="N41" i="65"/>
  <c r="N40" i="65"/>
  <c r="N39" i="65"/>
  <c r="N37" i="65"/>
  <c r="O36" i="65"/>
  <c r="N34" i="65"/>
  <c r="N33" i="65"/>
  <c r="N32" i="65"/>
  <c r="N31" i="65"/>
  <c r="O29" i="65"/>
  <c r="O28" i="65"/>
  <c r="O27" i="65"/>
  <c r="O26" i="65"/>
  <c r="N24" i="65"/>
  <c r="N23" i="65"/>
  <c r="N22" i="65"/>
  <c r="N21" i="65"/>
  <c r="N19" i="65"/>
  <c r="N18" i="65"/>
  <c r="N17" i="65"/>
  <c r="N16" i="65"/>
  <c r="O14" i="65"/>
  <c r="O13" i="65"/>
  <c r="O12" i="65"/>
  <c r="O11" i="65"/>
  <c r="N9" i="65"/>
  <c r="N8" i="65"/>
  <c r="N7" i="65"/>
  <c r="N6" i="65"/>
  <c r="N50" i="63"/>
  <c r="O49" i="63"/>
  <c r="O48" i="63"/>
  <c r="O47" i="63"/>
  <c r="O46" i="63"/>
  <c r="O45" i="63"/>
  <c r="O44" i="63"/>
  <c r="O43" i="63"/>
  <c r="N41" i="63"/>
  <c r="N40" i="63"/>
  <c r="N39" i="63"/>
  <c r="N37" i="63"/>
  <c r="O36" i="63"/>
  <c r="N34" i="63"/>
  <c r="N33" i="63"/>
  <c r="N32" i="63"/>
  <c r="N31" i="63"/>
  <c r="O29" i="63"/>
  <c r="O28" i="63"/>
  <c r="O27" i="63"/>
  <c r="O26" i="63"/>
  <c r="N24" i="63"/>
  <c r="N23" i="63"/>
  <c r="N22" i="63"/>
  <c r="N21" i="63"/>
  <c r="N19" i="63"/>
  <c r="N18" i="63"/>
  <c r="N17" i="63"/>
  <c r="N16" i="63"/>
  <c r="O14" i="63"/>
  <c r="O13" i="63"/>
  <c r="O12" i="63"/>
  <c r="O11" i="63"/>
  <c r="N9" i="63"/>
  <c r="N8" i="63"/>
  <c r="N7" i="63"/>
  <c r="N6" i="63"/>
  <c r="E1" i="86" l="1"/>
  <c r="E1" i="71"/>
  <c r="E1" i="87"/>
  <c r="E1" i="72"/>
  <c r="E1" i="88"/>
  <c r="E1" i="89"/>
  <c r="I1" i="89" s="1"/>
  <c r="E1" i="73"/>
  <c r="E1" i="74"/>
  <c r="I1" i="74" s="1"/>
  <c r="E1" i="90"/>
  <c r="I1" i="90" s="1"/>
  <c r="E1" i="75"/>
  <c r="E1" i="91"/>
  <c r="E1" i="76"/>
  <c r="E1" i="92"/>
  <c r="E1" i="77"/>
  <c r="I1" i="77" s="1"/>
  <c r="E1" i="93"/>
  <c r="I1" i="93" s="1"/>
  <c r="E1" i="94"/>
  <c r="I1" i="94" s="1"/>
  <c r="E1" i="78"/>
  <c r="E1" i="79"/>
  <c r="E1" i="63"/>
  <c r="E1" i="80"/>
  <c r="E1" i="65"/>
  <c r="E1" i="81"/>
  <c r="I1" i="81" s="1"/>
  <c r="E1" i="66"/>
  <c r="I1" i="66" s="1"/>
  <c r="E1" i="82"/>
  <c r="I1" i="82" s="1"/>
  <c r="I1" i="71"/>
  <c r="I1" i="79"/>
  <c r="I1" i="87"/>
  <c r="I1" i="72"/>
  <c r="I1" i="80"/>
  <c r="I1" i="88"/>
  <c r="I1" i="65"/>
  <c r="I1" i="73"/>
  <c r="I1" i="63"/>
  <c r="I1" i="67"/>
  <c r="I1" i="75"/>
  <c r="I1" i="83"/>
  <c r="I1" i="91"/>
  <c r="I1" i="68"/>
  <c r="I1" i="76"/>
  <c r="I1" i="84"/>
  <c r="I1" i="92"/>
  <c r="I1" i="69"/>
  <c r="I1" i="85"/>
  <c r="I1" i="70"/>
  <c r="I1" i="78"/>
  <c r="I1" i="86"/>
</calcChain>
</file>

<file path=xl/sharedStrings.xml><?xml version="1.0" encoding="utf-8"?>
<sst xmlns="http://schemas.openxmlformats.org/spreadsheetml/2006/main" count="4902" uniqueCount="69">
  <si>
    <t>焼却量</t>
    <rPh sb="0" eb="3">
      <t>ショウキャクリョウ</t>
    </rPh>
    <phoneticPr fontId="1"/>
  </si>
  <si>
    <t>埋立量</t>
    <rPh sb="0" eb="2">
      <t>ウメタテ</t>
    </rPh>
    <rPh sb="2" eb="3">
      <t>リョウ</t>
    </rPh>
    <phoneticPr fontId="1"/>
  </si>
  <si>
    <t>仙法志</t>
    <rPh sb="0" eb="1">
      <t>セン</t>
    </rPh>
    <rPh sb="1" eb="2">
      <t>ホウ</t>
    </rPh>
    <rPh sb="2" eb="3">
      <t>シ</t>
    </rPh>
    <phoneticPr fontId="1"/>
  </si>
  <si>
    <t>不燃</t>
    <rPh sb="0" eb="2">
      <t>フネン</t>
    </rPh>
    <phoneticPr fontId="1"/>
  </si>
  <si>
    <t>缶類</t>
    <rPh sb="0" eb="2">
      <t>カンルイ</t>
    </rPh>
    <phoneticPr fontId="1"/>
  </si>
  <si>
    <t>主任</t>
    <rPh sb="0" eb="2">
      <t>シュニン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</si>
  <si>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</si>
  <si>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</si>
  <si>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可燃</t>
    <rPh sb="0" eb="2">
      <t>カネン</t>
    </rPh>
    <phoneticPr fontId="1"/>
  </si>
  <si>
    <t>持込（焼却）</t>
    <rPh sb="0" eb="2">
      <t>モチコミ</t>
    </rPh>
    <rPh sb="3" eb="5">
      <t>ショウキャク</t>
    </rPh>
    <phoneticPr fontId="1"/>
  </si>
  <si>
    <t>有価回収</t>
    <rPh sb="0" eb="2">
      <t>ユウカ</t>
    </rPh>
    <rPh sb="2" eb="4">
      <t>カイシュウ</t>
    </rPh>
    <phoneticPr fontId="1"/>
  </si>
  <si>
    <t>収集粗大</t>
    <rPh sb="0" eb="2">
      <t>シュウシュウ</t>
    </rPh>
    <rPh sb="2" eb="4">
      <t>ソダイ</t>
    </rPh>
    <phoneticPr fontId="1"/>
  </si>
  <si>
    <t>粗大埋立</t>
    <rPh sb="0" eb="2">
      <t>ソダイ</t>
    </rPh>
    <rPh sb="2" eb="4">
      <t>ウメタテ</t>
    </rPh>
    <phoneticPr fontId="1"/>
  </si>
  <si>
    <t>電気使用量</t>
    <rPh sb="0" eb="2">
      <t>デンキ</t>
    </rPh>
    <rPh sb="2" eb="5">
      <t>シヨウリョウ</t>
    </rPh>
    <phoneticPr fontId="1"/>
  </si>
  <si>
    <t>上水使用量</t>
    <rPh sb="0" eb="1">
      <t>ジョウ</t>
    </rPh>
    <rPh sb="1" eb="2">
      <t>スイ</t>
    </rPh>
    <rPh sb="2" eb="4">
      <t>シヨウ</t>
    </rPh>
    <rPh sb="4" eb="5">
      <t>リョウ</t>
    </rPh>
    <phoneticPr fontId="1"/>
  </si>
  <si>
    <t>冷却水量</t>
    <rPh sb="0" eb="2">
      <t>レイキャク</t>
    </rPh>
    <rPh sb="2" eb="3">
      <t>スイ</t>
    </rPh>
    <rPh sb="3" eb="4">
      <t>リョウ</t>
    </rPh>
    <phoneticPr fontId="1"/>
  </si>
  <si>
    <t>焼却時間</t>
    <rPh sb="0" eb="2">
      <t>ショウキャク</t>
    </rPh>
    <rPh sb="2" eb="4">
      <t>ジカン</t>
    </rPh>
    <phoneticPr fontId="1"/>
  </si>
  <si>
    <t>焼却残渣</t>
    <rPh sb="0" eb="2">
      <t>ショウキャク</t>
    </rPh>
    <rPh sb="2" eb="4">
      <t>ザンサ</t>
    </rPh>
    <phoneticPr fontId="1"/>
  </si>
  <si>
    <t>灰個化物</t>
    <rPh sb="0" eb="1">
      <t>ハイ</t>
    </rPh>
    <rPh sb="1" eb="2">
      <t>コ</t>
    </rPh>
    <rPh sb="2" eb="3">
      <t>カ</t>
    </rPh>
    <rPh sb="3" eb="4">
      <t>モノ</t>
    </rPh>
    <phoneticPr fontId="1"/>
  </si>
  <si>
    <t>補助燃料</t>
    <rPh sb="0" eb="2">
      <t>ホジョ</t>
    </rPh>
    <rPh sb="2" eb="4">
      <t>ネンリョウ</t>
    </rPh>
    <phoneticPr fontId="1"/>
  </si>
  <si>
    <t>休暇内容</t>
    <rPh sb="0" eb="2">
      <t>キュウカ</t>
    </rPh>
    <rPh sb="2" eb="4">
      <t>ナイヨウ</t>
    </rPh>
    <phoneticPr fontId="1"/>
  </si>
  <si>
    <t>焼　却　量</t>
    <rPh sb="0" eb="1">
      <t>ヤキ</t>
    </rPh>
    <rPh sb="2" eb="3">
      <t>キャク</t>
    </rPh>
    <rPh sb="4" eb="5">
      <t>リョウ</t>
    </rPh>
    <phoneticPr fontId="1"/>
  </si>
  <si>
    <t>プラント量</t>
    <rPh sb="4" eb="5">
      <t>リョウ</t>
    </rPh>
    <phoneticPr fontId="1"/>
  </si>
  <si>
    <t>地区</t>
    <rPh sb="0" eb="2">
      <t>チク</t>
    </rPh>
    <phoneticPr fontId="1"/>
  </si>
  <si>
    <t>１回目収集</t>
    <rPh sb="1" eb="3">
      <t>カイメ</t>
    </rPh>
    <rPh sb="3" eb="5">
      <t>シュウシュウ</t>
    </rPh>
    <phoneticPr fontId="1"/>
  </si>
  <si>
    <t>２回目収集</t>
    <rPh sb="1" eb="3">
      <t>カイメ</t>
    </rPh>
    <rPh sb="3" eb="5">
      <t>シュウシュウ</t>
    </rPh>
    <phoneticPr fontId="1"/>
  </si>
  <si>
    <t>３回目収集</t>
    <rPh sb="1" eb="3">
      <t>カイメ</t>
    </rPh>
    <rPh sb="3" eb="5">
      <t>シュウシュウ</t>
    </rPh>
    <phoneticPr fontId="1"/>
  </si>
  <si>
    <t>４回目収集</t>
    <rPh sb="1" eb="3">
      <t>カイメ</t>
    </rPh>
    <rPh sb="3" eb="5">
      <t>シュウシュウ</t>
    </rPh>
    <phoneticPr fontId="1"/>
  </si>
  <si>
    <t>５回目収集</t>
    <rPh sb="1" eb="3">
      <t>カイメ</t>
    </rPh>
    <rPh sb="3" eb="5">
      <t>シュウシュウ</t>
    </rPh>
    <phoneticPr fontId="1"/>
  </si>
  <si>
    <t>鬼　脇</t>
    <rPh sb="0" eb="1">
      <t>オニ</t>
    </rPh>
    <rPh sb="2" eb="3">
      <t>ワキ</t>
    </rPh>
    <phoneticPr fontId="1"/>
  </si>
  <si>
    <t>鴛　泊</t>
    <rPh sb="0" eb="1">
      <t>オシドリ</t>
    </rPh>
    <rPh sb="2" eb="3">
      <t>ハク</t>
    </rPh>
    <phoneticPr fontId="1"/>
  </si>
  <si>
    <t>沓　形</t>
    <rPh sb="0" eb="1">
      <t>クツ</t>
    </rPh>
    <rPh sb="2" eb="3">
      <t>カタ</t>
    </rPh>
    <phoneticPr fontId="1"/>
  </si>
  <si>
    <t>来 所 者</t>
    <rPh sb="0" eb="1">
      <t>ライ</t>
    </rPh>
    <rPh sb="2" eb="3">
      <t>ショ</t>
    </rPh>
    <rPh sb="4" eb="5">
      <t>モノ</t>
    </rPh>
    <phoneticPr fontId="1"/>
  </si>
  <si>
    <t>鴛　泊</t>
    <rPh sb="0" eb="1">
      <t>オシ</t>
    </rPh>
    <rPh sb="2" eb="3">
      <t>トマリ</t>
    </rPh>
    <phoneticPr fontId="1"/>
  </si>
  <si>
    <t>その他</t>
    <rPh sb="2" eb="3">
      <t>タ</t>
    </rPh>
    <phoneticPr fontId="1"/>
  </si>
  <si>
    <t>可　燃　物</t>
    <rPh sb="0" eb="1">
      <t>カ</t>
    </rPh>
    <rPh sb="2" eb="3">
      <t>ネン</t>
    </rPh>
    <rPh sb="4" eb="5">
      <t>ブツ</t>
    </rPh>
    <phoneticPr fontId="1"/>
  </si>
  <si>
    <t>埋　立　分</t>
    <rPh sb="0" eb="1">
      <t>マイ</t>
    </rPh>
    <rPh sb="2" eb="3">
      <t>リツ</t>
    </rPh>
    <rPh sb="4" eb="5">
      <t>ブン</t>
    </rPh>
    <phoneticPr fontId="1"/>
  </si>
  <si>
    <t>有　価　物</t>
    <rPh sb="0" eb="1">
      <t>ユウ</t>
    </rPh>
    <rPh sb="2" eb="3">
      <t>アタイ</t>
    </rPh>
    <rPh sb="4" eb="5">
      <t>ブツ</t>
    </rPh>
    <phoneticPr fontId="1"/>
  </si>
  <si>
    <t>木　く　ず</t>
    <rPh sb="0" eb="1">
      <t>キ</t>
    </rPh>
    <phoneticPr fontId="1"/>
  </si>
  <si>
    <t>ウニガラ</t>
    <phoneticPr fontId="1"/>
  </si>
  <si>
    <t>kwh／日</t>
    <rPh sb="4" eb="5">
      <t>ニチ</t>
    </rPh>
    <phoneticPr fontId="1"/>
  </si>
  <si>
    <t>kg／日</t>
    <phoneticPr fontId="1"/>
  </si>
  <si>
    <t>時間／日</t>
    <rPh sb="0" eb="2">
      <t>ジカン</t>
    </rPh>
    <phoneticPr fontId="1"/>
  </si>
  <si>
    <t>ℓ／日</t>
    <phoneticPr fontId="1"/>
  </si>
  <si>
    <t>業　務　日　誌</t>
    <rPh sb="0" eb="1">
      <t>ギョウ</t>
    </rPh>
    <rPh sb="2" eb="3">
      <t>ツトム</t>
    </rPh>
    <rPh sb="4" eb="5">
      <t>ヒ</t>
    </rPh>
    <rPh sb="6" eb="7">
      <t>シ</t>
    </rPh>
    <phoneticPr fontId="1"/>
  </si>
  <si>
    <t>ごみ焼却処理場</t>
    <rPh sb="2" eb="4">
      <t>ショウキャク</t>
    </rPh>
    <rPh sb="4" eb="7">
      <t>ショリジョウ</t>
    </rPh>
    <phoneticPr fontId="1"/>
  </si>
  <si>
    <t>資材購入及び修繕</t>
    <rPh sb="0" eb="2">
      <t>シザイ</t>
    </rPh>
    <rPh sb="2" eb="4">
      <t>コウニュウ</t>
    </rPh>
    <rPh sb="4" eb="5">
      <t>オヨ</t>
    </rPh>
    <rPh sb="6" eb="8">
      <t>シュウゼン</t>
    </rPh>
    <phoneticPr fontId="1"/>
  </si>
  <si>
    <t>ビン</t>
    <phoneticPr fontId="1"/>
  </si>
  <si>
    <t>紙類</t>
    <rPh sb="0" eb="2">
      <t>カミルイ</t>
    </rPh>
    <phoneticPr fontId="1"/>
  </si>
  <si>
    <r>
      <t>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／日</t>
    </r>
    <phoneticPr fontId="1"/>
  </si>
  <si>
    <t>ペット</t>
    <phoneticPr fontId="1"/>
  </si>
  <si>
    <t>併せ産廃（医療）</t>
    <rPh sb="0" eb="1">
      <t>アワ</t>
    </rPh>
    <rPh sb="2" eb="4">
      <t>サンパイ</t>
    </rPh>
    <rPh sb="5" eb="7">
      <t>イリョウ</t>
    </rPh>
    <phoneticPr fontId="1"/>
  </si>
  <si>
    <t>併せ産廃（水産）</t>
    <rPh sb="0" eb="1">
      <t>アワ</t>
    </rPh>
    <rPh sb="2" eb="4">
      <t>サンパイ</t>
    </rPh>
    <rPh sb="5" eb="7">
      <t>スイサン</t>
    </rPh>
    <phoneticPr fontId="1"/>
  </si>
  <si>
    <t>下水道汚泥</t>
    <rPh sb="0" eb="3">
      <t>ゲスイドウ</t>
    </rPh>
    <rPh sb="3" eb="4">
      <t>キタナ</t>
    </rPh>
    <rPh sb="4" eb="5">
      <t>ドロ</t>
    </rPh>
    <phoneticPr fontId="1"/>
  </si>
  <si>
    <t>一般持込（埋立）</t>
    <rPh sb="0" eb="2">
      <t>イッパン</t>
    </rPh>
    <rPh sb="2" eb="4">
      <t>モチコミ</t>
    </rPh>
    <rPh sb="5" eb="7">
      <t>ウメタテ</t>
    </rPh>
    <phoneticPr fontId="1"/>
  </si>
  <si>
    <t>水産物</t>
    <rPh sb="0" eb="3">
      <t>スイサンブツ</t>
    </rPh>
    <phoneticPr fontId="1"/>
  </si>
  <si>
    <t>不燃物・海岸清掃</t>
    <rPh sb="0" eb="1">
      <t>フ</t>
    </rPh>
    <rPh sb="1" eb="2">
      <t>ネン</t>
    </rPh>
    <rPh sb="2" eb="3">
      <t>ブツ</t>
    </rPh>
    <rPh sb="4" eb="6">
      <t>カイガン</t>
    </rPh>
    <rPh sb="6" eb="8">
      <t>セイソウ</t>
    </rPh>
    <phoneticPr fontId="1"/>
  </si>
  <si>
    <t xml:space="preserve"> </t>
    <phoneticPr fontId="1"/>
  </si>
  <si>
    <t xml:space="preserve"> </t>
    <phoneticPr fontId="1"/>
  </si>
  <si>
    <t>課長</t>
    <rPh sb="0" eb="2">
      <t>カチョウ</t>
    </rPh>
    <phoneticPr fontId="1"/>
  </si>
  <si>
    <t xml:space="preserve">      </t>
    <phoneticPr fontId="1"/>
  </si>
  <si>
    <t>可燃物(木・紙)</t>
    <rPh sb="0" eb="1">
      <t>カ</t>
    </rPh>
    <rPh sb="1" eb="2">
      <t>ネン</t>
    </rPh>
    <rPh sb="2" eb="3">
      <t>ブツ</t>
    </rPh>
    <rPh sb="4" eb="5">
      <t>キ</t>
    </rPh>
    <rPh sb="6" eb="7">
      <t>カミ</t>
    </rPh>
    <phoneticPr fontId="1"/>
  </si>
  <si>
    <t>気温</t>
    <rPh sb="0" eb="2">
      <t>キオン</t>
    </rPh>
    <phoneticPr fontId="1"/>
  </si>
  <si>
    <t>℃</t>
    <phoneticPr fontId="1"/>
  </si>
  <si>
    <t>天候</t>
    <rPh sb="0" eb="2">
      <t>テンコウ</t>
    </rPh>
    <phoneticPr fontId="1"/>
  </si>
  <si>
    <t>業務内容・備考</t>
    <rPh sb="0" eb="2">
      <t>ギョウム</t>
    </rPh>
    <rPh sb="2" eb="4">
      <t>ナイヨウ</t>
    </rPh>
    <rPh sb="5" eb="7">
      <t>ビコウ</t>
    </rPh>
    <phoneticPr fontId="1"/>
  </si>
  <si>
    <t>庶務係長</t>
    <rPh sb="0" eb="2">
      <t>ショム</t>
    </rPh>
    <rPh sb="2" eb="4">
      <t>カカリチョウ</t>
    </rPh>
    <phoneticPr fontId="1"/>
  </si>
  <si>
    <t>業務係長</t>
    <rPh sb="0" eb="2">
      <t>ギョウ</t>
    </rPh>
    <rPh sb="2" eb="4">
      <t>カカリ</t>
    </rPh>
    <phoneticPr fontId="1"/>
  </si>
  <si>
    <t>1 月分</t>
    <rPh sb="2" eb="3">
      <t>ガツ</t>
    </rPh>
    <rPh sb="3" eb="4">
      <t>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</si>
</sst>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0_ ;[Red]\-0\ "/>
    <numFmt numFmtId="178" formatCode="#,##0.0_ "/>
    <numFmt numFmtId="180" formatCode="[h]:mm&quot; &quot;"/>
    <numFmt numFmtId="181" formatCode="[$]ggge&quot;年&quot;m&quot;月&quot;d&quot;日&quot;;@"/>
    <numFmt numFmtId="183" formatCode="yyyy/mm/dd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48"/>
      <name val="ＭＳ Ｐ明朝"/>
      <family val="1"/>
      <charset val="128"/>
    </font>
    <font>
      <sz val="36"/>
      <name val="ＭＳ Ｐ明朝"/>
      <family val="1"/>
      <charset val="128"/>
    </font>
    <font>
      <sz val="60"/>
      <name val="ＭＳ Ｐ明朝"/>
      <family val="1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HGｺﾞｼｯｸM"/>
      <family val="3"/>
      <charset val="128"/>
    </font>
    <font>
      <sz val="9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67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16" xfId="0" applyNumberFormat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176" fontId="5" fillId="0" borderId="23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176" fontId="5" fillId="0" borderId="24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Border="1" applyAlignment="1">
      <alignment horizontal="right" vertical="center"/>
    </xf>
    <xf numFmtId="176" fontId="5" fillId="0" borderId="30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176" fontId="5" fillId="0" borderId="31" xfId="0" applyNumberFormat="1" applyFont="1" applyBorder="1" applyAlignment="1">
      <alignment vertical="center"/>
    </xf>
    <xf numFmtId="176" fontId="5" fillId="0" borderId="19" xfId="0" applyNumberFormat="1" applyFont="1" applyBorder="1" applyAlignment="1">
      <alignment vertical="center"/>
    </xf>
    <xf numFmtId="176" fontId="5" fillId="0" borderId="32" xfId="0" applyNumberFormat="1" applyFont="1" applyBorder="1" applyAlignment="1">
      <alignment vertical="center"/>
    </xf>
    <xf numFmtId="176" fontId="5" fillId="0" borderId="33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vertical="center"/>
    </xf>
    <xf numFmtId="176" fontId="5" fillId="0" borderId="18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176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27" xfId="0" applyNumberFormat="1" applyFont="1" applyBorder="1" applyAlignment="1">
      <alignment vertical="center"/>
    </xf>
    <xf numFmtId="176" fontId="5" fillId="0" borderId="36" xfId="0" applyNumberFormat="1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6" fontId="5" fillId="0" borderId="30" xfId="0" applyNumberFormat="1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36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176" fontId="5" fillId="0" borderId="39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17" xfId="0" applyFont="1" applyBorder="1" applyAlignment="1">
      <alignment horizontal="left" vertical="center" indent="1"/>
    </xf>
    <xf numFmtId="0" fontId="11" fillId="0" borderId="0" xfId="0" applyFont="1"/>
    <xf numFmtId="0" fontId="11" fillId="0" borderId="0" xfId="0" applyFont="1" applyAlignment="1">
      <alignment horizontal="left"/>
    </xf>
    <xf numFmtId="14" fontId="5" fillId="0" borderId="5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81" fontId="7" fillId="0" borderId="47" xfId="0" applyNumberFormat="1" applyFont="1" applyBorder="1" applyAlignment="1">
      <alignment horizontal="right" vertical="center"/>
    </xf>
    <xf numFmtId="181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8" xfId="0" applyFont="1" applyBorder="1" applyAlignment="1">
      <alignment horizontal="center" vertical="center" textRotation="255"/>
    </xf>
    <xf numFmtId="0" fontId="5" fillId="0" borderId="3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255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6" fontId="5" fillId="0" borderId="20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14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33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178" fontId="5" fillId="0" borderId="31" xfId="0" applyNumberFormat="1" applyFont="1" applyBorder="1" applyAlignment="1">
      <alignment horizontal="right" vertical="center"/>
    </xf>
    <xf numFmtId="178" fontId="5" fillId="0" borderId="22" xfId="0" applyNumberFormat="1" applyFont="1" applyBorder="1" applyAlignment="1">
      <alignment horizontal="right" vertical="center"/>
    </xf>
    <xf numFmtId="176" fontId="5" fillId="0" borderId="41" xfId="0" applyNumberFormat="1" applyFont="1" applyBorder="1" applyAlignment="1">
      <alignment horizontal="right" vertical="center"/>
    </xf>
    <xf numFmtId="176" fontId="5" fillId="0" borderId="42" xfId="0" applyNumberFormat="1" applyFont="1" applyBorder="1" applyAlignment="1">
      <alignment horizontal="right" vertical="center"/>
    </xf>
    <xf numFmtId="0" fontId="5" fillId="0" borderId="43" xfId="0" applyFont="1" applyBorder="1" applyAlignment="1">
      <alignment horizontal="left" vertical="center"/>
    </xf>
    <xf numFmtId="0" fontId="5" fillId="0" borderId="43" xfId="0" applyFont="1" applyBorder="1" applyAlignment="1">
      <alignment horizontal="left"/>
    </xf>
    <xf numFmtId="0" fontId="5" fillId="0" borderId="3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44" xfId="0" applyFont="1" applyBorder="1" applyAlignment="1">
      <alignment horizontal="left" vertical="center" indent="1"/>
    </xf>
    <xf numFmtId="177" fontId="5" fillId="0" borderId="31" xfId="0" applyNumberFormat="1" applyFont="1" applyBorder="1" applyAlignment="1">
      <alignment horizontal="right" vertical="center"/>
    </xf>
    <xf numFmtId="177" fontId="5" fillId="0" borderId="22" xfId="0" applyNumberFormat="1" applyFont="1" applyBorder="1" applyAlignment="1">
      <alignment horizontal="right" vertical="center"/>
    </xf>
    <xf numFmtId="180" fontId="5" fillId="0" borderId="31" xfId="0" applyNumberFormat="1" applyFont="1" applyBorder="1" applyAlignment="1">
      <alignment horizontal="right" vertical="center"/>
    </xf>
    <xf numFmtId="180" fontId="5" fillId="0" borderId="22" xfId="0" applyNumberFormat="1" applyFont="1" applyBorder="1" applyAlignment="1">
      <alignment horizontal="right" vertical="center"/>
    </xf>
    <xf numFmtId="56" fontId="5" fillId="0" borderId="5" xfId="0" applyNumberFormat="1" applyFont="1" applyBorder="1" applyAlignment="1">
      <alignment horizontal="left" vertical="center" indent="1"/>
    </xf>
    <xf numFmtId="56" fontId="5" fillId="0" borderId="0" xfId="0" applyNumberFormat="1" applyFont="1" applyAlignment="1">
      <alignment horizontal="left" vertical="center" indent="1"/>
    </xf>
    <xf numFmtId="56" fontId="5" fillId="0" borderId="17" xfId="0" applyNumberFormat="1" applyFont="1" applyBorder="1" applyAlignment="1">
      <alignment horizontal="left" vertical="center" indent="1"/>
    </xf>
    <xf numFmtId="0" fontId="5" fillId="0" borderId="22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right" vertical="center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left"/>
    </xf>
    <xf numFmtId="56" fontId="5" fillId="0" borderId="8" xfId="0" applyNumberFormat="1" applyFont="1" applyBorder="1" applyAlignment="1">
      <alignment horizontal="left" vertical="center" indent="1"/>
    </xf>
    <xf numFmtId="56" fontId="5" fillId="0" borderId="7" xfId="0" applyNumberFormat="1" applyFont="1" applyBorder="1" applyAlignment="1">
      <alignment horizontal="left" vertical="center" indent="1"/>
    </xf>
    <xf numFmtId="56" fontId="5" fillId="0" borderId="40" xfId="0" applyNumberFormat="1" applyFont="1" applyBorder="1" applyAlignment="1">
      <alignment horizontal="left" vertical="center" indent="1"/>
    </xf>
    <xf numFmtId="183" fontId="13" fillId="0" borderId="0" xfId="1" applyNumberFormat="1" applyFont="1" applyAlignment="1">
      <alignment horizontal="center"/>
    </xf>
    <xf numFmtId="183" fontId="11" fillId="0" borderId="0" xfId="0" applyNumberFormat="1" applyFont="1" applyAlignment="1">
      <alignment horizontal="center"/>
    </xf>
    <xf numFmtId="0" fontId="13" fillId="0" borderId="0" xfId="1" applyFont="1" applyAlignment="1">
      <alignment horizontal="left" indent="1"/>
    </xf>
    <xf numFmtId="0" fontId="11" fillId="0" borderId="0" xfId="0" applyFont="1" applyAlignment="1">
      <alignment horizontal="left" indent="1"/>
    </xf>
  </cellXfs>
  <cellStyles count="2">
    <cellStyle name="標準" xfId="0" builtinId="0"/>
    <cellStyle name="標準 2" xfId="1" xr:uid="{50F53C47-DBD2-4504-9830-D45CD7119AE4}"/>
  </cellStyles>
  <dxfs count="366"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&#12489;&#12461;&#12517;&#12513;&#12531;&#12488;\&#26085;&#22577;&#26376;&#22577;&#20182;\(&#26528;)&#20196;&#21644;&#9711;&#24180;&#24230;\4&#26376;&#26989;&#21209;&#26085;&#35468;.xlsx" TargetMode="External"/><Relationship Id="rId1" Type="http://schemas.openxmlformats.org/officeDocument/2006/relationships/externalLinkPath" Target="4&#26376;&#26989;&#21209;&#26085;&#354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祝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>
            <v>46506</v>
          </cell>
          <cell r="B1" t="str">
            <v>昭和の日</v>
          </cell>
          <cell r="C1">
            <v>46753</v>
          </cell>
          <cell r="D1" t="str">
            <v>元日</v>
          </cell>
          <cell r="E1">
            <v>2027</v>
          </cell>
        </row>
        <row r="2">
          <cell r="A2">
            <v>46510</v>
          </cell>
          <cell r="B2" t="str">
            <v>憲法記念日</v>
          </cell>
          <cell r="C2">
            <v>46762</v>
          </cell>
          <cell r="D2" t="str">
            <v>成人の日</v>
          </cell>
          <cell r="E2"/>
        </row>
        <row r="3">
          <cell r="A3">
            <v>46511</v>
          </cell>
          <cell r="B3" t="str">
            <v>みどりの日</v>
          </cell>
          <cell r="C3">
            <v>46794</v>
          </cell>
          <cell r="D3" t="str">
            <v>建国記念の日</v>
          </cell>
          <cell r="E3"/>
        </row>
        <row r="4">
          <cell r="A4">
            <v>46512</v>
          </cell>
          <cell r="B4" t="str">
            <v>こどもの日</v>
          </cell>
          <cell r="C4">
            <v>46806</v>
          </cell>
          <cell r="D4" t="str">
            <v>天皇誕生日</v>
          </cell>
          <cell r="E4"/>
        </row>
        <row r="5">
          <cell r="A5">
            <v>46587</v>
          </cell>
          <cell r="B5" t="str">
            <v>海の日</v>
          </cell>
          <cell r="C5">
            <v>46832</v>
          </cell>
          <cell r="D5" t="str">
            <v>春分の日</v>
          </cell>
          <cell r="E5"/>
        </row>
        <row r="6">
          <cell r="A6">
            <v>46610</v>
          </cell>
          <cell r="B6" t="str">
            <v>山の日</v>
          </cell>
          <cell r="C6"/>
          <cell r="D6"/>
          <cell r="E6"/>
        </row>
        <row r="7">
          <cell r="A7">
            <v>46650</v>
          </cell>
          <cell r="B7" t="str">
            <v>敬老の日</v>
          </cell>
          <cell r="C7"/>
          <cell r="D7"/>
          <cell r="E7"/>
        </row>
        <row r="8">
          <cell r="A8">
            <v>46653</v>
          </cell>
          <cell r="B8" t="str">
            <v>秋分の日</v>
          </cell>
          <cell r="C8"/>
          <cell r="D8"/>
          <cell r="E8"/>
        </row>
        <row r="9">
          <cell r="A9">
            <v>46671</v>
          </cell>
          <cell r="B9" t="str">
            <v>スポーツの日</v>
          </cell>
          <cell r="C9"/>
          <cell r="D9"/>
          <cell r="E9"/>
        </row>
        <row r="10">
          <cell r="A10">
            <v>46694</v>
          </cell>
          <cell r="B10" t="str">
            <v>文化の日</v>
          </cell>
          <cell r="C10"/>
          <cell r="D10"/>
          <cell r="E10"/>
        </row>
        <row r="11">
          <cell r="A11">
            <v>46714</v>
          </cell>
          <cell r="B11" t="str">
            <v>勤労感謝の日</v>
          </cell>
          <cell r="C11"/>
          <cell r="D11"/>
          <cell r="E11"/>
        </row>
        <row r="12">
          <cell r="A12"/>
          <cell r="B12"/>
          <cell r="C12"/>
          <cell r="D12"/>
          <cell r="E12"/>
        </row>
        <row r="13">
          <cell r="A13"/>
          <cell r="B13"/>
          <cell r="C13"/>
          <cell r="D13"/>
          <cell r="E13"/>
        </row>
        <row r="14">
          <cell r="A14"/>
          <cell r="B14"/>
          <cell r="C14"/>
          <cell r="D14"/>
          <cell r="E14"/>
        </row>
        <row r="15">
          <cell r="A15"/>
          <cell r="B15"/>
          <cell r="C15"/>
          <cell r="D15"/>
          <cell r="E15"/>
        </row>
        <row r="16">
          <cell r="A16"/>
          <cell r="B16"/>
          <cell r="C16"/>
          <cell r="D16"/>
          <cell r="E16"/>
        </row>
        <row r="17">
          <cell r="A17"/>
          <cell r="B17"/>
          <cell r="C17"/>
          <cell r="D17"/>
          <cell r="E17"/>
        </row>
        <row r="18">
          <cell r="A18"/>
          <cell r="B18"/>
          <cell r="C18"/>
          <cell r="D18"/>
          <cell r="E18"/>
        </row>
        <row r="19">
          <cell r="A19"/>
          <cell r="B19"/>
          <cell r="C19"/>
          <cell r="D19"/>
          <cell r="E19"/>
        </row>
        <row r="20">
          <cell r="A20"/>
          <cell r="B20"/>
          <cell r="C20"/>
          <cell r="D20"/>
          <cell r="E20"/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394E-45AE-4895-A01A-C73D53C8B275}">
  <sheetPr codeName="Sheet15">
    <tabColor rgb="FF92D050"/>
  </sheetPr>
  <dimension ref="A1:F24"/>
  <sheetViews>
    <sheetView workbookViewId="0">
      <selection activeCell="D3" sqref="D3"/>
    </sheetView>
  </sheetViews>
  <sheetFormatPr defaultRowHeight="42" x14ac:dyDescent="0.4"/>
  <cols>
    <col min="1" max="1" width="24.5" style="1" customWidth="1"/>
    <col min="2" max="2" width="10.25" style="1" customWidth="1"/>
    <col min="3" max="3" width="40" style="1" customWidth="1"/>
    <col min="4" max="16384" width="9" style="1"/>
  </cols>
  <sheetData>
    <row r="1" spans="1:6" ht="54" customHeight="1" x14ac:dyDescent="0.4">
      <c r="A1" s="73" t="str">
        <f>"令和 "&amp;祝日!E1-2018&amp;" 年度"</f>
        <v>令和 9 年度</v>
      </c>
      <c r="B1" s="73"/>
      <c r="C1" s="73"/>
    </row>
    <row r="2" spans="1:6" ht="75.75" customHeight="1" x14ac:dyDescent="0.4">
      <c r="A2" s="2"/>
      <c r="B2" s="2"/>
      <c r="C2" s="2"/>
    </row>
    <row r="3" spans="1:6" ht="65.25" customHeight="1" x14ac:dyDescent="0.4">
      <c r="A3" s="73" t="s">
        <v>68</v>
      </c>
      <c r="B3" s="73"/>
      <c r="C3" s="73"/>
    </row>
    <row r="4" spans="1:6" ht="60.75" customHeight="1" x14ac:dyDescent="0.4">
      <c r="A4" s="3"/>
      <c r="B4" s="3"/>
      <c r="C4" s="3"/>
      <c r="F4" s="1" t="s">
        <v>58</v>
      </c>
    </row>
    <row r="5" spans="1:6" ht="115.5" customHeight="1" x14ac:dyDescent="0.4">
      <c r="A5" s="74" t="s">
        <v>44</v>
      </c>
      <c r="B5" s="74"/>
      <c r="C5" s="74"/>
    </row>
    <row r="6" spans="1:6" ht="169.5" customHeight="1" x14ac:dyDescent="0.4">
      <c r="A6" s="3"/>
      <c r="B6" s="3"/>
      <c r="C6" s="3"/>
    </row>
    <row r="7" spans="1:6" ht="54" customHeight="1" x14ac:dyDescent="0.4">
      <c r="A7" s="75" t="s">
        <v>45</v>
      </c>
      <c r="B7" s="75"/>
      <c r="C7" s="75"/>
    </row>
    <row r="8" spans="1:6" ht="54" customHeight="1" x14ac:dyDescent="0.4">
      <c r="A8" s="3"/>
      <c r="B8" s="3"/>
      <c r="C8" s="3"/>
    </row>
    <row r="9" spans="1:6" ht="54" customHeight="1" x14ac:dyDescent="0.4">
      <c r="A9" s="3"/>
      <c r="B9" s="3"/>
      <c r="C9" s="3"/>
    </row>
    <row r="10" spans="1:6" ht="54" customHeight="1" x14ac:dyDescent="0.4"/>
    <row r="11" spans="1:6" ht="54" customHeight="1" x14ac:dyDescent="0.4"/>
    <row r="12" spans="1:6" ht="54" customHeight="1" x14ac:dyDescent="0.4"/>
    <row r="13" spans="1:6" ht="54" customHeight="1" x14ac:dyDescent="0.4"/>
    <row r="14" spans="1:6" ht="54" customHeight="1" x14ac:dyDescent="0.4"/>
    <row r="15" spans="1:6" ht="54" customHeight="1" x14ac:dyDescent="0.4"/>
    <row r="16" spans="1:6" ht="54" customHeight="1" x14ac:dyDescent="0.4"/>
    <row r="17" ht="54" customHeight="1" x14ac:dyDescent="0.4"/>
    <row r="18" ht="54" customHeight="1" x14ac:dyDescent="0.4"/>
    <row r="19" ht="54" customHeight="1" x14ac:dyDescent="0.4"/>
    <row r="20" ht="54" customHeight="1" x14ac:dyDescent="0.4"/>
    <row r="21" ht="54" customHeight="1" x14ac:dyDescent="0.4"/>
    <row r="22" ht="54" customHeight="1" x14ac:dyDescent="0.4"/>
    <row r="23" ht="54" customHeight="1" x14ac:dyDescent="0.4"/>
    <row r="24" ht="54" customHeight="1" x14ac:dyDescent="0.4"/>
  </sheetData>
  <mergeCells count="4">
    <mergeCell ref="A1:C1"/>
    <mergeCell ref="A5:C5"/>
    <mergeCell ref="A7:C7"/>
    <mergeCell ref="A3:C3"/>
  </mergeCells>
  <phoneticPr fontId="1"/>
  <printOptions horizontalCentered="1" verticalCentered="1"/>
  <pageMargins left="0.98425196850393704" right="0.98425196850393704" top="1.7716535433070868" bottom="1.7716535433070868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27F-A1E5-492D-A7F3-2A9AA6963B04}">
  <sheetPr>
    <tabColor rgb="FFFFFF99"/>
  </sheetPr>
  <dimension ref="A1:S66"/>
  <sheetViews>
    <sheetView tabSelected="1" zoomScale="115" zoomScaleNormal="115" workbookViewId="0">
      <pane ySplit="4" topLeftCell="A5" activePane="bottomLeft" state="frozen"/>
      <selection activeCell="I1" sqref="I1:L1"/>
      <selection pane="bottomLeft" activeCell="T7" sqref="T7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DATE(祝日!E1+1,1,1)</f>
        <v>46753</v>
      </c>
      <c r="F1" s="80"/>
      <c r="G1" s="80"/>
      <c r="H1" s="80"/>
      <c r="I1" s="81" t="str">
        <f>TEXT(E1,"aaaa")</f>
        <v>土曜日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94" priority="5" stopIfTrue="1">
      <formula>WEEKDAY($E$1)=7</formula>
    </cfRule>
    <cfRule type="expression" dxfId="93" priority="6" stopIfTrue="1">
      <formula>WEEKDAY($E$1)=1</formula>
    </cfRule>
  </conditionalFormatting>
  <conditionalFormatting sqref="I1:L1">
    <cfRule type="containsText" dxfId="92" priority="3" stopIfTrue="1" operator="containsText" text="日曜日">
      <formula>NOT(ISERROR(SEARCH("日曜日",I1)))</formula>
    </cfRule>
    <cfRule type="containsText" dxfId="91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9DC3739-4EEA-4295-BC95-F00911C00E2B}"/>
    <dataValidation imeMode="on" allowBlank="1" showInputMessage="1" showErrorMessage="1" sqref="A66:I66 A60:F62 G51:O54 G56:O62" xr:uid="{DA3833C2-C90E-4F16-9E9F-7FDC611583C0}"/>
    <dataValidation allowBlank="1" showInputMessage="1" sqref="C30:L30 C15:L15 C20:L20 C25:L25 C10:L10" xr:uid="{76BA93A4-3DB9-4DCB-A3FF-131BC878F46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EBAE17C-1571-4CA9-8CD6-A65C5FE36F7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72E0E3C-8529-4D6E-888F-EA8B713F9D9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5FC950D-C13B-45A7-AC21-32910C05F0DC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16A3E7EB-9BF1-4173-9A29-C70BDC08DA50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1E-C935-4B74-99C9-A59073A2759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DATE(祝日!E1+1,1,2)</f>
        <v>46754</v>
      </c>
      <c r="F1" s="80"/>
      <c r="G1" s="80"/>
      <c r="H1" s="80"/>
      <c r="I1" s="81" t="str">
        <f>TEXT(E1,"aaaa")</f>
        <v>日曜日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97" priority="5" stopIfTrue="1">
      <formula>WEEKDAY($E$1)=7</formula>
    </cfRule>
    <cfRule type="expression" dxfId="96" priority="6" stopIfTrue="1">
      <formula>WEEKDAY($E$1)=1</formula>
    </cfRule>
  </conditionalFormatting>
  <conditionalFormatting sqref="I1:L1">
    <cfRule type="containsText" dxfId="1" priority="2" stopIfTrue="1" operator="containsText" text="日曜日">
      <formula>NOT(ISERROR(SEARCH("日曜日",I1)))</formula>
    </cfRule>
    <cfRule type="containsText" dxfId="0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DDC7BEF-AF88-4C43-83A7-BD3A3D658DDB}"/>
    <dataValidation allowBlank="1" showInputMessage="1" sqref="C30:L30 C15:L15 C20:L20 C25:L25 C10:L10" xr:uid="{F3D8B64B-83C0-4757-ABDC-B30FFF218CA9}"/>
    <dataValidation imeMode="on" allowBlank="1" showInputMessage="1" showErrorMessage="1" sqref="A66:I66 A60:F62 G51:O54 G56:O62" xr:uid="{78EC6069-9F30-4FA9-AFA2-D0A089FD091F}"/>
    <dataValidation imeMode="disabled" allowBlank="1" showInputMessage="1" showErrorMessage="1" sqref="C51:C59 C36:O37 M16:O19 M11:O14 C43:O50 M31:O34 D59 M21:O24 M26:O29 D51:D57 N6:O9 C39:O41" xr:uid="{FD8768F7-384A-4D6B-AE34-F8B71E03631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0DB17EA7-6665-44F4-8EB4-7FEFA01A7D4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8CE8D882-A5BD-45A6-B3A2-DE1546625494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EA767350-2240-4A36-BCE7-6A4EA1129E61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55C4-2EF4-4618-A2E8-59DC6801CFD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DATE(祝日!E1+1,1,3)</f>
        <v>46755</v>
      </c>
      <c r="F1" s="80"/>
      <c r="G1" s="80"/>
      <c r="H1" s="80"/>
      <c r="I1" s="81" t="str">
        <f>TEXT(E1,"aaaa")</f>
        <v>月曜日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0" priority="5" stopIfTrue="1">
      <formula>WEEKDAY($E$1)=7</formula>
    </cfRule>
    <cfRule type="expression" dxfId="99" priority="6" stopIfTrue="1">
      <formula>WEEKDAY($E$1)=1</formula>
    </cfRule>
  </conditionalFormatting>
  <conditionalFormatting sqref="I1:L1">
    <cfRule type="containsText" dxfId="4" priority="2" stopIfTrue="1" operator="containsText" text="日曜日">
      <formula>NOT(ISERROR(SEARCH("日曜日",I1)))</formula>
    </cfRule>
    <cfRule type="containsText" dxfId="3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3A874025-5294-4498-95F1-DD4615578178}"/>
    <dataValidation imeMode="on" allowBlank="1" showInputMessage="1" showErrorMessage="1" sqref="A66:I66 A60:F62 G51:O54 G56:O62" xr:uid="{7AD4744A-B1BD-4908-B50D-CE1E1D62A70B}"/>
    <dataValidation allowBlank="1" showInputMessage="1" sqref="C30:L30 C15:L15 C20:L20 C25:L25 C10:L10" xr:uid="{FCA86B48-6E28-4C9B-A64D-ADAE445336A9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4D29FC1-786E-4CE2-A55A-AD077F9DB72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F4BA09D-CFC5-4282-8EB8-E86CB639126E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6152B214-0711-4875-A73B-4D323075A8F7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41869F20-B451-4E66-827F-51ACF6655F1F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DC5F-CC64-4F40-ADC3-3D64DC6F962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DATE(祝日!E1+1,1,4)</f>
        <v>46756</v>
      </c>
      <c r="F1" s="80"/>
      <c r="G1" s="80"/>
      <c r="H1" s="80"/>
      <c r="I1" s="81" t="str">
        <f>TEXT(E1,"aaaa")</f>
        <v>火曜日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3" priority="5" stopIfTrue="1">
      <formula>WEEKDAY($E$1)=7</formula>
    </cfRule>
    <cfRule type="expression" dxfId="102" priority="6" stopIfTrue="1">
      <formula>WEEKDAY($E$1)=1</formula>
    </cfRule>
  </conditionalFormatting>
  <conditionalFormatting sqref="I1:L1">
    <cfRule type="containsText" dxfId="7" priority="2" stopIfTrue="1" operator="containsText" text="日曜日">
      <formula>NOT(ISERROR(SEARCH("日曜日",I1)))</formula>
    </cfRule>
    <cfRule type="containsText" dxfId="6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FF42E81-34BE-4ED2-822A-5F68046637BD}"/>
    <dataValidation allowBlank="1" showInputMessage="1" sqref="C30:L30 C15:L15 C20:L20 C25:L25 C10:L10" xr:uid="{9300D96D-0A36-4D60-8E58-4BA9C21BE156}"/>
    <dataValidation imeMode="on" allowBlank="1" showInputMessage="1" showErrorMessage="1" sqref="A66:I66 A60:F62 G51:O54 G56:O62" xr:uid="{881C03F6-C8B9-476B-B73F-84D981A3ED44}"/>
    <dataValidation imeMode="disabled" allowBlank="1" showInputMessage="1" showErrorMessage="1" sqref="C51:C59 C36:O37 M16:O19 M11:O14 C43:O50 M31:O34 D59 M21:O24 M26:O29 D51:D57 N6:O9 C39:O41" xr:uid="{6A3A1D6A-79C9-41F3-9987-88C2FE7CEEF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FEFFC93-DB60-4333-B213-DE10081B03D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72622A62-11DA-4E42-85AF-DC52D9EBF420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387BE27F-37F0-4DFC-A9DF-52DDDDD88C3C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0ED1-5002-413D-9F34-115A86A8780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DATE(祝日!E1+1,1,5)</f>
        <v>46757</v>
      </c>
      <c r="F1" s="80"/>
      <c r="G1" s="80"/>
      <c r="H1" s="80"/>
      <c r="I1" s="81" t="str">
        <f>TEXT(E1,"aaaa")</f>
        <v>水曜日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6" priority="5" stopIfTrue="1">
      <formula>WEEKDAY($E$1)=7</formula>
    </cfRule>
    <cfRule type="expression" dxfId="105" priority="6" stopIfTrue="1">
      <formula>WEEKDAY($E$1)=1</formula>
    </cfRule>
  </conditionalFormatting>
  <conditionalFormatting sqref="I1:L1">
    <cfRule type="containsText" dxfId="10" priority="2" stopIfTrue="1" operator="containsText" text="日曜日">
      <formula>NOT(ISERROR(SEARCH("日曜日",I1)))</formula>
    </cfRule>
    <cfRule type="containsText" dxfId="9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4550F29-28DD-4E77-AA61-EC3DB91E1374}"/>
    <dataValidation imeMode="on" allowBlank="1" showInputMessage="1" showErrorMessage="1" sqref="A66:I66 A60:F62 G51:O54 G56:O62" xr:uid="{628E276D-0E77-4E2A-BA3E-C7E9B16FAA96}"/>
    <dataValidation allowBlank="1" showInputMessage="1" sqref="C30:L30 C15:L15 C20:L20 C25:L25 C10:L10" xr:uid="{66212E58-18DD-468A-899A-ADA3BE9717A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86E50CF-2A98-4E5E-A0F2-AC62006ED389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EC5AA7-EBF5-4029-8843-1AFA167B9C3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ACD163A1-4664-49A1-8E47-F8CDF9D377FF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4BBD3C06-AF62-4333-812C-484C44E2634A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804C-FD95-4359-BC0A-1A66061538E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DATE(祝日!E1+1,1,6)</f>
        <v>46758</v>
      </c>
      <c r="F1" s="80"/>
      <c r="G1" s="80"/>
      <c r="H1" s="80"/>
      <c r="I1" s="81" t="str">
        <f>TEXT(E1,"aaaa")</f>
        <v>木曜日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9" priority="5" stopIfTrue="1">
      <formula>WEEKDAY($E$1)=7</formula>
    </cfRule>
    <cfRule type="expression" dxfId="108" priority="6" stopIfTrue="1">
      <formula>WEEKDAY($E$1)=1</formula>
    </cfRule>
  </conditionalFormatting>
  <conditionalFormatting sqref="I1:L1">
    <cfRule type="containsText" dxfId="13" priority="2" stopIfTrue="1" operator="containsText" text="日曜日">
      <formula>NOT(ISERROR(SEARCH("日曜日",I1)))</formula>
    </cfRule>
    <cfRule type="containsText" dxfId="12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74998073-3D7E-4852-95BF-A1CDCCB496B4}"/>
    <dataValidation allowBlank="1" showInputMessage="1" sqref="C30:L30 C15:L15 C20:L20 C25:L25 C10:L10" xr:uid="{7B9A049D-29D3-4754-B412-73BE1B0A93CA}"/>
    <dataValidation imeMode="on" allowBlank="1" showInputMessage="1" showErrorMessage="1" sqref="A66:I66 A60:F62 G51:O54 G56:O62" xr:uid="{C3646204-5D6D-44C3-B30B-DC5B36881D9E}"/>
    <dataValidation imeMode="disabled" allowBlank="1" showInputMessage="1" showErrorMessage="1" sqref="C51:C59 C36:O37 M16:O19 M11:O14 C43:O50 M31:O34 D59 M21:O24 M26:O29 D51:D57 N6:O9 C39:O41" xr:uid="{8F86A590-77E9-49BD-BE03-06148FE79D0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4DC0E976-6A30-4B8E-8766-E223716F60A7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454D4B08-3624-4376-B7FC-9530FDBE40EF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EAD6FCF7-FDBF-4A79-A1D8-F3D5CABD1FCA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6195-DB69-43A2-B74E-5FA04CC712C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DATE(祝日!E1+1,1,7)</f>
        <v>46759</v>
      </c>
      <c r="F1" s="80"/>
      <c r="G1" s="80"/>
      <c r="H1" s="80"/>
      <c r="I1" s="81" t="str">
        <f>TEXT(E1,"aaaa")</f>
        <v>金曜日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12" priority="5" stopIfTrue="1">
      <formula>WEEKDAY($E$1)=7</formula>
    </cfRule>
    <cfRule type="expression" dxfId="111" priority="6" stopIfTrue="1">
      <formula>WEEKDAY($E$1)=1</formula>
    </cfRule>
  </conditionalFormatting>
  <conditionalFormatting sqref="I1:L1">
    <cfRule type="containsText" dxfId="16" priority="2" stopIfTrue="1" operator="containsText" text="日曜日">
      <formula>NOT(ISERROR(SEARCH("日曜日",I1)))</formula>
    </cfRule>
    <cfRule type="containsText" dxfId="15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19844B2-72A8-4D00-AB65-2146DFC635CF}"/>
    <dataValidation imeMode="on" allowBlank="1" showInputMessage="1" showErrorMessage="1" sqref="A66:I66 A60:F62 G51:O54 G56:O62" xr:uid="{DD849717-F01C-44FE-897C-A026A04623C9}"/>
    <dataValidation allowBlank="1" showInputMessage="1" sqref="C30:L30 C15:L15 C20:L20 C25:L25 C10:L10" xr:uid="{21F601E5-0874-4A42-A34A-57A7A60A5170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38C46F8-A52E-4091-BED7-71EC474420E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44D97C2-8F24-497C-B841-73E5CD2E5A3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4DDB13C9-CA36-46A7-9F1E-1675C8676B84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F81C6D6C-A020-4ECC-9933-E36BB6ED82D5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07D-298B-47D8-BC03-26BDEB61B8D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DATE(祝日!E1+1,1,8)</f>
        <v>46760</v>
      </c>
      <c r="F1" s="80"/>
      <c r="G1" s="80"/>
      <c r="H1" s="80"/>
      <c r="I1" s="81" t="str">
        <f>TEXT(E1,"aaaa")</f>
        <v>土曜日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15" priority="5" stopIfTrue="1">
      <formula>WEEKDAY($E$1)=7</formula>
    </cfRule>
    <cfRule type="expression" dxfId="114" priority="6" stopIfTrue="1">
      <formula>WEEKDAY($E$1)=1</formula>
    </cfRule>
  </conditionalFormatting>
  <conditionalFormatting sqref="I1:L1">
    <cfRule type="containsText" dxfId="19" priority="2" stopIfTrue="1" operator="containsText" text="日曜日">
      <formula>NOT(ISERROR(SEARCH("日曜日",I1)))</formula>
    </cfRule>
    <cfRule type="containsText" dxfId="18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ABD23E-74D2-49E6-A5A4-8E0CC1CDEC6B}"/>
    <dataValidation allowBlank="1" showInputMessage="1" sqref="C30:L30 C15:L15 C20:L20 C25:L25 C10:L10" xr:uid="{DAF9B729-424A-424F-A1EC-C37613F7EBDE}"/>
    <dataValidation imeMode="on" allowBlank="1" showInputMessage="1" showErrorMessage="1" sqref="A66:I66 A60:F62 G51:O54 G56:O62" xr:uid="{2D4E12A2-7C9E-4BA4-AF10-341CDC59C283}"/>
    <dataValidation imeMode="disabled" allowBlank="1" showInputMessage="1" showErrorMessage="1" sqref="C51:C59 C36:O37 M16:O19 M11:O14 C43:O50 M31:O34 D59 M21:O24 M26:O29 D51:D57 N6:O9 C39:O41" xr:uid="{1009490C-4700-416F-AEF9-77AF3C84489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357BED6-954C-4E09-9B85-E3405D216EC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E99F23BC-24BC-4B73-8E01-C4912A156681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304EBEC3-B11D-4610-8A52-7AAEABCC660B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717-045C-4183-AC5C-26FE3CEF7F9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DATE(祝日!E1+1,1,9)</f>
        <v>46761</v>
      </c>
      <c r="F1" s="80"/>
      <c r="G1" s="80"/>
      <c r="H1" s="80"/>
      <c r="I1" s="81" t="str">
        <f>TEXT(E1,"aaaa")</f>
        <v>日曜日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18" priority="5" stopIfTrue="1">
      <formula>WEEKDAY($E$1)=7</formula>
    </cfRule>
    <cfRule type="expression" dxfId="117" priority="6" stopIfTrue="1">
      <formula>WEEKDAY($E$1)=1</formula>
    </cfRule>
  </conditionalFormatting>
  <conditionalFormatting sqref="I1:L1">
    <cfRule type="containsText" dxfId="22" priority="2" stopIfTrue="1" operator="containsText" text="日曜日">
      <formula>NOT(ISERROR(SEARCH("日曜日",I1)))</formula>
    </cfRule>
    <cfRule type="containsText" dxfId="21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CF46ED24-D6F7-480A-AD9A-4B9B4BBA2B8D}"/>
    <dataValidation imeMode="on" allowBlank="1" showInputMessage="1" showErrorMessage="1" sqref="A66:I66 A60:F62 G51:O54 G56:O62" xr:uid="{6E1E42FC-3C97-404C-A7F1-8B496B9E2868}"/>
    <dataValidation allowBlank="1" showInputMessage="1" sqref="C30:L30 C15:L15 C20:L20 C25:L25 C10:L10" xr:uid="{FFF4D861-722B-42B7-99F5-8CDD3E96780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2A70631-B1EF-43E3-A832-CF1A614E90E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56599AA4-CAD2-46B8-B5D2-610A638B3D3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2BD84B44-E748-4335-A753-E696E785BD76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0E0D72C7-80FC-4E6D-977F-5C382A9A3C24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AB5-D4FF-435C-B96E-F9CCDF7A5D2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DATE(祝日!E1+1,1,10)</f>
        <v>46762</v>
      </c>
      <c r="F1" s="80"/>
      <c r="G1" s="80"/>
      <c r="H1" s="80"/>
      <c r="I1" s="81" t="str">
        <f>TEXT(E1,"aaaa")</f>
        <v>月曜日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21" priority="5" stopIfTrue="1">
      <formula>WEEKDAY($E$1)=7</formula>
    </cfRule>
    <cfRule type="expression" dxfId="120" priority="6" stopIfTrue="1">
      <formula>WEEKDAY($E$1)=1</formula>
    </cfRule>
  </conditionalFormatting>
  <conditionalFormatting sqref="I1:L1">
    <cfRule type="containsText" dxfId="25" priority="2" stopIfTrue="1" operator="containsText" text="日曜日">
      <formula>NOT(ISERROR(SEARCH("日曜日",I1)))</formula>
    </cfRule>
    <cfRule type="containsText" dxfId="24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C0DCDA0-36CF-4311-A9A4-777F1C2B15B2}"/>
    <dataValidation allowBlank="1" showInputMessage="1" sqref="C30:L30 C15:L15 C20:L20 C25:L25 C10:L10" xr:uid="{AE321C2A-132D-4338-BA6C-81C42E9D0987}"/>
    <dataValidation imeMode="on" allowBlank="1" showInputMessage="1" showErrorMessage="1" sqref="A66:I66 A60:F62 G51:O54 G56:O62" xr:uid="{9A22055D-1637-44A5-9E11-E76E5F069987}"/>
    <dataValidation imeMode="disabled" allowBlank="1" showInputMessage="1" showErrorMessage="1" sqref="C51:C59 C36:O37 M16:O19 M11:O14 C43:O50 M31:O34 D59 M21:O24 M26:O29 D51:D57 N6:O9 C39:O41" xr:uid="{DD5991ED-1D30-48D5-B111-B0385C1144F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EB4DBC-8BDA-410D-AC7A-5D7CF762A01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C81ADA9A-4EF5-4D0B-9FCB-09D6D8DBAEF1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F72BA3A9-1E68-4922-9863-1D3864F7F98F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B1F-F798-43EC-9747-F00BCF98193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DATE(祝日!E1+1,1,11)</f>
        <v>46763</v>
      </c>
      <c r="F1" s="80"/>
      <c r="G1" s="80"/>
      <c r="H1" s="80"/>
      <c r="I1" s="81" t="str">
        <f>TEXT(E1,"aaaa")</f>
        <v>火曜日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24" priority="5" stopIfTrue="1">
      <formula>WEEKDAY($E$1)=7</formula>
    </cfRule>
    <cfRule type="expression" dxfId="123" priority="6" stopIfTrue="1">
      <formula>WEEKDAY($E$1)=1</formula>
    </cfRule>
  </conditionalFormatting>
  <conditionalFormatting sqref="I1:L1">
    <cfRule type="containsText" dxfId="28" priority="2" stopIfTrue="1" operator="containsText" text="日曜日">
      <formula>NOT(ISERROR(SEARCH("日曜日",I1)))</formula>
    </cfRule>
    <cfRule type="containsText" dxfId="27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BB5123A2-580E-4962-84D2-0F4F9788436E}"/>
    <dataValidation imeMode="on" allowBlank="1" showInputMessage="1" showErrorMessage="1" sqref="A66:I66 A60:F62 G51:O54 G56:O62" xr:uid="{AD53E268-9B7B-42CA-A144-59E1231B386A}"/>
    <dataValidation allowBlank="1" showInputMessage="1" sqref="C30:L30 C15:L15 C20:L20 C25:L25 C10:L10" xr:uid="{67F4167F-D533-423C-89A9-0BE7B8F1E47E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4669C59-EC34-4970-BEEF-8D868C125C8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B12382-1714-42DC-B9D4-CFABB43AD9EC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8F2B35FD-B7BC-4E6E-99AE-8A963EB5930A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365265D1-B255-44B3-A987-20868C148AB3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B98-03CA-4EB1-B643-D9E8617D6FCD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DATE(祝日!E1+1,1,12)</f>
        <v>46764</v>
      </c>
      <c r="F1" s="80"/>
      <c r="G1" s="80"/>
      <c r="H1" s="80"/>
      <c r="I1" s="81" t="str">
        <f>TEXT(E1,"aaaa")</f>
        <v>水曜日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27" priority="5" stopIfTrue="1">
      <formula>WEEKDAY($E$1)=7</formula>
    </cfRule>
    <cfRule type="expression" dxfId="126" priority="6" stopIfTrue="1">
      <formula>WEEKDAY($E$1)=1</formula>
    </cfRule>
  </conditionalFormatting>
  <conditionalFormatting sqref="I1:L1">
    <cfRule type="containsText" dxfId="31" priority="2" stopIfTrue="1" operator="containsText" text="日曜日">
      <formula>NOT(ISERROR(SEARCH("日曜日",I1)))</formula>
    </cfRule>
    <cfRule type="containsText" dxfId="30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1D7B232-6277-4712-881A-D1B7526082E8}"/>
    <dataValidation allowBlank="1" showInputMessage="1" sqref="C30:L30 C15:L15 C20:L20 C25:L25 C10:L10" xr:uid="{E260EBC0-45FF-45C7-8668-692177F3FF1D}"/>
    <dataValidation imeMode="on" allowBlank="1" showInputMessage="1" showErrorMessage="1" sqref="A66:I66 A60:F62 G51:O54 G56:O62" xr:uid="{33AA4E05-B799-42EC-B609-29594553B1E9}"/>
    <dataValidation imeMode="disabled" allowBlank="1" showInputMessage="1" showErrorMessage="1" sqref="C51:C59 C36:O37 M16:O19 M11:O14 C43:O50 M31:O34 D59 M21:O24 M26:O29 D51:D57 N6:O9 C39:O41" xr:uid="{C79639B5-758B-408A-BF4E-46AAA47B0BE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AF35EDC-D460-49A6-BDDF-F271649BD2C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006E5529-6A32-4947-9B77-CC6E3118BE48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53DF3C42-B570-4900-90FF-8183601211E9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B5D-38C3-429F-95C2-23760C747904}">
  <sheetPr>
    <tabColor rgb="FFFFFF99"/>
  </sheetPr>
  <dimension ref="A1:S66"/>
  <sheetViews>
    <sheetView zoomScale="115" zoomScaleNormal="115" workbookViewId="0">
      <pane ySplit="4" topLeftCell="A26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DATE(祝日!E1+1,1,13)</f>
        <v>46765</v>
      </c>
      <c r="F1" s="80"/>
      <c r="G1" s="80"/>
      <c r="H1" s="80"/>
      <c r="I1" s="81" t="str">
        <f>TEXT(E1,"aaaa")</f>
        <v>木曜日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0" priority="5" stopIfTrue="1">
      <formula>WEEKDAY($E$1)=7</formula>
    </cfRule>
    <cfRule type="expression" dxfId="129" priority="6" stopIfTrue="1">
      <formula>WEEKDAY($E$1)=1</formula>
    </cfRule>
  </conditionalFormatting>
  <conditionalFormatting sqref="I1:L1">
    <cfRule type="containsText" dxfId="34" priority="2" stopIfTrue="1" operator="containsText" text="日曜日">
      <formula>NOT(ISERROR(SEARCH("日曜日",I1)))</formula>
    </cfRule>
    <cfRule type="containsText" dxfId="33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ED95AC8-D168-41B1-A7A6-DCEB453E1F98}"/>
    <dataValidation imeMode="on" allowBlank="1" showInputMessage="1" showErrorMessage="1" sqref="A66:I66 A60:F62 G51:O54 G56:O62" xr:uid="{3A05B64F-996B-4BF9-A4CB-16ADE1FEABDA}"/>
    <dataValidation allowBlank="1" showInputMessage="1" sqref="C30:L30 C15:L15 C20:L20 C25:L25 C10:L10" xr:uid="{567A987A-3AF0-442C-B2D0-F8E122F831E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A4D6AB9-8DDA-4D66-8BC1-22AB84B122B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04626CD-0D5F-4DD3-9854-F943E446967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2C2FC508-248C-4C8E-8542-5E8170368073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D11CB150-252C-4256-BFF4-10FFAA30069C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933-FC1D-49BD-B7BF-F558E0F0617A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DATE(祝日!E1+1,1,14)</f>
        <v>46766</v>
      </c>
      <c r="F1" s="80"/>
      <c r="G1" s="80"/>
      <c r="H1" s="80"/>
      <c r="I1" s="81" t="str">
        <f>TEXT(E1,"aaaa")</f>
        <v>金曜日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3" priority="5" stopIfTrue="1">
      <formula>WEEKDAY($E$1)=7</formula>
    </cfRule>
    <cfRule type="expression" dxfId="132" priority="6" stopIfTrue="1">
      <formula>WEEKDAY($E$1)=1</formula>
    </cfRule>
  </conditionalFormatting>
  <conditionalFormatting sqref="I1:L1">
    <cfRule type="containsText" dxfId="37" priority="2" stopIfTrue="1" operator="containsText" text="日曜日">
      <formula>NOT(ISERROR(SEARCH("日曜日",I1)))</formula>
    </cfRule>
    <cfRule type="containsText" dxfId="36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7E211A0-AFA1-4273-8F48-3F25BBCDD2EC}"/>
    <dataValidation allowBlank="1" showInputMessage="1" sqref="C30:L30 C15:L15 C20:L20 C25:L25 C10:L10" xr:uid="{0F5D34DF-5AC8-4BFB-B71B-C7F6B7F48D3C}"/>
    <dataValidation imeMode="on" allowBlank="1" showInputMessage="1" showErrorMessage="1" sqref="A66:I66 A60:F62 G51:O54 G56:O62" xr:uid="{098A9E28-8008-445D-85DB-063B66DB088E}"/>
    <dataValidation imeMode="disabled" allowBlank="1" showInputMessage="1" showErrorMessage="1" sqref="C51:C59 C36:O37 M16:O19 M11:O14 C43:O50 M31:O34 D59 M21:O24 M26:O29 D51:D57 N6:O9 C39:O41" xr:uid="{F955DD86-5781-48C1-A585-90717EF6820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A7C5F2B-3624-47D0-A17D-FB070F64612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84B10567-72FD-4D5F-8741-DC1DAE8180F9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4869F36D-FA12-4C45-9F9B-54E8FEF3C18E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553-D259-4BD4-97E9-6CC41C90E38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DATE(祝日!E1+1,1,15)</f>
        <v>46767</v>
      </c>
      <c r="F1" s="80"/>
      <c r="G1" s="80"/>
      <c r="H1" s="80"/>
      <c r="I1" s="81" t="str">
        <f>TEXT(E1,"aaaa")</f>
        <v>土曜日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6" priority="5" stopIfTrue="1">
      <formula>WEEKDAY($E$1)=7</formula>
    </cfRule>
    <cfRule type="expression" dxfId="135" priority="6" stopIfTrue="1">
      <formula>WEEKDAY($E$1)=1</formula>
    </cfRule>
  </conditionalFormatting>
  <conditionalFormatting sqref="I1:L1">
    <cfRule type="containsText" dxfId="40" priority="2" stopIfTrue="1" operator="containsText" text="日曜日">
      <formula>NOT(ISERROR(SEARCH("日曜日",I1)))</formula>
    </cfRule>
    <cfRule type="containsText" dxfId="39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E3C1CA34-8C12-49C1-8239-7DBAF25AC8DE}"/>
    <dataValidation imeMode="on" allowBlank="1" showInputMessage="1" showErrorMessage="1" sqref="A66:I66 A60:F62 G51:O54 G56:O62" xr:uid="{8217554C-D877-4B0B-9BF5-B0A3F8F577D7}"/>
    <dataValidation allowBlank="1" showInputMessage="1" sqref="C30:L30 C15:L15 C20:L20 C25:L25 C10:L10" xr:uid="{17D34089-0F2F-4974-BF08-4C38666E744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E6D6EF8-0667-448E-A4DC-3030C8CEF50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C3A3E2D-52E6-42B8-9B7C-DCCAAFF6F7D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2DCB0356-26CA-4152-804E-86DDD275E375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1E6C80C5-8745-4B9B-AAF3-C0515488C603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F59C-D6B9-4B1D-980C-55A45A275656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DATE(祝日!E1+1,1,16)</f>
        <v>46768</v>
      </c>
      <c r="F1" s="80"/>
      <c r="G1" s="80"/>
      <c r="H1" s="80"/>
      <c r="I1" s="81" t="str">
        <f>TEXT(E1,"aaaa")</f>
        <v>日曜日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9" priority="5" stopIfTrue="1">
      <formula>WEEKDAY($E$1)=7</formula>
    </cfRule>
    <cfRule type="expression" dxfId="138" priority="6" stopIfTrue="1">
      <formula>WEEKDAY($E$1)=1</formula>
    </cfRule>
  </conditionalFormatting>
  <conditionalFormatting sqref="I1:L1">
    <cfRule type="containsText" dxfId="43" priority="2" stopIfTrue="1" operator="containsText" text="日曜日">
      <formula>NOT(ISERROR(SEARCH("日曜日",I1)))</formula>
    </cfRule>
    <cfRule type="containsText" dxfId="42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828B38B-8502-4F14-8769-FFB2DC6F951D}"/>
    <dataValidation allowBlank="1" showInputMessage="1" sqref="C30:L30 C15:L15 C20:L20 C25:L25 C10:L10" xr:uid="{2685F030-B842-4FFA-9EC7-B91C57FE22E7}"/>
    <dataValidation imeMode="on" allowBlank="1" showInputMessage="1" showErrorMessage="1" sqref="A66:I66 A60:F62 G51:O54 G56:O62" xr:uid="{269FE4BC-C68C-4A9A-9EC4-9EF2A4444255}"/>
    <dataValidation imeMode="disabled" allowBlank="1" showInputMessage="1" showErrorMessage="1" sqref="C51:C59 C36:O37 M16:O19 M11:O14 C43:O50 M31:O34 D59 M21:O24 M26:O29 D51:D57 N6:O9 C39:O41" xr:uid="{C44F46EA-0D98-4BD3-91C7-6E373DFD198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3AE38CD-D2F2-4D13-8B93-1FD66D71B785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8CE59460-5C49-4D73-AB35-3096F9E4C438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BA9DED99-884C-40D8-ABA7-AB583D3CD1B9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CAB-B7A2-4F6A-BA6C-A262B2422E9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DATE(祝日!E1+1,1,17)</f>
        <v>46769</v>
      </c>
      <c r="F1" s="80"/>
      <c r="G1" s="80"/>
      <c r="H1" s="80"/>
      <c r="I1" s="81" t="str">
        <f>TEXT(E1,"aaaa")</f>
        <v>月曜日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42" priority="5" stopIfTrue="1">
      <formula>WEEKDAY($E$1)=7</formula>
    </cfRule>
    <cfRule type="expression" dxfId="141" priority="6" stopIfTrue="1">
      <formula>WEEKDAY($E$1)=1</formula>
    </cfRule>
  </conditionalFormatting>
  <conditionalFormatting sqref="I1:L1">
    <cfRule type="containsText" dxfId="46" priority="2" stopIfTrue="1" operator="containsText" text="日曜日">
      <formula>NOT(ISERROR(SEARCH("日曜日",I1)))</formula>
    </cfRule>
    <cfRule type="containsText" dxfId="45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A0E62CE-D730-4D64-90F2-2AEC031DAE2D}"/>
    <dataValidation imeMode="on" allowBlank="1" showInputMessage="1" showErrorMessage="1" sqref="A66:I66 A60:F62 G51:O54 G56:O62" xr:uid="{E6036416-9EA6-4962-8505-9B788C96D093}"/>
    <dataValidation allowBlank="1" showInputMessage="1" sqref="C30:L30 C15:L15 C20:L20 C25:L25 C10:L10" xr:uid="{548F0AF8-87A9-4F46-B692-354482D6DA1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53F1A50-33C9-4EC7-BDA8-126E693F6C2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7958DA5-A5BB-4ED0-9FC9-6E294DD07FE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C9253E23-C05A-4E70-BB9D-5DF13828E4CC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9029410D-41FC-47F7-9F2E-AD49CA5C09B5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B2EA-8A6F-40DC-AD4C-8FD723CE5E4F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DATE(祝日!E1+1,1,18)</f>
        <v>46770</v>
      </c>
      <c r="F1" s="80"/>
      <c r="G1" s="80"/>
      <c r="H1" s="80"/>
      <c r="I1" s="81" t="str">
        <f>TEXT(E1,"aaaa")</f>
        <v>火曜日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45" priority="5" stopIfTrue="1">
      <formula>WEEKDAY($E$1)=7</formula>
    </cfRule>
    <cfRule type="expression" dxfId="144" priority="6" stopIfTrue="1">
      <formula>WEEKDAY($E$1)=1</formula>
    </cfRule>
  </conditionalFormatting>
  <conditionalFormatting sqref="I1:L1">
    <cfRule type="containsText" dxfId="49" priority="2" stopIfTrue="1" operator="containsText" text="日曜日">
      <formula>NOT(ISERROR(SEARCH("日曜日",I1)))</formula>
    </cfRule>
    <cfRule type="containsText" dxfId="48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FD43531-DE70-42C4-A5F7-EE3AC0FFC669}"/>
    <dataValidation allowBlank="1" showInputMessage="1" sqref="C30:L30 C15:L15 C20:L20 C25:L25 C10:L10" xr:uid="{C4A418A0-8FA4-4836-BEC5-88A888897412}"/>
    <dataValidation imeMode="on" allowBlank="1" showInputMessage="1" showErrorMessage="1" sqref="A66:I66 A60:F62 G51:O54 G56:O62" xr:uid="{D319F481-4F8A-433F-B3C9-4B4BFA561DEC}"/>
    <dataValidation imeMode="disabled" allowBlank="1" showInputMessage="1" showErrorMessage="1" sqref="C51:C59 C36:O37 M16:O19 M11:O14 C43:O50 M31:O34 D59 M21:O24 M26:O29 D51:D57 N6:O9 C39:O41" xr:uid="{54CC4114-FB2B-45B4-88C4-E789082B47A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BE2078F-D635-4D52-B021-A8BEC4233D2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F728B086-CAE9-4AF4-9A09-6A1A027C86AC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039D127F-B1E5-443B-92A1-83774BFD0DDE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CF54-26E4-4B26-9E34-F3811E2BBF7E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DATE(祝日!E1+1,1,19)</f>
        <v>46771</v>
      </c>
      <c r="F1" s="80"/>
      <c r="G1" s="80"/>
      <c r="H1" s="80"/>
      <c r="I1" s="81" t="str">
        <f>TEXT(E1,"aaaa")</f>
        <v>水曜日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48" priority="5" stopIfTrue="1">
      <formula>WEEKDAY($E$1)=7</formula>
    </cfRule>
    <cfRule type="expression" dxfId="147" priority="6" stopIfTrue="1">
      <formula>WEEKDAY($E$1)=1</formula>
    </cfRule>
  </conditionalFormatting>
  <conditionalFormatting sqref="I1:L1">
    <cfRule type="containsText" dxfId="52" priority="2" stopIfTrue="1" operator="containsText" text="日曜日">
      <formula>NOT(ISERROR(SEARCH("日曜日",I1)))</formula>
    </cfRule>
    <cfRule type="containsText" dxfId="51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BFCDF3D-22D9-433F-B23C-6DF71ABCDE9B}"/>
    <dataValidation imeMode="on" allowBlank="1" showInputMessage="1" showErrorMessage="1" sqref="A66:I66 A60:F62 G51:O54 G56:O62" xr:uid="{2FE6A425-DE0F-48CC-80B2-B3F89DF1A558}"/>
    <dataValidation allowBlank="1" showInputMessage="1" sqref="C30:L30 C15:L15 C20:L20 C25:L25 C10:L10" xr:uid="{391E9913-B1B8-42A6-8860-9A774854C811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4A4DC35-9903-4C15-A064-AD51D42F74D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AD22D50-0C2B-4C59-86B3-48A6424CFA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4581E04A-CB86-4165-A6A1-CDE8B1A1C2CC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7E3218ED-79D0-4C33-B2D5-064BC1CC0859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DCA8-352A-4066-8944-77019823B095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DATE(祝日!E1+1,1,20)</f>
        <v>46772</v>
      </c>
      <c r="F1" s="80"/>
      <c r="G1" s="80"/>
      <c r="H1" s="80"/>
      <c r="I1" s="81" t="str">
        <f>TEXT(E1,"aaaa")</f>
        <v>木曜日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51" priority="5" stopIfTrue="1">
      <formula>WEEKDAY($E$1)=7</formula>
    </cfRule>
    <cfRule type="expression" dxfId="150" priority="6" stopIfTrue="1">
      <formula>WEEKDAY($E$1)=1</formula>
    </cfRule>
  </conditionalFormatting>
  <conditionalFormatting sqref="I1:L1">
    <cfRule type="containsText" dxfId="55" priority="2" stopIfTrue="1" operator="containsText" text="日曜日">
      <formula>NOT(ISERROR(SEARCH("日曜日",I1)))</formula>
    </cfRule>
    <cfRule type="containsText" dxfId="54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29D63AD-9608-4635-81E6-0CD1F59668B1}"/>
    <dataValidation allowBlank="1" showInputMessage="1" sqref="C30:L30 C15:L15 C20:L20 C25:L25 C10:L10" xr:uid="{657110EA-A05D-4E42-9317-85A8F3DFFEA0}"/>
    <dataValidation imeMode="on" allowBlank="1" showInputMessage="1" showErrorMessage="1" sqref="A66:I66 A60:F62 G51:O54 G56:O62" xr:uid="{00D47038-DA34-4632-8155-17B89A03B8E8}"/>
    <dataValidation imeMode="disabled" allowBlank="1" showInputMessage="1" showErrorMessage="1" sqref="C51:C59 C36:O37 M16:O19 M11:O14 C43:O50 M31:O34 D59 M21:O24 M26:O29 D51:D57 N6:O9 C39:O41" xr:uid="{FF823537-080A-4920-9ED4-9585C31E3E8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53782A9-D424-4438-9EF5-789C4826B11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B750E465-23C8-4AAF-8082-4690C95BE6DD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7513F0B9-2487-45D9-952D-9BE5776CEFEC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42CA-F6DE-4CD9-AF5E-81DA582EAC5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DATE(祝日!E1+1,1,21)</f>
        <v>46773</v>
      </c>
      <c r="F1" s="80"/>
      <c r="G1" s="80"/>
      <c r="H1" s="80"/>
      <c r="I1" s="81" t="str">
        <f>TEXT(E1,"aaaa")</f>
        <v>金曜日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54" priority="5" stopIfTrue="1">
      <formula>WEEKDAY($E$1)=7</formula>
    </cfRule>
    <cfRule type="expression" dxfId="153" priority="6" stopIfTrue="1">
      <formula>WEEKDAY($E$1)=1</formula>
    </cfRule>
  </conditionalFormatting>
  <conditionalFormatting sqref="I1:L1">
    <cfRule type="containsText" dxfId="58" priority="2" stopIfTrue="1" operator="containsText" text="日曜日">
      <formula>NOT(ISERROR(SEARCH("日曜日",I1)))</formula>
    </cfRule>
    <cfRule type="containsText" dxfId="57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6C2DFB15-F258-4504-BF86-BD0F54AEDA0A}"/>
    <dataValidation imeMode="on" allowBlank="1" showInputMessage="1" showErrorMessage="1" sqref="A66:I66 A60:F62 G51:O54 G56:O62" xr:uid="{4B532F0E-891E-4F63-93F9-783381F3E8E6}"/>
    <dataValidation allowBlank="1" showInputMessage="1" sqref="C30:L30 C15:L15 C20:L20 C25:L25 C10:L10" xr:uid="{DEA27970-BF36-4F45-ADC7-26AE1FE8A614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7BAF23C-5EDB-440F-9807-F21A28EFD67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FC6070B-8F10-4D9C-93C3-4FD34A2B0A21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66B6D316-914B-4B7B-B711-502D8FDFD5B2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FA471ACA-99C9-43CD-9098-A9BBC4437750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016-CB6C-4ABE-A2CC-238FB8F802D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DATE(祝日!E1+1,1,22)</f>
        <v>46774</v>
      </c>
      <c r="F1" s="80"/>
      <c r="G1" s="80"/>
      <c r="H1" s="80"/>
      <c r="I1" s="81" t="str">
        <f>TEXT(E1,"aaaa")</f>
        <v>土曜日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57" priority="5" stopIfTrue="1">
      <formula>WEEKDAY($E$1)=7</formula>
    </cfRule>
    <cfRule type="expression" dxfId="156" priority="6" stopIfTrue="1">
      <formula>WEEKDAY($E$1)=1</formula>
    </cfRule>
  </conditionalFormatting>
  <conditionalFormatting sqref="I1:L1">
    <cfRule type="containsText" dxfId="61" priority="2" stopIfTrue="1" operator="containsText" text="日曜日">
      <formula>NOT(ISERROR(SEARCH("日曜日",I1)))</formula>
    </cfRule>
    <cfRule type="containsText" dxfId="60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5C8C3E-AEEA-46D3-824A-F2BB6C706F44}"/>
    <dataValidation allowBlank="1" showInputMessage="1" sqref="C30:L30 C15:L15 C20:L20 C25:L25 C10:L10" xr:uid="{CC7E2FB8-0AD0-46D4-B5B0-48DD80424987}"/>
    <dataValidation imeMode="on" allowBlank="1" showInputMessage="1" showErrorMessage="1" sqref="A66:I66 A60:F62 G51:O54 G56:O62" xr:uid="{C67074B3-68C1-4332-ADBF-62CD1FA7EB51}"/>
    <dataValidation imeMode="disabled" allowBlank="1" showInputMessage="1" showErrorMessage="1" sqref="C51:C59 C36:O37 M16:O19 M11:O14 C43:O50 M31:O34 D59 M21:O24 M26:O29 D51:D57 N6:O9 C39:O41" xr:uid="{2F40860C-9018-4225-9824-7FBFA9D0735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FEF74B1-213B-4820-8C44-F9E33C5E13B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44282E23-D979-4420-8F21-D2328A8DD43F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80A734F2-1479-45EF-A60A-1F05F324FC09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649-EA26-4F91-8DB8-AABFD7C705B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DATE(祝日!E1+1,1,23)</f>
        <v>46775</v>
      </c>
      <c r="F1" s="80"/>
      <c r="G1" s="80"/>
      <c r="H1" s="80"/>
      <c r="I1" s="81" t="str">
        <f>TEXT(E1,"aaaa")</f>
        <v>日曜日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72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0" priority="5" stopIfTrue="1">
      <formula>WEEKDAY($E$1)=7</formula>
    </cfRule>
    <cfRule type="expression" dxfId="159" priority="6" stopIfTrue="1">
      <formula>WEEKDAY($E$1)=1</formula>
    </cfRule>
  </conditionalFormatting>
  <conditionalFormatting sqref="I1:L1">
    <cfRule type="containsText" dxfId="64" priority="2" stopIfTrue="1" operator="containsText" text="日曜日">
      <formula>NOT(ISERROR(SEARCH("日曜日",I1)))</formula>
    </cfRule>
    <cfRule type="containsText" dxfId="63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CB7D74C-2B7E-4CD9-8493-62EBDAD9F052}"/>
    <dataValidation imeMode="on" allowBlank="1" showInputMessage="1" showErrorMessage="1" sqref="A66:I66 A60:F62 G51:O54 G56:O62" xr:uid="{D24985AA-233D-452C-AF4A-513E94DB3E0E}"/>
    <dataValidation allowBlank="1" showInputMessage="1" sqref="C30:L30 C15:L15 C20:L20 C25:L25 C10:L10" xr:uid="{110014C5-1E85-4BE0-8794-20DD7D73ABF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639726B-D7DA-40D8-AC8F-57ADC460729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9B312C-B653-485D-9B52-5097C4C4ED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A7853C9F-EDFF-4532-A31E-E86CDB287BAA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B0A427F2-4B5C-4B2D-ADA4-6542AE55B832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D9AB-6496-4AE8-A308-12C68BC894B7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DATE(祝日!E1+1,1,24)</f>
        <v>46776</v>
      </c>
      <c r="F1" s="80"/>
      <c r="G1" s="80"/>
      <c r="H1" s="80"/>
      <c r="I1" s="81" t="str">
        <f>TEXT(E1,"aaaa")</f>
        <v>月曜日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3" priority="5" stopIfTrue="1">
      <formula>WEEKDAY($E$1)=7</formula>
    </cfRule>
    <cfRule type="expression" dxfId="162" priority="6" stopIfTrue="1">
      <formula>WEEKDAY($E$1)=1</formula>
    </cfRule>
  </conditionalFormatting>
  <conditionalFormatting sqref="I1:L1">
    <cfRule type="containsText" dxfId="67" priority="2" stopIfTrue="1" operator="containsText" text="日曜日">
      <formula>NOT(ISERROR(SEARCH("日曜日",I1)))</formula>
    </cfRule>
    <cfRule type="containsText" dxfId="66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5ACEEAE0-57A1-44F7-AC85-CD8F45B36C65}"/>
    <dataValidation allowBlank="1" showInputMessage="1" sqref="C30:L30 C15:L15 C20:L20 C25:L25 C10:L10" xr:uid="{AC3F8883-198F-4BE6-8BB0-FCA91B2DA49F}"/>
    <dataValidation imeMode="on" allowBlank="1" showInputMessage="1" showErrorMessage="1" sqref="A66:I66 A60:F62 G51:O54 G56:O62" xr:uid="{411C72B8-9892-4129-8923-A35B88987211}"/>
    <dataValidation imeMode="disabled" allowBlank="1" showInputMessage="1" showErrorMessage="1" sqref="C51:C59 C36:O37 M16:O19 M11:O14 C43:O50 M31:O34 D59 M21:O24 M26:O29 D51:D57 N6:O9 C39:O41" xr:uid="{F3E7CBEB-7A0B-40DF-BDA8-553DCA4FBCF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2325C41-3776-457C-A0B8-11A7BA8424C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D729C679-0F9E-46A1-89B7-22E00AEC1F30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AD8EA079-03AF-4D3D-B0A4-6BC519592514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2E15-4AB5-4532-8D8C-03081B36DE1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DATE(祝日!E1+1,1,25)</f>
        <v>46777</v>
      </c>
      <c r="F1" s="80"/>
      <c r="G1" s="80"/>
      <c r="H1" s="80"/>
      <c r="I1" s="81" t="str">
        <f>TEXT(E1,"aaaa")</f>
        <v>火曜日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6" priority="5" stopIfTrue="1">
      <formula>WEEKDAY($E$1)=7</formula>
    </cfRule>
    <cfRule type="expression" dxfId="165" priority="6" stopIfTrue="1">
      <formula>WEEKDAY($E$1)=1</formula>
    </cfRule>
  </conditionalFormatting>
  <conditionalFormatting sqref="I1:L1">
    <cfRule type="containsText" dxfId="70" priority="2" stopIfTrue="1" operator="containsText" text="日曜日">
      <formula>NOT(ISERROR(SEARCH("日曜日",I1)))</formula>
    </cfRule>
    <cfRule type="containsText" dxfId="69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0CDC4D9-C9D5-4504-8BB9-1313B4DEF886}"/>
    <dataValidation imeMode="on" allowBlank="1" showInputMessage="1" showErrorMessage="1" sqref="A66:I66 A60:F62 G51:O54 G56:O62" xr:uid="{44D7C21B-8BF2-4ED4-BDA5-6111D339EBC8}"/>
    <dataValidation allowBlank="1" showInputMessage="1" sqref="C30:L30 C15:L15 C20:L20 C25:L25 C10:L10" xr:uid="{CCC025C9-79C5-4661-98C1-C0F54B2E952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B3E73D3-9524-480A-8E2A-7747B2B4678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FF5145A-5AEC-4B36-8194-4123ADCA55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002C93CA-5ED9-4F09-BF25-DB7501DF0849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DC25603E-F291-4CA2-9571-6C154514A166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85DA-F213-4489-9B6E-B0BA7413E32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DATE(祝日!E1+1,1,26)</f>
        <v>46778</v>
      </c>
      <c r="F1" s="80"/>
      <c r="G1" s="80"/>
      <c r="H1" s="80"/>
      <c r="I1" s="81" t="str">
        <f>TEXT(E1,"aaaa")</f>
        <v>水曜日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9" priority="5" stopIfTrue="1">
      <formula>WEEKDAY($E$1)=7</formula>
    </cfRule>
    <cfRule type="expression" dxfId="168" priority="6" stopIfTrue="1">
      <formula>WEEKDAY($E$1)=1</formula>
    </cfRule>
  </conditionalFormatting>
  <conditionalFormatting sqref="I1:L1">
    <cfRule type="containsText" dxfId="73" priority="2" stopIfTrue="1" operator="containsText" text="日曜日">
      <formula>NOT(ISERROR(SEARCH("日曜日",I1)))</formula>
    </cfRule>
    <cfRule type="containsText" dxfId="72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C87CAB92-C49F-4287-86B2-4A2CF07727F4}"/>
    <dataValidation allowBlank="1" showInputMessage="1" sqref="C30:L30 C15:L15 C20:L20 C25:L25 C10:L10" xr:uid="{5B3519AD-477F-404B-BA75-E00F17391652}"/>
    <dataValidation imeMode="on" allowBlank="1" showInputMessage="1" showErrorMessage="1" sqref="A66:I66 A60:F62 G51:O54 G56:O62" xr:uid="{A5D746F8-4539-433A-8FEB-0FE5F617970B}"/>
    <dataValidation imeMode="disabled" allowBlank="1" showInputMessage="1" showErrorMessage="1" sqref="C51:C59 C36:O37 M16:O19 M11:O14 C43:O50 M31:O34 D59 M21:O24 M26:O29 D51:D57 N6:O9 C39:O41" xr:uid="{F9CB08AB-A4A8-4008-85F8-6DEA52B06EA2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A49C9DC-86C9-4AC0-B168-302275BFBA9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B412B200-2D13-4CEE-B1D7-FA84C072F6A7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7C0557E7-A0C3-4AA4-BD84-55E290A8A53E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B2F-7ACF-4D22-AAED-4DEB80D746D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DATE(祝日!E1+1,1,27)</f>
        <v>46779</v>
      </c>
      <c r="F1" s="80"/>
      <c r="G1" s="80"/>
      <c r="H1" s="80"/>
      <c r="I1" s="81" t="str">
        <f>TEXT(E1,"aaaa")</f>
        <v>木曜日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72" priority="5" stopIfTrue="1">
      <formula>WEEKDAY($E$1)=7</formula>
    </cfRule>
    <cfRule type="expression" dxfId="171" priority="6" stopIfTrue="1">
      <formula>WEEKDAY($E$1)=1</formula>
    </cfRule>
  </conditionalFormatting>
  <conditionalFormatting sqref="I1:L1">
    <cfRule type="containsText" dxfId="76" priority="2" stopIfTrue="1" operator="containsText" text="日曜日">
      <formula>NOT(ISERROR(SEARCH("日曜日",I1)))</formula>
    </cfRule>
    <cfRule type="containsText" dxfId="75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8CFE857C-BAB7-414D-B9D9-6F1B867840FA}"/>
    <dataValidation imeMode="on" allowBlank="1" showInputMessage="1" showErrorMessage="1" sqref="A66:I66 A60:F62 G51:O54 G56:O62" xr:uid="{EFDA2805-2A4B-45CC-92EB-EEFBDC816776}"/>
    <dataValidation allowBlank="1" showInputMessage="1" sqref="C30:L30 C15:L15 C20:L20 C25:L25 C10:L10" xr:uid="{5FC8D69C-BE8C-4D4F-BBBE-E6D96A25062F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B9D836-3AB9-41AA-A404-F3AFABAF735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0965227-ABE4-47E2-AFCF-CFA0BCFAC30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A1841692-D948-4B39-95AA-ECA0DE0956A4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C953B778-0017-4CFB-A149-4ADE72AF342E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9010-1085-40B4-BE5A-AED15C0E040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DATE(祝日!E1+1,1,28)</f>
        <v>46780</v>
      </c>
      <c r="F1" s="80"/>
      <c r="G1" s="80"/>
      <c r="H1" s="80"/>
      <c r="I1" s="81" t="str">
        <f>TEXT(E1,"aaaa")</f>
        <v>金曜日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75" priority="5" stopIfTrue="1">
      <formula>WEEKDAY($E$1)=7</formula>
    </cfRule>
    <cfRule type="expression" dxfId="174" priority="6" stopIfTrue="1">
      <formula>WEEKDAY($E$1)=1</formula>
    </cfRule>
  </conditionalFormatting>
  <conditionalFormatting sqref="I1:L1">
    <cfRule type="containsText" dxfId="79" priority="2" stopIfTrue="1" operator="containsText" text="日曜日">
      <formula>NOT(ISERROR(SEARCH("日曜日",I1)))</formula>
    </cfRule>
    <cfRule type="containsText" dxfId="78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2D44F7-562C-48EC-BA40-7DA96164D701}"/>
    <dataValidation allowBlank="1" showInputMessage="1" sqref="C30:L30 C15:L15 C20:L20 C25:L25 C10:L10" xr:uid="{ACE0E721-D216-4DCC-BBFC-DD692EE0F91B}"/>
    <dataValidation imeMode="on" allowBlank="1" showInputMessage="1" showErrorMessage="1" sqref="A66:I66 A60:F62 G51:O54 G56:O62" xr:uid="{AF045496-780E-41D5-AE18-12C30E55579E}"/>
    <dataValidation imeMode="disabled" allowBlank="1" showInputMessage="1" showErrorMessage="1" sqref="C51:C59 C36:O37 M16:O19 M11:O14 C43:O50 M31:O34 D59 M21:O24 M26:O29 D51:D57 N6:O9 C39:O41" xr:uid="{3BB2E19D-FB28-4059-832E-1FCFBF03BC4F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B1E52F32-60A6-4CEE-9BBD-3E11D94C887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2F27EF53-DAFD-4637-BFFA-A0533995BACF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464AA179-F415-45F4-9929-E865A97AEA72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0E84-456F-4391-BD7E-8646615E88D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DATE(祝日!E1+1,1,29)</f>
        <v>46781</v>
      </c>
      <c r="F1" s="80"/>
      <c r="G1" s="80"/>
      <c r="H1" s="80"/>
      <c r="I1" s="81" t="str">
        <f>TEXT(E1,"aaaa")</f>
        <v>土曜日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78" priority="5" stopIfTrue="1">
      <formula>WEEKDAY($E$1)=7</formula>
    </cfRule>
    <cfRule type="expression" dxfId="177" priority="6" stopIfTrue="1">
      <formula>WEEKDAY($E$1)=1</formula>
    </cfRule>
  </conditionalFormatting>
  <conditionalFormatting sqref="I1:L1">
    <cfRule type="containsText" dxfId="82" priority="2" stopIfTrue="1" operator="containsText" text="日曜日">
      <formula>NOT(ISERROR(SEARCH("日曜日",I1)))</formula>
    </cfRule>
    <cfRule type="containsText" dxfId="81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54B9F03-35ED-40F9-83CF-89BC640F6437}"/>
    <dataValidation imeMode="on" allowBlank="1" showInputMessage="1" showErrorMessage="1" sqref="A66:I66 A60:F62 G51:O54 G56:O62" xr:uid="{A2D54FB5-52DE-4482-BD82-2CD7DF2C3177}"/>
    <dataValidation allowBlank="1" showInputMessage="1" sqref="C30:L30 C15:L15 C20:L20 C25:L25 C10:L10" xr:uid="{B6BC1D27-A9A5-4D3C-89CE-2187B1C8765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D091BA7-46E8-4BC8-B6E9-41C18EAFE6D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03D8DDA-8818-4D40-81DF-A0997F3762D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1DCBA4FE-3388-492F-BF66-E7C89558CA94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99B4D797-D873-4EC3-A248-BC912BA6C57F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C984-33A8-4C5D-8DAE-C7C3B7D5D6F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DATE(祝日!E1+1,1,30)</f>
        <v>46782</v>
      </c>
      <c r="F1" s="80"/>
      <c r="G1" s="80"/>
      <c r="H1" s="80"/>
      <c r="I1" s="81" t="str">
        <f>TEXT(E1,"aaaa")</f>
        <v>日曜日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81" priority="5" stopIfTrue="1">
      <formula>WEEKDAY($E$1)=7</formula>
    </cfRule>
    <cfRule type="expression" dxfId="180" priority="6" stopIfTrue="1">
      <formula>WEEKDAY($E$1)=1</formula>
    </cfRule>
  </conditionalFormatting>
  <conditionalFormatting sqref="I1:L1">
    <cfRule type="containsText" dxfId="85" priority="2" stopIfTrue="1" operator="containsText" text="日曜日">
      <formula>NOT(ISERROR(SEARCH("日曜日",I1)))</formula>
    </cfRule>
    <cfRule type="containsText" dxfId="84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BDEA5AB-37A1-458C-9C74-7E2DB1F5583F}"/>
    <dataValidation allowBlank="1" showInputMessage="1" sqref="C30:L30 C15:L15 C20:L20 C25:L25 C10:L10" xr:uid="{2D946271-4224-42DE-9CEA-33E723829754}"/>
    <dataValidation imeMode="on" allowBlank="1" showInputMessage="1" showErrorMessage="1" sqref="A66:I66 A60:F62 G51:O54 G56:O62" xr:uid="{066239F6-262F-45F0-A266-B03DBDF1D4C2}"/>
    <dataValidation imeMode="disabled" allowBlank="1" showInputMessage="1" showErrorMessage="1" sqref="C51:C59 C36:O37 M16:O19 M11:O14 C43:O50 M31:O34 D59 M21:O24 M26:O29 D51:D57 N6:O9 C39:O41" xr:uid="{71EB2C29-BC1B-4D65-8834-96B2693ED54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4CA64FF-951F-4B82-BC0C-AB75042CA3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DCB1B50A-1F85-466B-903F-8FE97726EC90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E8FA1D9A-A600-4235-84B3-FB5F7FF111F5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063E-1601-42C8-B762-90CF6A7D7E50}">
  <sheetPr>
    <tabColor rgb="FFFFFF99"/>
  </sheetPr>
  <dimension ref="A1:S66"/>
  <sheetViews>
    <sheetView zoomScale="115" zoomScaleNormal="115" workbookViewId="0">
      <pane ySplit="4" topLeftCell="A32" activePane="bottomLeft" state="frozen"/>
      <selection activeCell="I1" sqref="I1:L1"/>
      <selection pane="bottomLeft" activeCell="I1" sqref="I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6" t="s">
        <v>59</v>
      </c>
      <c r="B1" s="77"/>
      <c r="C1" s="76" t="s">
        <v>66</v>
      </c>
      <c r="D1" s="78"/>
      <c r="E1" s="79">
        <f>DATE(祝日!E1+1,1,31)</f>
        <v>46783</v>
      </c>
      <c r="F1" s="80"/>
      <c r="G1" s="80"/>
      <c r="H1" s="80"/>
      <c r="I1" s="81" t="str">
        <f>TEXT(E1,"aaaa")</f>
        <v>月曜日</v>
      </c>
      <c r="J1" s="81"/>
      <c r="K1" s="81"/>
      <c r="L1" s="81"/>
      <c r="M1" s="4"/>
      <c r="N1" s="55" t="s">
        <v>67</v>
      </c>
      <c r="O1" s="55" t="s">
        <v>5</v>
      </c>
    </row>
    <row r="2" spans="1:15" ht="12.75" customHeight="1" x14ac:dyDescent="0.15">
      <c r="A2" s="82"/>
      <c r="B2" s="83"/>
      <c r="C2" s="82"/>
      <c r="D2" s="88"/>
      <c r="E2" s="91"/>
      <c r="F2" s="92"/>
      <c r="G2" s="92"/>
      <c r="H2" s="92"/>
      <c r="I2" s="92"/>
      <c r="J2" s="92"/>
      <c r="K2" s="92"/>
      <c r="L2" s="93"/>
      <c r="M2" s="6"/>
      <c r="N2" s="7"/>
      <c r="O2" s="8"/>
    </row>
    <row r="3" spans="1:15" ht="12.75" customHeight="1" x14ac:dyDescent="0.15">
      <c r="A3" s="84"/>
      <c r="B3" s="85"/>
      <c r="C3" s="84"/>
      <c r="D3" s="89"/>
      <c r="E3" s="9"/>
      <c r="F3" s="54" t="s">
        <v>64</v>
      </c>
      <c r="G3" s="94"/>
      <c r="H3" s="94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6"/>
      <c r="B4" s="87"/>
      <c r="C4" s="86"/>
      <c r="D4" s="90"/>
      <c r="E4" s="12"/>
      <c r="F4" s="11"/>
      <c r="G4" s="11"/>
      <c r="H4" s="11"/>
      <c r="I4" s="87"/>
      <c r="J4" s="87"/>
      <c r="K4" s="87"/>
      <c r="L4" s="87"/>
      <c r="M4" s="90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0" t="s">
        <v>24</v>
      </c>
      <c r="D5" s="100"/>
      <c r="E5" s="100" t="s">
        <v>25</v>
      </c>
      <c r="F5" s="101"/>
      <c r="G5" s="100" t="s">
        <v>26</v>
      </c>
      <c r="H5" s="100"/>
      <c r="I5" s="100" t="s">
        <v>27</v>
      </c>
      <c r="J5" s="101"/>
      <c r="K5" s="100" t="s">
        <v>28</v>
      </c>
      <c r="L5" s="100"/>
      <c r="M5" s="16"/>
      <c r="N5" s="14" t="s">
        <v>0</v>
      </c>
      <c r="O5" s="17" t="s">
        <v>1</v>
      </c>
    </row>
    <row r="6" spans="1:15" ht="12.75" customHeight="1" x14ac:dyDescent="0.15">
      <c r="A6" s="95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5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5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6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7" t="s">
        <v>24</v>
      </c>
      <c r="D10" s="98"/>
      <c r="E10" s="97" t="s">
        <v>25</v>
      </c>
      <c r="F10" s="97"/>
      <c r="G10" s="99" t="s">
        <v>26</v>
      </c>
      <c r="H10" s="97"/>
      <c r="I10" s="97" t="s">
        <v>27</v>
      </c>
      <c r="J10" s="97"/>
      <c r="K10" s="97" t="s">
        <v>28</v>
      </c>
      <c r="L10" s="97"/>
      <c r="M10" s="16"/>
      <c r="N10" s="14" t="s">
        <v>10</v>
      </c>
      <c r="O10" s="17" t="s">
        <v>1</v>
      </c>
    </row>
    <row r="11" spans="1:15" ht="12.75" customHeight="1" x14ac:dyDescent="0.15">
      <c r="A11" s="95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5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5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6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0" t="s">
        <v>24</v>
      </c>
      <c r="D15" s="101"/>
      <c r="E15" s="100" t="s">
        <v>25</v>
      </c>
      <c r="F15" s="100"/>
      <c r="G15" s="102" t="s">
        <v>26</v>
      </c>
      <c r="H15" s="100"/>
      <c r="I15" s="100" t="s">
        <v>27</v>
      </c>
      <c r="J15" s="100"/>
      <c r="K15" s="100" t="s">
        <v>28</v>
      </c>
      <c r="L15" s="100"/>
      <c r="M15" s="16"/>
      <c r="N15" s="14" t="s">
        <v>10</v>
      </c>
      <c r="O15" s="17" t="s">
        <v>1</v>
      </c>
    </row>
    <row r="16" spans="1:15" ht="12.75" customHeight="1" x14ac:dyDescent="0.15">
      <c r="A16" s="95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5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5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6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0" t="s">
        <v>24</v>
      </c>
      <c r="D20" s="101"/>
      <c r="E20" s="100" t="s">
        <v>25</v>
      </c>
      <c r="F20" s="100"/>
      <c r="G20" s="102" t="s">
        <v>26</v>
      </c>
      <c r="H20" s="100"/>
      <c r="I20" s="100" t="s">
        <v>27</v>
      </c>
      <c r="J20" s="100"/>
      <c r="K20" s="100" t="s">
        <v>28</v>
      </c>
      <c r="L20" s="100"/>
      <c r="M20" s="16"/>
      <c r="N20" s="14" t="s">
        <v>10</v>
      </c>
      <c r="O20" s="17" t="s">
        <v>1</v>
      </c>
    </row>
    <row r="21" spans="1:15" ht="12.75" customHeight="1" x14ac:dyDescent="0.15">
      <c r="A21" s="95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5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5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3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0" t="s">
        <v>24</v>
      </c>
      <c r="D25" s="101"/>
      <c r="E25" s="100" t="s">
        <v>25</v>
      </c>
      <c r="F25" s="100"/>
      <c r="G25" s="102" t="s">
        <v>26</v>
      </c>
      <c r="H25" s="100"/>
      <c r="I25" s="100" t="s">
        <v>27</v>
      </c>
      <c r="J25" s="100"/>
      <c r="K25" s="100" t="s">
        <v>28</v>
      </c>
      <c r="L25" s="100"/>
      <c r="M25" s="16"/>
      <c r="N25" s="14" t="s">
        <v>10</v>
      </c>
      <c r="O25" s="17" t="s">
        <v>1</v>
      </c>
    </row>
    <row r="26" spans="1:15" ht="12.75" customHeight="1" x14ac:dyDescent="0.15">
      <c r="A26" s="95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5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5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6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0" t="s">
        <v>24</v>
      </c>
      <c r="D30" s="101"/>
      <c r="E30" s="100" t="s">
        <v>25</v>
      </c>
      <c r="F30" s="100"/>
      <c r="G30" s="102" t="s">
        <v>26</v>
      </c>
      <c r="H30" s="100"/>
      <c r="I30" s="100" t="s">
        <v>27</v>
      </c>
      <c r="J30" s="100"/>
      <c r="K30" s="100" t="s">
        <v>28</v>
      </c>
      <c r="L30" s="100"/>
      <c r="M30" s="16"/>
      <c r="N30" s="60" t="s">
        <v>10</v>
      </c>
      <c r="O30" s="17" t="s">
        <v>1</v>
      </c>
    </row>
    <row r="31" spans="1:15" ht="12.75" customHeight="1" x14ac:dyDescent="0.15">
      <c r="A31" s="95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5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5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6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7" t="s">
        <v>11</v>
      </c>
      <c r="B35" s="108"/>
      <c r="C35" s="100" t="s">
        <v>29</v>
      </c>
      <c r="D35" s="100"/>
      <c r="E35" s="100" t="s">
        <v>33</v>
      </c>
      <c r="F35" s="100"/>
      <c r="G35" s="100" t="s">
        <v>2</v>
      </c>
      <c r="H35" s="100"/>
      <c r="I35" s="100" t="s">
        <v>31</v>
      </c>
      <c r="J35" s="100"/>
      <c r="K35" s="100" t="s">
        <v>34</v>
      </c>
      <c r="L35" s="100"/>
      <c r="M35" s="16"/>
      <c r="N35" s="14" t="s">
        <v>10</v>
      </c>
      <c r="O35" s="17" t="s">
        <v>1</v>
      </c>
    </row>
    <row r="36" spans="1:19" ht="12.75" customHeight="1" x14ac:dyDescent="0.15">
      <c r="A36" s="104" t="s">
        <v>36</v>
      </c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9" t="s">
        <v>37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7" t="s">
        <v>9</v>
      </c>
      <c r="B38" s="108"/>
      <c r="C38" s="100" t="s">
        <v>29</v>
      </c>
      <c r="D38" s="100"/>
      <c r="E38" s="100" t="s">
        <v>33</v>
      </c>
      <c r="F38" s="100"/>
      <c r="G38" s="100" t="s">
        <v>2</v>
      </c>
      <c r="H38" s="100"/>
      <c r="I38" s="100" t="s">
        <v>31</v>
      </c>
      <c r="J38" s="100"/>
      <c r="K38" s="100" t="s">
        <v>34</v>
      </c>
      <c r="L38" s="100"/>
      <c r="M38" s="16"/>
      <c r="N38" s="14" t="s">
        <v>0</v>
      </c>
      <c r="O38" s="17" t="s">
        <v>1</v>
      </c>
    </row>
    <row r="39" spans="1:19" ht="12.75" customHeight="1" x14ac:dyDescent="0.15">
      <c r="A39" s="104" t="s">
        <v>61</v>
      </c>
      <c r="B39" s="105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4" t="s">
        <v>52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4" t="s">
        <v>51</v>
      </c>
      <c r="B41" s="10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2" t="s">
        <v>54</v>
      </c>
      <c r="B42" s="113"/>
      <c r="C42" s="100" t="s">
        <v>29</v>
      </c>
      <c r="D42" s="100"/>
      <c r="E42" s="100" t="s">
        <v>33</v>
      </c>
      <c r="F42" s="100"/>
      <c r="G42" s="100" t="s">
        <v>2</v>
      </c>
      <c r="H42" s="100"/>
      <c r="I42" s="100" t="s">
        <v>31</v>
      </c>
      <c r="J42" s="100"/>
      <c r="K42" s="100" t="s">
        <v>34</v>
      </c>
      <c r="L42" s="114"/>
      <c r="M42" s="49"/>
      <c r="N42" s="14" t="s">
        <v>10</v>
      </c>
      <c r="O42" s="17" t="s">
        <v>1</v>
      </c>
    </row>
    <row r="43" spans="1:19" ht="12.75" customHeight="1" x14ac:dyDescent="0.15">
      <c r="A43" s="104" t="s">
        <v>35</v>
      </c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17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5" t="s">
        <v>56</v>
      </c>
      <c r="B44" s="116"/>
      <c r="C44" s="106"/>
      <c r="D44" s="106"/>
      <c r="E44" s="106"/>
      <c r="F44" s="106"/>
      <c r="G44" s="106"/>
      <c r="H44" s="106"/>
      <c r="I44" s="106"/>
      <c r="J44" s="106"/>
      <c r="K44" s="106"/>
      <c r="L44" s="117"/>
      <c r="M44" s="50"/>
      <c r="N44" s="46"/>
      <c r="O44" s="42" t="str">
        <f t="shared" si="0"/>
        <v/>
      </c>
    </row>
    <row r="45" spans="1:19" ht="12.75" customHeight="1" x14ac:dyDescent="0.15">
      <c r="A45" s="104" t="s">
        <v>38</v>
      </c>
      <c r="B45" s="105"/>
      <c r="C45" s="106"/>
      <c r="D45" s="106"/>
      <c r="E45" s="106"/>
      <c r="F45" s="106"/>
      <c r="G45" s="106" t="s">
        <v>57</v>
      </c>
      <c r="H45" s="106"/>
      <c r="I45" s="106"/>
      <c r="J45" s="106"/>
      <c r="K45" s="106"/>
      <c r="L45" s="117"/>
      <c r="M45" s="50"/>
      <c r="N45" s="46"/>
      <c r="O45" s="42" t="str">
        <f t="shared" si="0"/>
        <v/>
      </c>
    </row>
    <row r="46" spans="1:19" ht="12.75" customHeight="1" x14ac:dyDescent="0.15">
      <c r="A46" s="104" t="s">
        <v>53</v>
      </c>
      <c r="B46" s="105"/>
      <c r="C46" s="106"/>
      <c r="D46" s="106"/>
      <c r="E46" s="106"/>
      <c r="F46" s="106"/>
      <c r="G46" s="106"/>
      <c r="H46" s="106"/>
      <c r="I46" s="106"/>
      <c r="J46" s="106"/>
      <c r="K46" s="106"/>
      <c r="L46" s="117"/>
      <c r="M46" s="50"/>
      <c r="N46" s="46"/>
      <c r="O46" s="42" t="str">
        <f t="shared" si="0"/>
        <v/>
      </c>
    </row>
    <row r="47" spans="1:19" ht="12.75" customHeight="1" x14ac:dyDescent="0.15">
      <c r="A47" s="104" t="s">
        <v>39</v>
      </c>
      <c r="B47" s="105"/>
      <c r="C47" s="106"/>
      <c r="D47" s="106"/>
      <c r="E47" s="106"/>
      <c r="F47" s="106"/>
      <c r="G47" s="106"/>
      <c r="H47" s="106"/>
      <c r="I47" s="106"/>
      <c r="J47" s="106"/>
      <c r="K47" s="106"/>
      <c r="L47" s="117"/>
      <c r="M47" s="50"/>
      <c r="N47" s="46"/>
      <c r="O47" s="42" t="str">
        <f t="shared" si="0"/>
        <v/>
      </c>
    </row>
    <row r="48" spans="1:19" ht="12.75" customHeight="1" x14ac:dyDescent="0.15">
      <c r="A48" s="104" t="s">
        <v>55</v>
      </c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17"/>
      <c r="M48" s="50"/>
      <c r="N48" s="46"/>
      <c r="O48" s="42" t="str">
        <f t="shared" si="0"/>
        <v/>
      </c>
    </row>
    <row r="49" spans="1:15" ht="12.75" customHeight="1" x14ac:dyDescent="0.15">
      <c r="A49" s="104" t="s">
        <v>12</v>
      </c>
      <c r="B49" s="105"/>
      <c r="C49" s="120"/>
      <c r="D49" s="120"/>
      <c r="E49" s="120"/>
      <c r="F49" s="120"/>
      <c r="G49" s="106"/>
      <c r="H49" s="106"/>
      <c r="I49" s="106"/>
      <c r="J49" s="106"/>
      <c r="K49" s="106"/>
      <c r="L49" s="117"/>
      <c r="M49" s="50"/>
      <c r="N49" s="46"/>
      <c r="O49" s="42" t="str">
        <f t="shared" si="0"/>
        <v/>
      </c>
    </row>
    <row r="50" spans="1:15" ht="12.75" customHeight="1" thickBot="1" x14ac:dyDescent="0.2">
      <c r="A50" s="109" t="s">
        <v>37</v>
      </c>
      <c r="B50" s="110"/>
      <c r="C50" s="111"/>
      <c r="D50" s="111"/>
      <c r="E50" s="111"/>
      <c r="F50" s="111"/>
      <c r="G50" s="118"/>
      <c r="H50" s="111"/>
      <c r="I50" s="111"/>
      <c r="J50" s="111"/>
      <c r="K50" s="111"/>
      <c r="L50" s="119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1" t="s">
        <v>13</v>
      </c>
      <c r="B51" s="122"/>
      <c r="C51" s="134"/>
      <c r="D51" s="135"/>
      <c r="E51" s="136" t="s">
        <v>40</v>
      </c>
      <c r="F51" s="137"/>
      <c r="G51" s="138" t="s">
        <v>65</v>
      </c>
      <c r="H51" s="139"/>
      <c r="I51" s="139"/>
      <c r="J51" s="139"/>
      <c r="K51" s="139"/>
      <c r="L51" s="139"/>
      <c r="M51" s="139"/>
      <c r="N51" s="139"/>
      <c r="O51" s="140"/>
    </row>
    <row r="52" spans="1:15" ht="12.75" customHeight="1" x14ac:dyDescent="0.15">
      <c r="A52" s="130" t="s">
        <v>14</v>
      </c>
      <c r="B52" s="131"/>
      <c r="C52" s="141"/>
      <c r="D52" s="142"/>
      <c r="E52" s="125" t="s">
        <v>49</v>
      </c>
      <c r="F52" s="126"/>
      <c r="G52" s="127"/>
      <c r="H52" s="128"/>
      <c r="I52" s="128"/>
      <c r="J52" s="128"/>
      <c r="K52" s="128"/>
      <c r="L52" s="128"/>
      <c r="M52" s="128"/>
      <c r="N52" s="128"/>
      <c r="O52" s="129"/>
    </row>
    <row r="53" spans="1:15" ht="12.75" customHeight="1" x14ac:dyDescent="0.15">
      <c r="A53" s="121" t="s">
        <v>22</v>
      </c>
      <c r="B53" s="122"/>
      <c r="C53" s="123"/>
      <c r="D53" s="124"/>
      <c r="E53" s="125" t="s">
        <v>49</v>
      </c>
      <c r="F53" s="126"/>
      <c r="G53" s="127"/>
      <c r="H53" s="128"/>
      <c r="I53" s="128"/>
      <c r="J53" s="128"/>
      <c r="K53" s="128"/>
      <c r="L53" s="128"/>
      <c r="M53" s="128"/>
      <c r="N53" s="128"/>
      <c r="O53" s="129"/>
    </row>
    <row r="54" spans="1:15" ht="12.75" customHeight="1" x14ac:dyDescent="0.15">
      <c r="A54" s="130" t="s">
        <v>15</v>
      </c>
      <c r="B54" s="131"/>
      <c r="C54" s="132"/>
      <c r="D54" s="133"/>
      <c r="E54" s="125" t="s">
        <v>49</v>
      </c>
      <c r="F54" s="126"/>
      <c r="G54" s="127"/>
      <c r="H54" s="128"/>
      <c r="I54" s="128"/>
      <c r="J54" s="128"/>
      <c r="K54" s="128"/>
      <c r="L54" s="128"/>
      <c r="M54" s="128"/>
      <c r="N54" s="128"/>
      <c r="O54" s="129"/>
    </row>
    <row r="55" spans="1:15" ht="12.75" customHeight="1" thickBot="1" x14ac:dyDescent="0.2">
      <c r="A55" s="121" t="s">
        <v>19</v>
      </c>
      <c r="B55" s="122"/>
      <c r="C55" s="123"/>
      <c r="D55" s="124"/>
      <c r="E55" s="125" t="s">
        <v>43</v>
      </c>
      <c r="F55" s="126"/>
      <c r="G55" s="149"/>
      <c r="H55" s="150"/>
      <c r="I55" s="150"/>
      <c r="J55" s="150"/>
      <c r="K55" s="150"/>
      <c r="L55" s="150"/>
      <c r="M55" s="150"/>
      <c r="N55" s="150"/>
      <c r="O55" s="151"/>
    </row>
    <row r="56" spans="1:15" ht="12.75" customHeight="1" x14ac:dyDescent="0.15">
      <c r="A56" s="130" t="s">
        <v>21</v>
      </c>
      <c r="B56" s="131"/>
      <c r="C56" s="123"/>
      <c r="D56" s="124"/>
      <c r="E56" s="125" t="s">
        <v>41</v>
      </c>
      <c r="F56" s="126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1" t="s">
        <v>16</v>
      </c>
      <c r="B57" s="122"/>
      <c r="C57" s="143"/>
      <c r="D57" s="144"/>
      <c r="E57" s="125" t="s">
        <v>42</v>
      </c>
      <c r="F57" s="126"/>
      <c r="G57" s="145"/>
      <c r="H57" s="146"/>
      <c r="I57" s="146"/>
      <c r="J57" s="146"/>
      <c r="K57" s="146"/>
      <c r="L57" s="146"/>
      <c r="M57" s="146"/>
      <c r="N57" s="146"/>
      <c r="O57" s="147"/>
    </row>
    <row r="58" spans="1:15" ht="12.75" customHeight="1" x14ac:dyDescent="0.15">
      <c r="A58" s="130" t="s">
        <v>17</v>
      </c>
      <c r="B58" s="148"/>
      <c r="C58" s="123"/>
      <c r="D58" s="124"/>
      <c r="E58" s="53" t="s">
        <v>41</v>
      </c>
      <c r="F58" s="64"/>
      <c r="G58" s="127"/>
      <c r="H58" s="128"/>
      <c r="I58" s="128"/>
      <c r="J58" s="128"/>
      <c r="K58" s="128"/>
      <c r="L58" s="128"/>
      <c r="M58" s="128"/>
      <c r="N58" s="128"/>
      <c r="O58" s="129"/>
    </row>
    <row r="59" spans="1:15" ht="12.75" customHeight="1" thickBot="1" x14ac:dyDescent="0.2">
      <c r="A59" s="155" t="s">
        <v>18</v>
      </c>
      <c r="B59" s="156"/>
      <c r="C59" s="157"/>
      <c r="D59" s="118"/>
      <c r="E59" s="158" t="s">
        <v>41</v>
      </c>
      <c r="F59" s="159"/>
      <c r="G59" s="160"/>
      <c r="H59" s="161"/>
      <c r="I59" s="161"/>
      <c r="J59" s="161"/>
      <c r="K59" s="161"/>
      <c r="L59" s="161"/>
      <c r="M59" s="161"/>
      <c r="N59" s="161"/>
      <c r="O59" s="162"/>
    </row>
    <row r="60" spans="1:15" ht="12.75" customHeight="1" x14ac:dyDescent="0.15">
      <c r="A60" s="138" t="s">
        <v>20</v>
      </c>
      <c r="B60" s="139"/>
      <c r="C60" s="139"/>
      <c r="D60" s="139"/>
      <c r="E60" s="139"/>
      <c r="F60" s="139"/>
      <c r="G60" s="127" t="s">
        <v>32</v>
      </c>
      <c r="H60" s="128"/>
      <c r="I60" s="128"/>
      <c r="J60" s="128"/>
      <c r="K60" s="128"/>
      <c r="L60" s="128"/>
      <c r="M60" s="128"/>
      <c r="N60" s="128"/>
      <c r="O60" s="129"/>
    </row>
    <row r="61" spans="1:15" ht="12.75" customHeight="1" x14ac:dyDescent="0.15">
      <c r="A61" s="127"/>
      <c r="B61" s="128"/>
      <c r="C61" s="128"/>
      <c r="D61" s="128"/>
      <c r="E61" s="128"/>
      <c r="F61" s="128"/>
      <c r="G61" s="127"/>
      <c r="H61" s="128"/>
      <c r="I61" s="128"/>
      <c r="J61" s="128"/>
      <c r="K61" s="128"/>
      <c r="L61" s="128"/>
      <c r="M61" s="128"/>
      <c r="N61" s="128"/>
      <c r="O61" s="129"/>
    </row>
    <row r="62" spans="1:15" ht="12.75" customHeight="1" thickBot="1" x14ac:dyDescent="0.2">
      <c r="A62" s="152"/>
      <c r="B62" s="153"/>
      <c r="C62" s="153"/>
      <c r="D62" s="153"/>
      <c r="E62" s="153"/>
      <c r="F62" s="153"/>
      <c r="G62" s="152"/>
      <c r="H62" s="153"/>
      <c r="I62" s="153"/>
      <c r="J62" s="153"/>
      <c r="K62" s="153"/>
      <c r="L62" s="153"/>
      <c r="M62" s="153"/>
      <c r="N62" s="153"/>
      <c r="O62" s="154"/>
    </row>
    <row r="66" spans="1:9" x14ac:dyDescent="0.15">
      <c r="A66" s="128"/>
      <c r="B66" s="128"/>
      <c r="C66" s="128"/>
      <c r="D66" s="128"/>
      <c r="E66" s="128"/>
      <c r="F66" s="128"/>
      <c r="G66" s="128"/>
      <c r="H66" s="128"/>
      <c r="I66" s="128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84" priority="5" stopIfTrue="1">
      <formula>WEEKDAY($E$1)=7</formula>
    </cfRule>
    <cfRule type="expression" dxfId="183" priority="6" stopIfTrue="1">
      <formula>WEEKDAY($E$1)=1</formula>
    </cfRule>
  </conditionalFormatting>
  <conditionalFormatting sqref="I1:L1">
    <cfRule type="containsText" dxfId="88" priority="2" stopIfTrue="1" operator="containsText" text="日曜日">
      <formula>NOT(ISERROR(SEARCH("日曜日",I1)))</formula>
    </cfRule>
    <cfRule type="containsText" dxfId="87" priority="3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45C2446-6929-4FB6-8CF9-7458E8C19FD4}"/>
    <dataValidation imeMode="on" allowBlank="1" showInputMessage="1" showErrorMessage="1" sqref="A66:I66 A60:F62 G51:O54 G56:O62" xr:uid="{E928F0CF-D1AE-4435-8A48-2EBF5CBD2A8B}"/>
    <dataValidation allowBlank="1" showInputMessage="1" sqref="C30:L30 C15:L15 C20:L20 C25:L25 C10:L10" xr:uid="{D89C69AC-25F7-4CE3-AEE7-97CAB16BD3A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39C4663-68CF-45CD-8838-89DA88803DED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1EFB6AE-7746-4F55-8E81-42EDB32D9AC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DAD04ACB-DBEF-428C-AA5F-A86E6EF71F57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stopIfTrue="1" id="{EB10687C-C492-4A67-A9A1-2D3D9FA58B9A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90F-A3CF-4C47-832C-36A3FEAE3940}">
  <dimension ref="A1:E20"/>
  <sheetViews>
    <sheetView showZeros="0" workbookViewId="0">
      <selection activeCell="D26" sqref="D26"/>
    </sheetView>
  </sheetViews>
  <sheetFormatPr defaultRowHeight="13.5" x14ac:dyDescent="0.15"/>
  <cols>
    <col min="1" max="1" width="13.25" style="164" customWidth="1"/>
    <col min="2" max="2" width="16.5" style="166" customWidth="1"/>
    <col min="3" max="3" width="13.25" style="164" customWidth="1"/>
    <col min="4" max="4" width="16.5" style="166" customWidth="1"/>
    <col min="5" max="16384" width="9" style="70"/>
  </cols>
  <sheetData>
    <row r="1" spans="1:5" x14ac:dyDescent="0.15">
      <c r="A1" s="163">
        <f>[1]祝日!A1</f>
        <v>46506</v>
      </c>
      <c r="B1" s="165" t="str">
        <f>[1]祝日!B1</f>
        <v>昭和の日</v>
      </c>
      <c r="C1" s="163">
        <f>[1]祝日!C1</f>
        <v>46753</v>
      </c>
      <c r="D1" s="166" t="str">
        <f>[1]祝日!D1</f>
        <v>元日</v>
      </c>
      <c r="E1" s="71">
        <f>[1]祝日!E1</f>
        <v>2027</v>
      </c>
    </row>
    <row r="2" spans="1:5" x14ac:dyDescent="0.15">
      <c r="A2" s="163">
        <f>[1]祝日!A2</f>
        <v>46510</v>
      </c>
      <c r="B2" s="165" t="str">
        <f>[1]祝日!B2</f>
        <v>憲法記念日</v>
      </c>
      <c r="C2" s="163">
        <f>[1]祝日!C2</f>
        <v>46762</v>
      </c>
      <c r="D2" s="166" t="str">
        <f>[1]祝日!D2</f>
        <v>成人の日</v>
      </c>
      <c r="E2" s="70">
        <f>[1]祝日!E2</f>
        <v>0</v>
      </c>
    </row>
    <row r="3" spans="1:5" x14ac:dyDescent="0.15">
      <c r="A3" s="163">
        <f>[1]祝日!A3</f>
        <v>46511</v>
      </c>
      <c r="B3" s="165" t="str">
        <f>[1]祝日!B3</f>
        <v>みどりの日</v>
      </c>
      <c r="C3" s="163">
        <f>[1]祝日!C3</f>
        <v>46794</v>
      </c>
      <c r="D3" s="166" t="str">
        <f>[1]祝日!D3</f>
        <v>建国記念の日</v>
      </c>
      <c r="E3" s="70">
        <f>[1]祝日!E3</f>
        <v>0</v>
      </c>
    </row>
    <row r="4" spans="1:5" x14ac:dyDescent="0.15">
      <c r="A4" s="163">
        <f>[1]祝日!A4</f>
        <v>46512</v>
      </c>
      <c r="B4" s="165" t="str">
        <f>[1]祝日!B4</f>
        <v>こどもの日</v>
      </c>
      <c r="C4" s="163">
        <f>[1]祝日!C4</f>
        <v>46806</v>
      </c>
      <c r="D4" s="166" t="str">
        <f>[1]祝日!D4</f>
        <v>天皇誕生日</v>
      </c>
      <c r="E4" s="70">
        <f>[1]祝日!E4</f>
        <v>0</v>
      </c>
    </row>
    <row r="5" spans="1:5" x14ac:dyDescent="0.15">
      <c r="A5" s="163">
        <f>[1]祝日!A5</f>
        <v>46587</v>
      </c>
      <c r="B5" s="165" t="str">
        <f>[1]祝日!B5</f>
        <v>海の日</v>
      </c>
      <c r="C5" s="163">
        <f>[1]祝日!C5</f>
        <v>46832</v>
      </c>
      <c r="D5" s="166" t="str">
        <f>[1]祝日!D5</f>
        <v>春分の日</v>
      </c>
      <c r="E5" s="70">
        <f>[1]祝日!E5</f>
        <v>0</v>
      </c>
    </row>
    <row r="6" spans="1:5" x14ac:dyDescent="0.15">
      <c r="A6" s="163">
        <f>[1]祝日!A6</f>
        <v>46610</v>
      </c>
      <c r="B6" s="165" t="str">
        <f>[1]祝日!B6</f>
        <v>山の日</v>
      </c>
      <c r="C6" s="163">
        <f>[1]祝日!C6</f>
        <v>0</v>
      </c>
      <c r="D6" s="166">
        <f>[1]祝日!D6</f>
        <v>0</v>
      </c>
      <c r="E6" s="70">
        <f>[1]祝日!E6</f>
        <v>0</v>
      </c>
    </row>
    <row r="7" spans="1:5" x14ac:dyDescent="0.15">
      <c r="A7" s="163">
        <f>[1]祝日!A7</f>
        <v>46650</v>
      </c>
      <c r="B7" s="165" t="str">
        <f>[1]祝日!B7</f>
        <v>敬老の日</v>
      </c>
      <c r="C7" s="163">
        <f>[1]祝日!C7</f>
        <v>0</v>
      </c>
      <c r="D7" s="166">
        <f>[1]祝日!D7</f>
        <v>0</v>
      </c>
      <c r="E7" s="70">
        <f>[1]祝日!E7</f>
        <v>0</v>
      </c>
    </row>
    <row r="8" spans="1:5" x14ac:dyDescent="0.15">
      <c r="A8" s="163">
        <f>[1]祝日!A8</f>
        <v>46653</v>
      </c>
      <c r="B8" s="165" t="str">
        <f>[1]祝日!B8</f>
        <v>秋分の日</v>
      </c>
      <c r="C8" s="163">
        <f>[1]祝日!C8</f>
        <v>0</v>
      </c>
      <c r="D8" s="166">
        <f>[1]祝日!D8</f>
        <v>0</v>
      </c>
      <c r="E8" s="70">
        <f>[1]祝日!E8</f>
        <v>0</v>
      </c>
    </row>
    <row r="9" spans="1:5" x14ac:dyDescent="0.15">
      <c r="A9" s="163">
        <f>[1]祝日!A9</f>
        <v>46671</v>
      </c>
      <c r="B9" s="165" t="str">
        <f>[1]祝日!B9</f>
        <v>スポーツの日</v>
      </c>
      <c r="C9" s="163">
        <f>[1]祝日!C9</f>
        <v>0</v>
      </c>
      <c r="D9" s="166">
        <f>[1]祝日!D9</f>
        <v>0</v>
      </c>
      <c r="E9" s="70">
        <f>[1]祝日!E9</f>
        <v>0</v>
      </c>
    </row>
    <row r="10" spans="1:5" x14ac:dyDescent="0.15">
      <c r="A10" s="163">
        <f>[1]祝日!A10</f>
        <v>46694</v>
      </c>
      <c r="B10" s="165" t="str">
        <f>[1]祝日!B10</f>
        <v>文化の日</v>
      </c>
      <c r="C10" s="163">
        <f>[1]祝日!C10</f>
        <v>0</v>
      </c>
      <c r="D10" s="166">
        <f>[1]祝日!D10</f>
        <v>0</v>
      </c>
      <c r="E10" s="70">
        <f>[1]祝日!E10</f>
        <v>0</v>
      </c>
    </row>
    <row r="11" spans="1:5" x14ac:dyDescent="0.15">
      <c r="A11" s="163">
        <f>[1]祝日!A11</f>
        <v>46714</v>
      </c>
      <c r="B11" s="165" t="str">
        <f>[1]祝日!B11</f>
        <v>勤労感謝の日</v>
      </c>
      <c r="C11" s="163">
        <f>[1]祝日!C11</f>
        <v>0</v>
      </c>
      <c r="D11" s="166">
        <f>[1]祝日!D11</f>
        <v>0</v>
      </c>
      <c r="E11" s="70">
        <f>[1]祝日!E11</f>
        <v>0</v>
      </c>
    </row>
    <row r="12" spans="1:5" x14ac:dyDescent="0.15">
      <c r="A12" s="163">
        <f>[1]祝日!A12</f>
        <v>0</v>
      </c>
      <c r="B12" s="166">
        <f>[1]祝日!B12</f>
        <v>0</v>
      </c>
      <c r="C12" s="163">
        <f>[1]祝日!C12</f>
        <v>0</v>
      </c>
      <c r="D12" s="166">
        <f>[1]祝日!D12</f>
        <v>0</v>
      </c>
      <c r="E12" s="70">
        <f>[1]祝日!E12</f>
        <v>0</v>
      </c>
    </row>
    <row r="13" spans="1:5" x14ac:dyDescent="0.15">
      <c r="A13" s="163">
        <f>[1]祝日!A13</f>
        <v>0</v>
      </c>
      <c r="B13" s="166">
        <f>[1]祝日!B13</f>
        <v>0</v>
      </c>
      <c r="C13" s="163">
        <f>[1]祝日!C13</f>
        <v>0</v>
      </c>
      <c r="D13" s="166">
        <f>[1]祝日!D13</f>
        <v>0</v>
      </c>
      <c r="E13" s="70">
        <f>[1]祝日!E13</f>
        <v>0</v>
      </c>
    </row>
    <row r="14" spans="1:5" x14ac:dyDescent="0.15">
      <c r="A14" s="163">
        <f>[1]祝日!A14</f>
        <v>0</v>
      </c>
      <c r="B14" s="166">
        <f>[1]祝日!B14</f>
        <v>0</v>
      </c>
      <c r="C14" s="163">
        <f>[1]祝日!C14</f>
        <v>0</v>
      </c>
      <c r="D14" s="166">
        <f>[1]祝日!D14</f>
        <v>0</v>
      </c>
      <c r="E14" s="70">
        <f>[1]祝日!E14</f>
        <v>0</v>
      </c>
    </row>
    <row r="15" spans="1:5" x14ac:dyDescent="0.15">
      <c r="A15" s="163">
        <f>[1]祝日!A15</f>
        <v>0</v>
      </c>
      <c r="B15" s="166">
        <f>[1]祝日!B15</f>
        <v>0</v>
      </c>
      <c r="C15" s="163">
        <f>[1]祝日!C15</f>
        <v>0</v>
      </c>
      <c r="D15" s="166">
        <f>[1]祝日!D15</f>
        <v>0</v>
      </c>
      <c r="E15" s="70">
        <f>[1]祝日!E15</f>
        <v>0</v>
      </c>
    </row>
    <row r="16" spans="1:5" x14ac:dyDescent="0.15">
      <c r="A16" s="163">
        <f>[1]祝日!A16</f>
        <v>0</v>
      </c>
      <c r="B16" s="166">
        <f>[1]祝日!B16</f>
        <v>0</v>
      </c>
      <c r="C16" s="163">
        <f>[1]祝日!C16</f>
        <v>0</v>
      </c>
      <c r="D16" s="166">
        <f>[1]祝日!D16</f>
        <v>0</v>
      </c>
      <c r="E16" s="70">
        <f>[1]祝日!E16</f>
        <v>0</v>
      </c>
    </row>
    <row r="17" spans="1:5" x14ac:dyDescent="0.15">
      <c r="A17" s="163">
        <f>[1]祝日!A17</f>
        <v>0</v>
      </c>
      <c r="B17" s="165">
        <f>[1]祝日!B17</f>
        <v>0</v>
      </c>
      <c r="C17" s="163">
        <f>[1]祝日!C17</f>
        <v>0</v>
      </c>
      <c r="D17" s="166">
        <f>[1]祝日!D17</f>
        <v>0</v>
      </c>
      <c r="E17" s="70">
        <f>[1]祝日!E17</f>
        <v>0</v>
      </c>
    </row>
    <row r="18" spans="1:5" x14ac:dyDescent="0.15">
      <c r="A18" s="163">
        <f>[1]祝日!A18</f>
        <v>0</v>
      </c>
      <c r="B18" s="165">
        <f>[1]祝日!B18</f>
        <v>0</v>
      </c>
      <c r="C18" s="163">
        <f>[1]祝日!C18</f>
        <v>0</v>
      </c>
      <c r="D18" s="166">
        <f>[1]祝日!D18</f>
        <v>0</v>
      </c>
      <c r="E18" s="70">
        <f>[1]祝日!E18</f>
        <v>0</v>
      </c>
    </row>
    <row r="19" spans="1:5" x14ac:dyDescent="0.15">
      <c r="A19" s="163">
        <f>[1]祝日!A19</f>
        <v>0</v>
      </c>
      <c r="B19" s="165">
        <f>[1]祝日!B19</f>
        <v>0</v>
      </c>
      <c r="C19" s="163">
        <f>[1]祝日!C19</f>
        <v>0</v>
      </c>
      <c r="D19" s="166">
        <f>[1]祝日!D19</f>
        <v>0</v>
      </c>
      <c r="E19" s="70">
        <f>[1]祝日!E19</f>
        <v>0</v>
      </c>
    </row>
    <row r="20" spans="1:5" x14ac:dyDescent="0.15">
      <c r="A20" s="164">
        <f>[1]祝日!A20</f>
        <v>0</v>
      </c>
      <c r="B20" s="166">
        <f>[1]祝日!B20</f>
        <v>0</v>
      </c>
      <c r="C20" s="164">
        <f>[1]祝日!C20</f>
        <v>0</v>
      </c>
      <c r="D20" s="166">
        <f>[1]祝日!D20</f>
        <v>0</v>
      </c>
      <c r="E20" s="70">
        <f>[1]祝日!E20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33</vt:i4>
      </vt:variant>
      <vt:variant>
        <vt:lpstr>名前付き一覧</vt:lpstr>
      </vt:variant>
      <vt:variant>
        <vt:i4>31</vt:i4>
      </vt:variant>
    </vt:vector>
  </HeadingPairs>
  <TitlesOfParts>
    <vt:vector size="64" baseType="lpstr">
      <vt:lpstr>表紙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祝日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利尻郡清掃組合</dc:creator>
  <cp:lastModifiedBy>Lay Hirosaki</cp:lastModifiedBy>
  <cp:lastPrinted>2021-05-11T22:50:14Z</cp:lastPrinted>
  <dcterms:created xsi:type="dcterms:W3CDTF">2006-10-04T10:30:20Z</dcterms:created>
  <dcterms:modified xsi:type="dcterms:W3CDTF">2026-04-08T05:34:25Z</dcterms:modified>
</cp:coreProperties>
</file>