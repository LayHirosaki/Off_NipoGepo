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87239FED-2363-47E6-A36D-F7018F1FB603}" xr6:coauthVersionLast="47" xr6:coauthVersionMax="47" xr10:uidLastSave="{00000000-0000-0000-0000-000000000000}"/>
  <bookViews>
    <workbookView xWindow="2700" yWindow="495" windowWidth="18780" windowHeight="14460" tabRatio="870" activeTab="1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祝日" sheetId="95" r:id="rId33"/>
  </sheets>
  <externalReferences>
    <externalReference r:id="rId34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29" l="1"/>
  <c r="A1" i="95"/>
  <c r="B1" i="95"/>
  <c r="C1" i="95"/>
  <c r="D1" i="95"/>
  <c r="E1" i="95"/>
  <c r="A2" i="95"/>
  <c r="B2" i="95"/>
  <c r="C2" i="95"/>
  <c r="D2" i="95"/>
  <c r="E2" i="95"/>
  <c r="A3" i="95"/>
  <c r="B3" i="95"/>
  <c r="C3" i="95"/>
  <c r="D3" i="95"/>
  <c r="E3" i="95"/>
  <c r="A4" i="95"/>
  <c r="B4" i="95"/>
  <c r="C4" i="95"/>
  <c r="D4" i="95"/>
  <c r="E4" i="95"/>
  <c r="A5" i="95"/>
  <c r="B5" i="95"/>
  <c r="C5" i="95"/>
  <c r="D5" i="95"/>
  <c r="E5" i="95"/>
  <c r="A6" i="95"/>
  <c r="B6" i="95"/>
  <c r="C6" i="95"/>
  <c r="D6" i="95"/>
  <c r="E6" i="95"/>
  <c r="A7" i="95"/>
  <c r="B7" i="95"/>
  <c r="C7" i="95"/>
  <c r="D7" i="95"/>
  <c r="E7" i="95"/>
  <c r="A8" i="95"/>
  <c r="B8" i="95"/>
  <c r="C8" i="95"/>
  <c r="D8" i="95"/>
  <c r="E8" i="95"/>
  <c r="A9" i="95"/>
  <c r="B9" i="95"/>
  <c r="C9" i="95"/>
  <c r="D9" i="95"/>
  <c r="E9" i="95"/>
  <c r="A10" i="95"/>
  <c r="B10" i="95"/>
  <c r="C10" i="95"/>
  <c r="D10" i="95"/>
  <c r="E10" i="95"/>
  <c r="A11" i="95"/>
  <c r="B11" i="95"/>
  <c r="C11" i="95"/>
  <c r="D11" i="95"/>
  <c r="E11" i="95"/>
  <c r="A12" i="95"/>
  <c r="B12" i="95"/>
  <c r="C12" i="95"/>
  <c r="D12" i="95"/>
  <c r="E12" i="95"/>
  <c r="A13" i="95"/>
  <c r="B13" i="95"/>
  <c r="C13" i="95"/>
  <c r="D13" i="95"/>
  <c r="E13" i="95"/>
  <c r="A14" i="95"/>
  <c r="B14" i="95"/>
  <c r="C14" i="95"/>
  <c r="D14" i="95"/>
  <c r="E14" i="95"/>
  <c r="A15" i="95"/>
  <c r="B15" i="95"/>
  <c r="C15" i="95"/>
  <c r="D15" i="95"/>
  <c r="E15" i="95"/>
  <c r="A16" i="95"/>
  <c r="B16" i="95"/>
  <c r="C16" i="95"/>
  <c r="D16" i="95"/>
  <c r="E16" i="95"/>
  <c r="A17" i="95"/>
  <c r="B17" i="95"/>
  <c r="C17" i="95"/>
  <c r="D17" i="95"/>
  <c r="E17" i="95"/>
  <c r="A18" i="95"/>
  <c r="B18" i="95"/>
  <c r="C18" i="95"/>
  <c r="D18" i="95"/>
  <c r="E18" i="95"/>
  <c r="A19" i="95"/>
  <c r="B19" i="95"/>
  <c r="C19" i="95"/>
  <c r="D19" i="95"/>
  <c r="E19" i="95"/>
  <c r="A20" i="95"/>
  <c r="B20" i="95"/>
  <c r="C20" i="95"/>
  <c r="D20" i="95"/>
  <c r="E20" i="95"/>
  <c r="E1" i="94"/>
  <c r="I1" i="94" s="1"/>
  <c r="E1" i="93"/>
  <c r="E1" i="92"/>
  <c r="E1" i="91"/>
  <c r="E1" i="90"/>
  <c r="E1" i="89"/>
  <c r="E1" i="88"/>
  <c r="E1" i="87"/>
  <c r="E1" i="86"/>
  <c r="E1" i="85"/>
  <c r="E1" i="84"/>
  <c r="E1" i="83"/>
  <c r="E1" i="82"/>
  <c r="E1" i="81"/>
  <c r="E1" i="80"/>
  <c r="E1" i="79"/>
  <c r="E1" i="78"/>
  <c r="E1" i="77"/>
  <c r="E1" i="76"/>
  <c r="E1" i="75"/>
  <c r="E1" i="74"/>
  <c r="E1" i="73"/>
  <c r="E1" i="72"/>
  <c r="E1" i="71"/>
  <c r="E1" i="70"/>
  <c r="E1" i="69"/>
  <c r="E1" i="68"/>
  <c r="E1" i="67"/>
  <c r="E1" i="66"/>
  <c r="E1" i="65"/>
  <c r="E1" i="63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I1" i="71" l="1"/>
  <c r="I1" i="83"/>
  <c r="I1" i="72"/>
  <c r="I1" i="84"/>
  <c r="I1" i="73"/>
  <c r="I1" i="85"/>
  <c r="I1" i="74"/>
  <c r="I1" i="86"/>
  <c r="I1" i="63"/>
  <c r="I1" i="75"/>
  <c r="I1" i="87"/>
  <c r="I1" i="76"/>
  <c r="I1" i="88"/>
  <c r="I1" i="65"/>
  <c r="I1" i="77"/>
  <c r="I1" i="89"/>
  <c r="I1" i="66"/>
  <c r="I1" i="78"/>
  <c r="I1" i="90"/>
  <c r="I1" i="67"/>
  <c r="I1" i="79"/>
  <c r="I1" i="91"/>
  <c r="I1" i="68"/>
  <c r="I1" i="80"/>
  <c r="I1" i="92"/>
  <c r="I1" i="69"/>
  <c r="I1" i="81"/>
  <c r="I1" i="93"/>
  <c r="I1" i="70"/>
  <c r="I1" i="82"/>
</calcChain>
</file>

<file path=xl/sharedStrings.xml><?xml version="1.0" encoding="utf-8"?>
<sst xmlns="http://schemas.openxmlformats.org/spreadsheetml/2006/main" count="4902" uniqueCount="69">
  <si>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</si>
  <si>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</si>
  <si>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</si>
  <si>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</si>
  <si>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</si>
  <si>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</si>
  <si>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</si>
  <si>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</si>
  <si>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</si>
  <si>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</si>
  <si>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</si>
  <si>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</si>
  <si>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</si>
  <si>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</si>
  <si>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</si>
  <si>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</si>
  <si>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</si>
  <si>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</si>
  <si>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</si>
  <si>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</si>
  <si>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</si>
  <si>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</si>
  <si>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</si>
  <si>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</si>
  <si>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</si>
  <si>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</si>
  <si>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</si>
  <si>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</si>
  <si>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</si>
  <si>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</si>
  <si>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</si>
  <si>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</si>
  <si>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</si>
  <si>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</si>
  <si>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</si>
  <si>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</si>
  <si>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</si>
  <si>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</si>
  <si>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</si>
  <si>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</si>
  <si>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</si>
  <si>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</si>
  <si>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</si>
  <si>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</si>
  <si>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</si>
  <si>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</si>
  <si>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</si>
  <si>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</si>
  <si>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</si>
  <si>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</si>
  <si>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</si>
  <si>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</si>
  <si>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</si>
  <si>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</si>
  <si>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</si>
  <si>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</si>
  <si>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</si>
  <si>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</si>
  <si>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</si>
  <si>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</si>
  <si>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</si>
  <si>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</si>
  <si>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</si>
  <si>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</si>
  <si>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</si>
  <si>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</si>
  <si>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</si>
  <si>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</si>
  <si>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12 月分</t>
    <rPh sb="3" eb="4">
      <t>ガツ</t>
    </rPh>
    <rPh sb="4" eb="5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</si>
</sst>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80" formatCode="[h]:mm&quot; &quot;"/>
    <numFmt numFmtId="181" formatCode="[$]ggge&quot;年&quot;m&quot;月&quot;d&quot;日&quot;;@"/>
    <numFmt numFmtId="183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6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20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83" fontId="13" fillId="0" borderId="0" xfId="1" applyNumberFormat="1" applyFont="1" applyAlignment="1">
      <alignment horizontal="center"/>
    </xf>
    <xf numFmtId="183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 indent="1"/>
    </xf>
    <xf numFmtId="0" fontId="13" fillId="0" borderId="0" xfId="1" applyFont="1" applyAlignment="1">
      <alignment horizontal="left" indent="1"/>
    </xf>
  </cellXfs>
  <cellStyles count="2">
    <cellStyle name="標準" xfId="0" builtinId="0"/>
    <cellStyle name="標準 2" xfId="1" xr:uid="{50F53C47-DBD2-4504-9830-D45CD7119AE4}"/>
  </cellStyles>
  <dxfs count="186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20196;&#21644;&#9711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祝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46506</v>
          </cell>
          <cell r="B1" t="str">
            <v>昭和の日</v>
          </cell>
          <cell r="C1">
            <v>46753</v>
          </cell>
          <cell r="D1" t="str">
            <v>元日</v>
          </cell>
          <cell r="E1">
            <v>2027</v>
          </cell>
        </row>
        <row r="2">
          <cell r="A2">
            <v>46510</v>
          </cell>
          <cell r="B2" t="str">
            <v>憲法記念日</v>
          </cell>
          <cell r="C2">
            <v>46762</v>
          </cell>
          <cell r="D2" t="str">
            <v>成人の日</v>
          </cell>
        </row>
        <row r="3">
          <cell r="A3">
            <v>46511</v>
          </cell>
          <cell r="B3" t="str">
            <v>みどりの日</v>
          </cell>
          <cell r="C3">
            <v>46794</v>
          </cell>
          <cell r="D3" t="str">
            <v>建国記念の日</v>
          </cell>
        </row>
        <row r="4">
          <cell r="A4">
            <v>46512</v>
          </cell>
          <cell r="B4" t="str">
            <v>こどもの日</v>
          </cell>
          <cell r="C4">
            <v>46806</v>
          </cell>
          <cell r="D4" t="str">
            <v>天皇誕生日</v>
          </cell>
        </row>
        <row r="5">
          <cell r="A5">
            <v>46587</v>
          </cell>
          <cell r="B5" t="str">
            <v>海の日</v>
          </cell>
          <cell r="C5">
            <v>46832</v>
          </cell>
          <cell r="D5" t="str">
            <v>春分の日</v>
          </cell>
        </row>
        <row r="6">
          <cell r="A6">
            <v>46610</v>
          </cell>
          <cell r="B6" t="str">
            <v>山の日</v>
          </cell>
        </row>
        <row r="7">
          <cell r="A7">
            <v>46650</v>
          </cell>
          <cell r="B7" t="str">
            <v>敬老の日</v>
          </cell>
        </row>
        <row r="8">
          <cell r="A8">
            <v>46653</v>
          </cell>
          <cell r="B8" t="str">
            <v>秋分の日</v>
          </cell>
        </row>
        <row r="9">
          <cell r="A9">
            <v>46671</v>
          </cell>
          <cell r="B9" t="str">
            <v>スポーツの日</v>
          </cell>
        </row>
        <row r="10">
          <cell r="A10">
            <v>46694</v>
          </cell>
          <cell r="B10" t="str">
            <v>文化の日</v>
          </cell>
        </row>
        <row r="11">
          <cell r="A11">
            <v>46714</v>
          </cell>
          <cell r="B11" t="str">
            <v>勤労感謝の日</v>
          </cell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C4" sqref="C4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72" t="str">
        <f>"令和 "&amp;祝日!E1-2018&amp;" 年度"</f>
        <v>令和 9 年度</v>
      </c>
      <c r="B1" s="72"/>
      <c r="C1" s="72"/>
    </row>
    <row r="2" spans="1:6" ht="75.75" customHeight="1" x14ac:dyDescent="0.4">
      <c r="A2" s="2"/>
      <c r="B2" s="2"/>
      <c r="C2" s="2"/>
    </row>
    <row r="3" spans="1:6" ht="65.25" customHeight="1" x14ac:dyDescent="0.4">
      <c r="A3" s="72" t="s">
        <v>68</v>
      </c>
      <c r="B3" s="72"/>
      <c r="C3" s="72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73" t="s">
        <v>44</v>
      </c>
      <c r="B5" s="73"/>
      <c r="C5" s="73"/>
    </row>
    <row r="6" spans="1:6" ht="169.5" customHeight="1" x14ac:dyDescent="0.4">
      <c r="A6" s="3"/>
      <c r="B6" s="3"/>
      <c r="C6" s="3"/>
    </row>
    <row r="7" spans="1:6" ht="54" customHeight="1" x14ac:dyDescent="0.4">
      <c r="A7" s="74" t="s">
        <v>45</v>
      </c>
      <c r="B7" s="74"/>
      <c r="C7" s="74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tabSelected="1" zoomScale="115" zoomScaleNormal="115" workbookViewId="0">
      <pane ySplit="4" topLeftCell="A26" activePane="bottomLeft" state="frozen"/>
      <selection activeCell="P46" sqref="P46"/>
      <selection pane="bottomLeft" activeCell="P41" sqref="P4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DATE(祝日!E1,12,1)</f>
        <v>46722</v>
      </c>
      <c r="F1" s="147"/>
      <c r="G1" s="147"/>
      <c r="H1" s="147"/>
      <c r="I1" s="148" t="str">
        <f>TEXT(E1,"aaaa")</f>
        <v>水曜日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DATE(祝日!E1,12,2)</f>
        <v>46723</v>
      </c>
      <c r="F1" s="147"/>
      <c r="G1" s="147"/>
      <c r="H1" s="147"/>
      <c r="I1" s="148" t="str">
        <f>TEXT(E1,"aaaa")</f>
        <v>木曜日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DATE(祝日!E1,12,3)</f>
        <v>46724</v>
      </c>
      <c r="F1" s="147"/>
      <c r="G1" s="147"/>
      <c r="H1" s="147"/>
      <c r="I1" s="148" t="str">
        <f>TEXT(E1,"aaaa")</f>
        <v>金曜日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DATE(祝日!E1,12,4)</f>
        <v>46725</v>
      </c>
      <c r="F1" s="147"/>
      <c r="G1" s="147"/>
      <c r="H1" s="147"/>
      <c r="I1" s="148" t="str">
        <f>TEXT(E1,"aaaa")</f>
        <v>土曜日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DATE(祝日!E1,12,5)</f>
        <v>46726</v>
      </c>
      <c r="F1" s="147"/>
      <c r="G1" s="147"/>
      <c r="H1" s="147"/>
      <c r="I1" s="148" t="str">
        <f>TEXT(E1,"aaaa")</f>
        <v>日曜日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DATE(祝日!E1,12,6)</f>
        <v>46727</v>
      </c>
      <c r="F1" s="147"/>
      <c r="G1" s="147"/>
      <c r="H1" s="147"/>
      <c r="I1" s="148" t="str">
        <f>TEXT(E1,"aaaa")</f>
        <v>月曜日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DATE(祝日!E1,12,7)</f>
        <v>46728</v>
      </c>
      <c r="F1" s="147"/>
      <c r="G1" s="147"/>
      <c r="H1" s="147"/>
      <c r="I1" s="148" t="str">
        <f>TEXT(E1,"aaaa")</f>
        <v>火曜日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DATE(祝日!E1,12,8)</f>
        <v>46729</v>
      </c>
      <c r="F1" s="147"/>
      <c r="G1" s="147"/>
      <c r="H1" s="147"/>
      <c r="I1" s="148" t="str">
        <f>TEXT(E1,"aaaa")</f>
        <v>水曜日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DATE(祝日!E1,12,9)</f>
        <v>46730</v>
      </c>
      <c r="F1" s="147"/>
      <c r="G1" s="147"/>
      <c r="H1" s="147"/>
      <c r="I1" s="148" t="str">
        <f>TEXT(E1,"aaaa")</f>
        <v>木曜日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DATE(祝日!E1,12,10)</f>
        <v>46731</v>
      </c>
      <c r="F1" s="147"/>
      <c r="G1" s="147"/>
      <c r="H1" s="147"/>
      <c r="I1" s="148" t="str">
        <f>TEXT(E1,"aaaa")</f>
        <v>金曜日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DATE(祝日!E1,12,11)</f>
        <v>46732</v>
      </c>
      <c r="F1" s="147"/>
      <c r="G1" s="147"/>
      <c r="H1" s="147"/>
      <c r="I1" s="148" t="str">
        <f>TEXT(E1,"aaaa")</f>
        <v>土曜日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DATE(祝日!E1,12,12)</f>
        <v>46733</v>
      </c>
      <c r="F1" s="147"/>
      <c r="G1" s="147"/>
      <c r="H1" s="147"/>
      <c r="I1" s="148" t="str">
        <f>TEXT(E1,"aaaa")</f>
        <v>日曜日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DATE(祝日!E1,12,13)</f>
        <v>46734</v>
      </c>
      <c r="F1" s="147"/>
      <c r="G1" s="147"/>
      <c r="H1" s="147"/>
      <c r="I1" s="148" t="str">
        <f>TEXT(E1,"aaaa")</f>
        <v>月曜日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DATE(祝日!E1,12,14)</f>
        <v>46735</v>
      </c>
      <c r="F1" s="147"/>
      <c r="G1" s="147"/>
      <c r="H1" s="147"/>
      <c r="I1" s="148" t="str">
        <f>TEXT(E1,"aaaa")</f>
        <v>火曜日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DATE(祝日!E1,12,15)</f>
        <v>46736</v>
      </c>
      <c r="F1" s="147"/>
      <c r="G1" s="147"/>
      <c r="H1" s="147"/>
      <c r="I1" s="148" t="str">
        <f>TEXT(E1,"aaaa")</f>
        <v>水曜日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DATE(祝日!E1,12,16)</f>
        <v>46737</v>
      </c>
      <c r="F1" s="147"/>
      <c r="G1" s="147"/>
      <c r="H1" s="147"/>
      <c r="I1" s="148" t="str">
        <f>TEXT(E1,"aaaa")</f>
        <v>木曜日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DATE(祝日!E1,12,17)</f>
        <v>46738</v>
      </c>
      <c r="F1" s="147"/>
      <c r="G1" s="147"/>
      <c r="H1" s="147"/>
      <c r="I1" s="148" t="str">
        <f>TEXT(E1,"aaaa")</f>
        <v>金曜日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DATE(祝日!E1,12,18)</f>
        <v>46739</v>
      </c>
      <c r="F1" s="147"/>
      <c r="G1" s="147"/>
      <c r="H1" s="147"/>
      <c r="I1" s="148" t="str">
        <f>TEXT(E1,"aaaa")</f>
        <v>土曜日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DATE(祝日!E1,12,19)</f>
        <v>46740</v>
      </c>
      <c r="F1" s="147"/>
      <c r="G1" s="147"/>
      <c r="H1" s="147"/>
      <c r="I1" s="148" t="str">
        <f>TEXT(E1,"aaaa")</f>
        <v>日曜日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DATE(祝日!E1,12,20)</f>
        <v>46741</v>
      </c>
      <c r="F1" s="147"/>
      <c r="G1" s="147"/>
      <c r="H1" s="147"/>
      <c r="I1" s="148" t="str">
        <f>TEXT(E1,"aaaa")</f>
        <v>月曜日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DATE(祝日!E1,12,21)</f>
        <v>46742</v>
      </c>
      <c r="F1" s="147"/>
      <c r="G1" s="147"/>
      <c r="H1" s="147"/>
      <c r="I1" s="148" t="str">
        <f>TEXT(E1,"aaaa")</f>
        <v>火曜日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DATE(祝日!E1,12,22)</f>
        <v>46743</v>
      </c>
      <c r="F1" s="147"/>
      <c r="G1" s="147"/>
      <c r="H1" s="147"/>
      <c r="I1" s="148" t="str">
        <f>TEXT(E1,"aaaa")</f>
        <v>水曜日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DATE(祝日!E1,12,23)</f>
        <v>46744</v>
      </c>
      <c r="F1" s="147"/>
      <c r="G1" s="147"/>
      <c r="H1" s="147"/>
      <c r="I1" s="148" t="str">
        <f>TEXT(E1,"aaaa")</f>
        <v>木曜日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DATE(祝日!E1,12,24)</f>
        <v>46745</v>
      </c>
      <c r="F1" s="147"/>
      <c r="G1" s="147"/>
      <c r="H1" s="147"/>
      <c r="I1" s="148" t="str">
        <f>TEXT(E1,"aaaa")</f>
        <v>金曜日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DATE(祝日!E1,12,25)</f>
        <v>46746</v>
      </c>
      <c r="F1" s="147"/>
      <c r="G1" s="147"/>
      <c r="H1" s="147"/>
      <c r="I1" s="148" t="str">
        <f>TEXT(E1,"aaaa")</f>
        <v>土曜日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DATE(祝日!E1,12,26)</f>
        <v>46747</v>
      </c>
      <c r="F1" s="147"/>
      <c r="G1" s="147"/>
      <c r="H1" s="147"/>
      <c r="I1" s="148" t="str">
        <f>TEXT(E1,"aaaa")</f>
        <v>日曜日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DATE(祝日!E1,12,27)</f>
        <v>46748</v>
      </c>
      <c r="F1" s="147"/>
      <c r="G1" s="147"/>
      <c r="H1" s="147"/>
      <c r="I1" s="148" t="str">
        <f>TEXT(E1,"aaaa")</f>
        <v>月曜日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DATE(祝日!E1,12,28)</f>
        <v>46749</v>
      </c>
      <c r="F1" s="147"/>
      <c r="G1" s="147"/>
      <c r="H1" s="147"/>
      <c r="I1" s="148" t="str">
        <f>TEXT(E1,"aaaa")</f>
        <v>火曜日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DATE(祝日!E1,12,29)</f>
        <v>46750</v>
      </c>
      <c r="F1" s="147"/>
      <c r="G1" s="147"/>
      <c r="H1" s="147"/>
      <c r="I1" s="148" t="str">
        <f>TEXT(E1,"aaaa")</f>
        <v>水曜日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P46" sqref="P46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DATE(祝日!E1,12,30)</f>
        <v>46751</v>
      </c>
      <c r="F1" s="147"/>
      <c r="G1" s="147"/>
      <c r="H1" s="147"/>
      <c r="I1" s="148" t="str">
        <f>TEXT(E1,"aaaa")</f>
        <v>木曜日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P46" sqref="P46"/>
      <selection pane="bottomLeft" activeCell="Q30" sqref="Q30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3" t="s">
        <v>59</v>
      </c>
      <c r="B1" s="144"/>
      <c r="C1" s="143" t="s">
        <v>66</v>
      </c>
      <c r="D1" s="145"/>
      <c r="E1" s="146">
        <f>DATE(祝日!E1,12,31)</f>
        <v>46752</v>
      </c>
      <c r="F1" s="147"/>
      <c r="G1" s="147"/>
      <c r="H1" s="147"/>
      <c r="I1" s="148" t="str">
        <f>TEXT(E1,"aaaa")</f>
        <v>金曜日</v>
      </c>
      <c r="J1" s="148"/>
      <c r="K1" s="148"/>
      <c r="L1" s="148"/>
      <c r="M1" s="4"/>
      <c r="N1" s="55" t="s">
        <v>67</v>
      </c>
      <c r="O1" s="55" t="s">
        <v>5</v>
      </c>
    </row>
    <row r="2" spans="1:15" ht="12.75" customHeight="1" x14ac:dyDescent="0.15">
      <c r="A2" s="149"/>
      <c r="B2" s="150"/>
      <c r="C2" s="149"/>
      <c r="D2" s="155"/>
      <c r="E2" s="158"/>
      <c r="F2" s="159"/>
      <c r="G2" s="159"/>
      <c r="H2" s="159"/>
      <c r="I2" s="159"/>
      <c r="J2" s="159"/>
      <c r="K2" s="159"/>
      <c r="L2" s="160"/>
      <c r="M2" s="6"/>
      <c r="N2" s="7"/>
      <c r="O2" s="8"/>
    </row>
    <row r="3" spans="1:15" ht="12.75" customHeight="1" x14ac:dyDescent="0.15">
      <c r="A3" s="151"/>
      <c r="B3" s="152"/>
      <c r="C3" s="151"/>
      <c r="D3" s="156"/>
      <c r="E3" s="9"/>
      <c r="F3" s="54" t="s">
        <v>64</v>
      </c>
      <c r="G3" s="161"/>
      <c r="H3" s="161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3"/>
      <c r="B4" s="154"/>
      <c r="C4" s="153"/>
      <c r="D4" s="157"/>
      <c r="E4" s="12"/>
      <c r="F4" s="11"/>
      <c r="G4" s="11"/>
      <c r="H4" s="11"/>
      <c r="I4" s="154"/>
      <c r="J4" s="154"/>
      <c r="K4" s="154"/>
      <c r="L4" s="154"/>
      <c r="M4" s="157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1" t="s">
        <v>24</v>
      </c>
      <c r="D5" s="131"/>
      <c r="E5" s="131" t="s">
        <v>25</v>
      </c>
      <c r="F5" s="137"/>
      <c r="G5" s="131" t="s">
        <v>26</v>
      </c>
      <c r="H5" s="131"/>
      <c r="I5" s="131" t="s">
        <v>27</v>
      </c>
      <c r="J5" s="137"/>
      <c r="K5" s="131" t="s">
        <v>28</v>
      </c>
      <c r="L5" s="131"/>
      <c r="M5" s="16"/>
      <c r="N5" s="14" t="s">
        <v>0</v>
      </c>
      <c r="O5" s="17" t="s">
        <v>1</v>
      </c>
    </row>
    <row r="6" spans="1:15" ht="12.75" customHeight="1" x14ac:dyDescent="0.15">
      <c r="A6" s="13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3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0" t="s">
        <v>24</v>
      </c>
      <c r="D10" s="141"/>
      <c r="E10" s="140" t="s">
        <v>25</v>
      </c>
      <c r="F10" s="140"/>
      <c r="G10" s="142" t="s">
        <v>26</v>
      </c>
      <c r="H10" s="140"/>
      <c r="I10" s="140" t="s">
        <v>27</v>
      </c>
      <c r="J10" s="140"/>
      <c r="K10" s="140" t="s">
        <v>28</v>
      </c>
      <c r="L10" s="140"/>
      <c r="M10" s="16"/>
      <c r="N10" s="14" t="s">
        <v>10</v>
      </c>
      <c r="O10" s="17" t="s">
        <v>1</v>
      </c>
    </row>
    <row r="11" spans="1:15" ht="12.75" customHeight="1" x14ac:dyDescent="0.15">
      <c r="A11" s="13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3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1" t="s">
        <v>24</v>
      </c>
      <c r="D15" s="137"/>
      <c r="E15" s="131" t="s">
        <v>25</v>
      </c>
      <c r="F15" s="131"/>
      <c r="G15" s="138" t="s">
        <v>26</v>
      </c>
      <c r="H15" s="131"/>
      <c r="I15" s="131" t="s">
        <v>27</v>
      </c>
      <c r="J15" s="131"/>
      <c r="K15" s="131" t="s">
        <v>28</v>
      </c>
      <c r="L15" s="131"/>
      <c r="M15" s="16"/>
      <c r="N15" s="14" t="s">
        <v>10</v>
      </c>
      <c r="O15" s="17" t="s">
        <v>1</v>
      </c>
    </row>
    <row r="16" spans="1:15" ht="12.75" customHeight="1" x14ac:dyDescent="0.15">
      <c r="A16" s="13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3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1" t="s">
        <v>24</v>
      </c>
      <c r="D20" s="137"/>
      <c r="E20" s="131" t="s">
        <v>25</v>
      </c>
      <c r="F20" s="131"/>
      <c r="G20" s="138" t="s">
        <v>26</v>
      </c>
      <c r="H20" s="131"/>
      <c r="I20" s="131" t="s">
        <v>27</v>
      </c>
      <c r="J20" s="131"/>
      <c r="K20" s="131" t="s">
        <v>28</v>
      </c>
      <c r="L20" s="131"/>
      <c r="M20" s="16"/>
      <c r="N20" s="14" t="s">
        <v>10</v>
      </c>
      <c r="O20" s="17" t="s">
        <v>1</v>
      </c>
    </row>
    <row r="21" spans="1:15" ht="12.75" customHeight="1" x14ac:dyDescent="0.15">
      <c r="A21" s="13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39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1" t="s">
        <v>24</v>
      </c>
      <c r="D25" s="137"/>
      <c r="E25" s="131" t="s">
        <v>25</v>
      </c>
      <c r="F25" s="131"/>
      <c r="G25" s="138" t="s">
        <v>26</v>
      </c>
      <c r="H25" s="131"/>
      <c r="I25" s="131" t="s">
        <v>27</v>
      </c>
      <c r="J25" s="131"/>
      <c r="K25" s="131" t="s">
        <v>28</v>
      </c>
      <c r="L25" s="131"/>
      <c r="M25" s="16"/>
      <c r="N25" s="14" t="s">
        <v>10</v>
      </c>
      <c r="O25" s="17" t="s">
        <v>1</v>
      </c>
    </row>
    <row r="26" spans="1:15" ht="12.75" customHeight="1" x14ac:dyDescent="0.15">
      <c r="A26" s="13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3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1" t="s">
        <v>24</v>
      </c>
      <c r="D30" s="137"/>
      <c r="E30" s="131" t="s">
        <v>25</v>
      </c>
      <c r="F30" s="131"/>
      <c r="G30" s="138" t="s">
        <v>26</v>
      </c>
      <c r="H30" s="131"/>
      <c r="I30" s="131" t="s">
        <v>27</v>
      </c>
      <c r="J30" s="131"/>
      <c r="K30" s="131" t="s">
        <v>28</v>
      </c>
      <c r="L30" s="131"/>
      <c r="M30" s="16"/>
      <c r="N30" s="60" t="s">
        <v>10</v>
      </c>
      <c r="O30" s="17" t="s">
        <v>1</v>
      </c>
    </row>
    <row r="31" spans="1:15" ht="12.75" customHeight="1" x14ac:dyDescent="0.15">
      <c r="A31" s="13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3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3" t="s">
        <v>11</v>
      </c>
      <c r="B35" s="134"/>
      <c r="C35" s="131" t="s">
        <v>29</v>
      </c>
      <c r="D35" s="131"/>
      <c r="E35" s="131" t="s">
        <v>33</v>
      </c>
      <c r="F35" s="131"/>
      <c r="G35" s="131" t="s">
        <v>2</v>
      </c>
      <c r="H35" s="131"/>
      <c r="I35" s="131" t="s">
        <v>31</v>
      </c>
      <c r="J35" s="131"/>
      <c r="K35" s="131" t="s">
        <v>34</v>
      </c>
      <c r="L35" s="131"/>
      <c r="M35" s="16"/>
      <c r="N35" s="14" t="s">
        <v>10</v>
      </c>
      <c r="O35" s="17" t="s">
        <v>1</v>
      </c>
    </row>
    <row r="36" spans="1:19" ht="12.75" customHeight="1" x14ac:dyDescent="0.15">
      <c r="A36" s="122" t="s">
        <v>36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8" t="s">
        <v>37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3" t="s">
        <v>9</v>
      </c>
      <c r="B38" s="134"/>
      <c r="C38" s="131" t="s">
        <v>29</v>
      </c>
      <c r="D38" s="131"/>
      <c r="E38" s="131" t="s">
        <v>33</v>
      </c>
      <c r="F38" s="131"/>
      <c r="G38" s="131" t="s">
        <v>2</v>
      </c>
      <c r="H38" s="131"/>
      <c r="I38" s="131" t="s">
        <v>31</v>
      </c>
      <c r="J38" s="131"/>
      <c r="K38" s="131" t="s">
        <v>34</v>
      </c>
      <c r="L38" s="131"/>
      <c r="M38" s="16"/>
      <c r="N38" s="14" t="s">
        <v>0</v>
      </c>
      <c r="O38" s="17" t="s">
        <v>1</v>
      </c>
    </row>
    <row r="39" spans="1:19" ht="12.75" customHeight="1" x14ac:dyDescent="0.15">
      <c r="A39" s="122" t="s">
        <v>61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2" t="s">
        <v>52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2" t="s">
        <v>51</v>
      </c>
      <c r="B41" s="123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29" t="s">
        <v>54</v>
      </c>
      <c r="B42" s="130"/>
      <c r="C42" s="131" t="s">
        <v>29</v>
      </c>
      <c r="D42" s="131"/>
      <c r="E42" s="131" t="s">
        <v>33</v>
      </c>
      <c r="F42" s="131"/>
      <c r="G42" s="131" t="s">
        <v>2</v>
      </c>
      <c r="H42" s="131"/>
      <c r="I42" s="131" t="s">
        <v>31</v>
      </c>
      <c r="J42" s="131"/>
      <c r="K42" s="131" t="s">
        <v>34</v>
      </c>
      <c r="L42" s="132"/>
      <c r="M42" s="49"/>
      <c r="N42" s="14" t="s">
        <v>10</v>
      </c>
      <c r="O42" s="17" t="s">
        <v>1</v>
      </c>
    </row>
    <row r="43" spans="1:19" ht="12.75" customHeight="1" x14ac:dyDescent="0.15">
      <c r="A43" s="122" t="s">
        <v>35</v>
      </c>
      <c r="B43" s="123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27" t="s">
        <v>56</v>
      </c>
      <c r="B44" s="128"/>
      <c r="C44" s="125"/>
      <c r="D44" s="125"/>
      <c r="E44" s="125"/>
      <c r="F44" s="125"/>
      <c r="G44" s="125"/>
      <c r="H44" s="125"/>
      <c r="I44" s="125"/>
      <c r="J44" s="125"/>
      <c r="K44" s="125"/>
      <c r="L44" s="126"/>
      <c r="M44" s="50"/>
      <c r="N44" s="46"/>
      <c r="O44" s="42" t="str">
        <f t="shared" si="0"/>
        <v/>
      </c>
    </row>
    <row r="45" spans="1:19" ht="12.75" customHeight="1" x14ac:dyDescent="0.15">
      <c r="A45" s="122" t="s">
        <v>38</v>
      </c>
      <c r="B45" s="123"/>
      <c r="C45" s="125"/>
      <c r="D45" s="125"/>
      <c r="E45" s="125"/>
      <c r="F45" s="125"/>
      <c r="G45" s="125" t="s">
        <v>57</v>
      </c>
      <c r="H45" s="125"/>
      <c r="I45" s="125"/>
      <c r="J45" s="125"/>
      <c r="K45" s="125"/>
      <c r="L45" s="126"/>
      <c r="M45" s="50"/>
      <c r="N45" s="46"/>
      <c r="O45" s="42" t="str">
        <f t="shared" si="0"/>
        <v/>
      </c>
    </row>
    <row r="46" spans="1:19" ht="12.75" customHeight="1" x14ac:dyDescent="0.15">
      <c r="A46" s="122" t="s">
        <v>53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6"/>
      <c r="M46" s="50"/>
      <c r="N46" s="46"/>
      <c r="O46" s="42" t="str">
        <f t="shared" si="0"/>
        <v/>
      </c>
    </row>
    <row r="47" spans="1:19" ht="12.75" customHeight="1" x14ac:dyDescent="0.15">
      <c r="A47" s="122" t="s">
        <v>39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6"/>
      <c r="M47" s="50"/>
      <c r="N47" s="46"/>
      <c r="O47" s="42" t="str">
        <f t="shared" si="0"/>
        <v/>
      </c>
    </row>
    <row r="48" spans="1:19" ht="12.75" customHeight="1" x14ac:dyDescent="0.15">
      <c r="A48" s="122" t="s">
        <v>55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6"/>
      <c r="M48" s="50"/>
      <c r="N48" s="46"/>
      <c r="O48" s="42" t="str">
        <f t="shared" si="0"/>
        <v/>
      </c>
    </row>
    <row r="49" spans="1:15" ht="12.75" customHeight="1" x14ac:dyDescent="0.15">
      <c r="A49" s="122" t="s">
        <v>12</v>
      </c>
      <c r="B49" s="123"/>
      <c r="C49" s="124"/>
      <c r="D49" s="124"/>
      <c r="E49" s="124"/>
      <c r="F49" s="124"/>
      <c r="G49" s="125"/>
      <c r="H49" s="125"/>
      <c r="I49" s="125"/>
      <c r="J49" s="125"/>
      <c r="K49" s="125"/>
      <c r="L49" s="126"/>
      <c r="M49" s="50"/>
      <c r="N49" s="46"/>
      <c r="O49" s="42" t="str">
        <f t="shared" si="0"/>
        <v/>
      </c>
    </row>
    <row r="50" spans="1:15" ht="12.75" customHeight="1" thickBot="1" x14ac:dyDescent="0.2">
      <c r="A50" s="118" t="s">
        <v>37</v>
      </c>
      <c r="B50" s="119"/>
      <c r="C50" s="120"/>
      <c r="D50" s="120"/>
      <c r="E50" s="120"/>
      <c r="F50" s="120"/>
      <c r="G50" s="84"/>
      <c r="H50" s="120"/>
      <c r="I50" s="120"/>
      <c r="J50" s="120"/>
      <c r="K50" s="120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92" t="s">
        <v>13</v>
      </c>
      <c r="B51" s="93"/>
      <c r="C51" s="111"/>
      <c r="D51" s="112"/>
      <c r="E51" s="113" t="s">
        <v>40</v>
      </c>
      <c r="F51" s="114"/>
      <c r="G51" s="90" t="s">
        <v>65</v>
      </c>
      <c r="H51" s="91"/>
      <c r="I51" s="91"/>
      <c r="J51" s="91"/>
      <c r="K51" s="91"/>
      <c r="L51" s="91"/>
      <c r="M51" s="91"/>
      <c r="N51" s="91"/>
      <c r="O51" s="115"/>
    </row>
    <row r="52" spans="1:15" ht="12.75" customHeight="1" x14ac:dyDescent="0.15">
      <c r="A52" s="101" t="s">
        <v>14</v>
      </c>
      <c r="B52" s="108"/>
      <c r="C52" s="116"/>
      <c r="D52" s="117"/>
      <c r="E52" s="96" t="s">
        <v>49</v>
      </c>
      <c r="F52" s="97"/>
      <c r="G52" s="75"/>
      <c r="H52" s="76"/>
      <c r="I52" s="76"/>
      <c r="J52" s="76"/>
      <c r="K52" s="76"/>
      <c r="L52" s="76"/>
      <c r="M52" s="76"/>
      <c r="N52" s="76"/>
      <c r="O52" s="77"/>
    </row>
    <row r="53" spans="1:15" ht="12.75" customHeight="1" x14ac:dyDescent="0.15">
      <c r="A53" s="92" t="s">
        <v>22</v>
      </c>
      <c r="B53" s="93"/>
      <c r="C53" s="109"/>
      <c r="D53" s="110"/>
      <c r="E53" s="96" t="s">
        <v>49</v>
      </c>
      <c r="F53" s="97"/>
      <c r="G53" s="75"/>
      <c r="H53" s="76"/>
      <c r="I53" s="76"/>
      <c r="J53" s="76"/>
      <c r="K53" s="76"/>
      <c r="L53" s="76"/>
      <c r="M53" s="76"/>
      <c r="N53" s="76"/>
      <c r="O53" s="77"/>
    </row>
    <row r="54" spans="1:15" ht="12.75" customHeight="1" x14ac:dyDescent="0.15">
      <c r="A54" s="101" t="s">
        <v>15</v>
      </c>
      <c r="B54" s="108"/>
      <c r="C54" s="109"/>
      <c r="D54" s="110"/>
      <c r="E54" s="96" t="s">
        <v>49</v>
      </c>
      <c r="F54" s="97"/>
      <c r="G54" s="75"/>
      <c r="H54" s="76"/>
      <c r="I54" s="76"/>
      <c r="J54" s="76"/>
      <c r="K54" s="76"/>
      <c r="L54" s="76"/>
      <c r="M54" s="76"/>
      <c r="N54" s="76"/>
      <c r="O54" s="77"/>
    </row>
    <row r="55" spans="1:15" ht="12.75" customHeight="1" thickBot="1" x14ac:dyDescent="0.2">
      <c r="A55" s="92" t="s">
        <v>19</v>
      </c>
      <c r="B55" s="93"/>
      <c r="C55" s="103"/>
      <c r="D55" s="104"/>
      <c r="E55" s="96" t="s">
        <v>43</v>
      </c>
      <c r="F55" s="97"/>
      <c r="G55" s="105"/>
      <c r="H55" s="106"/>
      <c r="I55" s="106"/>
      <c r="J55" s="106"/>
      <c r="K55" s="106"/>
      <c r="L55" s="106"/>
      <c r="M55" s="106"/>
      <c r="N55" s="106"/>
      <c r="O55" s="107"/>
    </row>
    <row r="56" spans="1:15" ht="12.75" customHeight="1" x14ac:dyDescent="0.15">
      <c r="A56" s="101" t="s">
        <v>21</v>
      </c>
      <c r="B56" s="108"/>
      <c r="C56" s="103"/>
      <c r="D56" s="104"/>
      <c r="E56" s="96" t="s">
        <v>41</v>
      </c>
      <c r="F56" s="9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2" t="s">
        <v>16</v>
      </c>
      <c r="B57" s="93"/>
      <c r="C57" s="94"/>
      <c r="D57" s="95"/>
      <c r="E57" s="96" t="s">
        <v>42</v>
      </c>
      <c r="F57" s="97"/>
      <c r="G57" s="98"/>
      <c r="H57" s="99"/>
      <c r="I57" s="99"/>
      <c r="J57" s="99"/>
      <c r="K57" s="99"/>
      <c r="L57" s="99"/>
      <c r="M57" s="99"/>
      <c r="N57" s="99"/>
      <c r="O57" s="100"/>
    </row>
    <row r="58" spans="1:15" ht="12.75" customHeight="1" x14ac:dyDescent="0.15">
      <c r="A58" s="101" t="s">
        <v>17</v>
      </c>
      <c r="B58" s="102"/>
      <c r="C58" s="103"/>
      <c r="D58" s="104"/>
      <c r="E58" s="53" t="s">
        <v>41</v>
      </c>
      <c r="F58" s="64"/>
      <c r="G58" s="75"/>
      <c r="H58" s="76"/>
      <c r="I58" s="76"/>
      <c r="J58" s="76"/>
      <c r="K58" s="76"/>
      <c r="L58" s="76"/>
      <c r="M58" s="76"/>
      <c r="N58" s="76"/>
      <c r="O58" s="77"/>
    </row>
    <row r="59" spans="1:15" ht="12.75" customHeight="1" thickBot="1" x14ac:dyDescent="0.2">
      <c r="A59" s="81" t="s">
        <v>18</v>
      </c>
      <c r="B59" s="82"/>
      <c r="C59" s="83"/>
      <c r="D59" s="84"/>
      <c r="E59" s="85" t="s">
        <v>41</v>
      </c>
      <c r="F59" s="86"/>
      <c r="G59" s="87"/>
      <c r="H59" s="88"/>
      <c r="I59" s="88"/>
      <c r="J59" s="88"/>
      <c r="K59" s="88"/>
      <c r="L59" s="88"/>
      <c r="M59" s="88"/>
      <c r="N59" s="88"/>
      <c r="O59" s="89"/>
    </row>
    <row r="60" spans="1:15" ht="12.75" customHeight="1" x14ac:dyDescent="0.15">
      <c r="A60" s="90" t="s">
        <v>20</v>
      </c>
      <c r="B60" s="91"/>
      <c r="C60" s="91"/>
      <c r="D60" s="91"/>
      <c r="E60" s="91"/>
      <c r="F60" s="91"/>
      <c r="G60" s="75" t="s">
        <v>32</v>
      </c>
      <c r="H60" s="76"/>
      <c r="I60" s="76"/>
      <c r="J60" s="76"/>
      <c r="K60" s="76"/>
      <c r="L60" s="76"/>
      <c r="M60" s="76"/>
      <c r="N60" s="76"/>
      <c r="O60" s="77"/>
    </row>
    <row r="61" spans="1:15" ht="12.75" customHeight="1" x14ac:dyDescent="0.15">
      <c r="A61" s="75"/>
      <c r="B61" s="76"/>
      <c r="C61" s="76"/>
      <c r="D61" s="76"/>
      <c r="E61" s="76"/>
      <c r="F61" s="76"/>
      <c r="G61" s="75"/>
      <c r="H61" s="76"/>
      <c r="I61" s="76"/>
      <c r="J61" s="76"/>
      <c r="K61" s="76"/>
      <c r="L61" s="76"/>
      <c r="M61" s="76"/>
      <c r="N61" s="76"/>
      <c r="O61" s="77"/>
    </row>
    <row r="62" spans="1:15" ht="12.75" customHeight="1" thickBot="1" x14ac:dyDescent="0.2">
      <c r="A62" s="78"/>
      <c r="B62" s="79"/>
      <c r="C62" s="79"/>
      <c r="D62" s="79"/>
      <c r="E62" s="79"/>
      <c r="F62" s="79"/>
      <c r="G62" s="78"/>
      <c r="H62" s="79"/>
      <c r="I62" s="79"/>
      <c r="J62" s="79"/>
      <c r="K62" s="79"/>
      <c r="L62" s="79"/>
      <c r="M62" s="79"/>
      <c r="N62" s="79"/>
      <c r="O62" s="80"/>
    </row>
    <row r="66" spans="1:9" x14ac:dyDescent="0.15">
      <c r="A66" s="76"/>
      <c r="B66" s="76"/>
      <c r="C66" s="76"/>
      <c r="D66" s="76"/>
      <c r="E66" s="76"/>
      <c r="F66" s="76"/>
      <c r="G66" s="76"/>
      <c r="H66" s="76"/>
      <c r="I66" s="76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" priority="5" stopIfTrue="1">
      <formula>WEEKDAY($E$1)=7</formula>
    </cfRule>
    <cfRule type="expression" dxfId="3" priority="6" stopIfTrue="1">
      <formula>WEEKDAY($E$1)=1</formula>
    </cfRule>
  </conditionalFormatting>
  <conditionalFormatting sqref="I1:L1">
    <cfRule type="containsText" dxfId="1" priority="3" stopIfTrue="1" operator="containsText" text="日曜日">
      <formula>NOT(ISERROR(SEARCH("日曜日",I1)))</formula>
    </cfRule>
    <cfRule type="containsText" dxfId="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E20"/>
  <sheetViews>
    <sheetView showZeros="0" workbookViewId="0">
      <selection activeCell="D12" sqref="D12"/>
    </sheetView>
  </sheetViews>
  <sheetFormatPr defaultRowHeight="13.5" x14ac:dyDescent="0.15"/>
  <cols>
    <col min="1" max="1" width="16.125" style="163" customWidth="1"/>
    <col min="2" max="2" width="14.625" style="164" customWidth="1"/>
    <col min="3" max="3" width="16.125" style="163" customWidth="1"/>
    <col min="4" max="4" width="14.625" style="164" customWidth="1"/>
    <col min="5" max="16384" width="9" style="70"/>
  </cols>
  <sheetData>
    <row r="1" spans="1:5" x14ac:dyDescent="0.15">
      <c r="A1" s="162">
        <f>[1]祝日!A1</f>
        <v>46506</v>
      </c>
      <c r="B1" s="165" t="str">
        <f>[1]祝日!B1</f>
        <v>昭和の日</v>
      </c>
      <c r="C1" s="162">
        <f>[1]祝日!C1</f>
        <v>46753</v>
      </c>
      <c r="D1" s="164" t="str">
        <f>[1]祝日!D1</f>
        <v>元日</v>
      </c>
      <c r="E1" s="71">
        <f>[1]祝日!E1</f>
        <v>2027</v>
      </c>
    </row>
    <row r="2" spans="1:5" x14ac:dyDescent="0.15">
      <c r="A2" s="162">
        <f>[1]祝日!A2</f>
        <v>46510</v>
      </c>
      <c r="B2" s="165" t="str">
        <f>[1]祝日!B2</f>
        <v>憲法記念日</v>
      </c>
      <c r="C2" s="162">
        <f>[1]祝日!C2</f>
        <v>46762</v>
      </c>
      <c r="D2" s="164" t="str">
        <f>[1]祝日!D2</f>
        <v>成人の日</v>
      </c>
      <c r="E2" s="70">
        <f>[1]祝日!E2</f>
        <v>0</v>
      </c>
    </row>
    <row r="3" spans="1:5" x14ac:dyDescent="0.15">
      <c r="A3" s="162">
        <f>[1]祝日!A3</f>
        <v>46511</v>
      </c>
      <c r="B3" s="165" t="str">
        <f>[1]祝日!B3</f>
        <v>みどりの日</v>
      </c>
      <c r="C3" s="162">
        <f>[1]祝日!C3</f>
        <v>46794</v>
      </c>
      <c r="D3" s="164" t="str">
        <f>[1]祝日!D3</f>
        <v>建国記念の日</v>
      </c>
      <c r="E3" s="70">
        <f>[1]祝日!E3</f>
        <v>0</v>
      </c>
    </row>
    <row r="4" spans="1:5" x14ac:dyDescent="0.15">
      <c r="A4" s="162">
        <f>[1]祝日!A4</f>
        <v>46512</v>
      </c>
      <c r="B4" s="165" t="str">
        <f>[1]祝日!B4</f>
        <v>こどもの日</v>
      </c>
      <c r="C4" s="162">
        <f>[1]祝日!C4</f>
        <v>46806</v>
      </c>
      <c r="D4" s="164" t="str">
        <f>[1]祝日!D4</f>
        <v>天皇誕生日</v>
      </c>
      <c r="E4" s="70">
        <f>[1]祝日!E4</f>
        <v>0</v>
      </c>
    </row>
    <row r="5" spans="1:5" x14ac:dyDescent="0.15">
      <c r="A5" s="162">
        <f>[1]祝日!A5</f>
        <v>46587</v>
      </c>
      <c r="B5" s="165" t="str">
        <f>[1]祝日!B5</f>
        <v>海の日</v>
      </c>
      <c r="C5" s="162">
        <f>[1]祝日!C5</f>
        <v>46832</v>
      </c>
      <c r="D5" s="164" t="str">
        <f>[1]祝日!D5</f>
        <v>春分の日</v>
      </c>
      <c r="E5" s="70">
        <f>[1]祝日!E5</f>
        <v>0</v>
      </c>
    </row>
    <row r="6" spans="1:5" x14ac:dyDescent="0.15">
      <c r="A6" s="162">
        <f>[1]祝日!A6</f>
        <v>46610</v>
      </c>
      <c r="B6" s="165" t="str">
        <f>[1]祝日!B6</f>
        <v>山の日</v>
      </c>
      <c r="C6" s="162">
        <f>[1]祝日!C6</f>
        <v>0</v>
      </c>
      <c r="D6" s="164">
        <f>[1]祝日!D6</f>
        <v>0</v>
      </c>
      <c r="E6" s="70">
        <f>[1]祝日!E6</f>
        <v>0</v>
      </c>
    </row>
    <row r="7" spans="1:5" x14ac:dyDescent="0.15">
      <c r="A7" s="162">
        <f>[1]祝日!A7</f>
        <v>46650</v>
      </c>
      <c r="B7" s="165" t="str">
        <f>[1]祝日!B7</f>
        <v>敬老の日</v>
      </c>
      <c r="C7" s="162">
        <f>[1]祝日!C7</f>
        <v>0</v>
      </c>
      <c r="D7" s="164">
        <f>[1]祝日!D7</f>
        <v>0</v>
      </c>
      <c r="E7" s="70">
        <f>[1]祝日!E7</f>
        <v>0</v>
      </c>
    </row>
    <row r="8" spans="1:5" x14ac:dyDescent="0.15">
      <c r="A8" s="162">
        <f>[1]祝日!A8</f>
        <v>46653</v>
      </c>
      <c r="B8" s="165" t="str">
        <f>[1]祝日!B8</f>
        <v>秋分の日</v>
      </c>
      <c r="C8" s="162">
        <f>[1]祝日!C8</f>
        <v>0</v>
      </c>
      <c r="D8" s="164">
        <f>[1]祝日!D8</f>
        <v>0</v>
      </c>
      <c r="E8" s="70">
        <f>[1]祝日!E8</f>
        <v>0</v>
      </c>
    </row>
    <row r="9" spans="1:5" x14ac:dyDescent="0.15">
      <c r="A9" s="162">
        <f>[1]祝日!A9</f>
        <v>46671</v>
      </c>
      <c r="B9" s="165" t="str">
        <f>[1]祝日!B9</f>
        <v>スポーツの日</v>
      </c>
      <c r="C9" s="162">
        <f>[1]祝日!C9</f>
        <v>0</v>
      </c>
      <c r="D9" s="164">
        <f>[1]祝日!D9</f>
        <v>0</v>
      </c>
      <c r="E9" s="70">
        <f>[1]祝日!E9</f>
        <v>0</v>
      </c>
    </row>
    <row r="10" spans="1:5" x14ac:dyDescent="0.15">
      <c r="A10" s="162">
        <f>[1]祝日!A10</f>
        <v>46694</v>
      </c>
      <c r="B10" s="165" t="str">
        <f>[1]祝日!B10</f>
        <v>文化の日</v>
      </c>
      <c r="C10" s="162">
        <f>[1]祝日!C10</f>
        <v>0</v>
      </c>
      <c r="D10" s="164">
        <f>[1]祝日!D10</f>
        <v>0</v>
      </c>
      <c r="E10" s="70">
        <f>[1]祝日!E10</f>
        <v>0</v>
      </c>
    </row>
    <row r="11" spans="1:5" x14ac:dyDescent="0.15">
      <c r="A11" s="162">
        <f>[1]祝日!A11</f>
        <v>46714</v>
      </c>
      <c r="B11" s="165" t="str">
        <f>[1]祝日!B11</f>
        <v>勤労感謝の日</v>
      </c>
      <c r="C11" s="162">
        <f>[1]祝日!C11</f>
        <v>0</v>
      </c>
      <c r="D11" s="164">
        <f>[1]祝日!D11</f>
        <v>0</v>
      </c>
      <c r="E11" s="70">
        <f>[1]祝日!E11</f>
        <v>0</v>
      </c>
    </row>
    <row r="12" spans="1:5" x14ac:dyDescent="0.15">
      <c r="A12" s="162">
        <f>[1]祝日!A12</f>
        <v>0</v>
      </c>
      <c r="B12" s="165">
        <f>[1]祝日!B12</f>
        <v>0</v>
      </c>
      <c r="C12" s="162">
        <f>[1]祝日!C12</f>
        <v>0</v>
      </c>
      <c r="D12" s="164">
        <f>[1]祝日!D12</f>
        <v>0</v>
      </c>
      <c r="E12" s="70">
        <f>[1]祝日!E12</f>
        <v>0</v>
      </c>
    </row>
    <row r="13" spans="1:5" x14ac:dyDescent="0.15">
      <c r="A13" s="162">
        <f>[1]祝日!A13</f>
        <v>0</v>
      </c>
      <c r="B13" s="165">
        <f>[1]祝日!B13</f>
        <v>0</v>
      </c>
      <c r="C13" s="162">
        <f>[1]祝日!C13</f>
        <v>0</v>
      </c>
      <c r="D13" s="164">
        <f>[1]祝日!D13</f>
        <v>0</v>
      </c>
      <c r="E13" s="70">
        <f>[1]祝日!E13</f>
        <v>0</v>
      </c>
    </row>
    <row r="14" spans="1:5" x14ac:dyDescent="0.15">
      <c r="A14" s="162">
        <f>[1]祝日!A14</f>
        <v>0</v>
      </c>
      <c r="B14" s="165">
        <f>[1]祝日!B14</f>
        <v>0</v>
      </c>
      <c r="C14" s="162">
        <f>[1]祝日!C14</f>
        <v>0</v>
      </c>
      <c r="D14" s="164">
        <f>[1]祝日!D14</f>
        <v>0</v>
      </c>
      <c r="E14" s="70">
        <f>[1]祝日!E14</f>
        <v>0</v>
      </c>
    </row>
    <row r="15" spans="1:5" x14ac:dyDescent="0.15">
      <c r="A15" s="162">
        <f>[1]祝日!A15</f>
        <v>0</v>
      </c>
      <c r="B15" s="165">
        <f>[1]祝日!B15</f>
        <v>0</v>
      </c>
      <c r="C15" s="162">
        <f>[1]祝日!C15</f>
        <v>0</v>
      </c>
      <c r="D15" s="164">
        <f>[1]祝日!D15</f>
        <v>0</v>
      </c>
      <c r="E15" s="70">
        <f>[1]祝日!E15</f>
        <v>0</v>
      </c>
    </row>
    <row r="16" spans="1:5" x14ac:dyDescent="0.15">
      <c r="A16" s="162">
        <f>[1]祝日!A16</f>
        <v>0</v>
      </c>
      <c r="B16" s="165">
        <f>[1]祝日!B16</f>
        <v>0</v>
      </c>
      <c r="C16" s="162">
        <f>[1]祝日!C16</f>
        <v>0</v>
      </c>
      <c r="D16" s="164">
        <f>[1]祝日!D16</f>
        <v>0</v>
      </c>
      <c r="E16" s="70">
        <f>[1]祝日!E16</f>
        <v>0</v>
      </c>
    </row>
    <row r="17" spans="1:5" x14ac:dyDescent="0.15">
      <c r="A17" s="162">
        <f>[1]祝日!A17</f>
        <v>0</v>
      </c>
      <c r="B17" s="165">
        <f>[1]祝日!B17</f>
        <v>0</v>
      </c>
      <c r="C17" s="162">
        <f>[1]祝日!C17</f>
        <v>0</v>
      </c>
      <c r="D17" s="164">
        <f>[1]祝日!D17</f>
        <v>0</v>
      </c>
      <c r="E17" s="70">
        <f>[1]祝日!E17</f>
        <v>0</v>
      </c>
    </row>
    <row r="18" spans="1:5" x14ac:dyDescent="0.15">
      <c r="A18" s="162">
        <f>[1]祝日!A18</f>
        <v>0</v>
      </c>
      <c r="B18" s="165">
        <f>[1]祝日!B18</f>
        <v>0</v>
      </c>
      <c r="C18" s="162">
        <f>[1]祝日!C18</f>
        <v>0</v>
      </c>
      <c r="D18" s="164">
        <f>[1]祝日!D18</f>
        <v>0</v>
      </c>
      <c r="E18" s="70">
        <f>[1]祝日!E18</f>
        <v>0</v>
      </c>
    </row>
    <row r="19" spans="1:5" x14ac:dyDescent="0.15">
      <c r="A19" s="162">
        <f>[1]祝日!A19</f>
        <v>0</v>
      </c>
      <c r="B19" s="165">
        <f>[1]祝日!B19</f>
        <v>0</v>
      </c>
      <c r="C19" s="162">
        <f>[1]祝日!C19</f>
        <v>0</v>
      </c>
      <c r="D19" s="164">
        <f>[1]祝日!D19</f>
        <v>0</v>
      </c>
      <c r="E19" s="70">
        <f>[1]祝日!E19</f>
        <v>0</v>
      </c>
    </row>
    <row r="20" spans="1:5" x14ac:dyDescent="0.15">
      <c r="A20" s="163">
        <f>[1]祝日!A20</f>
        <v>0</v>
      </c>
      <c r="B20" s="164">
        <f>[1]祝日!B20</f>
        <v>0</v>
      </c>
      <c r="C20" s="163">
        <f>[1]祝日!C20</f>
        <v>0</v>
      </c>
      <c r="D20" s="164">
        <f>[1]祝日!D20</f>
        <v>0</v>
      </c>
      <c r="E20" s="70">
        <f>[1]祝日!E20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33</vt:i4>
      </vt:variant>
      <vt:variant>
        <vt:lpstr>名前付き一覧</vt:lpstr>
      </vt:variant>
      <vt:variant>
        <vt:i4>31</vt:i4>
      </vt:variant>
    </vt:vector>
  </HeadingPairs>
  <TitlesOfParts>
    <vt:vector size="64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2021-05-11T22:50:14Z</cp:lastPrinted>
  <dcterms:created xsi:type="dcterms:W3CDTF">2006-10-04T10:30:20Z</dcterms:created>
  <dcterms:modified xsi:type="dcterms:W3CDTF">2026-04-08T01:27:38Z</dcterms:modified>
</cp:coreProperties>
</file>