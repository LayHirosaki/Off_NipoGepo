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EA200E61-C7D6-413D-8B03-BF4F4A6B3757}" xr6:coauthVersionLast="47" xr6:coauthVersionMax="47" xr10:uidLastSave="{00000000-0000-0000-0000-000000000000}"/>
  <bookViews>
    <workbookView xWindow="8400" yWindow="930" windowWidth="18780" windowHeight="14460" tabRatio="870" firstSheet="13" activeTab="32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祝日" sheetId="95" r:id="rId33"/>
  </sheets>
  <externalReferences>
    <externalReference r:id="rId34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94" l="1"/>
  <c r="E1" i="93"/>
  <c r="I1" i="93" s="1"/>
  <c r="E1" i="92"/>
  <c r="I1" i="92" s="1"/>
  <c r="E1" i="91"/>
  <c r="I1" i="91" s="1"/>
  <c r="E1" i="90"/>
  <c r="E1" i="89"/>
  <c r="E1" i="88"/>
  <c r="I1" i="88" s="1"/>
  <c r="E1" i="87"/>
  <c r="I1" i="87" s="1"/>
  <c r="E1" i="86"/>
  <c r="E1" i="85"/>
  <c r="I1" i="85" s="1"/>
  <c r="E1" i="84"/>
  <c r="I1" i="84" s="1"/>
  <c r="E1" i="83"/>
  <c r="I1" i="83" s="1"/>
  <c r="E1" i="82"/>
  <c r="I1" i="82" s="1"/>
  <c r="E1" i="81"/>
  <c r="I1" i="81" s="1"/>
  <c r="E1" i="80"/>
  <c r="I1" i="80" s="1"/>
  <c r="E1" i="79"/>
  <c r="I1" i="79" s="1"/>
  <c r="E1" i="78"/>
  <c r="E1" i="77"/>
  <c r="E1" i="76"/>
  <c r="E1" i="75"/>
  <c r="I1" i="75" s="1"/>
  <c r="E1" i="74"/>
  <c r="I1" i="74" s="1"/>
  <c r="E1" i="73"/>
  <c r="E1" i="72"/>
  <c r="I1" i="72" s="1"/>
  <c r="E1" i="71"/>
  <c r="I1" i="71" s="1"/>
  <c r="E1" i="70"/>
  <c r="E1" i="69"/>
  <c r="E1" i="68"/>
  <c r="I1" i="68" s="1"/>
  <c r="E1" i="67"/>
  <c r="I1" i="67" s="1"/>
  <c r="E1" i="66"/>
  <c r="I1" i="66" s="1"/>
  <c r="E1" i="65"/>
  <c r="I1" i="65" s="1"/>
  <c r="I1" i="86"/>
  <c r="I1" i="70"/>
  <c r="I1" i="78"/>
  <c r="I1" i="94"/>
  <c r="E1" i="63"/>
  <c r="I1" i="63" s="1"/>
  <c r="A1" i="95"/>
  <c r="B1" i="95"/>
  <c r="C1" i="95"/>
  <c r="D1" i="95"/>
  <c r="E1" i="95"/>
  <c r="A1" i="29" s="1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C10" i="95"/>
  <c r="D10" i="95"/>
  <c r="E10" i="95"/>
  <c r="A11" i="95"/>
  <c r="B11" i="95"/>
  <c r="C11" i="95"/>
  <c r="D11" i="95"/>
  <c r="E11" i="95"/>
  <c r="A12" i="95"/>
  <c r="B12" i="95"/>
  <c r="C12" i="95"/>
  <c r="D12" i="95"/>
  <c r="E12" i="95"/>
  <c r="A13" i="95"/>
  <c r="B13" i="95"/>
  <c r="C13" i="95"/>
  <c r="D13" i="95"/>
  <c r="E13" i="95"/>
  <c r="A14" i="95"/>
  <c r="B14" i="95"/>
  <c r="C14" i="95"/>
  <c r="D14" i="95"/>
  <c r="E14" i="95"/>
  <c r="A15" i="95"/>
  <c r="B15" i="95"/>
  <c r="C15" i="95"/>
  <c r="D15" i="95"/>
  <c r="E15" i="95"/>
  <c r="A16" i="95"/>
  <c r="B16" i="95"/>
  <c r="C16" i="95"/>
  <c r="D16" i="95"/>
  <c r="E16" i="95"/>
  <c r="A17" i="95"/>
  <c r="B17" i="95"/>
  <c r="C17" i="95"/>
  <c r="D17" i="95"/>
  <c r="E17" i="95"/>
  <c r="A18" i="95"/>
  <c r="B18" i="95"/>
  <c r="C18" i="95"/>
  <c r="D18" i="95"/>
  <c r="E18" i="95"/>
  <c r="A19" i="95"/>
  <c r="B19" i="95"/>
  <c r="C19" i="95"/>
  <c r="D19" i="95"/>
  <c r="E19" i="95"/>
  <c r="A20" i="95"/>
  <c r="B20" i="95"/>
  <c r="C20" i="95"/>
  <c r="D20" i="95"/>
  <c r="E20" i="95"/>
  <c r="I1" i="90"/>
  <c r="I1" i="89"/>
  <c r="I1" i="77"/>
  <c r="I1" i="76"/>
  <c r="I1" i="73"/>
  <c r="I1" i="69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</calcChain>
</file>

<file path=xl/sharedStrings.xml><?xml version="1.0" encoding="utf-8"?>
<sst xmlns="http://schemas.openxmlformats.org/spreadsheetml/2006/main" count="4902" uniqueCount="69">
  <si>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</si>
  <si>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</si>
  <si>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</si>
  <si>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</si>
  <si>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</si>
  <si>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</si>
  <si>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</si>
  <si>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</si>
  <si>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</si>
  <si>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</si>
  <si>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</si>
  <si>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</si>
  <si>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</si>
  <si>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</si>
  <si>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</si>
  <si>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</si>
  <si>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</si>
  <si>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</si>
  <si>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</si>
  <si>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</si>
  <si>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</si>
  <si>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</si>
  <si>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</si>
  <si>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</si>
  <si>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</si>
  <si>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</si>
  <si>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</si>
  <si>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</si>
  <si>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</si>
  <si>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</si>
  <si>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</si>
  <si>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</si>
  <si>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</si>
  <si>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</si>
  <si>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</si>
  <si>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</si>
  <si>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</si>
  <si>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</si>
  <si>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</si>
  <si>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</si>
  <si>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</si>
  <si>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</si>
  <si>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</si>
  <si>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</si>
  <si>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</si>
  <si>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</si>
  <si>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</si>
  <si>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</si>
  <si>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</si>
  <si>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</si>
  <si>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</si>
  <si>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</si>
  <si>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</si>
  <si>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</si>
  <si>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</si>
  <si>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</si>
  <si>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</si>
  <si>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</si>
  <si>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</si>
  <si>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</si>
  <si>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</si>
  <si>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</si>
  <si>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</si>
  <si>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</si>
  <si>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</si>
  <si>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</si>
  <si>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</si>
  <si>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</si>
  <si>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5 月分</t>
    <rPh sb="2" eb="3">
      <t>ガツ</t>
    </rPh>
    <rPh sb="3" eb="4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</si>
</sst>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_ ;[Red]\-0\ "/>
    <numFmt numFmtId="178" formatCode="#,##0.0_ "/>
    <numFmt numFmtId="179" formatCode="[h]:mm&quot; &quot;"/>
    <numFmt numFmtId="180" formatCode="[$]ggge&quot;年&quot;m&quot;月&quot;d&quot;日&quot;;@"/>
    <numFmt numFmtId="181" formatCode="0_);[Red]\(0\)"/>
    <numFmt numFmtId="182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9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indent="1"/>
    </xf>
    <xf numFmtId="182" fontId="13" fillId="0" borderId="0" xfId="1" applyNumberFormat="1" applyFont="1" applyAlignment="1">
      <alignment horizontal="center"/>
    </xf>
    <xf numFmtId="0" fontId="11" fillId="0" borderId="0" xfId="0" applyFont="1" applyAlignment="1">
      <alignment horizontal="left"/>
    </xf>
    <xf numFmtId="49" fontId="13" fillId="0" borderId="0" xfId="1" applyNumberFormat="1" applyFont="1" applyAlignment="1">
      <alignment horizontal="left" indent="1"/>
    </xf>
    <xf numFmtId="49" fontId="11" fillId="0" borderId="0" xfId="0" applyNumberFormat="1" applyFont="1" applyAlignment="1">
      <alignment horizontal="left" indent="1"/>
    </xf>
    <xf numFmtId="182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0" fontId="7" fillId="0" borderId="47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81" fontId="5" fillId="0" borderId="31" xfId="0" applyNumberFormat="1" applyFont="1" applyBorder="1" applyAlignment="1">
      <alignment horizontal="right" vertical="center"/>
    </xf>
    <xf numFmtId="181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</cellXfs>
  <cellStyles count="2">
    <cellStyle name="標準" xfId="0" builtinId="0"/>
    <cellStyle name="標準 2" xfId="1" xr:uid="{50F53C47-DBD2-4504-9830-D45CD7119AE4}"/>
  </cellStyles>
  <dxfs count="186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20196;&#21644;&#9711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</row>
        <row r="6">
          <cell r="A6">
            <v>46610</v>
          </cell>
          <cell r="B6" t="str">
            <v>山の日</v>
          </cell>
        </row>
        <row r="7">
          <cell r="A7">
            <v>46650</v>
          </cell>
          <cell r="B7" t="str">
            <v>敬老の日</v>
          </cell>
        </row>
        <row r="8">
          <cell r="A8">
            <v>46653</v>
          </cell>
          <cell r="B8" t="str">
            <v>秋分の日</v>
          </cell>
        </row>
        <row r="9">
          <cell r="A9">
            <v>46671</v>
          </cell>
          <cell r="B9" t="str">
            <v>スポーツの日</v>
          </cell>
        </row>
        <row r="10">
          <cell r="A10">
            <v>46694</v>
          </cell>
          <cell r="B10" t="str">
            <v>文化の日</v>
          </cell>
        </row>
        <row r="11">
          <cell r="A11">
            <v>46714</v>
          </cell>
          <cell r="B11" t="str">
            <v>勤労感謝の日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D3" sqref="D3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7" t="str">
        <f>"令和 "&amp;祝日!E1-2018&amp;" 年度"</f>
        <v>令和 9 年度</v>
      </c>
      <c r="B1" s="77"/>
      <c r="C1" s="77"/>
    </row>
    <row r="2" spans="1:6" ht="75.75" customHeight="1" x14ac:dyDescent="0.4">
      <c r="A2" s="2"/>
      <c r="B2" s="2"/>
      <c r="C2" s="2"/>
    </row>
    <row r="3" spans="1:6" ht="65.25" customHeight="1" x14ac:dyDescent="0.4">
      <c r="A3" s="77" t="s">
        <v>68</v>
      </c>
      <c r="B3" s="77"/>
      <c r="C3" s="77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78" t="s">
        <v>44</v>
      </c>
      <c r="B5" s="78"/>
      <c r="C5" s="78"/>
    </row>
    <row r="6" spans="1:6" ht="169.5" customHeight="1" x14ac:dyDescent="0.4">
      <c r="A6" s="3"/>
      <c r="B6" s="3"/>
      <c r="C6" s="3"/>
    </row>
    <row r="7" spans="1:6" ht="54" customHeight="1" x14ac:dyDescent="0.4">
      <c r="A7" s="79" t="s">
        <v>45</v>
      </c>
      <c r="B7" s="79"/>
      <c r="C7" s="79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DATE([1]祝日リスト!$E$1,5,1)</f>
        <v>46508</v>
      </c>
      <c r="F1" s="84"/>
      <c r="G1" s="84"/>
      <c r="H1" s="84"/>
      <c r="I1" s="85" t="str">
        <f>TEXT(E1,"aaaa")</f>
        <v>土曜日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>
        <v>1</v>
      </c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84" priority="8" stopIfTrue="1">
      <formula>WEEKDAY($E$1)=7</formula>
    </cfRule>
    <cfRule type="expression" dxfId="183" priority="9" stopIfTrue="1">
      <formula>WEEKDAY($E$1)=1</formula>
    </cfRule>
  </conditionalFormatting>
  <conditionalFormatting sqref="I1:L1">
    <cfRule type="containsText" dxfId="181" priority="2" stopIfTrue="1" operator="containsText" text="日曜日">
      <formula>NOT(ISERROR(SEARCH("日曜日",I1)))</formula>
    </cfRule>
    <cfRule type="containsText" dxfId="180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stopIfTrue="1" id="{75FC950D-C13B-45A7-AC21-32910C05F0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961B4F9-6774-4FDB-9AA5-AD5F9BCFF12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DATE([1]祝日リスト!$E$1,5,2)</f>
        <v>46509</v>
      </c>
      <c r="F1" s="84"/>
      <c r="G1" s="84"/>
      <c r="H1" s="84"/>
      <c r="I1" s="85" t="str">
        <f>TEXT(E1,"aaaa")</f>
        <v>日曜日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DATE([1]祝日リスト!$E$1,5,3)</f>
        <v>46510</v>
      </c>
      <c r="F1" s="84"/>
      <c r="G1" s="84"/>
      <c r="H1" s="84"/>
      <c r="I1" s="85" t="str">
        <f>TEXT(E1,"aaaa")</f>
        <v>月曜日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DATE([1]祝日リスト!$E$1,5,4)</f>
        <v>46511</v>
      </c>
      <c r="F1" s="84"/>
      <c r="G1" s="84"/>
      <c r="H1" s="84"/>
      <c r="I1" s="85" t="str">
        <f>TEXT(E1,"aaaa")</f>
        <v>火曜日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DATE([1]祝日リスト!$E$1,5,5)</f>
        <v>46512</v>
      </c>
      <c r="F1" s="84"/>
      <c r="G1" s="84"/>
      <c r="H1" s="84"/>
      <c r="I1" s="85" t="str">
        <f>TEXT(E1,"aaaa")</f>
        <v>水曜日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DATE([1]祝日リスト!$E$1,5,6)</f>
        <v>46513</v>
      </c>
      <c r="F1" s="84"/>
      <c r="G1" s="84"/>
      <c r="H1" s="84"/>
      <c r="I1" s="85" t="str">
        <f>TEXT(E1,"aaaa")</f>
        <v>木曜日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DATE([1]祝日リスト!$E$1,5,7)</f>
        <v>46514</v>
      </c>
      <c r="F1" s="84"/>
      <c r="G1" s="84"/>
      <c r="H1" s="84"/>
      <c r="I1" s="85" t="str">
        <f>TEXT(E1,"aaaa")</f>
        <v>金曜日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DATE([1]祝日リスト!$E$1,5,8)</f>
        <v>46515</v>
      </c>
      <c r="F1" s="84"/>
      <c r="G1" s="84"/>
      <c r="H1" s="84"/>
      <c r="I1" s="85" t="str">
        <f>TEXT(E1,"aaaa")</f>
        <v>土曜日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DATE([1]祝日リスト!$E$1,5,9)</f>
        <v>46516</v>
      </c>
      <c r="F1" s="84"/>
      <c r="G1" s="84"/>
      <c r="H1" s="84"/>
      <c r="I1" s="85" t="str">
        <f>TEXT(E1,"aaaa")</f>
        <v>日曜日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DATE([1]祝日リスト!$E$1,5,10)</f>
        <v>46517</v>
      </c>
      <c r="F1" s="84"/>
      <c r="G1" s="84"/>
      <c r="H1" s="84"/>
      <c r="I1" s="85" t="str">
        <f>TEXT(E1,"aaaa")</f>
        <v>月曜日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DATE([1]祝日リスト!$E$1,5,11)</f>
        <v>46518</v>
      </c>
      <c r="F1" s="84"/>
      <c r="G1" s="84"/>
      <c r="H1" s="84"/>
      <c r="I1" s="85" t="str">
        <f>TEXT(E1,"aaaa")</f>
        <v>火曜日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DATE([1]祝日リスト!$E$1,5,12)</f>
        <v>46519</v>
      </c>
      <c r="F1" s="84"/>
      <c r="G1" s="84"/>
      <c r="H1" s="84"/>
      <c r="I1" s="85" t="str">
        <f>TEXT(E1,"aaaa")</f>
        <v>水曜日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DATE([1]祝日リスト!$E$1,5,13)</f>
        <v>46520</v>
      </c>
      <c r="F1" s="84"/>
      <c r="G1" s="84"/>
      <c r="H1" s="84"/>
      <c r="I1" s="85" t="str">
        <f>TEXT(E1,"aaaa")</f>
        <v>木曜日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DATE([1]祝日リスト!$E$1,5,14)</f>
        <v>46521</v>
      </c>
      <c r="F1" s="84"/>
      <c r="G1" s="84"/>
      <c r="H1" s="84"/>
      <c r="I1" s="85" t="str">
        <f>TEXT(E1,"aaaa")</f>
        <v>金曜日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DATE([1]祝日リスト!$E$1,5,15)</f>
        <v>46522</v>
      </c>
      <c r="F1" s="84"/>
      <c r="G1" s="84"/>
      <c r="H1" s="84"/>
      <c r="I1" s="85" t="str">
        <f>TEXT(E1,"aaaa")</f>
        <v>土曜日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DATE([1]祝日リスト!$E$1,5,16)</f>
        <v>46523</v>
      </c>
      <c r="F1" s="84"/>
      <c r="G1" s="84"/>
      <c r="H1" s="84"/>
      <c r="I1" s="85" t="str">
        <f>TEXT(E1,"aaaa")</f>
        <v>日曜日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DATE([1]祝日リスト!$E$1,5,17)</f>
        <v>46524</v>
      </c>
      <c r="F1" s="84"/>
      <c r="G1" s="84"/>
      <c r="H1" s="84"/>
      <c r="I1" s="85" t="str">
        <f>TEXT(E1,"aaaa")</f>
        <v>月曜日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DATE([1]祝日リスト!$E$1,5,18)</f>
        <v>46525</v>
      </c>
      <c r="F1" s="84"/>
      <c r="G1" s="84"/>
      <c r="H1" s="84"/>
      <c r="I1" s="85" t="str">
        <f>TEXT(E1,"aaaa")</f>
        <v>火曜日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DATE([1]祝日リスト!$E$1,5,19)</f>
        <v>46526</v>
      </c>
      <c r="F1" s="84"/>
      <c r="G1" s="84"/>
      <c r="H1" s="84"/>
      <c r="I1" s="85" t="str">
        <f>TEXT(E1,"aaaa")</f>
        <v>水曜日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DATE([1]祝日リスト!$E$1,5,20)</f>
        <v>46527</v>
      </c>
      <c r="F1" s="84"/>
      <c r="G1" s="84"/>
      <c r="H1" s="84"/>
      <c r="I1" s="85" t="str">
        <f>TEXT(E1,"aaaa")</f>
        <v>木曜日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DATE([1]祝日リスト!$E$1,5,21)</f>
        <v>46528</v>
      </c>
      <c r="F1" s="84"/>
      <c r="G1" s="84"/>
      <c r="H1" s="84"/>
      <c r="I1" s="85" t="str">
        <f>TEXT(E1,"aaaa")</f>
        <v>金曜日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DATE([1]祝日リスト!$E$1,5,22)</f>
        <v>46529</v>
      </c>
      <c r="F1" s="84"/>
      <c r="G1" s="84"/>
      <c r="H1" s="84"/>
      <c r="I1" s="85" t="str">
        <f>TEXT(E1,"aaaa")</f>
        <v>土曜日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DATE([1]祝日リスト!$E$1,5,23)</f>
        <v>46530</v>
      </c>
      <c r="F1" s="84"/>
      <c r="G1" s="84"/>
      <c r="H1" s="84"/>
      <c r="I1" s="85" t="str">
        <f>TEXT(E1,"aaaa")</f>
        <v>日曜日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DATE([1]祝日リスト!$E$1,5,24)</f>
        <v>46531</v>
      </c>
      <c r="F1" s="84"/>
      <c r="G1" s="84"/>
      <c r="H1" s="84"/>
      <c r="I1" s="85" t="str">
        <f>TEXT(E1,"aaaa")</f>
        <v>月曜日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DATE([1]祝日リスト!$E$1,5,25)</f>
        <v>46532</v>
      </c>
      <c r="F1" s="84"/>
      <c r="G1" s="84"/>
      <c r="H1" s="84"/>
      <c r="I1" s="85" t="str">
        <f>TEXT(E1,"aaaa")</f>
        <v>火曜日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DATE([1]祝日リスト!$E$1,5,26)</f>
        <v>46533</v>
      </c>
      <c r="F1" s="84"/>
      <c r="G1" s="84"/>
      <c r="H1" s="84"/>
      <c r="I1" s="85" t="str">
        <f>TEXT(E1,"aaaa")</f>
        <v>水曜日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DATE([1]祝日リスト!$E$1,5,27)</f>
        <v>46534</v>
      </c>
      <c r="F1" s="84"/>
      <c r="G1" s="84"/>
      <c r="H1" s="84"/>
      <c r="I1" s="85" t="str">
        <f>TEXT(E1,"aaaa")</f>
        <v>木曜日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DATE([1]祝日リスト!$E$1,5,28)</f>
        <v>46535</v>
      </c>
      <c r="F1" s="84"/>
      <c r="G1" s="84"/>
      <c r="H1" s="84"/>
      <c r="I1" s="85" t="str">
        <f>TEXT(E1,"aaaa")</f>
        <v>金曜日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DATE([1]祝日リスト!$E$1,5,29)</f>
        <v>46536</v>
      </c>
      <c r="F1" s="84"/>
      <c r="G1" s="84"/>
      <c r="H1" s="84"/>
      <c r="I1" s="85" t="str">
        <f>TEXT(E1,"aaaa")</f>
        <v>土曜日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DATE([1]祝日リスト!$E$1,5,30)</f>
        <v>46537</v>
      </c>
      <c r="F1" s="84"/>
      <c r="G1" s="84"/>
      <c r="H1" s="84"/>
      <c r="I1" s="85" t="str">
        <f>TEXT(E1,"aaaa")</f>
        <v>日曜日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X8" sqref="X8"/>
      <selection pane="bottomLeft" activeCell="X8" sqref="X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80" t="s">
        <v>59</v>
      </c>
      <c r="B1" s="81"/>
      <c r="C1" s="80" t="s">
        <v>66</v>
      </c>
      <c r="D1" s="82"/>
      <c r="E1" s="83">
        <f>DATE([1]祝日リスト!$E$1,5,31)</f>
        <v>46538</v>
      </c>
      <c r="F1" s="84"/>
      <c r="G1" s="84"/>
      <c r="H1" s="84"/>
      <c r="I1" s="85" t="str">
        <f>TEXT(E1,"aaaa")</f>
        <v>月曜日</v>
      </c>
      <c r="J1" s="85"/>
      <c r="K1" s="85"/>
      <c r="L1" s="85"/>
      <c r="M1" s="4"/>
      <c r="N1" s="55" t="s">
        <v>67</v>
      </c>
      <c r="O1" s="55" t="s">
        <v>5</v>
      </c>
    </row>
    <row r="2" spans="1:15" ht="12.75" customHeight="1" x14ac:dyDescent="0.15">
      <c r="A2" s="86"/>
      <c r="B2" s="87"/>
      <c r="C2" s="86"/>
      <c r="D2" s="92"/>
      <c r="E2" s="95"/>
      <c r="F2" s="96"/>
      <c r="G2" s="96"/>
      <c r="H2" s="96"/>
      <c r="I2" s="96"/>
      <c r="J2" s="96"/>
      <c r="K2" s="96"/>
      <c r="L2" s="97"/>
      <c r="M2" s="6"/>
      <c r="N2" s="7"/>
      <c r="O2" s="8"/>
    </row>
    <row r="3" spans="1:15" ht="12.75" customHeight="1" x14ac:dyDescent="0.15">
      <c r="A3" s="88"/>
      <c r="B3" s="89"/>
      <c r="C3" s="88"/>
      <c r="D3" s="93"/>
      <c r="E3" s="9"/>
      <c r="F3" s="54" t="s">
        <v>64</v>
      </c>
      <c r="G3" s="98"/>
      <c r="H3" s="9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90"/>
      <c r="B4" s="91"/>
      <c r="C4" s="90"/>
      <c r="D4" s="94"/>
      <c r="E4" s="12"/>
      <c r="F4" s="11"/>
      <c r="G4" s="11"/>
      <c r="H4" s="11"/>
      <c r="I4" s="91"/>
      <c r="J4" s="91"/>
      <c r="K4" s="91"/>
      <c r="L4" s="91"/>
      <c r="M4" s="9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4" t="s">
        <v>24</v>
      </c>
      <c r="D5" s="104"/>
      <c r="E5" s="104" t="s">
        <v>25</v>
      </c>
      <c r="F5" s="105"/>
      <c r="G5" s="104" t="s">
        <v>26</v>
      </c>
      <c r="H5" s="104"/>
      <c r="I5" s="104" t="s">
        <v>27</v>
      </c>
      <c r="J5" s="105"/>
      <c r="K5" s="104" t="s">
        <v>28</v>
      </c>
      <c r="L5" s="104"/>
      <c r="M5" s="16"/>
      <c r="N5" s="14" t="s">
        <v>0</v>
      </c>
      <c r="O5" s="17" t="s">
        <v>1</v>
      </c>
    </row>
    <row r="6" spans="1:15" ht="12.75" customHeight="1" x14ac:dyDescent="0.15">
      <c r="A6" s="9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0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01" t="s">
        <v>24</v>
      </c>
      <c r="D10" s="102"/>
      <c r="E10" s="101" t="s">
        <v>25</v>
      </c>
      <c r="F10" s="101"/>
      <c r="G10" s="103" t="s">
        <v>26</v>
      </c>
      <c r="H10" s="101"/>
      <c r="I10" s="101" t="s">
        <v>27</v>
      </c>
      <c r="J10" s="101"/>
      <c r="K10" s="101" t="s">
        <v>28</v>
      </c>
      <c r="L10" s="101"/>
      <c r="M10" s="16"/>
      <c r="N10" s="14" t="s">
        <v>10</v>
      </c>
      <c r="O10" s="17" t="s">
        <v>1</v>
      </c>
    </row>
    <row r="11" spans="1:15" ht="12.75" customHeight="1" x14ac:dyDescent="0.15">
      <c r="A11" s="9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0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4" t="s">
        <v>24</v>
      </c>
      <c r="D15" s="105"/>
      <c r="E15" s="104" t="s">
        <v>25</v>
      </c>
      <c r="F15" s="104"/>
      <c r="G15" s="106" t="s">
        <v>26</v>
      </c>
      <c r="H15" s="104"/>
      <c r="I15" s="104" t="s">
        <v>27</v>
      </c>
      <c r="J15" s="104"/>
      <c r="K15" s="104" t="s">
        <v>28</v>
      </c>
      <c r="L15" s="104"/>
      <c r="M15" s="16"/>
      <c r="N15" s="14" t="s">
        <v>10</v>
      </c>
      <c r="O15" s="17" t="s">
        <v>1</v>
      </c>
    </row>
    <row r="16" spans="1:15" ht="12.75" customHeight="1" x14ac:dyDescent="0.15">
      <c r="A16" s="9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0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4" t="s">
        <v>24</v>
      </c>
      <c r="D20" s="105"/>
      <c r="E20" s="104" t="s">
        <v>25</v>
      </c>
      <c r="F20" s="104"/>
      <c r="G20" s="106" t="s">
        <v>26</v>
      </c>
      <c r="H20" s="104"/>
      <c r="I20" s="104" t="s">
        <v>27</v>
      </c>
      <c r="J20" s="104"/>
      <c r="K20" s="104" t="s">
        <v>28</v>
      </c>
      <c r="L20" s="104"/>
      <c r="M20" s="16"/>
      <c r="N20" s="14" t="s">
        <v>10</v>
      </c>
      <c r="O20" s="17" t="s">
        <v>1</v>
      </c>
    </row>
    <row r="21" spans="1:15" ht="12.75" customHeight="1" x14ac:dyDescent="0.15">
      <c r="A21" s="9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7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4" t="s">
        <v>24</v>
      </c>
      <c r="D25" s="105"/>
      <c r="E25" s="104" t="s">
        <v>25</v>
      </c>
      <c r="F25" s="104"/>
      <c r="G25" s="106" t="s">
        <v>26</v>
      </c>
      <c r="H25" s="104"/>
      <c r="I25" s="104" t="s">
        <v>27</v>
      </c>
      <c r="J25" s="104"/>
      <c r="K25" s="104" t="s">
        <v>28</v>
      </c>
      <c r="L25" s="104"/>
      <c r="M25" s="16"/>
      <c r="N25" s="14" t="s">
        <v>10</v>
      </c>
      <c r="O25" s="17" t="s">
        <v>1</v>
      </c>
    </row>
    <row r="26" spans="1:15" ht="12.75" customHeight="1" x14ac:dyDescent="0.15">
      <c r="A26" s="9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0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4" t="s">
        <v>24</v>
      </c>
      <c r="D30" s="105"/>
      <c r="E30" s="104" t="s">
        <v>25</v>
      </c>
      <c r="F30" s="104"/>
      <c r="G30" s="106" t="s">
        <v>26</v>
      </c>
      <c r="H30" s="104"/>
      <c r="I30" s="104" t="s">
        <v>27</v>
      </c>
      <c r="J30" s="104"/>
      <c r="K30" s="104" t="s">
        <v>28</v>
      </c>
      <c r="L30" s="104"/>
      <c r="M30" s="16"/>
      <c r="N30" s="60" t="s">
        <v>10</v>
      </c>
      <c r="O30" s="17" t="s">
        <v>1</v>
      </c>
    </row>
    <row r="31" spans="1:15" ht="12.75" customHeight="1" x14ac:dyDescent="0.15">
      <c r="A31" s="9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0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11" t="s">
        <v>11</v>
      </c>
      <c r="B35" s="112"/>
      <c r="C35" s="104" t="s">
        <v>29</v>
      </c>
      <c r="D35" s="104"/>
      <c r="E35" s="104" t="s">
        <v>33</v>
      </c>
      <c r="F35" s="104"/>
      <c r="G35" s="104" t="s">
        <v>2</v>
      </c>
      <c r="H35" s="104"/>
      <c r="I35" s="104" t="s">
        <v>31</v>
      </c>
      <c r="J35" s="104"/>
      <c r="K35" s="104" t="s">
        <v>34</v>
      </c>
      <c r="L35" s="104"/>
      <c r="M35" s="16"/>
      <c r="N35" s="14" t="s">
        <v>10</v>
      </c>
      <c r="O35" s="17" t="s">
        <v>1</v>
      </c>
    </row>
    <row r="36" spans="1:19" ht="12.75" customHeight="1" x14ac:dyDescent="0.15">
      <c r="A36" s="108" t="s">
        <v>36</v>
      </c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3" t="s">
        <v>37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11" t="s">
        <v>9</v>
      </c>
      <c r="B38" s="112"/>
      <c r="C38" s="104" t="s">
        <v>29</v>
      </c>
      <c r="D38" s="104"/>
      <c r="E38" s="104" t="s">
        <v>33</v>
      </c>
      <c r="F38" s="104"/>
      <c r="G38" s="104" t="s">
        <v>2</v>
      </c>
      <c r="H38" s="104"/>
      <c r="I38" s="104" t="s">
        <v>31</v>
      </c>
      <c r="J38" s="104"/>
      <c r="K38" s="104" t="s">
        <v>34</v>
      </c>
      <c r="L38" s="104"/>
      <c r="M38" s="16"/>
      <c r="N38" s="14" t="s">
        <v>0</v>
      </c>
      <c r="O38" s="17" t="s">
        <v>1</v>
      </c>
    </row>
    <row r="39" spans="1:19" ht="12.75" customHeight="1" x14ac:dyDescent="0.15">
      <c r="A39" s="108" t="s">
        <v>61</v>
      </c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8" t="s">
        <v>52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8" t="s">
        <v>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6" t="s">
        <v>54</v>
      </c>
      <c r="B42" s="117"/>
      <c r="C42" s="104" t="s">
        <v>29</v>
      </c>
      <c r="D42" s="104"/>
      <c r="E42" s="104" t="s">
        <v>33</v>
      </c>
      <c r="F42" s="104"/>
      <c r="G42" s="104" t="s">
        <v>2</v>
      </c>
      <c r="H42" s="104"/>
      <c r="I42" s="104" t="s">
        <v>31</v>
      </c>
      <c r="J42" s="104"/>
      <c r="K42" s="104" t="s">
        <v>34</v>
      </c>
      <c r="L42" s="118"/>
      <c r="M42" s="49"/>
      <c r="N42" s="14" t="s">
        <v>10</v>
      </c>
      <c r="O42" s="17" t="s">
        <v>1</v>
      </c>
    </row>
    <row r="43" spans="1:19" ht="12.75" customHeight="1" x14ac:dyDescent="0.15">
      <c r="A43" s="108" t="s">
        <v>35</v>
      </c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2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9" t="s">
        <v>56</v>
      </c>
      <c r="B44" s="120"/>
      <c r="C44" s="110"/>
      <c r="D44" s="110"/>
      <c r="E44" s="110"/>
      <c r="F44" s="110"/>
      <c r="G44" s="110"/>
      <c r="H44" s="110"/>
      <c r="I44" s="110"/>
      <c r="J44" s="110"/>
      <c r="K44" s="110"/>
      <c r="L44" s="121"/>
      <c r="M44" s="50"/>
      <c r="N44" s="46"/>
      <c r="O44" s="42" t="str">
        <f t="shared" si="0"/>
        <v/>
      </c>
    </row>
    <row r="45" spans="1:19" ht="12.75" customHeight="1" x14ac:dyDescent="0.15">
      <c r="A45" s="108" t="s">
        <v>38</v>
      </c>
      <c r="B45" s="109"/>
      <c r="C45" s="110"/>
      <c r="D45" s="110"/>
      <c r="E45" s="110"/>
      <c r="F45" s="110"/>
      <c r="G45" s="110" t="s">
        <v>57</v>
      </c>
      <c r="H45" s="110"/>
      <c r="I45" s="110"/>
      <c r="J45" s="110"/>
      <c r="K45" s="110"/>
      <c r="L45" s="121"/>
      <c r="M45" s="50"/>
      <c r="N45" s="46"/>
      <c r="O45" s="42" t="str">
        <f t="shared" si="0"/>
        <v/>
      </c>
    </row>
    <row r="46" spans="1:19" ht="12.75" customHeight="1" x14ac:dyDescent="0.15">
      <c r="A46" s="108" t="s">
        <v>53</v>
      </c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21"/>
      <c r="M46" s="50"/>
      <c r="N46" s="46"/>
      <c r="O46" s="42" t="str">
        <f t="shared" si="0"/>
        <v/>
      </c>
    </row>
    <row r="47" spans="1:19" ht="12.75" customHeight="1" x14ac:dyDescent="0.15">
      <c r="A47" s="108" t="s">
        <v>39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21"/>
      <c r="M47" s="50"/>
      <c r="N47" s="46"/>
      <c r="O47" s="42" t="str">
        <f t="shared" si="0"/>
        <v/>
      </c>
    </row>
    <row r="48" spans="1:19" ht="12.75" customHeight="1" x14ac:dyDescent="0.15">
      <c r="A48" s="108" t="s">
        <v>55</v>
      </c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21"/>
      <c r="M48" s="50"/>
      <c r="N48" s="46"/>
      <c r="O48" s="42" t="str">
        <f t="shared" si="0"/>
        <v/>
      </c>
    </row>
    <row r="49" spans="1:15" ht="12.75" customHeight="1" x14ac:dyDescent="0.15">
      <c r="A49" s="108" t="s">
        <v>12</v>
      </c>
      <c r="B49" s="109"/>
      <c r="C49" s="124"/>
      <c r="D49" s="124"/>
      <c r="E49" s="124"/>
      <c r="F49" s="124"/>
      <c r="G49" s="110"/>
      <c r="H49" s="110"/>
      <c r="I49" s="110"/>
      <c r="J49" s="110"/>
      <c r="K49" s="110"/>
      <c r="L49" s="121"/>
      <c r="M49" s="50"/>
      <c r="N49" s="46"/>
      <c r="O49" s="42" t="str">
        <f t="shared" si="0"/>
        <v/>
      </c>
    </row>
    <row r="50" spans="1:15" ht="12.75" customHeight="1" thickBot="1" x14ac:dyDescent="0.2">
      <c r="A50" s="113" t="s">
        <v>37</v>
      </c>
      <c r="B50" s="114"/>
      <c r="C50" s="115"/>
      <c r="D50" s="115"/>
      <c r="E50" s="115"/>
      <c r="F50" s="115"/>
      <c r="G50" s="122"/>
      <c r="H50" s="115"/>
      <c r="I50" s="115"/>
      <c r="J50" s="115"/>
      <c r="K50" s="115"/>
      <c r="L50" s="123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5" t="s">
        <v>13</v>
      </c>
      <c r="B51" s="126"/>
      <c r="C51" s="138"/>
      <c r="D51" s="139"/>
      <c r="E51" s="140" t="s">
        <v>40</v>
      </c>
      <c r="F51" s="141"/>
      <c r="G51" s="142" t="s">
        <v>65</v>
      </c>
      <c r="H51" s="143"/>
      <c r="I51" s="143"/>
      <c r="J51" s="143"/>
      <c r="K51" s="143"/>
      <c r="L51" s="143"/>
      <c r="M51" s="143"/>
      <c r="N51" s="143"/>
      <c r="O51" s="144"/>
    </row>
    <row r="52" spans="1:15" ht="12.75" customHeight="1" x14ac:dyDescent="0.15">
      <c r="A52" s="134" t="s">
        <v>14</v>
      </c>
      <c r="B52" s="135"/>
      <c r="C52" s="145"/>
      <c r="D52" s="146"/>
      <c r="E52" s="129" t="s">
        <v>49</v>
      </c>
      <c r="F52" s="130"/>
      <c r="G52" s="131"/>
      <c r="H52" s="132"/>
      <c r="I52" s="132"/>
      <c r="J52" s="132"/>
      <c r="K52" s="132"/>
      <c r="L52" s="132"/>
      <c r="M52" s="132"/>
      <c r="N52" s="132"/>
      <c r="O52" s="133"/>
    </row>
    <row r="53" spans="1:15" ht="12.75" customHeight="1" x14ac:dyDescent="0.15">
      <c r="A53" s="125" t="s">
        <v>22</v>
      </c>
      <c r="B53" s="126"/>
      <c r="C53" s="127"/>
      <c r="D53" s="128"/>
      <c r="E53" s="129" t="s">
        <v>49</v>
      </c>
      <c r="F53" s="130"/>
      <c r="G53" s="131"/>
      <c r="H53" s="132"/>
      <c r="I53" s="132"/>
      <c r="J53" s="132"/>
      <c r="K53" s="132"/>
      <c r="L53" s="132"/>
      <c r="M53" s="132"/>
      <c r="N53" s="132"/>
      <c r="O53" s="133"/>
    </row>
    <row r="54" spans="1:15" ht="12.75" customHeight="1" x14ac:dyDescent="0.15">
      <c r="A54" s="134" t="s">
        <v>15</v>
      </c>
      <c r="B54" s="135"/>
      <c r="C54" s="136"/>
      <c r="D54" s="137"/>
      <c r="E54" s="129" t="s">
        <v>49</v>
      </c>
      <c r="F54" s="130"/>
      <c r="G54" s="131"/>
      <c r="H54" s="132"/>
      <c r="I54" s="132"/>
      <c r="J54" s="132"/>
      <c r="K54" s="132"/>
      <c r="L54" s="132"/>
      <c r="M54" s="132"/>
      <c r="N54" s="132"/>
      <c r="O54" s="133"/>
    </row>
    <row r="55" spans="1:15" ht="12.75" customHeight="1" thickBot="1" x14ac:dyDescent="0.2">
      <c r="A55" s="125" t="s">
        <v>19</v>
      </c>
      <c r="B55" s="126"/>
      <c r="C55" s="153"/>
      <c r="D55" s="154"/>
      <c r="E55" s="129" t="s">
        <v>43</v>
      </c>
      <c r="F55" s="130"/>
      <c r="G55" s="155"/>
      <c r="H55" s="156"/>
      <c r="I55" s="156"/>
      <c r="J55" s="156"/>
      <c r="K55" s="156"/>
      <c r="L55" s="156"/>
      <c r="M55" s="156"/>
      <c r="N55" s="156"/>
      <c r="O55" s="157"/>
    </row>
    <row r="56" spans="1:15" ht="12.75" customHeight="1" x14ac:dyDescent="0.15">
      <c r="A56" s="134" t="s">
        <v>21</v>
      </c>
      <c r="B56" s="135"/>
      <c r="C56" s="153"/>
      <c r="D56" s="154"/>
      <c r="E56" s="129" t="s">
        <v>41</v>
      </c>
      <c r="F56" s="13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5" t="s">
        <v>16</v>
      </c>
      <c r="B57" s="126"/>
      <c r="C57" s="147"/>
      <c r="D57" s="148"/>
      <c r="E57" s="129" t="s">
        <v>42</v>
      </c>
      <c r="F57" s="130"/>
      <c r="G57" s="149"/>
      <c r="H57" s="150"/>
      <c r="I57" s="150"/>
      <c r="J57" s="150"/>
      <c r="K57" s="150"/>
      <c r="L57" s="150"/>
      <c r="M57" s="150"/>
      <c r="N57" s="150"/>
      <c r="O57" s="151"/>
    </row>
    <row r="58" spans="1:15" ht="12.75" customHeight="1" x14ac:dyDescent="0.15">
      <c r="A58" s="134" t="s">
        <v>17</v>
      </c>
      <c r="B58" s="152"/>
      <c r="C58" s="153"/>
      <c r="D58" s="154"/>
      <c r="E58" s="53" t="s">
        <v>41</v>
      </c>
      <c r="F58" s="64"/>
      <c r="G58" s="131"/>
      <c r="H58" s="132"/>
      <c r="I58" s="132"/>
      <c r="J58" s="132"/>
      <c r="K58" s="132"/>
      <c r="L58" s="132"/>
      <c r="M58" s="132"/>
      <c r="N58" s="132"/>
      <c r="O58" s="133"/>
    </row>
    <row r="59" spans="1:15" ht="12.75" customHeight="1" thickBot="1" x14ac:dyDescent="0.2">
      <c r="A59" s="161" t="s">
        <v>18</v>
      </c>
      <c r="B59" s="162"/>
      <c r="C59" s="163"/>
      <c r="D59" s="122"/>
      <c r="E59" s="164" t="s">
        <v>41</v>
      </c>
      <c r="F59" s="165"/>
      <c r="G59" s="166"/>
      <c r="H59" s="167"/>
      <c r="I59" s="167"/>
      <c r="J59" s="167"/>
      <c r="K59" s="167"/>
      <c r="L59" s="167"/>
      <c r="M59" s="167"/>
      <c r="N59" s="167"/>
      <c r="O59" s="168"/>
    </row>
    <row r="60" spans="1:15" ht="12.75" customHeight="1" x14ac:dyDescent="0.15">
      <c r="A60" s="142" t="s">
        <v>20</v>
      </c>
      <c r="B60" s="143"/>
      <c r="C60" s="143"/>
      <c r="D60" s="143"/>
      <c r="E60" s="143"/>
      <c r="F60" s="143"/>
      <c r="G60" s="131" t="s">
        <v>32</v>
      </c>
      <c r="H60" s="132"/>
      <c r="I60" s="132"/>
      <c r="J60" s="132"/>
      <c r="K60" s="132"/>
      <c r="L60" s="132"/>
      <c r="M60" s="132"/>
      <c r="N60" s="132"/>
      <c r="O60" s="133"/>
    </row>
    <row r="61" spans="1:15" ht="12.75" customHeight="1" x14ac:dyDescent="0.15">
      <c r="A61" s="131"/>
      <c r="B61" s="132"/>
      <c r="C61" s="132"/>
      <c r="D61" s="132"/>
      <c r="E61" s="132"/>
      <c r="F61" s="132"/>
      <c r="G61" s="131"/>
      <c r="H61" s="132"/>
      <c r="I61" s="132"/>
      <c r="J61" s="132"/>
      <c r="K61" s="132"/>
      <c r="L61" s="132"/>
      <c r="M61" s="132"/>
      <c r="N61" s="132"/>
      <c r="O61" s="133"/>
    </row>
    <row r="62" spans="1:15" ht="12.75" customHeight="1" thickBot="1" x14ac:dyDescent="0.2">
      <c r="A62" s="158"/>
      <c r="B62" s="159"/>
      <c r="C62" s="159"/>
      <c r="D62" s="159"/>
      <c r="E62" s="159"/>
      <c r="F62" s="159"/>
      <c r="G62" s="158"/>
      <c r="H62" s="159"/>
      <c r="I62" s="159"/>
      <c r="J62" s="159"/>
      <c r="K62" s="159"/>
      <c r="L62" s="159"/>
      <c r="M62" s="159"/>
      <c r="N62" s="159"/>
      <c r="O62" s="160"/>
    </row>
    <row r="66" spans="1:9" x14ac:dyDescent="0.15">
      <c r="A66" s="132"/>
      <c r="B66" s="132"/>
      <c r="C66" s="132"/>
      <c r="D66" s="132"/>
      <c r="E66" s="132"/>
      <c r="F66" s="132"/>
      <c r="G66" s="132"/>
      <c r="H66" s="132"/>
      <c r="I66" s="132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30"/>
  <sheetViews>
    <sheetView showZeros="0" tabSelected="1" workbookViewId="0">
      <selection activeCell="C5" sqref="C5"/>
    </sheetView>
  </sheetViews>
  <sheetFormatPr defaultRowHeight="13.5" x14ac:dyDescent="0.15"/>
  <cols>
    <col min="1" max="1" width="14.25" style="76" customWidth="1"/>
    <col min="2" max="2" width="21" style="75" customWidth="1"/>
    <col min="3" max="3" width="15.625" style="76" customWidth="1"/>
    <col min="4" max="4" width="21.375" style="71" customWidth="1"/>
    <col min="5" max="16384" width="9" style="70"/>
  </cols>
  <sheetData>
    <row r="1" spans="1:5" x14ac:dyDescent="0.15">
      <c r="A1" s="72">
        <f>[1]祝日リスト!A1</f>
        <v>46506</v>
      </c>
      <c r="B1" s="74" t="str">
        <f>[1]祝日リスト!B1</f>
        <v>昭和の日</v>
      </c>
      <c r="C1" s="72">
        <f>[1]祝日リスト!C1</f>
        <v>46753</v>
      </c>
      <c r="D1" s="71" t="str">
        <f>[1]祝日リスト!D1</f>
        <v>元日</v>
      </c>
      <c r="E1" s="73">
        <f>[1]祝日リスト!E1</f>
        <v>2027</v>
      </c>
    </row>
    <row r="2" spans="1:5" x14ac:dyDescent="0.15">
      <c r="A2" s="72">
        <f>[1]祝日リスト!A2</f>
        <v>46510</v>
      </c>
      <c r="B2" s="74" t="str">
        <f>[1]祝日リスト!B2</f>
        <v>憲法記念日</v>
      </c>
      <c r="C2" s="72">
        <f>[1]祝日リスト!C2</f>
        <v>46762</v>
      </c>
      <c r="D2" s="71" t="str">
        <f>[1]祝日リスト!D2</f>
        <v>成人の日</v>
      </c>
      <c r="E2" s="70">
        <f>[1]祝日リスト!E2</f>
        <v>0</v>
      </c>
    </row>
    <row r="3" spans="1:5" x14ac:dyDescent="0.15">
      <c r="A3" s="72">
        <f>[1]祝日リスト!A3</f>
        <v>46511</v>
      </c>
      <c r="B3" s="74" t="str">
        <f>[1]祝日リスト!B3</f>
        <v>みどりの日</v>
      </c>
      <c r="C3" s="72">
        <f>[1]祝日リスト!C3</f>
        <v>46794</v>
      </c>
      <c r="D3" s="71" t="str">
        <f>[1]祝日リスト!D3</f>
        <v>建国記念の日</v>
      </c>
      <c r="E3" s="70">
        <f>[1]祝日リスト!E3</f>
        <v>0</v>
      </c>
    </row>
    <row r="4" spans="1:5" x14ac:dyDescent="0.15">
      <c r="A4" s="72">
        <f>[1]祝日リスト!A4</f>
        <v>46512</v>
      </c>
      <c r="B4" s="74" t="str">
        <f>[1]祝日リスト!B4</f>
        <v>こどもの日</v>
      </c>
      <c r="C4" s="72">
        <f>[1]祝日リスト!C4</f>
        <v>46806</v>
      </c>
      <c r="D4" s="71" t="str">
        <f>[1]祝日リスト!D4</f>
        <v>天皇誕生日</v>
      </c>
      <c r="E4" s="70">
        <f>[1]祝日リスト!E4</f>
        <v>0</v>
      </c>
    </row>
    <row r="5" spans="1:5" x14ac:dyDescent="0.15">
      <c r="A5" s="72">
        <f>[1]祝日リスト!A5</f>
        <v>46587</v>
      </c>
      <c r="B5" s="74" t="str">
        <f>[1]祝日リスト!B5</f>
        <v>海の日</v>
      </c>
      <c r="C5" s="72">
        <f>[1]祝日リスト!C5</f>
        <v>46832</v>
      </c>
      <c r="D5" s="71" t="str">
        <f>[1]祝日リスト!D5</f>
        <v>春分の日</v>
      </c>
      <c r="E5" s="70">
        <f>[1]祝日リスト!E5</f>
        <v>0</v>
      </c>
    </row>
    <row r="6" spans="1:5" x14ac:dyDescent="0.15">
      <c r="A6" s="72">
        <f>[1]祝日リスト!A6</f>
        <v>46610</v>
      </c>
      <c r="B6" s="74" t="str">
        <f>[1]祝日リスト!B6</f>
        <v>山の日</v>
      </c>
      <c r="C6" s="72">
        <f>[1]祝日リスト!C6</f>
        <v>0</v>
      </c>
      <c r="D6" s="71">
        <f>[1]祝日リスト!D6</f>
        <v>0</v>
      </c>
      <c r="E6" s="70">
        <f>[1]祝日リスト!E6</f>
        <v>0</v>
      </c>
    </row>
    <row r="7" spans="1:5" x14ac:dyDescent="0.15">
      <c r="A7" s="72">
        <f>[1]祝日リスト!A7</f>
        <v>46650</v>
      </c>
      <c r="B7" s="74" t="str">
        <f>[1]祝日リスト!B7</f>
        <v>敬老の日</v>
      </c>
      <c r="C7" s="72">
        <f>[1]祝日リスト!C7</f>
        <v>0</v>
      </c>
      <c r="D7" s="71">
        <f>[1]祝日リスト!D7</f>
        <v>0</v>
      </c>
      <c r="E7" s="70">
        <f>[1]祝日リスト!E7</f>
        <v>0</v>
      </c>
    </row>
    <row r="8" spans="1:5" x14ac:dyDescent="0.15">
      <c r="A8" s="72">
        <f>[1]祝日リスト!A8</f>
        <v>46653</v>
      </c>
      <c r="B8" s="74" t="str">
        <f>[1]祝日リスト!B8</f>
        <v>秋分の日</v>
      </c>
      <c r="C8" s="72">
        <f>[1]祝日リスト!C8</f>
        <v>0</v>
      </c>
      <c r="D8" s="71">
        <f>[1]祝日リスト!D8</f>
        <v>0</v>
      </c>
      <c r="E8" s="70">
        <f>[1]祝日リスト!E8</f>
        <v>0</v>
      </c>
    </row>
    <row r="9" spans="1:5" x14ac:dyDescent="0.15">
      <c r="A9" s="72">
        <f>[1]祝日リスト!A9</f>
        <v>46671</v>
      </c>
      <c r="B9" s="74" t="str">
        <f>[1]祝日リスト!B9</f>
        <v>スポーツの日</v>
      </c>
      <c r="C9" s="72">
        <f>[1]祝日リスト!C9</f>
        <v>0</v>
      </c>
      <c r="D9" s="71">
        <f>[1]祝日リスト!D9</f>
        <v>0</v>
      </c>
      <c r="E9" s="70">
        <f>[1]祝日リスト!E9</f>
        <v>0</v>
      </c>
    </row>
    <row r="10" spans="1:5" x14ac:dyDescent="0.15">
      <c r="A10" s="72">
        <f>[1]祝日リスト!A10</f>
        <v>46694</v>
      </c>
      <c r="B10" s="74" t="str">
        <f>[1]祝日リスト!B10</f>
        <v>文化の日</v>
      </c>
      <c r="C10" s="72">
        <f>[1]祝日リスト!C10</f>
        <v>0</v>
      </c>
      <c r="D10" s="71">
        <f>[1]祝日リスト!D10</f>
        <v>0</v>
      </c>
      <c r="E10" s="70">
        <f>[1]祝日リスト!E10</f>
        <v>0</v>
      </c>
    </row>
    <row r="11" spans="1:5" x14ac:dyDescent="0.15">
      <c r="A11" s="72">
        <f>[1]祝日リスト!A11</f>
        <v>46714</v>
      </c>
      <c r="B11" s="74" t="str">
        <f>[1]祝日リスト!B11</f>
        <v>勤労感謝の日</v>
      </c>
      <c r="C11" s="72">
        <f>[1]祝日リスト!C11</f>
        <v>0</v>
      </c>
      <c r="D11" s="71">
        <f>[1]祝日リスト!D11</f>
        <v>0</v>
      </c>
      <c r="E11" s="70">
        <f>[1]祝日リスト!E11</f>
        <v>0</v>
      </c>
    </row>
    <row r="12" spans="1:5" x14ac:dyDescent="0.15">
      <c r="A12" s="72">
        <f>[1]祝日リスト!A12</f>
        <v>0</v>
      </c>
      <c r="B12" s="74">
        <f>[1]祝日リスト!B12</f>
        <v>0</v>
      </c>
      <c r="C12" s="72">
        <f>[1]祝日リスト!C12</f>
        <v>0</v>
      </c>
      <c r="D12" s="71">
        <f>[1]祝日リスト!D12</f>
        <v>0</v>
      </c>
      <c r="E12" s="70">
        <f>[1]祝日リスト!E12</f>
        <v>0</v>
      </c>
    </row>
    <row r="13" spans="1:5" x14ac:dyDescent="0.15">
      <c r="A13" s="72">
        <f>[1]祝日リスト!A13</f>
        <v>0</v>
      </c>
      <c r="B13" s="74">
        <f>[1]祝日リスト!B13</f>
        <v>0</v>
      </c>
      <c r="C13" s="72">
        <f>[1]祝日リスト!C13</f>
        <v>0</v>
      </c>
      <c r="D13" s="71">
        <f>[1]祝日リスト!D13</f>
        <v>0</v>
      </c>
      <c r="E13" s="70">
        <f>[1]祝日リスト!E13</f>
        <v>0</v>
      </c>
    </row>
    <row r="14" spans="1:5" x14ac:dyDescent="0.15">
      <c r="A14" s="72">
        <f>[1]祝日リスト!A14</f>
        <v>0</v>
      </c>
      <c r="B14" s="74">
        <f>[1]祝日リスト!B14</f>
        <v>0</v>
      </c>
      <c r="C14" s="72">
        <f>[1]祝日リスト!C14</f>
        <v>0</v>
      </c>
      <c r="D14" s="71">
        <f>[1]祝日リスト!D14</f>
        <v>0</v>
      </c>
      <c r="E14" s="70">
        <f>[1]祝日リスト!E14</f>
        <v>0</v>
      </c>
    </row>
    <row r="15" spans="1:5" x14ac:dyDescent="0.15">
      <c r="A15" s="72">
        <f>[1]祝日リスト!A15</f>
        <v>0</v>
      </c>
      <c r="B15" s="74">
        <f>[1]祝日リスト!B15</f>
        <v>0</v>
      </c>
      <c r="C15" s="72">
        <f>[1]祝日リスト!C15</f>
        <v>0</v>
      </c>
      <c r="D15" s="71">
        <f>[1]祝日リスト!D15</f>
        <v>0</v>
      </c>
      <c r="E15" s="70">
        <f>[1]祝日リスト!E15</f>
        <v>0</v>
      </c>
    </row>
    <row r="16" spans="1:5" x14ac:dyDescent="0.15">
      <c r="A16" s="72">
        <f>[1]祝日リスト!A16</f>
        <v>0</v>
      </c>
      <c r="B16" s="74">
        <f>[1]祝日リスト!B16</f>
        <v>0</v>
      </c>
      <c r="C16" s="72">
        <f>[1]祝日リスト!C16</f>
        <v>0</v>
      </c>
      <c r="D16" s="71">
        <f>[1]祝日リスト!D16</f>
        <v>0</v>
      </c>
      <c r="E16" s="70">
        <f>[1]祝日リスト!E16</f>
        <v>0</v>
      </c>
    </row>
    <row r="17" spans="1:5" x14ac:dyDescent="0.15">
      <c r="A17" s="72">
        <f>[1]祝日リスト!A17</f>
        <v>0</v>
      </c>
      <c r="B17" s="74">
        <f>[1]祝日リスト!B17</f>
        <v>0</v>
      </c>
      <c r="C17" s="72">
        <f>[1]祝日リスト!C17</f>
        <v>0</v>
      </c>
      <c r="D17" s="71">
        <f>[1]祝日リスト!D17</f>
        <v>0</v>
      </c>
      <c r="E17" s="70">
        <f>[1]祝日リスト!E17</f>
        <v>0</v>
      </c>
    </row>
    <row r="18" spans="1:5" x14ac:dyDescent="0.15">
      <c r="A18" s="72">
        <f>[1]祝日リスト!A18</f>
        <v>0</v>
      </c>
      <c r="B18" s="74">
        <f>[1]祝日リスト!B18</f>
        <v>0</v>
      </c>
      <c r="C18" s="72">
        <f>[1]祝日リスト!C18</f>
        <v>0</v>
      </c>
      <c r="D18" s="71">
        <f>[1]祝日リスト!D18</f>
        <v>0</v>
      </c>
      <c r="E18" s="70">
        <f>[1]祝日リスト!E18</f>
        <v>0</v>
      </c>
    </row>
    <row r="19" spans="1:5" x14ac:dyDescent="0.15">
      <c r="A19" s="72">
        <f>[1]祝日リスト!A19</f>
        <v>0</v>
      </c>
      <c r="B19" s="74">
        <f>[1]祝日リスト!B19</f>
        <v>0</v>
      </c>
      <c r="C19" s="72">
        <f>[1]祝日リスト!C19</f>
        <v>0</v>
      </c>
      <c r="D19" s="71">
        <f>[1]祝日リスト!D19</f>
        <v>0</v>
      </c>
      <c r="E19" s="70">
        <f>[1]祝日リスト!E19</f>
        <v>0</v>
      </c>
    </row>
    <row r="20" spans="1:5" x14ac:dyDescent="0.15">
      <c r="A20" s="76">
        <f>[1]祝日リスト!A20</f>
        <v>0</v>
      </c>
      <c r="B20" s="75">
        <f>[1]祝日リスト!B20</f>
        <v>0</v>
      </c>
      <c r="C20" s="76">
        <f>[1]祝日リスト!C20</f>
        <v>0</v>
      </c>
      <c r="D20" s="71">
        <f>[1]祝日リスト!D20</f>
        <v>0</v>
      </c>
      <c r="E20" s="70">
        <f>[1]祝日リスト!E20</f>
        <v>0</v>
      </c>
    </row>
    <row r="21" spans="1:5" x14ac:dyDescent="0.15">
      <c r="A21" s="76">
        <f>[1]祝日リスト!A21</f>
        <v>0</v>
      </c>
      <c r="B21" s="75">
        <f>[1]祝日リスト!B21</f>
        <v>0</v>
      </c>
      <c r="C21" s="76">
        <f>[1]祝日リスト!C21</f>
        <v>0</v>
      </c>
    </row>
    <row r="22" spans="1:5" x14ac:dyDescent="0.15">
      <c r="A22" s="76">
        <f>[1]祝日リスト!A22</f>
        <v>0</v>
      </c>
      <c r="B22" s="75">
        <f>[1]祝日リスト!B22</f>
        <v>0</v>
      </c>
      <c r="C22" s="76">
        <f>[1]祝日リスト!C22</f>
        <v>0</v>
      </c>
    </row>
    <row r="23" spans="1:5" x14ac:dyDescent="0.15">
      <c r="A23" s="76">
        <f>[1]祝日リスト!A23</f>
        <v>0</v>
      </c>
      <c r="B23" s="75">
        <f>[1]祝日リスト!B23</f>
        <v>0</v>
      </c>
      <c r="C23" s="76">
        <f>[1]祝日リスト!C23</f>
        <v>0</v>
      </c>
    </row>
    <row r="24" spans="1:5" x14ac:dyDescent="0.15">
      <c r="A24" s="76">
        <f>[1]祝日リスト!A24</f>
        <v>0</v>
      </c>
      <c r="B24" s="75">
        <f>[1]祝日リスト!B24</f>
        <v>0</v>
      </c>
      <c r="C24" s="76">
        <f>[1]祝日リスト!C24</f>
        <v>0</v>
      </c>
    </row>
    <row r="25" spans="1:5" x14ac:dyDescent="0.15">
      <c r="A25" s="76">
        <f>[1]祝日リスト!A25</f>
        <v>0</v>
      </c>
      <c r="B25" s="75">
        <f>[1]祝日リスト!B25</f>
        <v>0</v>
      </c>
      <c r="C25" s="76">
        <f>[1]祝日リスト!C25</f>
        <v>0</v>
      </c>
    </row>
    <row r="26" spans="1:5" x14ac:dyDescent="0.15">
      <c r="A26" s="76">
        <f>[1]祝日リスト!A26</f>
        <v>0</v>
      </c>
      <c r="B26" s="75">
        <f>[1]祝日リスト!B26</f>
        <v>0</v>
      </c>
      <c r="C26" s="76">
        <f>[1]祝日リスト!C26</f>
        <v>0</v>
      </c>
    </row>
    <row r="27" spans="1:5" x14ac:dyDescent="0.15">
      <c r="A27" s="76">
        <f>[1]祝日リスト!A27</f>
        <v>0</v>
      </c>
      <c r="B27" s="75">
        <f>[1]祝日リスト!B27</f>
        <v>0</v>
      </c>
      <c r="C27" s="76">
        <f>[1]祝日リスト!C27</f>
        <v>0</v>
      </c>
    </row>
    <row r="28" spans="1:5" x14ac:dyDescent="0.15">
      <c r="A28" s="76">
        <f>[1]祝日リスト!A28</f>
        <v>0</v>
      </c>
      <c r="B28" s="75">
        <f>[1]祝日リスト!B28</f>
        <v>0</v>
      </c>
      <c r="C28" s="76">
        <f>[1]祝日リスト!C28</f>
        <v>0</v>
      </c>
    </row>
    <row r="29" spans="1:5" x14ac:dyDescent="0.15">
      <c r="A29" s="76">
        <f>[1]祝日リスト!A29</f>
        <v>0</v>
      </c>
      <c r="B29" s="75">
        <f>[1]祝日リスト!B29</f>
        <v>0</v>
      </c>
      <c r="C29" s="76">
        <f>[1]祝日リスト!C29</f>
        <v>0</v>
      </c>
    </row>
    <row r="30" spans="1:5" x14ac:dyDescent="0.15">
      <c r="A30" s="76">
        <f>[1]祝日リスト!A30</f>
        <v>0</v>
      </c>
      <c r="B30" s="75">
        <f>[1]祝日リスト!B30</f>
        <v>0</v>
      </c>
      <c r="C30" s="76">
        <f>[1]祝日リスト!C30</f>
        <v>0</v>
      </c>
    </row>
  </sheetData>
  <phoneticPr fontId="1"/>
  <pageMargins left="0.7" right="0.7" top="0.75" bottom="0.75" header="0.3" footer="0.3"/>
  <ignoredErrors>
    <ignoredError xmlns:x16r3="http://schemas.microsoft.com/office/spreadsheetml/2018/08/main" sqref="C19 C6:C18 C20:C30" x16r3:misleadingForma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33</vt:i4>
      </vt:variant>
      <vt:variant>
        <vt:lpstr>名前付き一覧</vt:lpstr>
      </vt:variant>
      <vt:variant>
        <vt:i4>31</vt:i4>
      </vt:variant>
    </vt:vector>
  </HeadingPairs>
  <TitlesOfParts>
    <vt:vector size="64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2026-04-08T00:51:52Z</dcterms:modified>
</cp:coreProperties>
</file>