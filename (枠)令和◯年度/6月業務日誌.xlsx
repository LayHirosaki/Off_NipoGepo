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5CD8A492-AD72-4AF4-99DC-508E89C97160}" xr6:coauthVersionLast="47" xr6:coauthVersionMax="47" xr10:uidLastSave="{00000000-0000-0000-0000-000000000000}"/>
  <bookViews>
    <workbookView xWindow="4200" yWindow="1080" windowWidth="18780" windowHeight="14460" tabRatio="870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祝日リスト" sheetId="95" r:id="rId32"/>
  </sheets>
  <externalReferences>
    <externalReference r:id="rId33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" i="93" l="1"/>
  <c r="E1" i="92"/>
  <c r="E1" i="91"/>
  <c r="E1" i="90"/>
  <c r="E1" i="89"/>
  <c r="E1" i="88"/>
  <c r="E1" i="87"/>
  <c r="E1" i="86"/>
  <c r="E1" i="85"/>
  <c r="E1" i="84"/>
  <c r="E1" i="83"/>
  <c r="E1" i="82"/>
  <c r="E1" i="81"/>
  <c r="E1" i="80"/>
  <c r="E1" i="79"/>
  <c r="E1" i="78"/>
  <c r="E1" i="77"/>
  <c r="E1" i="76"/>
  <c r="E1" i="75"/>
  <c r="E1" i="74"/>
  <c r="E1" i="73"/>
  <c r="E1" i="72"/>
  <c r="E1" i="71"/>
  <c r="E1" i="70"/>
  <c r="E1" i="69"/>
  <c r="E1" i="68"/>
  <c r="E1" i="67"/>
  <c r="E1" i="66"/>
  <c r="E1" i="65"/>
  <c r="E1" i="63"/>
  <c r="I1" i="63" s="1"/>
  <c r="I1" i="93"/>
  <c r="I1" i="92"/>
  <c r="I1" i="91"/>
  <c r="I1" i="88"/>
  <c r="I1" i="87"/>
  <c r="I1" i="85"/>
  <c r="I1" i="84"/>
  <c r="I1" i="83"/>
  <c r="I1" i="82"/>
  <c r="I1" i="81"/>
  <c r="I1" i="80"/>
  <c r="I1" i="79"/>
  <c r="I1" i="75"/>
  <c r="I1" i="74"/>
  <c r="I1" i="72"/>
  <c r="I1" i="71"/>
  <c r="I1" i="68"/>
  <c r="I1" i="67"/>
  <c r="I1" i="66"/>
  <c r="I1" i="65"/>
  <c r="I1" i="86"/>
  <c r="I1" i="70"/>
  <c r="I1" i="78"/>
  <c r="A1" i="95"/>
  <c r="B1" i="95"/>
  <c r="C1" i="95"/>
  <c r="D1" i="95"/>
  <c r="E1" i="95"/>
  <c r="A1" i="29" s="1"/>
  <c r="A2" i="95"/>
  <c r="B2" i="95"/>
  <c r="C2" i="95"/>
  <c r="D2" i="95"/>
  <c r="E2" i="95"/>
  <c r="A3" i="95"/>
  <c r="B3" i="95"/>
  <c r="C3" i="95"/>
  <c r="D3" i="95"/>
  <c r="E3" i="95"/>
  <c r="A4" i="95"/>
  <c r="B4" i="95"/>
  <c r="C4" i="95"/>
  <c r="D4" i="95"/>
  <c r="E4" i="95"/>
  <c r="A5" i="95"/>
  <c r="B5" i="95"/>
  <c r="C5" i="95"/>
  <c r="D5" i="95"/>
  <c r="E5" i="95"/>
  <c r="A6" i="95"/>
  <c r="B6" i="95"/>
  <c r="C6" i="95"/>
  <c r="D6" i="95"/>
  <c r="E6" i="95"/>
  <c r="A7" i="95"/>
  <c r="B7" i="95"/>
  <c r="C7" i="95"/>
  <c r="D7" i="95"/>
  <c r="E7" i="95"/>
  <c r="A8" i="95"/>
  <c r="B8" i="95"/>
  <c r="C8" i="95"/>
  <c r="D8" i="95"/>
  <c r="E8" i="95"/>
  <c r="A9" i="95"/>
  <c r="B9" i="95"/>
  <c r="C9" i="95"/>
  <c r="D9" i="95"/>
  <c r="E9" i="95"/>
  <c r="A10" i="95"/>
  <c r="B10" i="95"/>
  <c r="C10" i="95"/>
  <c r="D10" i="95"/>
  <c r="E10" i="95"/>
  <c r="A11" i="95"/>
  <c r="B11" i="95"/>
  <c r="C11" i="95"/>
  <c r="D11" i="95"/>
  <c r="E11" i="95"/>
  <c r="A12" i="95"/>
  <c r="B12" i="95"/>
  <c r="C12" i="95"/>
  <c r="D12" i="95"/>
  <c r="E12" i="95"/>
  <c r="A13" i="95"/>
  <c r="B13" i="95"/>
  <c r="C13" i="95"/>
  <c r="D13" i="95"/>
  <c r="E13" i="95"/>
  <c r="A14" i="95"/>
  <c r="B14" i="95"/>
  <c r="C14" i="95"/>
  <c r="D14" i="95"/>
  <c r="E14" i="95"/>
  <c r="A15" i="95"/>
  <c r="B15" i="95"/>
  <c r="C15" i="95"/>
  <c r="D15" i="95"/>
  <c r="E15" i="95"/>
  <c r="A16" i="95"/>
  <c r="B16" i="95"/>
  <c r="C16" i="95"/>
  <c r="D16" i="95"/>
  <c r="E16" i="95"/>
  <c r="A17" i="95"/>
  <c r="B17" i="95"/>
  <c r="C17" i="95"/>
  <c r="D17" i="95"/>
  <c r="E17" i="95"/>
  <c r="A18" i="95"/>
  <c r="B18" i="95"/>
  <c r="C18" i="95"/>
  <c r="D18" i="95"/>
  <c r="E18" i="95"/>
  <c r="A19" i="95"/>
  <c r="B19" i="95"/>
  <c r="C19" i="95"/>
  <c r="D19" i="95"/>
  <c r="E19" i="95"/>
  <c r="A20" i="95"/>
  <c r="B20" i="95"/>
  <c r="C20" i="95"/>
  <c r="D20" i="95"/>
  <c r="E20" i="95"/>
  <c r="I1" i="90"/>
  <c r="I1" i="89"/>
  <c r="I1" i="77"/>
  <c r="I1" i="76"/>
  <c r="I1" i="73"/>
  <c r="I1" i="69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</calcChain>
</file>

<file path=xl/sharedStrings.xml><?xml version="1.0" encoding="utf-8"?>
<sst xmlns="http://schemas.openxmlformats.org/spreadsheetml/2006/main" count="4744" uniqueCount="69">
  <si>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</si>
  <si>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</si>
  <si>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</si>
  <si>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</si>
  <si>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</si>
  <si>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</si>
  <si>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</si>
  <si>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</si>
  <si>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</si>
  <si>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</si>
  <si>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</si>
  <si>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</si>
  <si>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</si>
  <si>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</si>
  <si>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</si>
  <si>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</si>
  <si>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</si>
  <si>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</si>
  <si>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</si>
  <si>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</si>
  <si>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</si>
  <si>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</si>
  <si>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</si>
  <si>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</si>
  <si>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</si>
  <si>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</si>
  <si>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</si>
  <si>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</si>
  <si>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</si>
  <si>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</si>
  <si>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</si>
  <si>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</si>
  <si>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</si>
  <si>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</si>
  <si>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</si>
  <si>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</si>
  <si>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</si>
  <si>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</si>
  <si>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</si>
  <si>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</si>
  <si>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</si>
  <si>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</si>
  <si>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</si>
  <si>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</si>
  <si>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</si>
  <si>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</si>
  <si>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</si>
  <si>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</si>
  <si>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</si>
  <si>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</si>
  <si>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</si>
  <si>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</si>
  <si>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</si>
  <si>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</si>
  <si>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</si>
  <si>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</si>
  <si>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</si>
  <si>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</si>
  <si>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</si>
  <si>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</si>
  <si>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</si>
  <si>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</si>
  <si>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</si>
  <si>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</si>
  <si>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</si>
  <si>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</si>
  <si>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</si>
  <si>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</si>
  <si>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6 月分</t>
    <rPh sb="2" eb="3">
      <t>ガツ</t>
    </rPh>
    <rPh sb="3" eb="4">
      <t>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</si>
</sst>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0_ ;[Red]\-0\ "/>
    <numFmt numFmtId="178" formatCode="#,##0.0_ "/>
    <numFmt numFmtId="179" formatCode="[h]:mm&quot; &quot;"/>
    <numFmt numFmtId="180" formatCode="[$]ggge&quot;年&quot;m&quot;月&quot;d&quot;日&quot;;@"/>
    <numFmt numFmtId="181" formatCode="0_);[Red]\(0\)"/>
    <numFmt numFmtId="182" formatCode="yyyy/mm/dd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9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 indent="1"/>
    </xf>
    <xf numFmtId="182" fontId="13" fillId="0" borderId="0" xfId="1" applyNumberFormat="1" applyFont="1" applyAlignment="1">
      <alignment horizontal="center"/>
    </xf>
    <xf numFmtId="0" fontId="11" fillId="0" borderId="0" xfId="0" applyFont="1" applyAlignment="1">
      <alignment horizontal="left"/>
    </xf>
    <xf numFmtId="49" fontId="13" fillId="0" borderId="0" xfId="1" applyNumberFormat="1" applyFont="1" applyAlignment="1">
      <alignment horizontal="left" indent="1"/>
    </xf>
    <xf numFmtId="49" fontId="11" fillId="0" borderId="0" xfId="0" applyNumberFormat="1" applyFont="1" applyAlignment="1">
      <alignment horizontal="left" indent="1"/>
    </xf>
    <xf numFmtId="182" fontId="1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0" fontId="7" fillId="0" borderId="47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20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76" fontId="5" fillId="0" borderId="24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14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81" fontId="5" fillId="0" borderId="31" xfId="0" applyNumberFormat="1" applyFont="1" applyBorder="1" applyAlignment="1">
      <alignment horizontal="right" vertical="center"/>
    </xf>
    <xf numFmtId="181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</cellXfs>
  <cellStyles count="2">
    <cellStyle name="標準" xfId="0" builtinId="0"/>
    <cellStyle name="標準 2" xfId="1" xr:uid="{50F53C47-DBD2-4504-9830-D45CD7119AE4}"/>
  </cellStyles>
  <dxfs count="180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\Desktop\&#26989;&#21209;&#26085;&#35468;&#65288;&#27704;&#24180;&#20445;&#23384;&#24180;&#24230;&#21029;&#65289;\(&#26528;)&#20196;&#21644;&#9675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祝日リスト (2)"/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様式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1">
          <cell r="A1">
            <v>46506</v>
          </cell>
          <cell r="B1" t="str">
            <v>昭和の日</v>
          </cell>
          <cell r="C1">
            <v>46753</v>
          </cell>
          <cell r="D1" t="str">
            <v>元日</v>
          </cell>
          <cell r="E1">
            <v>2027</v>
          </cell>
        </row>
        <row r="2">
          <cell r="A2">
            <v>46510</v>
          </cell>
          <cell r="B2" t="str">
            <v>憲法記念日</v>
          </cell>
          <cell r="C2">
            <v>46762</v>
          </cell>
          <cell r="D2" t="str">
            <v>成人の日</v>
          </cell>
          <cell r="E2"/>
        </row>
        <row r="3">
          <cell r="A3">
            <v>46511</v>
          </cell>
          <cell r="B3" t="str">
            <v>みどりの日</v>
          </cell>
          <cell r="C3">
            <v>46794</v>
          </cell>
          <cell r="D3" t="str">
            <v>建国記念の日</v>
          </cell>
          <cell r="E3"/>
        </row>
        <row r="4">
          <cell r="A4">
            <v>46512</v>
          </cell>
          <cell r="B4" t="str">
            <v>こどもの日</v>
          </cell>
          <cell r="C4">
            <v>46806</v>
          </cell>
          <cell r="D4" t="str">
            <v>天皇誕生日</v>
          </cell>
          <cell r="E4"/>
        </row>
        <row r="5">
          <cell r="A5">
            <v>46587</v>
          </cell>
          <cell r="B5" t="str">
            <v>海の日</v>
          </cell>
          <cell r="C5">
            <v>46832</v>
          </cell>
          <cell r="D5" t="str">
            <v>春分の日</v>
          </cell>
          <cell r="E5"/>
        </row>
        <row r="6">
          <cell r="A6">
            <v>46610</v>
          </cell>
          <cell r="B6" t="str">
            <v>山の日</v>
          </cell>
          <cell r="C6"/>
          <cell r="D6"/>
          <cell r="E6"/>
        </row>
        <row r="7">
          <cell r="A7">
            <v>46650</v>
          </cell>
          <cell r="B7" t="str">
            <v>敬老の日</v>
          </cell>
          <cell r="C7"/>
          <cell r="D7"/>
          <cell r="E7"/>
        </row>
        <row r="8">
          <cell r="A8">
            <v>46653</v>
          </cell>
          <cell r="B8" t="str">
            <v>秋分の日</v>
          </cell>
          <cell r="C8"/>
          <cell r="D8"/>
          <cell r="E8"/>
        </row>
        <row r="9">
          <cell r="A9">
            <v>46671</v>
          </cell>
          <cell r="B9" t="str">
            <v>スポーツの日</v>
          </cell>
          <cell r="C9"/>
          <cell r="D9"/>
          <cell r="E9"/>
        </row>
        <row r="10">
          <cell r="A10">
            <v>46694</v>
          </cell>
          <cell r="B10" t="str">
            <v>文化の日</v>
          </cell>
          <cell r="C10"/>
          <cell r="D10"/>
          <cell r="E10"/>
        </row>
        <row r="11">
          <cell r="A11">
            <v>46714</v>
          </cell>
          <cell r="B11" t="str">
            <v>勤労感謝の日</v>
          </cell>
          <cell r="C11"/>
          <cell r="D11"/>
          <cell r="E11"/>
        </row>
        <row r="12">
          <cell r="A12"/>
          <cell r="B12"/>
          <cell r="C12"/>
          <cell r="D12"/>
          <cell r="E12"/>
        </row>
        <row r="13">
          <cell r="A13"/>
          <cell r="B13"/>
          <cell r="C13"/>
          <cell r="D13"/>
          <cell r="E13"/>
        </row>
        <row r="14">
          <cell r="A14"/>
          <cell r="B14"/>
          <cell r="C14"/>
          <cell r="D14"/>
          <cell r="E14"/>
        </row>
        <row r="15">
          <cell r="A15"/>
          <cell r="B15"/>
          <cell r="C15"/>
          <cell r="D15"/>
          <cell r="E15"/>
        </row>
        <row r="16">
          <cell r="A16"/>
          <cell r="B16"/>
          <cell r="C16"/>
          <cell r="D16"/>
          <cell r="E16"/>
        </row>
        <row r="17">
          <cell r="A17"/>
          <cell r="B17"/>
          <cell r="C17"/>
          <cell r="D17"/>
          <cell r="E17"/>
        </row>
        <row r="18">
          <cell r="A18"/>
          <cell r="B18"/>
          <cell r="C18"/>
          <cell r="D18"/>
          <cell r="E18"/>
        </row>
        <row r="19">
          <cell r="A19"/>
          <cell r="B19"/>
          <cell r="C19"/>
          <cell r="D19"/>
          <cell r="E19"/>
        </row>
        <row r="20">
          <cell r="A20"/>
          <cell r="B20"/>
          <cell r="C20"/>
          <cell r="D20"/>
          <cell r="E20"/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tabSelected="1" workbookViewId="0">
      <selection activeCell="A3" sqref="A3:C3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77" t="str">
        <f>"令和 "&amp;祝日リスト!E1-2018&amp;" 年度"</f>
        <v>令和 9 年度</v>
      </c>
      <c r="B1" s="77"/>
      <c r="C1" s="77"/>
    </row>
    <row r="2" spans="1:6" ht="75.75" customHeight="1" x14ac:dyDescent="0.4">
      <c r="A2" s="2"/>
      <c r="B2" s="2"/>
      <c r="C2" s="2"/>
    </row>
    <row r="3" spans="1:6" ht="65.25" customHeight="1" x14ac:dyDescent="0.4">
      <c r="A3" s="77" t="s">
        <v>68</v>
      </c>
      <c r="B3" s="77"/>
      <c r="C3" s="77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78" t="s">
        <v>44</v>
      </c>
      <c r="B5" s="78"/>
      <c r="C5" s="78"/>
    </row>
    <row r="6" spans="1:6" ht="169.5" customHeight="1" x14ac:dyDescent="0.4">
      <c r="A6" s="3"/>
      <c r="B6" s="3"/>
      <c r="C6" s="3"/>
    </row>
    <row r="7" spans="1:6" ht="54" customHeight="1" x14ac:dyDescent="0.4">
      <c r="A7" s="79" t="s">
        <v>45</v>
      </c>
      <c r="B7" s="79"/>
      <c r="C7" s="79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DATE([1]祝日リスト!$E$1,6,1)</f>
        <v>46539</v>
      </c>
      <c r="F1" s="84"/>
      <c r="G1" s="84"/>
      <c r="H1" s="84"/>
      <c r="I1" s="85" t="str">
        <f>TEXT(E1,"aaaa")</f>
        <v>火曜日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>
        <v>1</v>
      </c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8" priority="8" stopIfTrue="1">
      <formula>WEEKDAY($E$1)=7</formula>
    </cfRule>
    <cfRule type="expression" dxfId="177" priority="9" stopIfTrue="1">
      <formula>WEEKDAY($E$1)=1</formula>
    </cfRule>
  </conditionalFormatting>
  <conditionalFormatting sqref="I1:L1">
    <cfRule type="containsText" dxfId="175" priority="2" stopIfTrue="1" operator="containsText" text="日曜日">
      <formula>NOT(ISERROR(SEARCH("日曜日",I1)))</formula>
    </cfRule>
    <cfRule type="containsText" dxfId="174" priority="3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961B4F9-6774-4FDB-9AA5-AD5F9BCFF12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DATE([1]祝日リスト!$E$1,6,2)</f>
        <v>46540</v>
      </c>
      <c r="F1" s="84"/>
      <c r="G1" s="84"/>
      <c r="H1" s="84"/>
      <c r="I1" s="85" t="str">
        <f>TEXT(E1,"aaaa")</f>
        <v>水曜日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DATE([1]祝日リスト!$E$1,6,3)</f>
        <v>46541</v>
      </c>
      <c r="F1" s="84"/>
      <c r="G1" s="84"/>
      <c r="H1" s="84"/>
      <c r="I1" s="85" t="str">
        <f>TEXT(E1,"aaaa")</f>
        <v>木曜日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DATE([1]祝日リスト!$E$1,6,4)</f>
        <v>46542</v>
      </c>
      <c r="F1" s="84"/>
      <c r="G1" s="84"/>
      <c r="H1" s="84"/>
      <c r="I1" s="85" t="str">
        <f>TEXT(E1,"aaaa")</f>
        <v>金曜日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DATE([1]祝日リスト!$E$1,6,5)</f>
        <v>46543</v>
      </c>
      <c r="F1" s="84"/>
      <c r="G1" s="84"/>
      <c r="H1" s="84"/>
      <c r="I1" s="85" t="str">
        <f>TEXT(E1,"aaaa")</f>
        <v>土曜日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DATE([1]祝日リスト!$E$1,6,6)</f>
        <v>46544</v>
      </c>
      <c r="F1" s="84"/>
      <c r="G1" s="84"/>
      <c r="H1" s="84"/>
      <c r="I1" s="85" t="str">
        <f>TEXT(E1,"aaaa")</f>
        <v>日曜日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DATE([1]祝日リスト!$E$1,6,7)</f>
        <v>46545</v>
      </c>
      <c r="F1" s="84"/>
      <c r="G1" s="84"/>
      <c r="H1" s="84"/>
      <c r="I1" s="85" t="str">
        <f>TEXT(E1,"aaaa")</f>
        <v>月曜日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DATE([1]祝日リスト!$E$1,6,8)</f>
        <v>46546</v>
      </c>
      <c r="F1" s="84"/>
      <c r="G1" s="84"/>
      <c r="H1" s="84"/>
      <c r="I1" s="85" t="str">
        <f>TEXT(E1,"aaaa")</f>
        <v>火曜日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DATE([1]祝日リスト!$E$1,6,9)</f>
        <v>46547</v>
      </c>
      <c r="F1" s="84"/>
      <c r="G1" s="84"/>
      <c r="H1" s="84"/>
      <c r="I1" s="85" t="str">
        <f>TEXT(E1,"aaaa")</f>
        <v>水曜日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DATE([1]祝日リスト!$E$1,6,10)</f>
        <v>46548</v>
      </c>
      <c r="F1" s="84"/>
      <c r="G1" s="84"/>
      <c r="H1" s="84"/>
      <c r="I1" s="85" t="str">
        <f>TEXT(E1,"aaaa")</f>
        <v>木曜日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DATE([1]祝日リスト!$E$1,6,11)</f>
        <v>46549</v>
      </c>
      <c r="F1" s="84"/>
      <c r="G1" s="84"/>
      <c r="H1" s="84"/>
      <c r="I1" s="85" t="str">
        <f>TEXT(E1,"aaaa")</f>
        <v>金曜日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DATE([1]祝日リスト!$E$1,6,12)</f>
        <v>46550</v>
      </c>
      <c r="F1" s="84"/>
      <c r="G1" s="84"/>
      <c r="H1" s="84"/>
      <c r="I1" s="85" t="str">
        <f>TEXT(E1,"aaaa")</f>
        <v>土曜日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DATE([1]祝日リスト!$E$1,6,13)</f>
        <v>46551</v>
      </c>
      <c r="F1" s="84"/>
      <c r="G1" s="84"/>
      <c r="H1" s="84"/>
      <c r="I1" s="85" t="str">
        <f>TEXT(E1,"aaaa")</f>
        <v>日曜日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disablePrompts="1"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DATE([1]祝日リスト!$E$1,6,14)</f>
        <v>46552</v>
      </c>
      <c r="F1" s="84"/>
      <c r="G1" s="84"/>
      <c r="H1" s="84"/>
      <c r="I1" s="85" t="str">
        <f>TEXT(E1,"aaaa")</f>
        <v>月曜日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DATE([1]祝日リスト!$E$1,6,15)</f>
        <v>46553</v>
      </c>
      <c r="F1" s="84"/>
      <c r="G1" s="84"/>
      <c r="H1" s="84"/>
      <c r="I1" s="85" t="str">
        <f>TEXT(E1,"aaaa")</f>
        <v>火曜日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DATE([1]祝日リスト!$E$1,6,16)</f>
        <v>46554</v>
      </c>
      <c r="F1" s="84"/>
      <c r="G1" s="84"/>
      <c r="H1" s="84"/>
      <c r="I1" s="85" t="str">
        <f>TEXT(E1,"aaaa")</f>
        <v>水曜日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DATE([1]祝日リスト!$E$1,6,17)</f>
        <v>46555</v>
      </c>
      <c r="F1" s="84"/>
      <c r="G1" s="84"/>
      <c r="H1" s="84"/>
      <c r="I1" s="85" t="str">
        <f>TEXT(E1,"aaaa")</f>
        <v>木曜日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DATE([1]祝日リスト!$E$1,6,18)</f>
        <v>46556</v>
      </c>
      <c r="F1" s="84"/>
      <c r="G1" s="84"/>
      <c r="H1" s="84"/>
      <c r="I1" s="85" t="str">
        <f>TEXT(E1,"aaaa")</f>
        <v>金曜日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DATE([1]祝日リスト!$E$1,6,19)</f>
        <v>46557</v>
      </c>
      <c r="F1" s="84"/>
      <c r="G1" s="84"/>
      <c r="H1" s="84"/>
      <c r="I1" s="85" t="str">
        <f>TEXT(E1,"aaaa")</f>
        <v>土曜日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DATE([1]祝日リスト!$E$1,6,20)</f>
        <v>46558</v>
      </c>
      <c r="F1" s="84"/>
      <c r="G1" s="84"/>
      <c r="H1" s="84"/>
      <c r="I1" s="85" t="str">
        <f>TEXT(E1,"aaaa")</f>
        <v>日曜日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DATE([1]祝日リスト!$E$1,6,21)</f>
        <v>46559</v>
      </c>
      <c r="F1" s="84"/>
      <c r="G1" s="84"/>
      <c r="H1" s="84"/>
      <c r="I1" s="85" t="str">
        <f>TEXT(E1,"aaaa")</f>
        <v>月曜日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DATE([1]祝日リスト!$E$1,6,22)</f>
        <v>46560</v>
      </c>
      <c r="F1" s="84"/>
      <c r="G1" s="84"/>
      <c r="H1" s="84"/>
      <c r="I1" s="85" t="str">
        <f>TEXT(E1,"aaaa")</f>
        <v>火曜日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DATE([1]祝日リスト!$E$1,6,23)</f>
        <v>46561</v>
      </c>
      <c r="F1" s="84"/>
      <c r="G1" s="84"/>
      <c r="H1" s="84"/>
      <c r="I1" s="85" t="str">
        <f>TEXT(E1,"aaaa")</f>
        <v>水曜日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DATE([1]祝日リスト!$E$1,6,24)</f>
        <v>46562</v>
      </c>
      <c r="F1" s="84"/>
      <c r="G1" s="84"/>
      <c r="H1" s="84"/>
      <c r="I1" s="85" t="str">
        <f>TEXT(E1,"aaaa")</f>
        <v>木曜日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DATE([1]祝日リスト!$E$1,6,25)</f>
        <v>46563</v>
      </c>
      <c r="F1" s="84"/>
      <c r="G1" s="84"/>
      <c r="H1" s="84"/>
      <c r="I1" s="85" t="str">
        <f>TEXT(E1,"aaaa")</f>
        <v>金曜日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DATE([1]祝日リスト!$E$1,6,26)</f>
        <v>46564</v>
      </c>
      <c r="F1" s="84"/>
      <c r="G1" s="84"/>
      <c r="H1" s="84"/>
      <c r="I1" s="85" t="str">
        <f>TEXT(E1,"aaaa")</f>
        <v>土曜日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DATE([1]祝日リスト!$E$1,6,27)</f>
        <v>46565</v>
      </c>
      <c r="F1" s="84"/>
      <c r="G1" s="84"/>
      <c r="H1" s="84"/>
      <c r="I1" s="85" t="str">
        <f>TEXT(E1,"aaaa")</f>
        <v>日曜日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DATE([1]祝日リスト!$E$1,6,28)</f>
        <v>46566</v>
      </c>
      <c r="F1" s="84"/>
      <c r="G1" s="84"/>
      <c r="H1" s="84"/>
      <c r="I1" s="85" t="str">
        <f>TEXT(E1,"aaaa")</f>
        <v>月曜日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P28" sqref="P28"/>
      <selection pane="bottomLeft" activeCell="P28" sqref="P2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DATE([1]祝日リスト!$E$1,6,29)</f>
        <v>46567</v>
      </c>
      <c r="F1" s="84"/>
      <c r="G1" s="84"/>
      <c r="H1" s="84"/>
      <c r="I1" s="85" t="str">
        <f>TEXT(E1,"aaaa")</f>
        <v>火曜日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E1" sqref="E1:H1"/>
      <selection pane="bottomLeft" activeCell="Q27" sqref="Q27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DATE([1]祝日リスト!$E$1,6,30)</f>
        <v>46568</v>
      </c>
      <c r="F1" s="84"/>
      <c r="G1" s="84"/>
      <c r="H1" s="84"/>
      <c r="I1" s="85" t="str">
        <f>TEXT(E1,"aaaa")</f>
        <v>水曜日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30"/>
  <sheetViews>
    <sheetView showZeros="0" workbookViewId="0">
      <selection activeCell="B5" sqref="B5"/>
    </sheetView>
  </sheetViews>
  <sheetFormatPr defaultRowHeight="13.5" x14ac:dyDescent="0.15"/>
  <cols>
    <col min="1" max="1" width="14.25" style="76" customWidth="1"/>
    <col min="2" max="2" width="21" style="75" customWidth="1"/>
    <col min="3" max="3" width="15.625" style="76" customWidth="1"/>
    <col min="4" max="4" width="21.375" style="71" customWidth="1"/>
    <col min="5" max="16384" width="9" style="70"/>
  </cols>
  <sheetData>
    <row r="1" spans="1:5" x14ac:dyDescent="0.15">
      <c r="A1" s="72">
        <f>[1]祝日リスト!A1</f>
        <v>46506</v>
      </c>
      <c r="B1" s="74" t="str">
        <f>[1]祝日リスト!B1</f>
        <v>昭和の日</v>
      </c>
      <c r="C1" s="72">
        <f>[1]祝日リスト!C1</f>
        <v>46753</v>
      </c>
      <c r="D1" s="71" t="str">
        <f>[1]祝日リスト!D1</f>
        <v>元日</v>
      </c>
      <c r="E1" s="73">
        <f>[1]祝日リスト!E1</f>
        <v>2027</v>
      </c>
    </row>
    <row r="2" spans="1:5" x14ac:dyDescent="0.15">
      <c r="A2" s="72">
        <f>[1]祝日リスト!A2</f>
        <v>46510</v>
      </c>
      <c r="B2" s="74" t="str">
        <f>[1]祝日リスト!B2</f>
        <v>憲法記念日</v>
      </c>
      <c r="C2" s="72">
        <f>[1]祝日リスト!C2</f>
        <v>46762</v>
      </c>
      <c r="D2" s="71" t="str">
        <f>[1]祝日リスト!D2</f>
        <v>成人の日</v>
      </c>
      <c r="E2" s="70">
        <f>[1]祝日リスト!E2</f>
        <v>0</v>
      </c>
    </row>
    <row r="3" spans="1:5" x14ac:dyDescent="0.15">
      <c r="A3" s="72">
        <f>[1]祝日リスト!A3</f>
        <v>46511</v>
      </c>
      <c r="B3" s="74" t="str">
        <f>[1]祝日リスト!B3</f>
        <v>みどりの日</v>
      </c>
      <c r="C3" s="72">
        <f>[1]祝日リスト!C3</f>
        <v>46794</v>
      </c>
      <c r="D3" s="71" t="str">
        <f>[1]祝日リスト!D3</f>
        <v>建国記念の日</v>
      </c>
      <c r="E3" s="70">
        <f>[1]祝日リスト!E3</f>
        <v>0</v>
      </c>
    </row>
    <row r="4" spans="1:5" x14ac:dyDescent="0.15">
      <c r="A4" s="72">
        <f>[1]祝日リスト!A4</f>
        <v>46512</v>
      </c>
      <c r="B4" s="74" t="str">
        <f>[1]祝日リスト!B4</f>
        <v>こどもの日</v>
      </c>
      <c r="C4" s="72">
        <f>[1]祝日リスト!C4</f>
        <v>46806</v>
      </c>
      <c r="D4" s="71" t="str">
        <f>[1]祝日リスト!D4</f>
        <v>天皇誕生日</v>
      </c>
      <c r="E4" s="70">
        <f>[1]祝日リスト!E4</f>
        <v>0</v>
      </c>
    </row>
    <row r="5" spans="1:5" x14ac:dyDescent="0.15">
      <c r="A5" s="72">
        <f>[1]祝日リスト!A5</f>
        <v>46587</v>
      </c>
      <c r="B5" s="74" t="str">
        <f>[1]祝日リスト!B5</f>
        <v>海の日</v>
      </c>
      <c r="C5" s="72">
        <f>[1]祝日リスト!C5</f>
        <v>46832</v>
      </c>
      <c r="D5" s="71" t="str">
        <f>[1]祝日リスト!D5</f>
        <v>春分の日</v>
      </c>
      <c r="E5" s="70">
        <f>[1]祝日リスト!E5</f>
        <v>0</v>
      </c>
    </row>
    <row r="6" spans="1:5" x14ac:dyDescent="0.15">
      <c r="A6" s="72">
        <f>[1]祝日リスト!A6</f>
        <v>46610</v>
      </c>
      <c r="B6" s="74" t="str">
        <f>[1]祝日リスト!B6</f>
        <v>山の日</v>
      </c>
      <c r="C6" s="72">
        <f>[1]祝日リスト!C6</f>
        <v>0</v>
      </c>
      <c r="D6" s="71">
        <f>[1]祝日リスト!D6</f>
        <v>0</v>
      </c>
      <c r="E6" s="70">
        <f>[1]祝日リスト!E6</f>
        <v>0</v>
      </c>
    </row>
    <row r="7" spans="1:5" x14ac:dyDescent="0.15">
      <c r="A7" s="72">
        <f>[1]祝日リスト!A7</f>
        <v>46650</v>
      </c>
      <c r="B7" s="74" t="str">
        <f>[1]祝日リスト!B7</f>
        <v>敬老の日</v>
      </c>
      <c r="C7" s="72">
        <f>[1]祝日リスト!C7</f>
        <v>0</v>
      </c>
      <c r="D7" s="71">
        <f>[1]祝日リスト!D7</f>
        <v>0</v>
      </c>
      <c r="E7" s="70">
        <f>[1]祝日リスト!E7</f>
        <v>0</v>
      </c>
    </row>
    <row r="8" spans="1:5" x14ac:dyDescent="0.15">
      <c r="A8" s="72">
        <f>[1]祝日リスト!A8</f>
        <v>46653</v>
      </c>
      <c r="B8" s="74" t="str">
        <f>[1]祝日リスト!B8</f>
        <v>秋分の日</v>
      </c>
      <c r="C8" s="72">
        <f>[1]祝日リスト!C8</f>
        <v>0</v>
      </c>
      <c r="D8" s="71">
        <f>[1]祝日リスト!D8</f>
        <v>0</v>
      </c>
      <c r="E8" s="70">
        <f>[1]祝日リスト!E8</f>
        <v>0</v>
      </c>
    </row>
    <row r="9" spans="1:5" x14ac:dyDescent="0.15">
      <c r="A9" s="72">
        <f>[1]祝日リスト!A9</f>
        <v>46671</v>
      </c>
      <c r="B9" s="74" t="str">
        <f>[1]祝日リスト!B9</f>
        <v>スポーツの日</v>
      </c>
      <c r="C9" s="72">
        <f>[1]祝日リスト!C9</f>
        <v>0</v>
      </c>
      <c r="D9" s="71">
        <f>[1]祝日リスト!D9</f>
        <v>0</v>
      </c>
      <c r="E9" s="70">
        <f>[1]祝日リスト!E9</f>
        <v>0</v>
      </c>
    </row>
    <row r="10" spans="1:5" x14ac:dyDescent="0.15">
      <c r="A10" s="72">
        <f>[1]祝日リスト!A10</f>
        <v>46694</v>
      </c>
      <c r="B10" s="74" t="str">
        <f>[1]祝日リスト!B10</f>
        <v>文化の日</v>
      </c>
      <c r="C10" s="72">
        <f>[1]祝日リスト!C10</f>
        <v>0</v>
      </c>
      <c r="D10" s="71">
        <f>[1]祝日リスト!D10</f>
        <v>0</v>
      </c>
      <c r="E10" s="70">
        <f>[1]祝日リスト!E10</f>
        <v>0</v>
      </c>
    </row>
    <row r="11" spans="1:5" x14ac:dyDescent="0.15">
      <c r="A11" s="72">
        <f>[1]祝日リスト!A11</f>
        <v>46714</v>
      </c>
      <c r="B11" s="74" t="str">
        <f>[1]祝日リスト!B11</f>
        <v>勤労感謝の日</v>
      </c>
      <c r="C11" s="72">
        <f>[1]祝日リスト!C11</f>
        <v>0</v>
      </c>
      <c r="D11" s="71">
        <f>[1]祝日リスト!D11</f>
        <v>0</v>
      </c>
      <c r="E11" s="70">
        <f>[1]祝日リスト!E11</f>
        <v>0</v>
      </c>
    </row>
    <row r="12" spans="1:5" x14ac:dyDescent="0.15">
      <c r="A12" s="72">
        <f>[1]祝日リスト!A12</f>
        <v>0</v>
      </c>
      <c r="B12" s="74">
        <f>[1]祝日リスト!B12</f>
        <v>0</v>
      </c>
      <c r="C12" s="72">
        <f>[1]祝日リスト!C12</f>
        <v>0</v>
      </c>
      <c r="D12" s="71">
        <f>[1]祝日リスト!D12</f>
        <v>0</v>
      </c>
      <c r="E12" s="70">
        <f>[1]祝日リスト!E12</f>
        <v>0</v>
      </c>
    </row>
    <row r="13" spans="1:5" x14ac:dyDescent="0.15">
      <c r="A13" s="72">
        <f>[1]祝日リスト!A13</f>
        <v>0</v>
      </c>
      <c r="B13" s="74">
        <f>[1]祝日リスト!B13</f>
        <v>0</v>
      </c>
      <c r="C13" s="72">
        <f>[1]祝日リスト!C13</f>
        <v>0</v>
      </c>
      <c r="D13" s="71">
        <f>[1]祝日リスト!D13</f>
        <v>0</v>
      </c>
      <c r="E13" s="70">
        <f>[1]祝日リスト!E13</f>
        <v>0</v>
      </c>
    </row>
    <row r="14" spans="1:5" x14ac:dyDescent="0.15">
      <c r="A14" s="72">
        <f>[1]祝日リスト!A14</f>
        <v>0</v>
      </c>
      <c r="B14" s="74">
        <f>[1]祝日リスト!B14</f>
        <v>0</v>
      </c>
      <c r="C14" s="72">
        <f>[1]祝日リスト!C14</f>
        <v>0</v>
      </c>
      <c r="D14" s="71">
        <f>[1]祝日リスト!D14</f>
        <v>0</v>
      </c>
      <c r="E14" s="70">
        <f>[1]祝日リスト!E14</f>
        <v>0</v>
      </c>
    </row>
    <row r="15" spans="1:5" x14ac:dyDescent="0.15">
      <c r="A15" s="72">
        <f>[1]祝日リスト!A15</f>
        <v>0</v>
      </c>
      <c r="B15" s="74">
        <f>[1]祝日リスト!B15</f>
        <v>0</v>
      </c>
      <c r="C15" s="72">
        <f>[1]祝日リスト!C15</f>
        <v>0</v>
      </c>
      <c r="D15" s="71">
        <f>[1]祝日リスト!D15</f>
        <v>0</v>
      </c>
      <c r="E15" s="70">
        <f>[1]祝日リスト!E15</f>
        <v>0</v>
      </c>
    </row>
    <row r="16" spans="1:5" x14ac:dyDescent="0.15">
      <c r="A16" s="72">
        <f>[1]祝日リスト!A16</f>
        <v>0</v>
      </c>
      <c r="B16" s="74">
        <f>[1]祝日リスト!B16</f>
        <v>0</v>
      </c>
      <c r="C16" s="72">
        <f>[1]祝日リスト!C16</f>
        <v>0</v>
      </c>
      <c r="D16" s="71">
        <f>[1]祝日リスト!D16</f>
        <v>0</v>
      </c>
      <c r="E16" s="70">
        <f>[1]祝日リスト!E16</f>
        <v>0</v>
      </c>
    </row>
    <row r="17" spans="1:5" x14ac:dyDescent="0.15">
      <c r="A17" s="72">
        <f>[1]祝日リスト!A17</f>
        <v>0</v>
      </c>
      <c r="B17" s="74">
        <f>[1]祝日リスト!B17</f>
        <v>0</v>
      </c>
      <c r="C17" s="72">
        <f>[1]祝日リスト!C17</f>
        <v>0</v>
      </c>
      <c r="D17" s="71">
        <f>[1]祝日リスト!D17</f>
        <v>0</v>
      </c>
      <c r="E17" s="70">
        <f>[1]祝日リスト!E17</f>
        <v>0</v>
      </c>
    </row>
    <row r="18" spans="1:5" x14ac:dyDescent="0.15">
      <c r="A18" s="72">
        <f>[1]祝日リスト!A18</f>
        <v>0</v>
      </c>
      <c r="B18" s="74">
        <f>[1]祝日リスト!B18</f>
        <v>0</v>
      </c>
      <c r="C18" s="72">
        <f>[1]祝日リスト!C18</f>
        <v>0</v>
      </c>
      <c r="D18" s="71">
        <f>[1]祝日リスト!D18</f>
        <v>0</v>
      </c>
      <c r="E18" s="70">
        <f>[1]祝日リスト!E18</f>
        <v>0</v>
      </c>
    </row>
    <row r="19" spans="1:5" x14ac:dyDescent="0.15">
      <c r="A19" s="72">
        <f>[1]祝日リスト!A19</f>
        <v>0</v>
      </c>
      <c r="B19" s="74">
        <f>[1]祝日リスト!B19</f>
        <v>0</v>
      </c>
      <c r="C19" s="72">
        <f>[1]祝日リスト!C19</f>
        <v>0</v>
      </c>
      <c r="D19" s="71">
        <f>[1]祝日リスト!D19</f>
        <v>0</v>
      </c>
      <c r="E19" s="70">
        <f>[1]祝日リスト!E19</f>
        <v>0</v>
      </c>
    </row>
    <row r="20" spans="1:5" x14ac:dyDescent="0.15">
      <c r="A20" s="76">
        <f>[1]祝日リスト!A20</f>
        <v>0</v>
      </c>
      <c r="B20" s="75">
        <f>[1]祝日リスト!B20</f>
        <v>0</v>
      </c>
      <c r="C20" s="76">
        <f>[1]祝日リスト!C20</f>
        <v>0</v>
      </c>
      <c r="D20" s="71">
        <f>[1]祝日リスト!D20</f>
        <v>0</v>
      </c>
      <c r="E20" s="70">
        <f>[1]祝日リスト!E20</f>
        <v>0</v>
      </c>
    </row>
    <row r="21" spans="1:5" x14ac:dyDescent="0.15">
      <c r="A21" s="76">
        <f>[1]祝日リスト!A21</f>
        <v>0</v>
      </c>
      <c r="B21" s="75">
        <f>[1]祝日リスト!B21</f>
        <v>0</v>
      </c>
      <c r="C21" s="76">
        <f>[1]祝日リスト!C21</f>
        <v>0</v>
      </c>
    </row>
    <row r="22" spans="1:5" x14ac:dyDescent="0.15">
      <c r="A22" s="76">
        <f>[1]祝日リスト!A22</f>
        <v>0</v>
      </c>
      <c r="B22" s="75">
        <f>[1]祝日リスト!B22</f>
        <v>0</v>
      </c>
      <c r="C22" s="76">
        <f>[1]祝日リスト!C22</f>
        <v>0</v>
      </c>
    </row>
    <row r="23" spans="1:5" x14ac:dyDescent="0.15">
      <c r="A23" s="76">
        <f>[1]祝日リスト!A23</f>
        <v>0</v>
      </c>
      <c r="B23" s="75">
        <f>[1]祝日リスト!B23</f>
        <v>0</v>
      </c>
      <c r="C23" s="76">
        <f>[1]祝日リスト!C23</f>
        <v>0</v>
      </c>
    </row>
    <row r="24" spans="1:5" x14ac:dyDescent="0.15">
      <c r="A24" s="76">
        <f>[1]祝日リスト!A24</f>
        <v>0</v>
      </c>
      <c r="B24" s="75">
        <f>[1]祝日リスト!B24</f>
        <v>0</v>
      </c>
      <c r="C24" s="76">
        <f>[1]祝日リスト!C24</f>
        <v>0</v>
      </c>
    </row>
    <row r="25" spans="1:5" x14ac:dyDescent="0.15">
      <c r="A25" s="76">
        <f>[1]祝日リスト!A25</f>
        <v>0</v>
      </c>
      <c r="B25" s="75">
        <f>[1]祝日リスト!B25</f>
        <v>0</v>
      </c>
      <c r="C25" s="76">
        <f>[1]祝日リスト!C25</f>
        <v>0</v>
      </c>
    </row>
    <row r="26" spans="1:5" x14ac:dyDescent="0.15">
      <c r="A26" s="76">
        <f>[1]祝日リスト!A26</f>
        <v>0</v>
      </c>
      <c r="B26" s="75">
        <f>[1]祝日リスト!B26</f>
        <v>0</v>
      </c>
      <c r="C26" s="76">
        <f>[1]祝日リスト!C26</f>
        <v>0</v>
      </c>
    </row>
    <row r="27" spans="1:5" x14ac:dyDescent="0.15">
      <c r="A27" s="76">
        <f>[1]祝日リスト!A27</f>
        <v>0</v>
      </c>
      <c r="B27" s="75">
        <f>[1]祝日リスト!B27</f>
        <v>0</v>
      </c>
      <c r="C27" s="76">
        <f>[1]祝日リスト!C27</f>
        <v>0</v>
      </c>
    </row>
    <row r="28" spans="1:5" x14ac:dyDescent="0.15">
      <c r="A28" s="76">
        <f>[1]祝日リスト!A28</f>
        <v>0</v>
      </c>
      <c r="B28" s="75">
        <f>[1]祝日リスト!B28</f>
        <v>0</v>
      </c>
      <c r="C28" s="76">
        <f>[1]祝日リスト!C28</f>
        <v>0</v>
      </c>
    </row>
    <row r="29" spans="1:5" x14ac:dyDescent="0.15">
      <c r="A29" s="76">
        <f>[1]祝日リスト!A29</f>
        <v>0</v>
      </c>
      <c r="B29" s="75">
        <f>[1]祝日リスト!B29</f>
        <v>0</v>
      </c>
      <c r="C29" s="76">
        <f>[1]祝日リスト!C29</f>
        <v>0</v>
      </c>
    </row>
    <row r="30" spans="1:5" x14ac:dyDescent="0.15">
      <c r="A30" s="76">
        <f>[1]祝日リスト!A30</f>
        <v>0</v>
      </c>
      <c r="B30" s="75">
        <f>[1]祝日リスト!B30</f>
        <v>0</v>
      </c>
      <c r="C30" s="76">
        <f>[1]祝日リスト!C30</f>
        <v>0</v>
      </c>
    </row>
  </sheetData>
  <phoneticPr fontId="1"/>
  <pageMargins left="0.7" right="0.7" top="0.75" bottom="0.75" header="0.3" footer="0.3"/>
  <ignoredErrors>
    <ignoredError xmlns:x16r3="http://schemas.microsoft.com/office/spreadsheetml/2018/08/main" sqref="C19 C6:C18 C20:C30" x16r3:misleadingForma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32</vt:i4>
      </vt:variant>
      <vt:variant>
        <vt:lpstr>名前付き一覧</vt:lpstr>
      </vt:variant>
      <vt:variant>
        <vt:i4>30</vt:i4>
      </vt:variant>
    </vt:vector>
  </HeadingPairs>
  <TitlesOfParts>
    <vt:vector size="62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2021-05-11T22:50:14Z</cp:lastPrinted>
  <dcterms:created xsi:type="dcterms:W3CDTF">2006-10-04T10:30:20Z</dcterms:created>
  <dcterms:modified xsi:type="dcterms:W3CDTF">2026-04-07T23:55:33Z</dcterms:modified>
</cp:coreProperties>
</file>