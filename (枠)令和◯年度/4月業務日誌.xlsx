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F0E03CC4-DC3E-4234-956E-4697CD75513D}" xr6:coauthVersionLast="47" xr6:coauthVersionMax="47" xr10:uidLastSave="{00000000-0000-0000-0000-000000000000}"/>
  <bookViews>
    <workbookView xWindow="8400" yWindow="930" windowWidth="18780" windowHeight="14460" tabRatio="870" firstSheet="12" activeTab="3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祝日" sheetId="95" r:id="rId32"/>
  </sheet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95" l="1"/>
  <c r="C4" i="95"/>
  <c r="C3" i="95"/>
  <c r="C2" i="95"/>
  <c r="C1" i="95"/>
  <c r="A11" i="95"/>
  <c r="A10" i="95"/>
  <c r="A9" i="95"/>
  <c r="A8" i="95"/>
  <c r="A7" i="95"/>
  <c r="A6" i="95"/>
  <c r="A5" i="95"/>
  <c r="A4" i="95"/>
  <c r="A3" i="95"/>
  <c r="A2" i="95"/>
  <c r="A1" i="95"/>
  <c r="A1" i="29"/>
  <c r="E1" i="93"/>
  <c r="I1" i="93" s="1"/>
  <c r="E1" i="92"/>
  <c r="I1" i="92" s="1"/>
  <c r="E1" i="91"/>
  <c r="I1" i="91" s="1"/>
  <c r="E1" i="90"/>
  <c r="I1" i="90" s="1"/>
  <c r="E1" i="89"/>
  <c r="I1" i="89" s="1"/>
  <c r="E1" i="88"/>
  <c r="I1" i="88" s="1"/>
  <c r="E1" i="87"/>
  <c r="I1" i="87" s="1"/>
  <c r="E1" i="86"/>
  <c r="I1" i="86" s="1"/>
  <c r="E1" i="85"/>
  <c r="I1" i="85" s="1"/>
  <c r="E1" i="84"/>
  <c r="I1" i="84" s="1"/>
  <c r="E1" i="83"/>
  <c r="I1" i="83" s="1"/>
  <c r="E1" i="82"/>
  <c r="I1" i="82" s="1"/>
  <c r="E1" i="81"/>
  <c r="I1" i="81" s="1"/>
  <c r="E1" i="80"/>
  <c r="I1" i="80" s="1"/>
  <c r="E1" i="79"/>
  <c r="I1" i="79" s="1"/>
  <c r="E1" i="78"/>
  <c r="I1" i="78" s="1"/>
  <c r="E1" i="77"/>
  <c r="I1" i="77" s="1"/>
  <c r="E1" i="76"/>
  <c r="I1" i="76" s="1"/>
  <c r="E1" i="75"/>
  <c r="I1" i="75" s="1"/>
  <c r="E1" i="74"/>
  <c r="I1" i="74" s="1"/>
  <c r="E1" i="73"/>
  <c r="I1" i="73" s="1"/>
  <c r="E1" i="72"/>
  <c r="I1" i="72" s="1"/>
  <c r="E1" i="71"/>
  <c r="I1" i="71" s="1"/>
  <c r="E1" i="70"/>
  <c r="I1" i="70" s="1"/>
  <c r="E1" i="69"/>
  <c r="I1" i="69" s="1"/>
  <c r="E1" i="68"/>
  <c r="I1" i="68" s="1"/>
  <c r="E1" i="67"/>
  <c r="I1" i="67" s="1"/>
  <c r="E1" i="66"/>
  <c r="I1" i="66" s="1"/>
  <c r="E1" i="65"/>
  <c r="I1" i="65" s="1"/>
  <c r="E1" i="63"/>
  <c r="I1" i="63" s="1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</calcChain>
</file>

<file path=xl/sharedStrings.xml><?xml version="1.0" encoding="utf-8"?>
<sst xmlns="http://schemas.openxmlformats.org/spreadsheetml/2006/main" count="4762" uniqueCount="87">
  <si>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</si>
  <si>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</si>
  <si>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</si>
  <si>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</si>
  <si>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</si>
  <si>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</si>
  <si>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</si>
  <si>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</si>
  <si>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</si>
  <si>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</si>
  <si>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</si>
  <si>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</si>
  <si>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</si>
  <si>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</si>
  <si>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</si>
  <si>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</si>
  <si>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</si>
  <si>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</si>
  <si>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</si>
  <si>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</si>
  <si>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</si>
  <si>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</si>
  <si>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</si>
  <si>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</si>
  <si>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</si>
  <si>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</si>
  <si>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</si>
  <si>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</si>
  <si>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</si>
  <si>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</si>
  <si>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</si>
  <si>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</si>
  <si>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</si>
  <si>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</si>
  <si>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</si>
  <si>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</si>
  <si>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</si>
  <si>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</si>
  <si>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</si>
  <si>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</si>
  <si>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</si>
  <si>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</si>
  <si>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</si>
  <si>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</si>
  <si>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</si>
  <si>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</si>
  <si>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</si>
  <si>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</si>
  <si>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</si>
  <si>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</si>
  <si>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</si>
  <si>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</si>
  <si>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</si>
  <si>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</si>
  <si>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</si>
  <si>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</si>
  <si>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</si>
  <si>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</si>
  <si>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</si>
  <si>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</si>
  <si>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</si>
  <si>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</si>
  <si>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</si>
  <si>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</si>
  <si>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</si>
  <si>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</si>
  <si>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</si>
  <si>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</si>
  <si>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</si>
  <si>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</si>
  <si>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</si>
  <si>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</si>
  <si>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</si>
  <si>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</si>
  <si>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</si>
  <si>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</si>
  <si>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</si>
  <si>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</si>
  <si>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</si>
  <si>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</si>
  <si>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スポーツの日</t>
  </si>
  <si>
    <t>文化の日</t>
  </si>
  <si>
    <t>勤労感謝の日</t>
  </si>
  <si>
    <t>塚本</t>
  </si>
  <si>
    <t>日直　阿部</t>
    <rPh sb="0" eb="2">
      <t>ニッチョク</t>
    </rPh>
    <rPh sb="3" eb="5">
      <t>アベ</t>
    </rPh>
    <phoneticPr fontId="1"/>
  </si>
  <si>
    <t>4 月分</t>
    <rPh sb="2" eb="3">
      <t>ガツ</t>
    </rPh>
    <rPh sb="3" eb="4">
      <t>ブン</t>
    </rPh>
    <phoneticPr fontId="1"/>
  </si>
  <si>
    <t>秋分の日</t>
    <rPh sb="0" eb="4">
      <t>シュウブン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</si>
</sst>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79" formatCode="[h]:mm&quot; &quot;"/>
    <numFmt numFmtId="180" formatCode="[$]ggge&quot;年&quot;m&quot;月&quot;d&quot;日&quot;;@"/>
    <numFmt numFmtId="181" formatCode="yyyy/mm/dd"/>
  </numFmts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  <font>
      <sz val="9"/>
      <color rgb="FF00B0F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184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indent="1"/>
    </xf>
    <xf numFmtId="181" fontId="11" fillId="0" borderId="0" xfId="0" applyNumberFormat="1" applyFont="1" applyAlignment="1">
      <alignment horizontal="center"/>
    </xf>
    <xf numFmtId="181" fontId="13" fillId="0" borderId="15" xfId="1" applyNumberFormat="1" applyFont="1" applyBorder="1" applyAlignment="1">
      <alignment horizontal="center"/>
    </xf>
    <xf numFmtId="0" fontId="13" fillId="0" borderId="49" xfId="1" applyFont="1" applyBorder="1" applyAlignment="1">
      <alignment horizontal="left" indent="1"/>
    </xf>
    <xf numFmtId="181" fontId="13" fillId="0" borderId="49" xfId="1" applyNumberFormat="1" applyFont="1" applyBorder="1" applyAlignment="1">
      <alignment horizontal="center"/>
    </xf>
    <xf numFmtId="0" fontId="13" fillId="0" borderId="16" xfId="1" applyFont="1" applyBorder="1" applyAlignment="1">
      <alignment horizontal="left"/>
    </xf>
    <xf numFmtId="181" fontId="13" fillId="0" borderId="50" xfId="1" applyNumberFormat="1" applyFont="1" applyBorder="1" applyAlignment="1">
      <alignment horizontal="center"/>
    </xf>
    <xf numFmtId="0" fontId="13" fillId="0" borderId="0" xfId="1" applyFont="1" applyBorder="1" applyAlignment="1">
      <alignment horizontal="left" indent="1"/>
    </xf>
    <xf numFmtId="181" fontId="13" fillId="0" borderId="0" xfId="1" applyNumberFormat="1" applyFont="1" applyBorder="1" applyAlignment="1">
      <alignment horizontal="center"/>
    </xf>
    <xf numFmtId="0" fontId="13" fillId="0" borderId="51" xfId="1" applyFont="1" applyBorder="1" applyAlignment="1">
      <alignment horizontal="left"/>
    </xf>
    <xf numFmtId="181" fontId="11" fillId="0" borderId="50" xfId="0" applyNumberFormat="1" applyFont="1" applyBorder="1" applyAlignment="1">
      <alignment horizontal="center"/>
    </xf>
    <xf numFmtId="0" fontId="11" fillId="0" borderId="0" xfId="0" applyFont="1" applyBorder="1" applyAlignment="1">
      <alignment horizontal="left" indent="1"/>
    </xf>
    <xf numFmtId="0" fontId="11" fillId="0" borderId="51" xfId="0" applyFont="1" applyBorder="1" applyAlignment="1">
      <alignment horizontal="left"/>
    </xf>
    <xf numFmtId="181" fontId="11" fillId="0" borderId="41" xfId="0" applyNumberFormat="1" applyFont="1" applyBorder="1" applyAlignment="1">
      <alignment horizontal="center"/>
    </xf>
    <xf numFmtId="0" fontId="11" fillId="0" borderId="43" xfId="0" applyFont="1" applyBorder="1" applyAlignment="1">
      <alignment horizontal="left" indent="1"/>
    </xf>
    <xf numFmtId="0" fontId="11" fillId="0" borderId="42" xfId="0" applyFont="1" applyBorder="1" applyAlignment="1">
      <alignment horizontal="left"/>
    </xf>
    <xf numFmtId="0" fontId="13" fillId="0" borderId="0" xfId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0" fontId="7" fillId="0" borderId="47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76" fontId="15" fillId="0" borderId="26" xfId="0" applyNumberFormat="1" applyFont="1" applyBorder="1" applyAlignment="1">
      <alignment horizontal="right" vertical="center"/>
    </xf>
  </cellXfs>
  <cellStyles count="2">
    <cellStyle name="標準" xfId="0" builtinId="0"/>
    <cellStyle name="標準 2" xfId="1" xr:uid="{50F53C47-DBD2-4504-9830-D45CD7119AE4}"/>
  </cellStyles>
  <dxfs count="180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sqref="A1:C1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93" t="str">
        <f>"令和 "&amp;祝日!E1-2018&amp;" 年度"</f>
        <v>令和 9 年度</v>
      </c>
      <c r="B1" s="93"/>
      <c r="C1" s="93"/>
    </row>
    <row r="2" spans="1:6" ht="75.75" customHeight="1" x14ac:dyDescent="0.4">
      <c r="A2" s="2"/>
      <c r="B2" s="2"/>
      <c r="C2" s="2"/>
    </row>
    <row r="3" spans="1:6" ht="65.25" customHeight="1" x14ac:dyDescent="0.4">
      <c r="A3" s="93" t="s">
        <v>85</v>
      </c>
      <c r="B3" s="93"/>
      <c r="C3" s="93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94" t="s">
        <v>44</v>
      </c>
      <c r="B5" s="94"/>
      <c r="C5" s="94"/>
    </row>
    <row r="6" spans="1:6" ht="169.5" customHeight="1" x14ac:dyDescent="0.4">
      <c r="A6" s="3"/>
      <c r="B6" s="3"/>
      <c r="C6" s="3"/>
    </row>
    <row r="7" spans="1:6" ht="54" customHeight="1" x14ac:dyDescent="0.4">
      <c r="A7" s="95" t="s">
        <v>45</v>
      </c>
      <c r="B7" s="95"/>
      <c r="C7" s="95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1)</f>
        <v>46478</v>
      </c>
      <c r="F1" s="100"/>
      <c r="G1" s="100"/>
      <c r="H1" s="100"/>
      <c r="I1" s="101" t="str">
        <f>TEXT(E1,"aaaa")</f>
        <v>木曜日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05"/>
      <c r="H3" s="10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 t="s">
        <v>83</v>
      </c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" right="0.7" top="0.75" bottom="0.75" header="0.3" footer="0.3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2)</f>
        <v>46479</v>
      </c>
      <c r="F1" s="100"/>
      <c r="G1" s="100"/>
      <c r="H1" s="100"/>
      <c r="I1" s="101" t="str">
        <f>TEXT(E1,"aaaa")</f>
        <v>金曜日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05"/>
      <c r="H3" s="10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" right="0.7" top="0.75" bottom="0.75" header="0.3" footer="0.3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13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3)</f>
        <v>46480</v>
      </c>
      <c r="F1" s="100"/>
      <c r="G1" s="100"/>
      <c r="H1" s="100"/>
      <c r="I1" s="101" t="str">
        <f>TEXT(E1,"aaaa")</f>
        <v>土曜日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05"/>
      <c r="H3" s="10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C51:C59 D51:D57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34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4)</f>
        <v>46481</v>
      </c>
      <c r="F1" s="100"/>
      <c r="G1" s="100"/>
      <c r="H1" s="100"/>
      <c r="I1" s="101" t="str">
        <f>TEXT(E1,"aaaa")</f>
        <v>日曜日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 t="s">
        <v>84</v>
      </c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36:O37 M16:O19 M11:O14 C43:O50 M31:O34 D59 M21:O24 M26:O29 C39:O41 N6:O9 D51:D57 C51:C59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5)</f>
        <v>46482</v>
      </c>
      <c r="F1" s="100"/>
      <c r="G1" s="100"/>
      <c r="H1" s="100"/>
      <c r="I1" s="101" t="str">
        <f>TEXT(E1,"aaaa")</f>
        <v>月曜日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83"/>
      <c r="H37" s="183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6)</f>
        <v>46483</v>
      </c>
      <c r="F1" s="100"/>
      <c r="G1" s="100"/>
      <c r="H1" s="100"/>
      <c r="I1" s="101" t="str">
        <f>TEXT(E1,"aaaa")</f>
        <v>火曜日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36:O37 M16:O19 M11:O14 C43:O50 M31:O34 D59 M21:O24 M26:O29 C39:O41 N6:O9 D51:D57 C51:C59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7)</f>
        <v>46484</v>
      </c>
      <c r="F1" s="100"/>
      <c r="G1" s="100"/>
      <c r="H1" s="100"/>
      <c r="I1" s="101" t="str">
        <f>TEXT(E1,"aaaa")</f>
        <v>水曜日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8)</f>
        <v>46485</v>
      </c>
      <c r="F1" s="100"/>
      <c r="G1" s="100"/>
      <c r="H1" s="100"/>
      <c r="I1" s="101" t="str">
        <f>TEXT(E1,"aaaa")</f>
        <v>木曜日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36:O37 M16:O19 M11:O14 C43:O50 M31:O34 D59 M21:O24 M26:O29 C39:O41 N6:O9 D51:D57 C51:C59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9)</f>
        <v>46486</v>
      </c>
      <c r="F1" s="100"/>
      <c r="G1" s="100"/>
      <c r="H1" s="100"/>
      <c r="I1" s="101" t="str">
        <f>TEXT(E1,"aaaa")</f>
        <v>金曜日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10)</f>
        <v>46487</v>
      </c>
      <c r="F1" s="100"/>
      <c r="G1" s="100"/>
      <c r="H1" s="100"/>
      <c r="I1" s="101" t="str">
        <f>TEXT(E1,"aaaa")</f>
        <v>土曜日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36:O37 M16:O19 M11:O14 C43:O50 M31:O34 D59 M21:O24 M26:O29 C39:O41 N6:O9 D51:D57 C51:C59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11)</f>
        <v>46488</v>
      </c>
      <c r="F1" s="100"/>
      <c r="G1" s="100"/>
      <c r="H1" s="100"/>
      <c r="I1" s="101" t="str">
        <f>TEXT(E1,"aaaa")</f>
        <v>日曜日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8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12)</f>
        <v>46489</v>
      </c>
      <c r="F1" s="100"/>
      <c r="G1" s="100"/>
      <c r="H1" s="100"/>
      <c r="I1" s="101" t="str">
        <f>TEXT(E1,"aaaa")</f>
        <v>月曜日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8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8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8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8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8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8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8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8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8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8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8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8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8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  <c r="R29" s="72"/>
    </row>
    <row r="30" spans="1:18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8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8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13)</f>
        <v>46490</v>
      </c>
      <c r="F1" s="100"/>
      <c r="G1" s="100"/>
      <c r="H1" s="100"/>
      <c r="I1" s="101" t="str">
        <f>TEXT(E1,"aaaa")</f>
        <v>火曜日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14)</f>
        <v>46491</v>
      </c>
      <c r="F1" s="100"/>
      <c r="G1" s="100"/>
      <c r="H1" s="100"/>
      <c r="I1" s="101" t="str">
        <f>TEXT(E1,"aaaa")</f>
        <v>水曜日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36:O37 M16:O19 M11:O14 C43:O50 M31:O34 D59 M21:O24 M26:O29 C39:O41 N6:O9 D51:D57 C51:C59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15)</f>
        <v>46492</v>
      </c>
      <c r="F1" s="100"/>
      <c r="G1" s="100"/>
      <c r="H1" s="100"/>
      <c r="I1" s="101" t="str">
        <f>TEXT(E1,"aaaa")</f>
        <v>木曜日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35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16)</f>
        <v>46493</v>
      </c>
      <c r="F1" s="100"/>
      <c r="G1" s="100"/>
      <c r="H1" s="100"/>
      <c r="I1" s="101" t="str">
        <f>TEXT(E1,"aaaa")</f>
        <v>金曜日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36:O37 M16:O19 M11:O14 C43:O50 M31:O34 D59 M21:O24 M26:O29 C39:O41 N6:O9 D51:D57 C51:C59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17)</f>
        <v>46494</v>
      </c>
      <c r="F1" s="100"/>
      <c r="G1" s="100"/>
      <c r="H1" s="100"/>
      <c r="I1" s="101" t="str">
        <f>TEXT(E1,"aaaa")</f>
        <v>土曜日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18)</f>
        <v>46495</v>
      </c>
      <c r="F1" s="100"/>
      <c r="G1" s="100"/>
      <c r="H1" s="100"/>
      <c r="I1" s="101" t="str">
        <f>TEXT(E1,"aaaa")</f>
        <v>日曜日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36:O37 M16:O19 M11:O14 C43:O50 M31:O34 D59 M21:O24 M26:O29 C39:O41 N6:O9 D51:D57 C51:C59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19)</f>
        <v>46496</v>
      </c>
      <c r="F1" s="100"/>
      <c r="G1" s="100"/>
      <c r="H1" s="100"/>
      <c r="I1" s="101" t="str">
        <f>TEXT(E1,"aaaa")</f>
        <v>月曜日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20)</f>
        <v>46497</v>
      </c>
      <c r="F1" s="100"/>
      <c r="G1" s="100"/>
      <c r="H1" s="100"/>
      <c r="I1" s="101" t="str">
        <f>TEXT(E1,"aaaa")</f>
        <v>火曜日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36:O37 M16:O19 M11:O14 C43:O50 M31:O34 D59 M21:O24 M26:O29 C39:O41 N6:O9 D51:D57 C51:C59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21)</f>
        <v>46498</v>
      </c>
      <c r="F1" s="100"/>
      <c r="G1" s="100"/>
      <c r="H1" s="100"/>
      <c r="I1" s="101" t="str">
        <f>TEXT(E1,"aaaa")</f>
        <v>水曜日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22)</f>
        <v>46499</v>
      </c>
      <c r="F1" s="100"/>
      <c r="G1" s="100"/>
      <c r="H1" s="100"/>
      <c r="I1" s="101" t="str">
        <f>TEXT(E1,"aaaa")</f>
        <v>木曜日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36:O37 M16:O19 M11:O14 C43:O50 M31:O34 D59 M21:O24 M26:O29 C39:O41 N6:O9 D51:D57 C51:C59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23)</f>
        <v>46500</v>
      </c>
      <c r="F1" s="100"/>
      <c r="G1" s="100"/>
      <c r="H1" s="100"/>
      <c r="I1" s="101" t="str">
        <f>TEXT(E1,"aaaa")</f>
        <v>金曜日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24)</f>
        <v>46501</v>
      </c>
      <c r="F1" s="100"/>
      <c r="G1" s="100"/>
      <c r="H1" s="100"/>
      <c r="I1" s="101" t="str">
        <f>TEXT(E1,"aaaa")</f>
        <v>土曜日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36:O37 M16:O19 M11:O14 C43:O50 M31:O34 D59 M21:O24 M26:O29 C39:O41 N6:O9 D51:D57 C51:C59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25)</f>
        <v>46502</v>
      </c>
      <c r="F1" s="100"/>
      <c r="G1" s="100"/>
      <c r="H1" s="100"/>
      <c r="I1" s="101" t="str">
        <f>TEXT(E1,"aaaa")</f>
        <v>日曜日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26)</f>
        <v>46503</v>
      </c>
      <c r="F1" s="100"/>
      <c r="G1" s="100"/>
      <c r="H1" s="100"/>
      <c r="I1" s="101" t="str">
        <f>TEXT(E1,"aaaa")</f>
        <v>月曜日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27)</f>
        <v>46504</v>
      </c>
      <c r="F1" s="100"/>
      <c r="G1" s="100"/>
      <c r="H1" s="100"/>
      <c r="I1" s="101" t="str">
        <f>TEXT(E1,"aaaa")</f>
        <v>火曜日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 28)</f>
        <v>46505</v>
      </c>
      <c r="F1" s="100"/>
      <c r="G1" s="100"/>
      <c r="H1" s="100"/>
      <c r="I1" s="101" t="str">
        <f>TEXT(E1,"aaaa")</f>
        <v>水曜日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36:O37 M16:O19 M11:O14 C43:O50 M31:O34 D59 M21:O24 M26:O29 C39:O41 N6:O9 D51:D57 C51:C59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51" sqref="Q51"/>
      <selection pane="bottomLeft" activeCell="P27" sqref="P27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29)</f>
        <v>46506</v>
      </c>
      <c r="F1" s="100"/>
      <c r="G1" s="100"/>
      <c r="H1" s="100"/>
      <c r="I1" s="101" t="str">
        <f>TEXT(E1,"aaaa")</f>
        <v>木曜日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Q51" sqref="Q51"/>
      <selection pane="bottomLeft" activeCell="Q51" sqref="Q5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96" t="s">
        <v>59</v>
      </c>
      <c r="B1" s="97"/>
      <c r="C1" s="96" t="s">
        <v>66</v>
      </c>
      <c r="D1" s="98"/>
      <c r="E1" s="99">
        <f>DATE(祝日!E1, 4, 30)</f>
        <v>46507</v>
      </c>
      <c r="F1" s="100"/>
      <c r="G1" s="100"/>
      <c r="H1" s="100"/>
      <c r="I1" s="101" t="str">
        <f>TEXT(E1,"aaaa")</f>
        <v>金曜日</v>
      </c>
      <c r="J1" s="101"/>
      <c r="K1" s="101"/>
      <c r="L1" s="101"/>
      <c r="M1" s="4"/>
      <c r="N1" s="55" t="s">
        <v>67</v>
      </c>
      <c r="O1" s="55" t="s">
        <v>5</v>
      </c>
    </row>
    <row r="2" spans="1:15" ht="12.75" customHeight="1" x14ac:dyDescent="0.15">
      <c r="A2" s="102"/>
      <c r="B2" s="103"/>
      <c r="C2" s="102"/>
      <c r="D2" s="108"/>
      <c r="E2" s="111"/>
      <c r="F2" s="112"/>
      <c r="G2" s="112"/>
      <c r="H2" s="112"/>
      <c r="I2" s="112"/>
      <c r="J2" s="112"/>
      <c r="K2" s="112"/>
      <c r="L2" s="113"/>
      <c r="M2" s="6"/>
      <c r="N2" s="7"/>
      <c r="O2" s="8"/>
    </row>
    <row r="3" spans="1:15" ht="12.75" customHeight="1" x14ac:dyDescent="0.15">
      <c r="A3" s="104"/>
      <c r="B3" s="105"/>
      <c r="C3" s="104"/>
      <c r="D3" s="109"/>
      <c r="E3" s="9"/>
      <c r="F3" s="54" t="s">
        <v>64</v>
      </c>
      <c r="G3" s="182"/>
      <c r="H3" s="182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06"/>
      <c r="B4" s="107"/>
      <c r="C4" s="106"/>
      <c r="D4" s="110"/>
      <c r="E4" s="12"/>
      <c r="F4" s="11"/>
      <c r="G4" s="11"/>
      <c r="H4" s="11"/>
      <c r="I4" s="107"/>
      <c r="J4" s="107"/>
      <c r="K4" s="107"/>
      <c r="L4" s="107"/>
      <c r="M4" s="11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19" t="s">
        <v>24</v>
      </c>
      <c r="D5" s="119"/>
      <c r="E5" s="119" t="s">
        <v>25</v>
      </c>
      <c r="F5" s="120"/>
      <c r="G5" s="119" t="s">
        <v>26</v>
      </c>
      <c r="H5" s="119"/>
      <c r="I5" s="119" t="s">
        <v>27</v>
      </c>
      <c r="J5" s="120"/>
      <c r="K5" s="119" t="s">
        <v>28</v>
      </c>
      <c r="L5" s="119"/>
      <c r="M5" s="16"/>
      <c r="N5" s="14" t="s">
        <v>0</v>
      </c>
      <c r="O5" s="17" t="s">
        <v>1</v>
      </c>
    </row>
    <row r="6" spans="1:15" ht="12.75" customHeight="1" x14ac:dyDescent="0.15">
      <c r="A6" s="11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1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1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1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16" t="s">
        <v>24</v>
      </c>
      <c r="D10" s="117"/>
      <c r="E10" s="116" t="s">
        <v>25</v>
      </c>
      <c r="F10" s="116"/>
      <c r="G10" s="118" t="s">
        <v>26</v>
      </c>
      <c r="H10" s="116"/>
      <c r="I10" s="116" t="s">
        <v>27</v>
      </c>
      <c r="J10" s="116"/>
      <c r="K10" s="116" t="s">
        <v>28</v>
      </c>
      <c r="L10" s="116"/>
      <c r="M10" s="16"/>
      <c r="N10" s="14" t="s">
        <v>10</v>
      </c>
      <c r="O10" s="17" t="s">
        <v>1</v>
      </c>
    </row>
    <row r="11" spans="1:15" ht="12.75" customHeight="1" x14ac:dyDescent="0.15">
      <c r="A11" s="11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1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1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1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19" t="s">
        <v>24</v>
      </c>
      <c r="D15" s="120"/>
      <c r="E15" s="119" t="s">
        <v>25</v>
      </c>
      <c r="F15" s="119"/>
      <c r="G15" s="121" t="s">
        <v>26</v>
      </c>
      <c r="H15" s="119"/>
      <c r="I15" s="119" t="s">
        <v>27</v>
      </c>
      <c r="J15" s="119"/>
      <c r="K15" s="119" t="s">
        <v>28</v>
      </c>
      <c r="L15" s="119"/>
      <c r="M15" s="16"/>
      <c r="N15" s="14" t="s">
        <v>10</v>
      </c>
      <c r="O15" s="17" t="s">
        <v>1</v>
      </c>
    </row>
    <row r="16" spans="1:15" ht="12.75" customHeight="1" x14ac:dyDescent="0.15">
      <c r="A16" s="11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1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1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1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19" t="s">
        <v>24</v>
      </c>
      <c r="D20" s="120"/>
      <c r="E20" s="119" t="s">
        <v>25</v>
      </c>
      <c r="F20" s="119"/>
      <c r="G20" s="121" t="s">
        <v>26</v>
      </c>
      <c r="H20" s="119"/>
      <c r="I20" s="119" t="s">
        <v>27</v>
      </c>
      <c r="J20" s="119"/>
      <c r="K20" s="119" t="s">
        <v>28</v>
      </c>
      <c r="L20" s="119"/>
      <c r="M20" s="16"/>
      <c r="N20" s="14" t="s">
        <v>10</v>
      </c>
      <c r="O20" s="17" t="s">
        <v>1</v>
      </c>
    </row>
    <row r="21" spans="1:15" ht="12.75" customHeight="1" x14ac:dyDescent="0.15">
      <c r="A21" s="11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1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1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2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19" t="s">
        <v>24</v>
      </c>
      <c r="D25" s="120"/>
      <c r="E25" s="119" t="s">
        <v>25</v>
      </c>
      <c r="F25" s="119"/>
      <c r="G25" s="121" t="s">
        <v>26</v>
      </c>
      <c r="H25" s="119"/>
      <c r="I25" s="119" t="s">
        <v>27</v>
      </c>
      <c r="J25" s="119"/>
      <c r="K25" s="119" t="s">
        <v>28</v>
      </c>
      <c r="L25" s="119"/>
      <c r="M25" s="16"/>
      <c r="N25" s="14" t="s">
        <v>10</v>
      </c>
      <c r="O25" s="17" t="s">
        <v>1</v>
      </c>
    </row>
    <row r="26" spans="1:15" ht="12.75" customHeight="1" x14ac:dyDescent="0.15">
      <c r="A26" s="11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1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1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1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19" t="s">
        <v>24</v>
      </c>
      <c r="D30" s="120"/>
      <c r="E30" s="119" t="s">
        <v>25</v>
      </c>
      <c r="F30" s="119"/>
      <c r="G30" s="121" t="s">
        <v>26</v>
      </c>
      <c r="H30" s="119"/>
      <c r="I30" s="119" t="s">
        <v>27</v>
      </c>
      <c r="J30" s="119"/>
      <c r="K30" s="119" t="s">
        <v>28</v>
      </c>
      <c r="L30" s="119"/>
      <c r="M30" s="16"/>
      <c r="N30" s="60" t="s">
        <v>10</v>
      </c>
      <c r="O30" s="17" t="s">
        <v>1</v>
      </c>
    </row>
    <row r="31" spans="1:15" ht="12.75" customHeight="1" x14ac:dyDescent="0.15">
      <c r="A31" s="11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1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1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1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26" t="s">
        <v>11</v>
      </c>
      <c r="B35" s="127"/>
      <c r="C35" s="119" t="s">
        <v>29</v>
      </c>
      <c r="D35" s="119"/>
      <c r="E35" s="119" t="s">
        <v>33</v>
      </c>
      <c r="F35" s="119"/>
      <c r="G35" s="119" t="s">
        <v>2</v>
      </c>
      <c r="H35" s="119"/>
      <c r="I35" s="119" t="s">
        <v>31</v>
      </c>
      <c r="J35" s="119"/>
      <c r="K35" s="119" t="s">
        <v>34</v>
      </c>
      <c r="L35" s="119"/>
      <c r="M35" s="16"/>
      <c r="N35" s="14" t="s">
        <v>10</v>
      </c>
      <c r="O35" s="17" t="s">
        <v>1</v>
      </c>
    </row>
    <row r="36" spans="1:19" ht="12.75" customHeight="1" x14ac:dyDescent="0.15">
      <c r="A36" s="123" t="s">
        <v>36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8" t="s">
        <v>37</v>
      </c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26" t="s">
        <v>9</v>
      </c>
      <c r="B38" s="127"/>
      <c r="C38" s="119" t="s">
        <v>29</v>
      </c>
      <c r="D38" s="119"/>
      <c r="E38" s="119" t="s">
        <v>33</v>
      </c>
      <c r="F38" s="119"/>
      <c r="G38" s="119" t="s">
        <v>2</v>
      </c>
      <c r="H38" s="119"/>
      <c r="I38" s="119" t="s">
        <v>31</v>
      </c>
      <c r="J38" s="119"/>
      <c r="K38" s="119" t="s">
        <v>34</v>
      </c>
      <c r="L38" s="119"/>
      <c r="M38" s="16"/>
      <c r="N38" s="14" t="s">
        <v>0</v>
      </c>
      <c r="O38" s="17" t="s">
        <v>1</v>
      </c>
    </row>
    <row r="39" spans="1:19" ht="12.75" customHeight="1" x14ac:dyDescent="0.15">
      <c r="A39" s="123" t="s">
        <v>61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3" t="s">
        <v>52</v>
      </c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3" t="s">
        <v>51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1" t="s">
        <v>54</v>
      </c>
      <c r="B42" s="132"/>
      <c r="C42" s="119" t="s">
        <v>29</v>
      </c>
      <c r="D42" s="119"/>
      <c r="E42" s="119" t="s">
        <v>33</v>
      </c>
      <c r="F42" s="119"/>
      <c r="G42" s="119" t="s">
        <v>2</v>
      </c>
      <c r="H42" s="119"/>
      <c r="I42" s="119" t="s">
        <v>31</v>
      </c>
      <c r="J42" s="119"/>
      <c r="K42" s="119" t="s">
        <v>34</v>
      </c>
      <c r="L42" s="133"/>
      <c r="M42" s="49"/>
      <c r="N42" s="14" t="s">
        <v>10</v>
      </c>
      <c r="O42" s="17" t="s">
        <v>1</v>
      </c>
    </row>
    <row r="43" spans="1:19" ht="12.75" customHeight="1" x14ac:dyDescent="0.15">
      <c r="A43" s="123" t="s">
        <v>35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3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25"/>
      <c r="D44" s="125"/>
      <c r="E44" s="125"/>
      <c r="F44" s="125"/>
      <c r="G44" s="125"/>
      <c r="H44" s="125"/>
      <c r="I44" s="125"/>
      <c r="J44" s="125"/>
      <c r="K44" s="125"/>
      <c r="L44" s="136"/>
      <c r="M44" s="50"/>
      <c r="N44" s="46"/>
      <c r="O44" s="42" t="str">
        <f t="shared" si="0"/>
        <v/>
      </c>
    </row>
    <row r="45" spans="1:19" ht="12.75" customHeight="1" x14ac:dyDescent="0.15">
      <c r="A45" s="123" t="s">
        <v>38</v>
      </c>
      <c r="B45" s="124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36"/>
      <c r="M45" s="50"/>
      <c r="N45" s="46"/>
      <c r="O45" s="42" t="str">
        <f t="shared" si="0"/>
        <v/>
      </c>
    </row>
    <row r="46" spans="1:19" ht="12.75" customHeight="1" x14ac:dyDescent="0.15">
      <c r="A46" s="123" t="s">
        <v>53</v>
      </c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36"/>
      <c r="M46" s="50"/>
      <c r="N46" s="46"/>
      <c r="O46" s="42" t="str">
        <f t="shared" si="0"/>
        <v/>
      </c>
    </row>
    <row r="47" spans="1:19" ht="12.75" customHeight="1" x14ac:dyDescent="0.15">
      <c r="A47" s="123" t="s">
        <v>39</v>
      </c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36"/>
      <c r="M47" s="50"/>
      <c r="N47" s="46"/>
      <c r="O47" s="42" t="str">
        <f t="shared" si="0"/>
        <v/>
      </c>
    </row>
    <row r="48" spans="1:19" ht="12.75" customHeight="1" x14ac:dyDescent="0.15">
      <c r="A48" s="123" t="s">
        <v>55</v>
      </c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36"/>
      <c r="M48" s="50"/>
      <c r="N48" s="46"/>
      <c r="O48" s="42" t="str">
        <f t="shared" si="0"/>
        <v/>
      </c>
    </row>
    <row r="49" spans="1:15" ht="12.75" customHeight="1" x14ac:dyDescent="0.15">
      <c r="A49" s="123" t="s">
        <v>12</v>
      </c>
      <c r="B49" s="124"/>
      <c r="C49" s="139"/>
      <c r="D49" s="139"/>
      <c r="E49" s="139"/>
      <c r="F49" s="139"/>
      <c r="G49" s="125"/>
      <c r="H49" s="125"/>
      <c r="I49" s="125"/>
      <c r="J49" s="125"/>
      <c r="K49" s="125"/>
      <c r="L49" s="136"/>
      <c r="M49" s="50"/>
      <c r="N49" s="46"/>
      <c r="O49" s="42" t="str">
        <f t="shared" si="0"/>
        <v/>
      </c>
    </row>
    <row r="50" spans="1:15" ht="12.75" customHeight="1" thickBot="1" x14ac:dyDescent="0.2">
      <c r="A50" s="128" t="s">
        <v>37</v>
      </c>
      <c r="B50" s="129"/>
      <c r="C50" s="130"/>
      <c r="D50" s="130"/>
      <c r="E50" s="130"/>
      <c r="F50" s="130"/>
      <c r="G50" s="137"/>
      <c r="H50" s="130"/>
      <c r="I50" s="130"/>
      <c r="J50" s="130"/>
      <c r="K50" s="130"/>
      <c r="L50" s="13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40" t="s">
        <v>13</v>
      </c>
      <c r="B51" s="141"/>
      <c r="C51" s="153"/>
      <c r="D51" s="154"/>
      <c r="E51" s="155" t="s">
        <v>40</v>
      </c>
      <c r="F51" s="156"/>
      <c r="G51" s="157" t="s">
        <v>65</v>
      </c>
      <c r="H51" s="158"/>
      <c r="I51" s="158"/>
      <c r="J51" s="158"/>
      <c r="K51" s="158"/>
      <c r="L51" s="158"/>
      <c r="M51" s="158"/>
      <c r="N51" s="158"/>
      <c r="O51" s="159"/>
    </row>
    <row r="52" spans="1:15" ht="12.75" customHeight="1" x14ac:dyDescent="0.15">
      <c r="A52" s="149" t="s">
        <v>14</v>
      </c>
      <c r="B52" s="150"/>
      <c r="C52" s="160"/>
      <c r="D52" s="161"/>
      <c r="E52" s="144" t="s">
        <v>49</v>
      </c>
      <c r="F52" s="145"/>
      <c r="G52" s="146"/>
      <c r="H52" s="147"/>
      <c r="I52" s="147"/>
      <c r="J52" s="147"/>
      <c r="K52" s="147"/>
      <c r="L52" s="147"/>
      <c r="M52" s="147"/>
      <c r="N52" s="147"/>
      <c r="O52" s="148"/>
    </row>
    <row r="53" spans="1:15" ht="12.75" customHeight="1" x14ac:dyDescent="0.15">
      <c r="A53" s="140" t="s">
        <v>22</v>
      </c>
      <c r="B53" s="141"/>
      <c r="C53" s="142"/>
      <c r="D53" s="143"/>
      <c r="E53" s="144" t="s">
        <v>49</v>
      </c>
      <c r="F53" s="145"/>
      <c r="G53" s="146"/>
      <c r="H53" s="147"/>
      <c r="I53" s="147"/>
      <c r="J53" s="147"/>
      <c r="K53" s="147"/>
      <c r="L53" s="147"/>
      <c r="M53" s="147"/>
      <c r="N53" s="147"/>
      <c r="O53" s="148"/>
    </row>
    <row r="54" spans="1:15" ht="12.75" customHeight="1" x14ac:dyDescent="0.15">
      <c r="A54" s="149" t="s">
        <v>15</v>
      </c>
      <c r="B54" s="150"/>
      <c r="C54" s="151"/>
      <c r="D54" s="152"/>
      <c r="E54" s="144" t="s">
        <v>49</v>
      </c>
      <c r="F54" s="145"/>
      <c r="G54" s="146"/>
      <c r="H54" s="147"/>
      <c r="I54" s="147"/>
      <c r="J54" s="147"/>
      <c r="K54" s="147"/>
      <c r="L54" s="147"/>
      <c r="M54" s="147"/>
      <c r="N54" s="147"/>
      <c r="O54" s="148"/>
    </row>
    <row r="55" spans="1:15" ht="12.75" customHeight="1" thickBot="1" x14ac:dyDescent="0.2">
      <c r="A55" s="140" t="s">
        <v>19</v>
      </c>
      <c r="B55" s="141"/>
      <c r="C55" s="142"/>
      <c r="D55" s="143"/>
      <c r="E55" s="144" t="s">
        <v>43</v>
      </c>
      <c r="F55" s="145"/>
      <c r="G55" s="168"/>
      <c r="H55" s="169"/>
      <c r="I55" s="169"/>
      <c r="J55" s="169"/>
      <c r="K55" s="169"/>
      <c r="L55" s="169"/>
      <c r="M55" s="169"/>
      <c r="N55" s="169"/>
      <c r="O55" s="170"/>
    </row>
    <row r="56" spans="1:15" ht="12.75" customHeight="1" x14ac:dyDescent="0.15">
      <c r="A56" s="149" t="s">
        <v>21</v>
      </c>
      <c r="B56" s="150"/>
      <c r="C56" s="142"/>
      <c r="D56" s="143"/>
      <c r="E56" s="144" t="s">
        <v>41</v>
      </c>
      <c r="F56" s="14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40" t="s">
        <v>16</v>
      </c>
      <c r="B57" s="141"/>
      <c r="C57" s="162"/>
      <c r="D57" s="163"/>
      <c r="E57" s="144" t="s">
        <v>42</v>
      </c>
      <c r="F57" s="145"/>
      <c r="G57" s="164"/>
      <c r="H57" s="165"/>
      <c r="I57" s="165"/>
      <c r="J57" s="165"/>
      <c r="K57" s="165"/>
      <c r="L57" s="165"/>
      <c r="M57" s="165"/>
      <c r="N57" s="165"/>
      <c r="O57" s="166"/>
    </row>
    <row r="58" spans="1:15" ht="12.75" customHeight="1" x14ac:dyDescent="0.15">
      <c r="A58" s="149" t="s">
        <v>17</v>
      </c>
      <c r="B58" s="167"/>
      <c r="C58" s="142"/>
      <c r="D58" s="143"/>
      <c r="E58" s="53" t="s">
        <v>41</v>
      </c>
      <c r="F58" s="64"/>
      <c r="G58" s="146"/>
      <c r="H58" s="147"/>
      <c r="I58" s="147"/>
      <c r="J58" s="147"/>
      <c r="K58" s="147"/>
      <c r="L58" s="147"/>
      <c r="M58" s="147"/>
      <c r="N58" s="147"/>
      <c r="O58" s="148"/>
    </row>
    <row r="59" spans="1:15" ht="12.75" customHeight="1" thickBot="1" x14ac:dyDescent="0.2">
      <c r="A59" s="174" t="s">
        <v>18</v>
      </c>
      <c r="B59" s="175"/>
      <c r="C59" s="176"/>
      <c r="D59" s="137"/>
      <c r="E59" s="177" t="s">
        <v>41</v>
      </c>
      <c r="F59" s="178"/>
      <c r="G59" s="179"/>
      <c r="H59" s="180"/>
      <c r="I59" s="180"/>
      <c r="J59" s="180"/>
      <c r="K59" s="180"/>
      <c r="L59" s="180"/>
      <c r="M59" s="180"/>
      <c r="N59" s="180"/>
      <c r="O59" s="181"/>
    </row>
    <row r="60" spans="1:15" ht="12.75" customHeight="1" x14ac:dyDescent="0.15">
      <c r="A60" s="157" t="s">
        <v>20</v>
      </c>
      <c r="B60" s="158"/>
      <c r="C60" s="158"/>
      <c r="D60" s="158"/>
      <c r="E60" s="158"/>
      <c r="F60" s="158"/>
      <c r="G60" s="146" t="s">
        <v>32</v>
      </c>
      <c r="H60" s="147"/>
      <c r="I60" s="147"/>
      <c r="J60" s="147"/>
      <c r="K60" s="147"/>
      <c r="L60" s="147"/>
      <c r="M60" s="147"/>
      <c r="N60" s="147"/>
      <c r="O60" s="148"/>
    </row>
    <row r="61" spans="1:15" ht="12.75" customHeight="1" x14ac:dyDescent="0.15">
      <c r="A61" s="146"/>
      <c r="B61" s="147"/>
      <c r="C61" s="147"/>
      <c r="D61" s="147"/>
      <c r="E61" s="147"/>
      <c r="F61" s="147"/>
      <c r="G61" s="146"/>
      <c r="H61" s="147"/>
      <c r="I61" s="147"/>
      <c r="J61" s="147"/>
      <c r="K61" s="147"/>
      <c r="L61" s="147"/>
      <c r="M61" s="147"/>
      <c r="N61" s="147"/>
      <c r="O61" s="148"/>
    </row>
    <row r="62" spans="1:15" ht="12.75" customHeight="1" thickBot="1" x14ac:dyDescent="0.2">
      <c r="A62" s="171"/>
      <c r="B62" s="172"/>
      <c r="C62" s="172"/>
      <c r="D62" s="172"/>
      <c r="E62" s="172"/>
      <c r="F62" s="172"/>
      <c r="G62" s="171"/>
      <c r="H62" s="172"/>
      <c r="I62" s="172"/>
      <c r="J62" s="172"/>
      <c r="K62" s="172"/>
      <c r="L62" s="172"/>
      <c r="M62" s="172"/>
      <c r="N62" s="172"/>
      <c r="O62" s="173"/>
    </row>
    <row r="66" spans="1:9" x14ac:dyDescent="0.15">
      <c r="A66" s="147"/>
      <c r="B66" s="147"/>
      <c r="C66" s="147"/>
      <c r="D66" s="147"/>
      <c r="E66" s="147"/>
      <c r="F66" s="147"/>
      <c r="G66" s="147"/>
      <c r="H66" s="147"/>
      <c r="I66" s="14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36:O37 M16:O19 M11:O14 C43:O50 M31:O34 D59 M21:O24 M26:O29 C39:O41 N6:O9 D51:D57 C51:C59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tabSelected="1" workbookViewId="0">
      <selection activeCell="I21" sqref="I21"/>
    </sheetView>
  </sheetViews>
  <sheetFormatPr defaultRowHeight="13.5" x14ac:dyDescent="0.15"/>
  <cols>
    <col min="1" max="1" width="13.875" style="74" customWidth="1"/>
    <col min="2" max="2" width="16.375" style="73" customWidth="1"/>
    <col min="3" max="3" width="16.375" style="92" customWidth="1"/>
    <col min="4" max="4" width="16.375" style="73" customWidth="1"/>
    <col min="5" max="5" width="15.625" style="71" customWidth="1"/>
    <col min="6" max="16384" width="9" style="70"/>
  </cols>
  <sheetData>
    <row r="1" spans="1:5" x14ac:dyDescent="0.15">
      <c r="A1" s="75">
        <f>DATE(E1,4,29)</f>
        <v>46506</v>
      </c>
      <c r="B1" s="76" t="s">
        <v>73</v>
      </c>
      <c r="C1" s="77">
        <f>DATE(E1+1,1,1)</f>
        <v>46753</v>
      </c>
      <c r="D1" s="76" t="s">
        <v>68</v>
      </c>
      <c r="E1" s="78">
        <v>2027</v>
      </c>
    </row>
    <row r="2" spans="1:5" x14ac:dyDescent="0.15">
      <c r="A2" s="79">
        <f>DATE(E1,5,3)</f>
        <v>46510</v>
      </c>
      <c r="B2" s="80" t="s">
        <v>74</v>
      </c>
      <c r="C2" s="81">
        <f>DATE(E1+1,1,10)</f>
        <v>46762</v>
      </c>
      <c r="D2" s="80" t="s">
        <v>69</v>
      </c>
      <c r="E2" s="82"/>
    </row>
    <row r="3" spans="1:5" x14ac:dyDescent="0.15">
      <c r="A3" s="79">
        <f>DATE(E1,5,4)</f>
        <v>46511</v>
      </c>
      <c r="B3" s="80" t="s">
        <v>75</v>
      </c>
      <c r="C3" s="81">
        <f>DATE(E1+1,2,11)</f>
        <v>46794</v>
      </c>
      <c r="D3" s="80" t="s">
        <v>70</v>
      </c>
      <c r="E3" s="82"/>
    </row>
    <row r="4" spans="1:5" x14ac:dyDescent="0.15">
      <c r="A4" s="79">
        <f>DATE(E1,5,5)</f>
        <v>46512</v>
      </c>
      <c r="B4" s="80" t="s">
        <v>76</v>
      </c>
      <c r="C4" s="81">
        <f>DATE(E1+1,2,23)</f>
        <v>46806</v>
      </c>
      <c r="D4" s="80" t="s">
        <v>71</v>
      </c>
      <c r="E4" s="82"/>
    </row>
    <row r="5" spans="1:5" x14ac:dyDescent="0.15">
      <c r="A5" s="79">
        <f>DATE(E1,7,19)</f>
        <v>46587</v>
      </c>
      <c r="B5" s="80" t="s">
        <v>77</v>
      </c>
      <c r="C5" s="81">
        <f>DATE(E1+1,3,20)</f>
        <v>46832</v>
      </c>
      <c r="D5" s="80" t="s">
        <v>72</v>
      </c>
      <c r="E5" s="82"/>
    </row>
    <row r="6" spans="1:5" x14ac:dyDescent="0.15">
      <c r="A6" s="79">
        <f>DATE(E1,8,11)</f>
        <v>46610</v>
      </c>
      <c r="B6" s="80" t="s">
        <v>78</v>
      </c>
      <c r="C6" s="89"/>
      <c r="D6" s="80"/>
      <c r="E6" s="82"/>
    </row>
    <row r="7" spans="1:5" x14ac:dyDescent="0.15">
      <c r="A7" s="79">
        <f>DATE(E1,9,20)</f>
        <v>46650</v>
      </c>
      <c r="B7" s="80" t="s">
        <v>79</v>
      </c>
      <c r="C7" s="89"/>
      <c r="D7" s="80"/>
      <c r="E7" s="82"/>
    </row>
    <row r="8" spans="1:5" x14ac:dyDescent="0.15">
      <c r="A8" s="79">
        <f>DATE(E1,9,23)</f>
        <v>46653</v>
      </c>
      <c r="B8" s="80" t="s">
        <v>86</v>
      </c>
      <c r="C8" s="89"/>
      <c r="D8" s="80"/>
      <c r="E8" s="82"/>
    </row>
    <row r="9" spans="1:5" x14ac:dyDescent="0.15">
      <c r="A9" s="79">
        <f>DATE(E1,10,11)</f>
        <v>46671</v>
      </c>
      <c r="B9" s="80" t="s">
        <v>80</v>
      </c>
      <c r="C9" s="89"/>
      <c r="D9" s="80"/>
      <c r="E9" s="82"/>
    </row>
    <row r="10" spans="1:5" x14ac:dyDescent="0.15">
      <c r="A10" s="79">
        <f>DATE(E1,11,3)</f>
        <v>46694</v>
      </c>
      <c r="B10" s="80" t="s">
        <v>81</v>
      </c>
      <c r="C10" s="89"/>
      <c r="D10" s="80"/>
      <c r="E10" s="82"/>
    </row>
    <row r="11" spans="1:5" x14ac:dyDescent="0.15">
      <c r="A11" s="79">
        <f>DATE(E1,11,23)</f>
        <v>46714</v>
      </c>
      <c r="B11" s="80" t="s">
        <v>82</v>
      </c>
      <c r="C11" s="89"/>
      <c r="D11" s="80"/>
      <c r="E11" s="82"/>
    </row>
    <row r="12" spans="1:5" x14ac:dyDescent="0.15">
      <c r="A12" s="79"/>
      <c r="B12" s="80"/>
      <c r="C12" s="89"/>
      <c r="D12" s="80"/>
      <c r="E12" s="82"/>
    </row>
    <row r="13" spans="1:5" x14ac:dyDescent="0.15">
      <c r="A13" s="79"/>
      <c r="B13" s="80"/>
      <c r="C13" s="89"/>
      <c r="D13" s="80"/>
      <c r="E13" s="82"/>
    </row>
    <row r="14" spans="1:5" x14ac:dyDescent="0.15">
      <c r="A14" s="79"/>
      <c r="B14" s="80"/>
      <c r="C14" s="89"/>
      <c r="D14" s="80"/>
      <c r="E14" s="82"/>
    </row>
    <row r="15" spans="1:5" x14ac:dyDescent="0.15">
      <c r="A15" s="79"/>
      <c r="B15" s="80"/>
      <c r="C15" s="89"/>
      <c r="D15" s="80"/>
      <c r="E15" s="82"/>
    </row>
    <row r="16" spans="1:5" x14ac:dyDescent="0.15">
      <c r="A16" s="79"/>
      <c r="B16" s="80"/>
      <c r="C16" s="89"/>
      <c r="D16" s="80"/>
      <c r="E16" s="82"/>
    </row>
    <row r="17" spans="1:5" x14ac:dyDescent="0.15">
      <c r="A17" s="83"/>
      <c r="B17" s="84"/>
      <c r="C17" s="90"/>
      <c r="D17" s="84"/>
      <c r="E17" s="85"/>
    </row>
    <row r="18" spans="1:5" x14ac:dyDescent="0.15">
      <c r="A18" s="83"/>
      <c r="B18" s="84"/>
      <c r="C18" s="90"/>
      <c r="D18" s="84"/>
      <c r="E18" s="85"/>
    </row>
    <row r="19" spans="1:5" x14ac:dyDescent="0.15">
      <c r="A19" s="83"/>
      <c r="B19" s="84"/>
      <c r="C19" s="90"/>
      <c r="D19" s="84"/>
      <c r="E19" s="85"/>
    </row>
    <row r="20" spans="1:5" x14ac:dyDescent="0.15">
      <c r="A20" s="86"/>
      <c r="B20" s="87"/>
      <c r="C20" s="91"/>
      <c r="D20" s="87"/>
      <c r="E20" s="8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30</vt:i4>
      </vt:variant>
    </vt:vector>
  </HeadingPairs>
  <TitlesOfParts>
    <vt:vector size="62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2026-04-02T22:30:41Z</cp:lastPrinted>
  <dcterms:created xsi:type="dcterms:W3CDTF">2006-10-04T10:30:20Z</dcterms:created>
  <dcterms:modified xsi:type="dcterms:W3CDTF">2026-04-08T00:52:01Z</dcterms:modified>
</cp:coreProperties>
</file>