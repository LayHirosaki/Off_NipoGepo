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Desktop\R８年度一式\"/>
    </mc:Choice>
  </mc:AlternateContent>
  <xr:revisionPtr revIDLastSave="0" documentId="8_{DFCD1240-CE6E-419F-B964-7BFDB82099F7}" xr6:coauthVersionLast="47" xr6:coauthVersionMax="47" xr10:uidLastSave="{00000000-0000-0000-0000-000000000000}"/>
  <bookViews>
    <workbookView xWindow="2340" yWindow="720" windowWidth="15120" windowHeight="15480" tabRatio="819" activeTab="3" xr2:uid="{2AD8DE8C-9547-419C-90AE-293E0C98334E}"/>
  </bookViews>
  <sheets>
    <sheet name="薬品・消耗品" sheetId="1" r:id="rId1"/>
    <sheet name="クレーン" sheetId="2" r:id="rId2"/>
    <sheet name="機械整備" sheetId="4" r:id="rId3"/>
    <sheet name="重機・自動車" sheetId="5" r:id="rId4"/>
    <sheet name="委託工事・検査" sheetId="6" r:id="rId5"/>
    <sheet name="オイル" sheetId="9" r:id="rId6"/>
    <sheet name="水処理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5" i="1" l="1"/>
  <c r="N65" i="1"/>
  <c r="N66" i="1"/>
  <c r="M65" i="1"/>
  <c r="L65" i="1"/>
  <c r="L66" i="1"/>
  <c r="K65" i="1"/>
  <c r="J65" i="1"/>
  <c r="J66" i="1"/>
  <c r="I65" i="1"/>
  <c r="H65" i="1"/>
  <c r="H66" i="1"/>
  <c r="G65" i="1"/>
  <c r="F65" i="1"/>
  <c r="E65" i="1"/>
  <c r="D65" i="1"/>
  <c r="C65" i="1"/>
  <c r="B65" i="1"/>
  <c r="B66" i="1"/>
  <c r="O30" i="1"/>
  <c r="N30" i="1"/>
  <c r="N31" i="1"/>
  <c r="M30" i="1"/>
  <c r="L30" i="1"/>
  <c r="L31" i="1"/>
  <c r="K30" i="1"/>
  <c r="J30" i="1"/>
  <c r="J31" i="1"/>
  <c r="I30" i="1"/>
  <c r="H30" i="1"/>
  <c r="G30" i="1"/>
  <c r="F30" i="1"/>
  <c r="E30" i="1"/>
  <c r="D31" i="1"/>
  <c r="D30" i="1"/>
  <c r="C30" i="1"/>
  <c r="B30" i="1"/>
  <c r="B31" i="1"/>
  <c r="D11" i="9"/>
  <c r="D13" i="9"/>
  <c r="J11" i="9"/>
  <c r="M11" i="9"/>
  <c r="M13" i="9"/>
  <c r="J12" i="9"/>
  <c r="J13" i="9"/>
  <c r="M12" i="9"/>
  <c r="B13" i="9"/>
  <c r="E13" i="9"/>
  <c r="G13" i="9"/>
  <c r="H13" i="9"/>
  <c r="K13" i="9"/>
  <c r="D18" i="9"/>
  <c r="G18" i="9"/>
  <c r="L18" i="9"/>
  <c r="J18" i="9"/>
  <c r="D19" i="9"/>
  <c r="L19" i="9"/>
  <c r="G19" i="9"/>
  <c r="J19" i="9"/>
  <c r="D20" i="9"/>
  <c r="G20" i="9"/>
  <c r="J20" i="9"/>
  <c r="L20" i="9"/>
  <c r="J21" i="9"/>
  <c r="L21" i="9"/>
  <c r="D66" i="1"/>
  <c r="B14" i="9"/>
  <c r="C22" i="9"/>
</calcChain>
</file>

<file path=xl/sharedStrings.xml><?xml version="1.0" encoding="utf-8"?>
<sst xmlns="http://schemas.openxmlformats.org/spreadsheetml/2006/main" count="149" uniqueCount="73">
  <si>
    <t>補充</t>
    <rPh sb="0" eb="2">
      <t>ホジュウ</t>
    </rPh>
    <phoneticPr fontId="1"/>
  </si>
  <si>
    <t>入荷</t>
    <rPh sb="0" eb="2">
      <t>ニュウカ</t>
    </rPh>
    <phoneticPr fontId="1"/>
  </si>
  <si>
    <t>活性炭(kg)</t>
    <rPh sb="0" eb="3">
      <t>カッセイタン</t>
    </rPh>
    <phoneticPr fontId="1"/>
  </si>
  <si>
    <t>消石灰(kg)</t>
    <rPh sb="0" eb="3">
      <t>ショウセッカイ</t>
    </rPh>
    <phoneticPr fontId="1"/>
  </si>
  <si>
    <t>入荷及び補充</t>
    <rPh sb="0" eb="2">
      <t>ニュウカ</t>
    </rPh>
    <rPh sb="2" eb="3">
      <t>オヨ</t>
    </rPh>
    <rPh sb="4" eb="6">
      <t>ホジュウ</t>
    </rPh>
    <phoneticPr fontId="1"/>
  </si>
  <si>
    <t>日付</t>
    <rPh sb="0" eb="2">
      <t>ヒヅケ</t>
    </rPh>
    <phoneticPr fontId="1"/>
  </si>
  <si>
    <t>合 計</t>
    <rPh sb="0" eb="1">
      <t>ゴウ</t>
    </rPh>
    <rPh sb="2" eb="3">
      <t>ケイ</t>
    </rPh>
    <phoneticPr fontId="1"/>
  </si>
  <si>
    <t>（在庫）</t>
    <rPh sb="1" eb="3">
      <t>ザイコ</t>
    </rPh>
    <phoneticPr fontId="1"/>
  </si>
  <si>
    <t>HCL等価液</t>
    <rPh sb="3" eb="5">
      <t>トウカ</t>
    </rPh>
    <rPh sb="5" eb="6">
      <t>エキ</t>
    </rPh>
    <phoneticPr fontId="1"/>
  </si>
  <si>
    <t>点検・修理箇所</t>
    <rPh sb="0" eb="2">
      <t>テンケン</t>
    </rPh>
    <rPh sb="3" eb="5">
      <t>シュウリ</t>
    </rPh>
    <rPh sb="5" eb="7">
      <t>カショ</t>
    </rPh>
    <phoneticPr fontId="1"/>
  </si>
  <si>
    <t>点検修理内容</t>
    <rPh sb="0" eb="2">
      <t>テンケン</t>
    </rPh>
    <rPh sb="2" eb="4">
      <t>シュウリ</t>
    </rPh>
    <rPh sb="4" eb="6">
      <t>ナイヨウ</t>
    </rPh>
    <phoneticPr fontId="1"/>
  </si>
  <si>
    <t>※クレーンオイル上#150/3.5L-下#56/18L</t>
    <rPh sb="8" eb="9">
      <t>ウエ</t>
    </rPh>
    <rPh sb="19" eb="20">
      <t>シタ</t>
    </rPh>
    <phoneticPr fontId="1"/>
  </si>
  <si>
    <t>備　　考</t>
    <rPh sb="0" eb="1">
      <t>ソナエ</t>
    </rPh>
    <rPh sb="3" eb="4">
      <t>コウ</t>
    </rPh>
    <phoneticPr fontId="1"/>
  </si>
  <si>
    <t>工事・検査箇所</t>
    <rPh sb="0" eb="2">
      <t>コウジ</t>
    </rPh>
    <rPh sb="3" eb="5">
      <t>ケンサ</t>
    </rPh>
    <rPh sb="5" eb="7">
      <t>カショ</t>
    </rPh>
    <phoneticPr fontId="1"/>
  </si>
  <si>
    <t>工事・検査内容</t>
    <rPh sb="0" eb="2">
      <t>コウジ</t>
    </rPh>
    <rPh sb="3" eb="5">
      <t>ケンサ</t>
    </rPh>
    <rPh sb="5" eb="7">
      <t>ナイヨウ</t>
    </rPh>
    <phoneticPr fontId="1"/>
  </si>
  <si>
    <t>無臭元</t>
    <rPh sb="0" eb="2">
      <t>ムシュウ</t>
    </rPh>
    <rPh sb="2" eb="3">
      <t>ゲン</t>
    </rPh>
    <phoneticPr fontId="1"/>
  </si>
  <si>
    <t>ＮＰ乳剤</t>
    <rPh sb="2" eb="4">
      <t>ニュウザイ</t>
    </rPh>
    <phoneticPr fontId="1"/>
  </si>
  <si>
    <t>ﾗﾊﾞﾄﾘｱﾝ顆粒</t>
    <rPh sb="7" eb="9">
      <t>カリュウ</t>
    </rPh>
    <phoneticPr fontId="1"/>
  </si>
  <si>
    <t>総計</t>
    <rPh sb="0" eb="2">
      <t>ソウケイ</t>
    </rPh>
    <phoneticPr fontId="1"/>
  </si>
  <si>
    <t>施設用オイル</t>
    <rPh sb="0" eb="2">
      <t>シセツ</t>
    </rPh>
    <rPh sb="2" eb="3">
      <t>ヨウ</t>
    </rPh>
    <phoneticPr fontId="1"/>
  </si>
  <si>
    <t>重機用オイル</t>
    <rPh sb="0" eb="2">
      <t>ジュウキ</t>
    </rPh>
    <rPh sb="2" eb="3">
      <t>ヨウ</t>
    </rPh>
    <rPh sb="3" eb="4">
      <t>セヨウ</t>
    </rPh>
    <phoneticPr fontId="1"/>
  </si>
  <si>
    <t>施設用グリス</t>
    <rPh sb="0" eb="2">
      <t>シセツ</t>
    </rPh>
    <rPh sb="2" eb="3">
      <t>ヨウ</t>
    </rPh>
    <phoneticPr fontId="1"/>
  </si>
  <si>
    <t>重機用グリス</t>
    <rPh sb="0" eb="2">
      <t>ジュウキ</t>
    </rPh>
    <rPh sb="2" eb="3">
      <t>ヨウ</t>
    </rPh>
    <rPh sb="3" eb="4">
      <t>セヨウ</t>
    </rPh>
    <phoneticPr fontId="1"/>
  </si>
  <si>
    <t>キレート剤（200ℓ）</t>
    <rPh sb="4" eb="5">
      <t>ザイ</t>
    </rPh>
    <phoneticPr fontId="1"/>
  </si>
  <si>
    <t>車検満了日</t>
    <rPh sb="0" eb="2">
      <t>シャケン</t>
    </rPh>
    <rPh sb="2" eb="4">
      <t>マンリョウ</t>
    </rPh>
    <rPh sb="4" eb="5">
      <t>ビ</t>
    </rPh>
    <phoneticPr fontId="1"/>
  </si>
  <si>
    <t>自賠責保険期間</t>
    <rPh sb="0" eb="3">
      <t>ジバイセキ</t>
    </rPh>
    <rPh sb="3" eb="5">
      <t>ホケン</t>
    </rPh>
    <rPh sb="5" eb="7">
      <t>キカン</t>
    </rPh>
    <phoneticPr fontId="1"/>
  </si>
  <si>
    <t>車　　種</t>
    <rPh sb="0" eb="1">
      <t>クルマ</t>
    </rPh>
    <rPh sb="3" eb="4">
      <t>タネ</t>
    </rPh>
    <phoneticPr fontId="1"/>
  </si>
  <si>
    <t>計</t>
    <rPh sb="0" eb="1">
      <t>ケイ</t>
    </rPh>
    <phoneticPr fontId="1"/>
  </si>
  <si>
    <t>金額</t>
    <rPh sb="0" eb="2">
      <t>キンガク</t>
    </rPh>
    <phoneticPr fontId="1"/>
  </si>
  <si>
    <t>単価</t>
    <rPh sb="0" eb="2">
      <t>タンカ</t>
    </rPh>
    <phoneticPr fontId="1"/>
  </si>
  <si>
    <t>(円)</t>
    <rPh sb="1" eb="2">
      <t>エン</t>
    </rPh>
    <phoneticPr fontId="1"/>
  </si>
  <si>
    <t>１月</t>
    <rPh sb="1" eb="2">
      <t>ガツ</t>
    </rPh>
    <phoneticPr fontId="1"/>
  </si>
  <si>
    <t>２月</t>
    <rPh sb="1" eb="2">
      <t>ガツ</t>
    </rPh>
    <phoneticPr fontId="1"/>
  </si>
  <si>
    <t>３月</t>
    <rPh sb="1" eb="2">
      <t>ガツ</t>
    </rPh>
    <phoneticPr fontId="1"/>
  </si>
  <si>
    <t>合　計</t>
    <rPh sb="0" eb="1">
      <t>ゴウ</t>
    </rPh>
    <rPh sb="2" eb="3">
      <t>ケイ</t>
    </rPh>
    <phoneticPr fontId="1"/>
  </si>
  <si>
    <t>軽油</t>
    <rPh sb="0" eb="2">
      <t>ケイユ</t>
    </rPh>
    <phoneticPr fontId="1"/>
  </si>
  <si>
    <t>灯油</t>
    <rPh sb="0" eb="2">
      <t>トウユ</t>
    </rPh>
    <phoneticPr fontId="1"/>
  </si>
  <si>
    <t>重油</t>
    <rPh sb="0" eb="2">
      <t>ジュウユ</t>
    </rPh>
    <phoneticPr fontId="1"/>
  </si>
  <si>
    <t>㍑</t>
    <phoneticPr fontId="1"/>
  </si>
  <si>
    <t>㍑</t>
    <phoneticPr fontId="1"/>
  </si>
  <si>
    <t>ガソリン</t>
    <phoneticPr fontId="1"/>
  </si>
  <si>
    <t>消費税</t>
    <rPh sb="0" eb="2">
      <t>ショウヒ</t>
    </rPh>
    <rPh sb="2" eb="3">
      <t>ゼイ</t>
    </rPh>
    <phoneticPr fontId="1"/>
  </si>
  <si>
    <t>ＨＣＬ吸収液</t>
    <rPh sb="3" eb="5">
      <t>キュウシュウ</t>
    </rPh>
    <rPh sb="5" eb="6">
      <t>エキ</t>
    </rPh>
    <phoneticPr fontId="1"/>
  </si>
  <si>
    <t>苛性ソーダ</t>
    <rPh sb="0" eb="2">
      <t>カセイ</t>
    </rPh>
    <phoneticPr fontId="1"/>
  </si>
  <si>
    <t>リン酸</t>
    <rPh sb="2" eb="3">
      <t>サン</t>
    </rPh>
    <phoneticPr fontId="1"/>
  </si>
  <si>
    <t>希硫酸</t>
    <rPh sb="0" eb="3">
      <t>キリュウサン</t>
    </rPh>
    <phoneticPr fontId="1"/>
  </si>
  <si>
    <r>
      <t>施設内連絡車（ハイエース）</t>
    </r>
    <r>
      <rPr>
        <sz val="8"/>
        <rFont val="HGS創英角ｺﾞｼｯｸUB"/>
        <family val="3"/>
        <charset val="128"/>
      </rPr>
      <t>ＣＭ65-0017125</t>
    </r>
    <rPh sb="0" eb="2">
      <t>シセツ</t>
    </rPh>
    <rPh sb="2" eb="3">
      <t>ナイ</t>
    </rPh>
    <rPh sb="3" eb="5">
      <t>レンラク</t>
    </rPh>
    <rPh sb="5" eb="6">
      <t>シャ</t>
    </rPh>
    <phoneticPr fontId="1"/>
  </si>
  <si>
    <r>
      <t>ロータリー専用車 (HTR251）</t>
    </r>
    <r>
      <rPr>
        <sz val="9"/>
        <rFont val="HGS創英角ｺﾞｼｯｸUB"/>
        <family val="3"/>
        <charset val="128"/>
      </rPr>
      <t>R03A－0050</t>
    </r>
    <rPh sb="5" eb="8">
      <t>センヨウシャ</t>
    </rPh>
    <phoneticPr fontId="1"/>
  </si>
  <si>
    <t>３tダンプ（旭川100さ4663）</t>
    <rPh sb="6" eb="8">
      <t>アサヒカワ</t>
    </rPh>
    <phoneticPr fontId="1"/>
  </si>
  <si>
    <t>タイヤショベル（旭川000る3391）</t>
    <rPh sb="8" eb="10">
      <t>アサヒカワ</t>
    </rPh>
    <phoneticPr fontId="1"/>
  </si>
  <si>
    <t>連絡車（旭川583う1471）</t>
    <rPh sb="0" eb="2">
      <t>レンラク</t>
    </rPh>
    <rPh sb="2" eb="3">
      <t>シャ</t>
    </rPh>
    <rPh sb="4" eb="6">
      <t>アサヒカワ</t>
    </rPh>
    <phoneticPr fontId="1"/>
  </si>
  <si>
    <t>4ｔダンプ（旭川100す7736）</t>
    <rPh sb="6" eb="8">
      <t>アサヒカワ</t>
    </rPh>
    <phoneticPr fontId="1"/>
  </si>
  <si>
    <t>セメント(㎥)</t>
    <phoneticPr fontId="1"/>
  </si>
  <si>
    <t>ＰＡＣ</t>
    <phoneticPr fontId="1"/>
  </si>
  <si>
    <t>トヨクロン</t>
    <phoneticPr fontId="1"/>
  </si>
  <si>
    <t>エバグロース</t>
    <phoneticPr fontId="1"/>
  </si>
  <si>
    <t>エバスパース</t>
    <phoneticPr fontId="1"/>
  </si>
  <si>
    <t>エバラフレッシュ</t>
    <phoneticPr fontId="1"/>
  </si>
  <si>
    <t>5，250円</t>
    <rPh sb="5" eb="6">
      <t>エン</t>
    </rPh>
    <phoneticPr fontId="1"/>
  </si>
  <si>
    <t>ジョブサン (3SDK4-11078)</t>
    <phoneticPr fontId="1"/>
  </si>
  <si>
    <t>パワーショベル (PC1206Z51097)</t>
    <phoneticPr fontId="1"/>
  </si>
  <si>
    <t>R年度　水処理点検記録簿</t>
    <rPh sb="1" eb="3">
      <t>ネンド</t>
    </rPh>
    <rPh sb="4" eb="7">
      <t>ミズショリ</t>
    </rPh>
    <rPh sb="7" eb="9">
      <t>テンケン</t>
    </rPh>
    <rPh sb="9" eb="12">
      <t>キロクボ</t>
    </rPh>
    <phoneticPr fontId="1"/>
  </si>
  <si>
    <t>R年度　オイル記録簿　(単位缶・本)</t>
    <rPh sb="1" eb="3">
      <t>ネンド</t>
    </rPh>
    <rPh sb="7" eb="10">
      <t>キロクボ</t>
    </rPh>
    <rPh sb="12" eb="14">
      <t>タンイ</t>
    </rPh>
    <rPh sb="14" eb="15">
      <t>カン</t>
    </rPh>
    <rPh sb="16" eb="17">
      <t>ホン</t>
    </rPh>
    <phoneticPr fontId="1"/>
  </si>
  <si>
    <t>R年度燃料見込み金額表</t>
    <rPh sb="1" eb="3">
      <t>ネンド</t>
    </rPh>
    <rPh sb="3" eb="5">
      <t>ネンリョウ</t>
    </rPh>
    <rPh sb="5" eb="7">
      <t>ミコ</t>
    </rPh>
    <rPh sb="8" eb="10">
      <t>キンガク</t>
    </rPh>
    <rPh sb="10" eb="11">
      <t>ヒョウ</t>
    </rPh>
    <phoneticPr fontId="1"/>
  </si>
  <si>
    <t>R年度　委託・工事・検査・修繕点検記録簿</t>
    <rPh sb="1" eb="3">
      <t>ネンド</t>
    </rPh>
    <rPh sb="4" eb="6">
      <t>イタク</t>
    </rPh>
    <rPh sb="7" eb="9">
      <t>コウジ</t>
    </rPh>
    <rPh sb="10" eb="12">
      <t>ケンサ</t>
    </rPh>
    <rPh sb="13" eb="15">
      <t>シュウゼン</t>
    </rPh>
    <rPh sb="15" eb="17">
      <t>テンケン</t>
    </rPh>
    <rPh sb="17" eb="20">
      <t>キロクボ</t>
    </rPh>
    <phoneticPr fontId="1"/>
  </si>
  <si>
    <t>R年度　重機・自動車点検記録簿</t>
    <rPh sb="1" eb="3">
      <t>ネンド</t>
    </rPh>
    <rPh sb="4" eb="6">
      <t>ジュウキ</t>
    </rPh>
    <rPh sb="7" eb="10">
      <t>ジドウシャ</t>
    </rPh>
    <rPh sb="10" eb="12">
      <t>テンケン</t>
    </rPh>
    <rPh sb="12" eb="15">
      <t>キロクボ</t>
    </rPh>
    <phoneticPr fontId="1"/>
  </si>
  <si>
    <t>R年度　施設機器関係点検記録簿</t>
    <rPh sb="1" eb="3">
      <t>ネンド</t>
    </rPh>
    <rPh sb="4" eb="6">
      <t>シセツ</t>
    </rPh>
    <rPh sb="6" eb="8">
      <t>キキ</t>
    </rPh>
    <rPh sb="8" eb="10">
      <t>カンケイ</t>
    </rPh>
    <rPh sb="10" eb="12">
      <t>テンケン</t>
    </rPh>
    <rPh sb="12" eb="15">
      <t>キロクボ</t>
    </rPh>
    <phoneticPr fontId="1"/>
  </si>
  <si>
    <t>R年度　クレーン点検記録簿</t>
    <rPh sb="1" eb="3">
      <t>ネンド</t>
    </rPh>
    <rPh sb="8" eb="10">
      <t>テンケン</t>
    </rPh>
    <rPh sb="10" eb="13">
      <t>キロクボ</t>
    </rPh>
    <phoneticPr fontId="1"/>
  </si>
  <si>
    <t>R年度　薬品・消耗品記録簿(焼却施設）</t>
    <rPh sb="1" eb="3">
      <t>ネンド</t>
    </rPh>
    <rPh sb="4" eb="6">
      <t>ヤクヒン</t>
    </rPh>
    <rPh sb="7" eb="9">
      <t>ショウモウ</t>
    </rPh>
    <rPh sb="9" eb="10">
      <t>ヒン</t>
    </rPh>
    <rPh sb="10" eb="13">
      <t>キロクボ</t>
    </rPh>
    <rPh sb="14" eb="16">
      <t>ショウキャク</t>
    </rPh>
    <rPh sb="16" eb="18">
      <t>シセツ</t>
    </rPh>
    <phoneticPr fontId="1"/>
  </si>
  <si>
    <t>R年度　薬品・消耗品記録簿(水処理施設）</t>
    <rPh sb="1" eb="3">
      <t>ネンド</t>
    </rPh>
    <rPh sb="4" eb="6">
      <t>ヤクヒン</t>
    </rPh>
    <rPh sb="7" eb="9">
      <t>ショウモウ</t>
    </rPh>
    <rPh sb="9" eb="10">
      <t>ヒン</t>
    </rPh>
    <rPh sb="10" eb="13">
      <t>キロクボ</t>
    </rPh>
    <rPh sb="14" eb="15">
      <t>ミズ</t>
    </rPh>
    <rPh sb="15" eb="17">
      <t>ショリ</t>
    </rPh>
    <rPh sb="17" eb="19">
      <t>シセツ</t>
    </rPh>
    <phoneticPr fontId="1"/>
  </si>
  <si>
    <t>次回年度</t>
    <rPh sb="0" eb="2">
      <t>ジカイ</t>
    </rPh>
    <rPh sb="2" eb="3">
      <t>ネン</t>
    </rPh>
    <rPh sb="3" eb="4">
      <t>ド</t>
    </rPh>
    <phoneticPr fontId="1"/>
  </si>
  <si>
    <t>パワーショベル(PC200-8N1-350199)</t>
    <phoneticPr fontId="1"/>
  </si>
  <si>
    <t>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</si>
</sst>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mm/dd"/>
    <numFmt numFmtId="180" formatCode="#,##0_);[Red]\(#,##0\)"/>
    <numFmt numFmtId="182" formatCode="[$-411]ggge&quot;年&quot;m&quot;月&quot;d&quot;日&quot;;@"/>
    <numFmt numFmtId="183" formatCode="#,##0_ 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HGS創英角ｺﾞｼｯｸUB"/>
      <family val="3"/>
      <charset val="128"/>
    </font>
    <font>
      <sz val="12"/>
      <name val="HGS創英角ｺﾞｼｯｸUB"/>
      <family val="3"/>
      <charset val="128"/>
    </font>
    <font>
      <sz val="14"/>
      <name val="HGS創英角ｺﾞｼｯｸUB"/>
      <family val="3"/>
      <charset val="128"/>
    </font>
    <font>
      <sz val="18"/>
      <name val="HGS創英角ｺﾞｼｯｸUB"/>
      <family val="3"/>
      <charset val="128"/>
    </font>
    <font>
      <sz val="16"/>
      <name val="HGS創英角ｺﾞｼｯｸUB"/>
      <family val="3"/>
      <charset val="128"/>
    </font>
    <font>
      <sz val="6"/>
      <name val="ＭＳ Ｐゴシック"/>
      <family val="3"/>
      <charset val="128"/>
    </font>
    <font>
      <sz val="14"/>
      <name val="HGP創英角ｺﾞｼｯｸUB"/>
      <family val="3"/>
      <charset val="128"/>
    </font>
    <font>
      <sz val="10"/>
      <name val="HGS創英角ｺﾞｼｯｸUB"/>
      <family val="3"/>
      <charset val="128"/>
    </font>
    <font>
      <sz val="8"/>
      <name val="HGS創英角ｺﾞｼｯｸUB"/>
      <family val="3"/>
      <charset val="128"/>
    </font>
    <font>
      <sz val="12"/>
      <color indexed="48"/>
      <name val="HGS創英角ｺﾞｼｯｸUB"/>
      <family val="3"/>
      <charset val="128"/>
    </font>
    <font>
      <sz val="9"/>
      <name val="HGS創英角ｺﾞｼｯｸUB"/>
      <family val="3"/>
      <charset val="128"/>
    </font>
    <font>
      <b/>
      <sz val="11"/>
      <name val="HGS創英角ｺﾞｼｯｸUB"/>
      <family val="3"/>
      <charset val="128"/>
    </font>
    <font>
      <sz val="7"/>
      <color indexed="48"/>
      <name val="HGS創英角ｺﾞｼｯｸUB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17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180" fontId="3" fillId="0" borderId="1" xfId="0" applyNumberFormat="1" applyFont="1" applyBorder="1" applyAlignment="1">
      <alignment horizontal="right" vertical="center"/>
    </xf>
    <xf numFmtId="180" fontId="3" fillId="0" borderId="2" xfId="0" applyNumberFormat="1" applyFont="1" applyBorder="1" applyAlignment="1">
      <alignment horizontal="right" vertical="center"/>
    </xf>
    <xf numFmtId="180" fontId="3" fillId="0" borderId="3" xfId="0" applyNumberFormat="1" applyFont="1" applyBorder="1" applyAlignment="1">
      <alignment horizontal="right" vertical="center"/>
    </xf>
    <xf numFmtId="180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78" fontId="3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left" vertical="center"/>
    </xf>
    <xf numFmtId="178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 shrinkToFit="1"/>
    </xf>
    <xf numFmtId="178" fontId="8" fillId="0" borderId="2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183" fontId="8" fillId="0" borderId="1" xfId="0" applyNumberFormat="1" applyFont="1" applyBorder="1" applyAlignment="1">
      <alignment vertical="center"/>
    </xf>
    <xf numFmtId="183" fontId="8" fillId="0" borderId="3" xfId="0" applyNumberFormat="1" applyFont="1" applyBorder="1" applyAlignment="1">
      <alignment vertical="center"/>
    </xf>
    <xf numFmtId="183" fontId="8" fillId="0" borderId="2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right" vertical="center" shrinkToFit="1"/>
    </xf>
    <xf numFmtId="183" fontId="8" fillId="0" borderId="1" xfId="0" applyNumberFormat="1" applyFont="1" applyBorder="1" applyAlignment="1">
      <alignment vertical="center" shrinkToFit="1"/>
    </xf>
    <xf numFmtId="0" fontId="8" fillId="0" borderId="2" xfId="0" applyFont="1" applyBorder="1" applyAlignment="1">
      <alignment horizontal="center" vertical="center" shrinkToFit="1"/>
    </xf>
    <xf numFmtId="183" fontId="8" fillId="0" borderId="2" xfId="0" applyNumberFormat="1" applyFont="1" applyBorder="1" applyAlignment="1">
      <alignment vertical="center" shrinkToFit="1"/>
    </xf>
    <xf numFmtId="0" fontId="8" fillId="0" borderId="3" xfId="0" applyFont="1" applyBorder="1" applyAlignment="1">
      <alignment horizontal="center" vertical="center" shrinkToFit="1"/>
    </xf>
    <xf numFmtId="0" fontId="4" fillId="0" borderId="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178" fontId="5" fillId="0" borderId="3" xfId="0" applyNumberFormat="1" applyFont="1" applyBorder="1" applyAlignment="1">
      <alignment horizontal="center" vertical="center"/>
    </xf>
    <xf numFmtId="178" fontId="5" fillId="0" borderId="6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180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178" fontId="6" fillId="0" borderId="3" xfId="0" applyNumberFormat="1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8" fontId="4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shrinkToFit="1"/>
    </xf>
    <xf numFmtId="0" fontId="2" fillId="0" borderId="5" xfId="0" applyFont="1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178" fontId="14" fillId="0" borderId="1" xfId="0" applyNumberFormat="1" applyFont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31" fontId="5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shrinkToFit="1"/>
    </xf>
    <xf numFmtId="178" fontId="4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178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82" fontId="5" fillId="0" borderId="3" xfId="0" applyNumberFormat="1" applyFont="1" applyFill="1" applyBorder="1" applyAlignment="1">
      <alignment horizontal="center" vertical="center"/>
    </xf>
    <xf numFmtId="182" fontId="5" fillId="0" borderId="6" xfId="0" applyNumberFormat="1" applyFont="1" applyFill="1" applyBorder="1" applyAlignment="1">
      <alignment horizontal="center" vertical="center"/>
    </xf>
    <xf numFmtId="182" fontId="5" fillId="0" borderId="5" xfId="0" applyNumberFormat="1" applyFont="1" applyBorder="1" applyAlignment="1">
      <alignment horizontal="center" vertical="center"/>
    </xf>
    <xf numFmtId="182" fontId="5" fillId="0" borderId="8" xfId="0" applyNumberFormat="1" applyFont="1" applyBorder="1" applyAlignment="1">
      <alignment horizontal="center" vertical="center"/>
    </xf>
    <xf numFmtId="182" fontId="5" fillId="0" borderId="7" xfId="0" applyNumberFormat="1" applyFont="1" applyBorder="1" applyAlignment="1">
      <alignment horizontal="center" vertical="center"/>
    </xf>
    <xf numFmtId="183" fontId="8" fillId="0" borderId="3" xfId="0" applyNumberFormat="1" applyFont="1" applyBorder="1" applyAlignment="1">
      <alignment horizontal="right" vertical="center" shrinkToFit="1"/>
    </xf>
    <xf numFmtId="183" fontId="8" fillId="0" borderId="2" xfId="0" applyNumberFormat="1" applyFont="1" applyBorder="1" applyAlignment="1">
      <alignment horizontal="right" vertical="center" shrinkToFit="1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183" fontId="8" fillId="0" borderId="1" xfId="0" applyNumberFormat="1" applyFont="1" applyBorder="1" applyAlignment="1">
      <alignment horizontal="right" vertical="center" shrinkToFit="1"/>
    </xf>
    <xf numFmtId="0" fontId="8" fillId="0" borderId="1" xfId="0" applyFont="1" applyBorder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83" fontId="8" fillId="0" borderId="9" xfId="0" applyNumberFormat="1" applyFont="1" applyBorder="1" applyAlignment="1">
      <alignment horizontal="right" vertical="center"/>
    </xf>
    <xf numFmtId="0" fontId="8" fillId="0" borderId="9" xfId="0" applyFont="1" applyBorder="1" applyAlignment="1">
      <alignment horizontal="right" vertical="center"/>
    </xf>
  </cellXfs>
  <cellStyles count="1">
    <cellStyle name="標準" xfId="0" builtinId="0"/>
  </cellStyles>
  <dxfs count="2"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592E-0662-4B9B-A305-03D46EDD0A99}">
  <dimension ref="A1:O75"/>
  <sheetViews>
    <sheetView workbookViewId="0">
      <pane ySplit="4" topLeftCell="A5" activePane="bottomLeft" state="frozen"/>
      <selection pane="bottomLeft" activeCell="A5" sqref="A5"/>
    </sheetView>
  </sheetViews>
  <sheetFormatPr defaultRowHeight="14.25" x14ac:dyDescent="0.15"/>
  <cols>
    <col min="1" max="1" width="9.5" style="1" customWidth="1"/>
    <col min="2" max="3" width="6.5" style="2" customWidth="1"/>
    <col min="4" max="5" width="6.5" style="3" customWidth="1"/>
    <col min="6" max="9" width="10.5" style="3" customWidth="1"/>
    <col min="10" max="15" width="6.375" style="3" customWidth="1"/>
    <col min="16" max="16384" width="9" style="3"/>
  </cols>
  <sheetData>
    <row r="1" spans="1:15" ht="19.5" customHeight="1" x14ac:dyDescent="0.15">
      <c r="A1" s="71" t="s">
        <v>68</v>
      </c>
      <c r="B1" s="71"/>
      <c r="C1" s="71"/>
      <c r="D1" s="71"/>
      <c r="E1" s="71"/>
      <c r="F1" s="71"/>
      <c r="G1" s="71"/>
      <c r="H1" s="71"/>
      <c r="I1" s="71"/>
    </row>
    <row r="2" spans="1:15" ht="6" customHeight="1" x14ac:dyDescent="0.15"/>
    <row r="3" spans="1:15" s="20" customFormat="1" ht="15" customHeight="1" x14ac:dyDescent="0.15">
      <c r="A3" s="18"/>
      <c r="B3" s="70" t="s">
        <v>42</v>
      </c>
      <c r="C3" s="70"/>
      <c r="D3" s="70" t="s">
        <v>8</v>
      </c>
      <c r="E3" s="70"/>
      <c r="F3" s="19" t="s">
        <v>23</v>
      </c>
      <c r="G3" s="63" t="s">
        <v>52</v>
      </c>
      <c r="H3" s="19" t="s">
        <v>2</v>
      </c>
      <c r="I3" s="19" t="s">
        <v>3</v>
      </c>
      <c r="J3" s="70" t="s">
        <v>15</v>
      </c>
      <c r="K3" s="70"/>
      <c r="L3" s="70" t="s">
        <v>16</v>
      </c>
      <c r="M3" s="70"/>
      <c r="N3" s="70" t="s">
        <v>17</v>
      </c>
      <c r="O3" s="70"/>
    </row>
    <row r="4" spans="1:15" s="20" customFormat="1" ht="15" customHeight="1" x14ac:dyDescent="0.15">
      <c r="A4" s="18"/>
      <c r="B4" s="19" t="s">
        <v>1</v>
      </c>
      <c r="C4" s="19" t="s">
        <v>0</v>
      </c>
      <c r="D4" s="19" t="s">
        <v>1</v>
      </c>
      <c r="E4" s="19" t="s">
        <v>0</v>
      </c>
      <c r="F4" s="19" t="s">
        <v>4</v>
      </c>
      <c r="G4" s="19" t="s">
        <v>4</v>
      </c>
      <c r="H4" s="19" t="s">
        <v>4</v>
      </c>
      <c r="I4" s="19" t="s">
        <v>4</v>
      </c>
      <c r="J4" s="19" t="s">
        <v>1</v>
      </c>
      <c r="K4" s="19" t="s">
        <v>0</v>
      </c>
      <c r="L4" s="19" t="s">
        <v>1</v>
      </c>
      <c r="M4" s="19" t="s">
        <v>0</v>
      </c>
      <c r="N4" s="19" t="s">
        <v>1</v>
      </c>
      <c r="O4" s="19" t="s">
        <v>0</v>
      </c>
    </row>
    <row r="5" spans="1:15" ht="15" customHeight="1" x14ac:dyDescent="0.15">
      <c r="A5" s="66" t="s">
        <v>7</v>
      </c>
      <c r="B5" s="56">
        <v>3</v>
      </c>
      <c r="C5" s="56"/>
      <c r="D5" s="55">
        <v>3</v>
      </c>
      <c r="E5" s="55"/>
      <c r="F5" s="55"/>
      <c r="G5" s="55"/>
      <c r="H5" s="55"/>
      <c r="I5" s="55"/>
      <c r="J5" s="56">
        <v>8</v>
      </c>
      <c r="K5" s="56"/>
      <c r="L5" s="56">
        <v>6</v>
      </c>
      <c r="M5" s="56"/>
      <c r="N5" s="56">
        <v>4</v>
      </c>
      <c r="O5" s="56"/>
    </row>
    <row r="6" spans="1:15" ht="15" customHeight="1" x14ac:dyDescent="0.15">
      <c r="A6" s="7"/>
      <c r="B6" s="21"/>
      <c r="C6" s="21"/>
      <c r="D6" s="13"/>
      <c r="E6" s="13"/>
      <c r="F6" s="13"/>
      <c r="G6" s="13"/>
      <c r="H6" s="13"/>
      <c r="I6" s="13"/>
      <c r="J6" s="21"/>
      <c r="K6" s="21"/>
      <c r="L6" s="21"/>
      <c r="M6" s="21"/>
      <c r="N6" s="21"/>
      <c r="O6" s="21"/>
    </row>
    <row r="7" spans="1:15" ht="15" customHeight="1" x14ac:dyDescent="0.15">
      <c r="A7" s="7"/>
      <c r="B7" s="21"/>
      <c r="C7" s="21"/>
      <c r="D7" s="13"/>
      <c r="E7" s="13"/>
      <c r="F7" s="13"/>
      <c r="G7" s="13"/>
      <c r="H7" s="13"/>
      <c r="I7" s="13"/>
      <c r="J7" s="21"/>
      <c r="K7" s="21"/>
      <c r="L7" s="21"/>
      <c r="M7" s="21"/>
      <c r="N7" s="21"/>
      <c r="O7" s="21"/>
    </row>
    <row r="8" spans="1:15" ht="15" customHeight="1" x14ac:dyDescent="0.15">
      <c r="A8" s="7"/>
      <c r="B8" s="21"/>
      <c r="C8" s="21"/>
      <c r="D8" s="13"/>
      <c r="E8" s="13"/>
      <c r="F8" s="13"/>
      <c r="G8" s="13"/>
      <c r="H8" s="13"/>
      <c r="I8" s="13"/>
      <c r="J8" s="21"/>
      <c r="K8" s="21"/>
      <c r="L8" s="21"/>
      <c r="M8" s="21"/>
      <c r="N8" s="21"/>
      <c r="O8" s="21"/>
    </row>
    <row r="9" spans="1:15" ht="15" customHeight="1" x14ac:dyDescent="0.15">
      <c r="A9" s="7"/>
      <c r="B9" s="21"/>
      <c r="C9" s="21"/>
      <c r="D9" s="13"/>
      <c r="E9" s="13"/>
      <c r="F9" s="13"/>
      <c r="G9" s="13"/>
      <c r="H9" s="13"/>
      <c r="I9" s="13"/>
      <c r="J9" s="21"/>
      <c r="K9" s="21"/>
      <c r="L9" s="21"/>
      <c r="M9" s="21"/>
      <c r="N9" s="21"/>
      <c r="O9" s="21"/>
    </row>
    <row r="10" spans="1:15" ht="15" customHeight="1" x14ac:dyDescent="0.15">
      <c r="A10" s="7"/>
      <c r="B10" s="21"/>
      <c r="C10" s="21"/>
      <c r="D10" s="13"/>
      <c r="E10" s="13"/>
      <c r="F10" s="13"/>
      <c r="G10" s="13"/>
      <c r="H10" s="13"/>
      <c r="I10" s="13"/>
      <c r="J10" s="21"/>
      <c r="K10" s="21"/>
      <c r="L10" s="21"/>
      <c r="M10" s="21"/>
      <c r="N10" s="21"/>
      <c r="O10" s="21"/>
    </row>
    <row r="11" spans="1:15" ht="15" customHeight="1" x14ac:dyDescent="0.15">
      <c r="A11" s="7"/>
      <c r="B11" s="21"/>
      <c r="C11" s="21"/>
      <c r="D11" s="13"/>
      <c r="E11" s="13"/>
      <c r="F11" s="13"/>
      <c r="G11" s="13"/>
      <c r="H11" s="13"/>
      <c r="I11" s="13"/>
      <c r="J11" s="21"/>
      <c r="K11" s="21"/>
      <c r="L11" s="21"/>
      <c r="M11" s="21"/>
      <c r="N11" s="21"/>
      <c r="O11" s="21"/>
    </row>
    <row r="12" spans="1:15" ht="15" customHeight="1" x14ac:dyDescent="0.15">
      <c r="A12" s="7"/>
      <c r="B12" s="21"/>
      <c r="C12" s="21"/>
      <c r="D12" s="13"/>
      <c r="E12" s="13"/>
      <c r="F12" s="13"/>
      <c r="G12" s="13"/>
      <c r="H12" s="13"/>
      <c r="I12" s="13"/>
      <c r="J12" s="21"/>
      <c r="K12" s="21"/>
      <c r="L12" s="21"/>
      <c r="M12" s="21"/>
      <c r="N12" s="21"/>
      <c r="O12" s="21"/>
    </row>
    <row r="13" spans="1:15" ht="15" customHeight="1" x14ac:dyDescent="0.15">
      <c r="A13" s="7"/>
      <c r="B13" s="21"/>
      <c r="C13" s="21"/>
      <c r="D13" s="13"/>
      <c r="E13" s="13"/>
      <c r="F13" s="13"/>
      <c r="G13" s="13"/>
      <c r="H13" s="13"/>
      <c r="I13" s="13"/>
      <c r="J13" s="21"/>
      <c r="K13" s="21"/>
      <c r="L13" s="21"/>
      <c r="M13" s="21"/>
      <c r="N13" s="21"/>
      <c r="O13" s="21"/>
    </row>
    <row r="14" spans="1:15" ht="15" customHeight="1" x14ac:dyDescent="0.15">
      <c r="A14" s="7"/>
      <c r="B14" s="21"/>
      <c r="C14" s="21"/>
      <c r="D14" s="13"/>
      <c r="E14" s="13"/>
      <c r="F14" s="13"/>
      <c r="G14" s="13"/>
      <c r="H14" s="13"/>
      <c r="I14" s="13"/>
      <c r="J14" s="21"/>
      <c r="K14" s="21"/>
      <c r="L14" s="21"/>
      <c r="M14" s="21"/>
      <c r="N14" s="21"/>
      <c r="O14" s="21"/>
    </row>
    <row r="15" spans="1:15" ht="15" customHeight="1" x14ac:dyDescent="0.15">
      <c r="A15" s="7"/>
      <c r="B15" s="21"/>
      <c r="C15" s="21"/>
      <c r="D15" s="13"/>
      <c r="E15" s="13"/>
      <c r="F15" s="13"/>
      <c r="G15" s="13"/>
      <c r="H15" s="13"/>
      <c r="I15" s="13"/>
      <c r="J15" s="21"/>
      <c r="K15" s="21"/>
      <c r="L15" s="21"/>
      <c r="M15" s="21"/>
      <c r="N15" s="21"/>
      <c r="O15" s="21"/>
    </row>
    <row r="16" spans="1:15" ht="15" customHeight="1" x14ac:dyDescent="0.15">
      <c r="A16" s="7"/>
      <c r="B16" s="21"/>
      <c r="C16" s="21"/>
      <c r="D16" s="13"/>
      <c r="E16" s="13"/>
      <c r="F16" s="13"/>
      <c r="G16" s="13"/>
      <c r="H16" s="13"/>
      <c r="I16" s="13"/>
      <c r="J16" s="21"/>
      <c r="K16" s="21"/>
      <c r="L16" s="21"/>
      <c r="M16" s="21"/>
      <c r="N16" s="21"/>
      <c r="O16" s="21"/>
    </row>
    <row r="17" spans="1:15" ht="15" customHeight="1" x14ac:dyDescent="0.15">
      <c r="A17" s="7"/>
      <c r="B17" s="21"/>
      <c r="C17" s="21"/>
      <c r="D17" s="13"/>
      <c r="E17" s="13"/>
      <c r="F17" s="13"/>
      <c r="G17" s="13"/>
      <c r="H17" s="13"/>
      <c r="I17" s="13"/>
      <c r="J17" s="21"/>
      <c r="K17" s="21"/>
      <c r="L17" s="21"/>
      <c r="M17" s="21"/>
      <c r="N17" s="21"/>
      <c r="O17" s="21"/>
    </row>
    <row r="18" spans="1:15" ht="15" customHeight="1" x14ac:dyDescent="0.15">
      <c r="A18" s="7"/>
      <c r="B18" s="21"/>
      <c r="C18" s="21"/>
      <c r="D18" s="13"/>
      <c r="E18" s="13"/>
      <c r="F18" s="13"/>
      <c r="G18" s="13"/>
      <c r="H18" s="13"/>
      <c r="I18" s="13"/>
      <c r="J18" s="21"/>
      <c r="K18" s="21"/>
      <c r="L18" s="21"/>
      <c r="M18" s="21"/>
      <c r="N18" s="21"/>
      <c r="O18" s="21"/>
    </row>
    <row r="19" spans="1:15" ht="15" customHeight="1" x14ac:dyDescent="0.15">
      <c r="A19" s="7"/>
      <c r="B19" s="21"/>
      <c r="C19" s="21"/>
      <c r="D19" s="13"/>
      <c r="E19" s="13"/>
      <c r="F19" s="13"/>
      <c r="G19" s="13"/>
      <c r="H19" s="13"/>
      <c r="I19" s="13"/>
      <c r="J19" s="21"/>
      <c r="K19" s="21"/>
      <c r="L19" s="21"/>
      <c r="M19" s="21"/>
      <c r="N19" s="21"/>
      <c r="O19" s="21"/>
    </row>
    <row r="20" spans="1:15" ht="15" customHeight="1" x14ac:dyDescent="0.15">
      <c r="A20" s="7"/>
      <c r="B20" s="21"/>
      <c r="C20" s="21"/>
      <c r="D20" s="21"/>
      <c r="E20" s="21"/>
      <c r="F20" s="21"/>
      <c r="G20" s="21"/>
      <c r="H20" s="21"/>
      <c r="I20" s="13"/>
      <c r="J20" s="21"/>
      <c r="K20" s="21"/>
      <c r="L20" s="21"/>
      <c r="M20" s="21"/>
      <c r="N20" s="21"/>
      <c r="O20" s="21"/>
    </row>
    <row r="21" spans="1:15" ht="15" customHeight="1" x14ac:dyDescent="0.15">
      <c r="A21" s="7"/>
      <c r="B21" s="21"/>
      <c r="C21" s="21"/>
      <c r="D21" s="13"/>
      <c r="E21" s="13"/>
      <c r="F21" s="13"/>
      <c r="G21" s="13"/>
      <c r="H21" s="13"/>
      <c r="I21" s="13"/>
      <c r="J21" s="21"/>
      <c r="K21" s="21"/>
      <c r="L21" s="21"/>
      <c r="M21" s="21"/>
      <c r="N21" s="21"/>
      <c r="O21" s="21"/>
    </row>
    <row r="22" spans="1:15" ht="15" customHeight="1" x14ac:dyDescent="0.15">
      <c r="A22" s="7"/>
      <c r="B22" s="21"/>
      <c r="C22" s="21"/>
      <c r="D22" s="13"/>
      <c r="E22" s="13"/>
      <c r="F22" s="13"/>
      <c r="G22" s="13"/>
      <c r="H22" s="13"/>
      <c r="I22" s="13"/>
      <c r="J22" s="21"/>
      <c r="K22" s="21"/>
      <c r="L22" s="21"/>
      <c r="M22" s="21"/>
      <c r="N22" s="21"/>
      <c r="O22" s="21"/>
    </row>
    <row r="23" spans="1:15" ht="15" customHeight="1" x14ac:dyDescent="0.15">
      <c r="A23" s="7"/>
      <c r="B23" s="21"/>
      <c r="C23" s="21"/>
      <c r="D23" s="13"/>
      <c r="E23" s="13"/>
      <c r="F23" s="13"/>
      <c r="G23" s="13"/>
      <c r="H23" s="13"/>
      <c r="I23" s="13"/>
      <c r="J23" s="21"/>
      <c r="K23" s="21"/>
      <c r="L23" s="21"/>
      <c r="M23" s="21"/>
      <c r="N23" s="21"/>
      <c r="O23" s="21"/>
    </row>
    <row r="24" spans="1:15" ht="15" customHeight="1" x14ac:dyDescent="0.15">
      <c r="A24" s="7"/>
      <c r="B24" s="21"/>
      <c r="C24" s="21"/>
      <c r="D24" s="13"/>
      <c r="E24" s="13"/>
      <c r="F24" s="13"/>
      <c r="G24" s="13"/>
      <c r="H24" s="13"/>
      <c r="I24" s="13"/>
      <c r="J24" s="21"/>
      <c r="K24" s="21"/>
      <c r="L24" s="21"/>
      <c r="M24" s="21"/>
      <c r="N24" s="21"/>
      <c r="O24" s="21"/>
    </row>
    <row r="25" spans="1:15" ht="15" customHeight="1" x14ac:dyDescent="0.15">
      <c r="A25" s="7"/>
      <c r="B25" s="21"/>
      <c r="C25" s="21"/>
      <c r="D25" s="13"/>
      <c r="E25" s="13"/>
      <c r="F25" s="13"/>
      <c r="G25" s="13"/>
      <c r="H25" s="13"/>
      <c r="I25" s="13"/>
      <c r="J25" s="21"/>
      <c r="K25" s="21"/>
      <c r="L25" s="21"/>
      <c r="M25" s="21"/>
      <c r="N25" s="21"/>
      <c r="O25" s="21"/>
    </row>
    <row r="26" spans="1:15" ht="15" customHeight="1" x14ac:dyDescent="0.15">
      <c r="A26" s="7"/>
      <c r="B26" s="21"/>
      <c r="C26" s="21"/>
      <c r="D26" s="13"/>
      <c r="E26" s="13"/>
      <c r="F26" s="13"/>
      <c r="G26" s="13"/>
      <c r="H26" s="13"/>
      <c r="I26" s="13"/>
      <c r="J26" s="21"/>
      <c r="K26" s="21"/>
      <c r="L26" s="21"/>
      <c r="M26" s="21"/>
      <c r="N26" s="21"/>
      <c r="O26" s="21"/>
    </row>
    <row r="27" spans="1:15" ht="15" customHeight="1" x14ac:dyDescent="0.15">
      <c r="A27" s="7"/>
      <c r="B27" s="21"/>
      <c r="C27" s="21"/>
      <c r="D27" s="13"/>
      <c r="E27" s="13"/>
      <c r="F27" s="13"/>
      <c r="G27" s="13"/>
      <c r="H27" s="13"/>
      <c r="I27" s="13"/>
      <c r="J27" s="21"/>
      <c r="K27" s="21"/>
      <c r="L27" s="21"/>
      <c r="M27" s="21"/>
      <c r="N27" s="21"/>
      <c r="O27" s="21"/>
    </row>
    <row r="28" spans="1:15" ht="15" customHeight="1" x14ac:dyDescent="0.15">
      <c r="A28" s="7"/>
      <c r="B28" s="21"/>
      <c r="C28" s="21"/>
      <c r="D28" s="13"/>
      <c r="E28" s="13"/>
      <c r="F28" s="13"/>
      <c r="G28" s="13"/>
      <c r="H28" s="13"/>
      <c r="I28" s="13"/>
      <c r="J28" s="21"/>
      <c r="K28" s="21"/>
      <c r="L28" s="21"/>
      <c r="M28" s="21"/>
      <c r="N28" s="21"/>
      <c r="O28" s="21"/>
    </row>
    <row r="29" spans="1:15" ht="15" customHeight="1" thickBot="1" x14ac:dyDescent="0.2">
      <c r="A29" s="8"/>
      <c r="B29" s="22"/>
      <c r="C29" s="22"/>
      <c r="D29" s="14"/>
      <c r="E29" s="14"/>
      <c r="F29" s="14"/>
      <c r="G29" s="14"/>
      <c r="H29" s="14"/>
      <c r="I29" s="14"/>
      <c r="J29" s="22"/>
      <c r="K29" s="22"/>
      <c r="L29" s="22"/>
      <c r="M29" s="22"/>
      <c r="N29" s="22"/>
      <c r="O29" s="22"/>
    </row>
    <row r="30" spans="1:15" ht="15" customHeight="1" thickTop="1" x14ac:dyDescent="0.15">
      <c r="A30" s="9" t="s">
        <v>6</v>
      </c>
      <c r="B30" s="15">
        <f>SUM(B5:B29)</f>
        <v>3</v>
      </c>
      <c r="C30" s="15">
        <f>SUM(C5:C29)</f>
        <v>0</v>
      </c>
      <c r="D30" s="15">
        <f t="shared" ref="D30:O30" si="0">SUM(D5:D29)</f>
        <v>3</v>
      </c>
      <c r="E30" s="15">
        <f t="shared" si="0"/>
        <v>0</v>
      </c>
      <c r="F30" s="15">
        <f t="shared" si="0"/>
        <v>0</v>
      </c>
      <c r="G30" s="15">
        <f t="shared" si="0"/>
        <v>0</v>
      </c>
      <c r="H30" s="15">
        <f t="shared" si="0"/>
        <v>0</v>
      </c>
      <c r="I30" s="15">
        <f t="shared" si="0"/>
        <v>0</v>
      </c>
      <c r="J30" s="15">
        <f t="shared" si="0"/>
        <v>8</v>
      </c>
      <c r="K30" s="15">
        <f t="shared" si="0"/>
        <v>0</v>
      </c>
      <c r="L30" s="15">
        <f t="shared" si="0"/>
        <v>6</v>
      </c>
      <c r="M30" s="15">
        <f t="shared" si="0"/>
        <v>0</v>
      </c>
      <c r="N30" s="15">
        <f t="shared" si="0"/>
        <v>4</v>
      </c>
      <c r="O30" s="15">
        <f t="shared" si="0"/>
        <v>0</v>
      </c>
    </row>
    <row r="31" spans="1:15" ht="15" customHeight="1" x14ac:dyDescent="0.15">
      <c r="A31" s="1" t="s">
        <v>7</v>
      </c>
      <c r="B31" s="16">
        <f>B30-C30</f>
        <v>3</v>
      </c>
      <c r="C31" s="3"/>
      <c r="D31" s="16">
        <f>D30-E30</f>
        <v>3</v>
      </c>
      <c r="E31" s="17"/>
      <c r="F31" s="17"/>
      <c r="G31" s="17"/>
      <c r="H31" s="17"/>
      <c r="I31" s="17"/>
      <c r="J31" s="16">
        <f>J30-K30</f>
        <v>8</v>
      </c>
      <c r="L31" s="16">
        <f>L30-M30</f>
        <v>6</v>
      </c>
      <c r="N31" s="16">
        <f>N30-O30</f>
        <v>4</v>
      </c>
    </row>
    <row r="32" spans="1:15" ht="15" customHeight="1" x14ac:dyDescent="0.15">
      <c r="B32" s="11"/>
      <c r="C32" s="11"/>
      <c r="D32" s="11"/>
      <c r="E32" s="11"/>
      <c r="F32" s="11"/>
      <c r="G32" s="11"/>
      <c r="H32" s="11"/>
      <c r="I32" s="11"/>
    </row>
    <row r="33" spans="1:15" ht="15" customHeight="1" x14ac:dyDescent="0.15">
      <c r="B33" s="11"/>
      <c r="C33" s="11"/>
      <c r="D33" s="11"/>
      <c r="E33" s="11"/>
      <c r="F33" s="11"/>
      <c r="G33" s="11"/>
      <c r="H33" s="11"/>
      <c r="I33" s="11"/>
    </row>
    <row r="34" spans="1:15" ht="15" customHeight="1" x14ac:dyDescent="0.15">
      <c r="B34" s="4"/>
      <c r="C34" s="4"/>
      <c r="D34" s="4"/>
      <c r="E34" s="4"/>
      <c r="F34" s="4"/>
      <c r="G34" s="4"/>
      <c r="H34" s="4"/>
      <c r="I34" s="4"/>
    </row>
    <row r="35" spans="1:15" ht="15" customHeight="1" x14ac:dyDescent="0.15">
      <c r="B35" s="4"/>
      <c r="C35" s="4"/>
      <c r="D35" s="4"/>
      <c r="E35" s="4"/>
      <c r="F35" s="4"/>
      <c r="G35" s="4"/>
      <c r="H35" s="4"/>
      <c r="I35" s="4"/>
    </row>
    <row r="36" spans="1:15" ht="19.5" customHeight="1" x14ac:dyDescent="0.15">
      <c r="A36" s="71" t="s">
        <v>69</v>
      </c>
      <c r="B36" s="71"/>
      <c r="C36" s="71"/>
      <c r="D36" s="71"/>
      <c r="E36" s="71"/>
      <c r="F36" s="71"/>
      <c r="G36" s="71"/>
      <c r="H36" s="71"/>
      <c r="I36" s="71"/>
    </row>
    <row r="37" spans="1:15" ht="6" customHeight="1" x14ac:dyDescent="0.15"/>
    <row r="38" spans="1:15" s="20" customFormat="1" ht="15" customHeight="1" x14ac:dyDescent="0.15">
      <c r="A38" s="18"/>
      <c r="B38" s="70" t="s">
        <v>53</v>
      </c>
      <c r="C38" s="70"/>
      <c r="D38" s="72" t="s">
        <v>54</v>
      </c>
      <c r="E38" s="73"/>
      <c r="F38" s="64" t="s">
        <v>55</v>
      </c>
      <c r="G38" s="65" t="s">
        <v>56</v>
      </c>
      <c r="H38" s="72" t="s">
        <v>57</v>
      </c>
      <c r="I38" s="73"/>
      <c r="J38" s="70" t="s">
        <v>43</v>
      </c>
      <c r="K38" s="70"/>
      <c r="L38" s="70" t="s">
        <v>44</v>
      </c>
      <c r="M38" s="70"/>
      <c r="N38" s="70" t="s">
        <v>45</v>
      </c>
      <c r="O38" s="70"/>
    </row>
    <row r="39" spans="1:15" s="20" customFormat="1" ht="15" customHeight="1" x14ac:dyDescent="0.15">
      <c r="A39" s="18"/>
      <c r="B39" s="19" t="s">
        <v>1</v>
      </c>
      <c r="C39" s="19" t="s">
        <v>0</v>
      </c>
      <c r="D39" s="19" t="s">
        <v>1</v>
      </c>
      <c r="E39" s="19" t="s">
        <v>0</v>
      </c>
      <c r="F39" s="19" t="s">
        <v>1</v>
      </c>
      <c r="G39" s="19" t="s">
        <v>1</v>
      </c>
      <c r="H39" s="19" t="s">
        <v>1</v>
      </c>
      <c r="I39" s="19" t="s">
        <v>0</v>
      </c>
      <c r="J39" s="19" t="s">
        <v>1</v>
      </c>
      <c r="K39" s="19" t="s">
        <v>0</v>
      </c>
      <c r="L39" s="19" t="s">
        <v>1</v>
      </c>
      <c r="M39" s="19" t="s">
        <v>0</v>
      </c>
      <c r="N39" s="19" t="s">
        <v>1</v>
      </c>
      <c r="O39" s="19" t="s">
        <v>0</v>
      </c>
    </row>
    <row r="40" spans="1:15" ht="15" customHeight="1" x14ac:dyDescent="0.15">
      <c r="A40" s="66" t="s">
        <v>7</v>
      </c>
      <c r="B40" s="55">
        <v>57</v>
      </c>
      <c r="C40" s="55"/>
      <c r="D40" s="55">
        <v>14</v>
      </c>
      <c r="E40" s="55"/>
      <c r="F40" s="55">
        <v>5</v>
      </c>
      <c r="G40" s="55">
        <v>10</v>
      </c>
      <c r="H40" s="55">
        <v>2</v>
      </c>
      <c r="I40" s="55"/>
      <c r="J40" s="56">
        <v>12</v>
      </c>
      <c r="K40" s="56"/>
      <c r="L40" s="56">
        <v>5</v>
      </c>
      <c r="M40" s="56"/>
      <c r="N40" s="56">
        <v>4</v>
      </c>
      <c r="O40" s="56"/>
    </row>
    <row r="41" spans="1:15" ht="15" customHeight="1" x14ac:dyDescent="0.15">
      <c r="A41" s="7">
        <v>43021</v>
      </c>
      <c r="B41" s="13"/>
      <c r="C41" s="13">
        <v>54</v>
      </c>
      <c r="D41" s="13"/>
      <c r="E41" s="13"/>
      <c r="F41" s="13"/>
      <c r="G41" s="13"/>
      <c r="H41" s="13"/>
      <c r="I41" s="13"/>
      <c r="J41" s="21"/>
      <c r="K41" s="21"/>
      <c r="L41" s="21"/>
      <c r="M41" s="21"/>
      <c r="N41" s="21"/>
      <c r="O41" s="21">
        <v>3</v>
      </c>
    </row>
    <row r="42" spans="1:15" ht="15" customHeight="1" x14ac:dyDescent="0.15">
      <c r="A42" s="7">
        <v>43024</v>
      </c>
      <c r="B42" s="13">
        <v>40</v>
      </c>
      <c r="C42" s="13"/>
      <c r="D42" s="13"/>
      <c r="E42" s="13"/>
      <c r="F42" s="13"/>
      <c r="G42" s="13"/>
      <c r="H42" s="13"/>
      <c r="I42" s="13"/>
      <c r="J42" s="21"/>
      <c r="K42" s="21"/>
      <c r="L42" s="21"/>
      <c r="M42" s="21"/>
      <c r="N42" s="21">
        <v>5</v>
      </c>
      <c r="O42" s="21"/>
    </row>
    <row r="43" spans="1:15" ht="15" customHeight="1" x14ac:dyDescent="0.15">
      <c r="A43" s="7">
        <v>43080</v>
      </c>
      <c r="B43" s="13">
        <v>40</v>
      </c>
      <c r="C43" s="13"/>
      <c r="D43" s="13"/>
      <c r="E43" s="13"/>
      <c r="F43" s="13"/>
      <c r="G43" s="13"/>
      <c r="H43" s="13"/>
      <c r="I43" s="13"/>
      <c r="J43" s="21"/>
      <c r="K43" s="21"/>
      <c r="L43" s="21"/>
      <c r="M43" s="21"/>
      <c r="N43" s="21"/>
      <c r="O43" s="21"/>
    </row>
    <row r="44" spans="1:15" ht="15" customHeight="1" x14ac:dyDescent="0.15">
      <c r="A44" s="7">
        <v>43150</v>
      </c>
      <c r="B44" s="13">
        <v>40</v>
      </c>
      <c r="C44" s="13">
        <v>78</v>
      </c>
      <c r="D44" s="13"/>
      <c r="E44" s="13"/>
      <c r="F44" s="13"/>
      <c r="G44" s="13"/>
      <c r="H44" s="13"/>
      <c r="I44" s="13"/>
      <c r="J44" s="21"/>
      <c r="K44" s="21"/>
      <c r="L44" s="21"/>
      <c r="M44" s="21"/>
      <c r="N44" s="21"/>
      <c r="O44" s="21"/>
    </row>
    <row r="45" spans="1:15" ht="15" customHeight="1" x14ac:dyDescent="0.15">
      <c r="A45" s="7">
        <v>43153</v>
      </c>
      <c r="B45" s="13"/>
      <c r="C45" s="13"/>
      <c r="D45" s="13">
        <v>5</v>
      </c>
      <c r="E45" s="13">
        <v>9</v>
      </c>
      <c r="F45" s="13"/>
      <c r="G45" s="13"/>
      <c r="H45" s="13"/>
      <c r="I45" s="13"/>
      <c r="J45" s="21"/>
      <c r="K45" s="21"/>
      <c r="L45" s="21"/>
      <c r="M45" s="21"/>
      <c r="N45" s="21"/>
      <c r="O45" s="21"/>
    </row>
    <row r="46" spans="1:15" ht="15" customHeight="1" x14ac:dyDescent="0.15">
      <c r="A46" s="7"/>
      <c r="B46" s="13"/>
      <c r="C46" s="13"/>
      <c r="D46" s="13"/>
      <c r="E46" s="13"/>
      <c r="F46" s="13"/>
      <c r="G46" s="13"/>
      <c r="H46" s="13"/>
      <c r="I46" s="13"/>
      <c r="J46" s="21"/>
      <c r="K46" s="21"/>
      <c r="L46" s="21"/>
      <c r="M46" s="21"/>
      <c r="N46" s="21"/>
      <c r="O46" s="21"/>
    </row>
    <row r="47" spans="1:15" ht="15" customHeight="1" x14ac:dyDescent="0.15">
      <c r="A47" s="7"/>
      <c r="B47" s="13"/>
      <c r="C47" s="13"/>
      <c r="D47" s="13"/>
      <c r="E47" s="13"/>
      <c r="F47" s="13"/>
      <c r="G47" s="13"/>
      <c r="H47" s="13"/>
      <c r="I47" s="13"/>
      <c r="J47" s="21"/>
      <c r="K47" s="21"/>
      <c r="L47" s="21"/>
      <c r="M47" s="21"/>
      <c r="N47" s="21"/>
      <c r="O47" s="21"/>
    </row>
    <row r="48" spans="1:15" ht="15" customHeight="1" x14ac:dyDescent="0.15">
      <c r="A48" s="7"/>
      <c r="B48" s="13"/>
      <c r="C48" s="13"/>
      <c r="D48" s="13"/>
      <c r="E48" s="13"/>
      <c r="F48" s="13"/>
      <c r="G48" s="13"/>
      <c r="H48" s="13"/>
      <c r="I48" s="13"/>
      <c r="J48" s="21"/>
      <c r="K48" s="21"/>
      <c r="L48" s="21"/>
      <c r="M48" s="21"/>
      <c r="N48" s="21"/>
      <c r="O48" s="21"/>
    </row>
    <row r="49" spans="1:15" ht="15" customHeight="1" x14ac:dyDescent="0.15">
      <c r="A49" s="7"/>
      <c r="B49" s="13"/>
      <c r="C49" s="13"/>
      <c r="D49" s="13"/>
      <c r="E49" s="13"/>
      <c r="F49" s="13"/>
      <c r="G49" s="13"/>
      <c r="H49" s="13"/>
      <c r="I49" s="13"/>
      <c r="J49" s="21"/>
      <c r="K49" s="21"/>
      <c r="L49" s="21"/>
      <c r="M49" s="21"/>
      <c r="N49" s="21"/>
      <c r="O49" s="21"/>
    </row>
    <row r="50" spans="1:15" ht="15" customHeight="1" x14ac:dyDescent="0.15">
      <c r="A50" s="7"/>
      <c r="B50" s="13"/>
      <c r="C50" s="13"/>
      <c r="D50" s="13"/>
      <c r="E50" s="13"/>
      <c r="F50" s="13"/>
      <c r="G50" s="13"/>
      <c r="H50" s="13"/>
      <c r="I50" s="13"/>
      <c r="J50" s="21"/>
      <c r="K50" s="21"/>
      <c r="L50" s="21"/>
      <c r="M50" s="21"/>
      <c r="N50" s="21"/>
      <c r="O50" s="21"/>
    </row>
    <row r="51" spans="1:15" ht="15" customHeight="1" x14ac:dyDescent="0.15">
      <c r="A51" s="7"/>
      <c r="B51" s="13"/>
      <c r="C51" s="13"/>
      <c r="D51" s="13"/>
      <c r="E51" s="13"/>
      <c r="F51" s="13"/>
      <c r="G51" s="13"/>
      <c r="H51" s="13"/>
      <c r="I51" s="13"/>
      <c r="J51" s="21"/>
      <c r="K51" s="21"/>
      <c r="L51" s="21"/>
      <c r="M51" s="21"/>
      <c r="N51" s="21"/>
      <c r="O51" s="21"/>
    </row>
    <row r="52" spans="1:15" ht="15" customHeight="1" x14ac:dyDescent="0.15">
      <c r="A52" s="7"/>
      <c r="B52" s="13"/>
      <c r="C52" s="13"/>
      <c r="D52" s="13"/>
      <c r="E52" s="13"/>
      <c r="F52" s="13"/>
      <c r="G52" s="13"/>
      <c r="H52" s="13"/>
      <c r="I52" s="13"/>
      <c r="J52" s="21"/>
      <c r="K52" s="21"/>
      <c r="L52" s="21"/>
      <c r="M52" s="21"/>
      <c r="N52" s="21"/>
      <c r="O52" s="21"/>
    </row>
    <row r="53" spans="1:15" ht="15" customHeight="1" x14ac:dyDescent="0.15">
      <c r="A53" s="7"/>
      <c r="B53" s="13"/>
      <c r="C53" s="13"/>
      <c r="D53" s="13"/>
      <c r="E53" s="13"/>
      <c r="F53" s="13"/>
      <c r="G53" s="13"/>
      <c r="H53" s="13"/>
      <c r="I53" s="13"/>
      <c r="J53" s="21"/>
      <c r="K53" s="21"/>
      <c r="L53" s="21"/>
      <c r="M53" s="21"/>
      <c r="N53" s="21"/>
      <c r="O53" s="21"/>
    </row>
    <row r="54" spans="1:15" ht="15" customHeight="1" x14ac:dyDescent="0.15">
      <c r="A54" s="7"/>
      <c r="B54" s="13"/>
      <c r="C54" s="13"/>
      <c r="D54" s="13"/>
      <c r="E54" s="13"/>
      <c r="F54" s="13"/>
      <c r="G54" s="13"/>
      <c r="H54" s="13"/>
      <c r="I54" s="13"/>
      <c r="J54" s="21"/>
      <c r="K54" s="21"/>
      <c r="L54" s="21"/>
      <c r="M54" s="21"/>
      <c r="N54" s="21"/>
      <c r="O54" s="21"/>
    </row>
    <row r="55" spans="1:15" ht="15" customHeight="1" x14ac:dyDescent="0.15">
      <c r="A55" s="7"/>
      <c r="B55" s="23"/>
      <c r="C55" s="2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 spans="1:15" ht="15" customHeight="1" x14ac:dyDescent="0.15">
      <c r="A56" s="7"/>
      <c r="B56" s="13"/>
      <c r="C56" s="13"/>
      <c r="D56" s="13"/>
      <c r="E56" s="13"/>
      <c r="F56" s="13"/>
      <c r="G56" s="13"/>
      <c r="H56" s="13"/>
      <c r="I56" s="13"/>
      <c r="J56" s="21"/>
      <c r="K56" s="21"/>
      <c r="L56" s="21"/>
      <c r="M56" s="21"/>
      <c r="N56" s="21"/>
      <c r="O56" s="21"/>
    </row>
    <row r="57" spans="1:15" ht="15" customHeight="1" x14ac:dyDescent="0.15">
      <c r="A57" s="7"/>
      <c r="B57" s="13"/>
      <c r="C57" s="13"/>
      <c r="D57" s="13"/>
      <c r="E57" s="13"/>
      <c r="F57" s="13"/>
      <c r="G57" s="13"/>
      <c r="H57" s="13"/>
      <c r="I57" s="13"/>
      <c r="J57" s="21"/>
      <c r="K57" s="21"/>
      <c r="L57" s="21"/>
      <c r="M57" s="21"/>
      <c r="N57" s="21"/>
      <c r="O57" s="21"/>
    </row>
    <row r="58" spans="1:15" ht="15" customHeight="1" x14ac:dyDescent="0.15">
      <c r="A58" s="7"/>
      <c r="B58" s="13"/>
      <c r="C58" s="13"/>
      <c r="D58" s="13"/>
      <c r="E58" s="13"/>
      <c r="F58" s="13"/>
      <c r="G58" s="13"/>
      <c r="H58" s="13"/>
      <c r="I58" s="13"/>
      <c r="J58" s="21"/>
      <c r="K58" s="21"/>
      <c r="L58" s="21"/>
      <c r="M58" s="21"/>
      <c r="N58" s="21"/>
      <c r="O58" s="21"/>
    </row>
    <row r="59" spans="1:15" ht="15" customHeight="1" x14ac:dyDescent="0.15">
      <c r="A59" s="7"/>
      <c r="B59" s="13"/>
      <c r="C59" s="13"/>
      <c r="D59" s="13"/>
      <c r="E59" s="13"/>
      <c r="F59" s="13"/>
      <c r="G59" s="13"/>
      <c r="H59" s="13"/>
      <c r="I59" s="13"/>
      <c r="J59" s="21"/>
      <c r="K59" s="21"/>
      <c r="L59" s="21"/>
      <c r="M59" s="21"/>
      <c r="N59" s="21"/>
      <c r="O59" s="21"/>
    </row>
    <row r="60" spans="1:15" ht="15" customHeight="1" x14ac:dyDescent="0.15">
      <c r="A60" s="7"/>
      <c r="B60" s="13"/>
      <c r="C60" s="13"/>
      <c r="D60" s="13"/>
      <c r="E60" s="13"/>
      <c r="F60" s="13"/>
      <c r="G60" s="13"/>
      <c r="H60" s="13"/>
      <c r="I60" s="13"/>
      <c r="J60" s="21"/>
      <c r="K60" s="21"/>
      <c r="L60" s="21"/>
      <c r="M60" s="21"/>
      <c r="N60" s="21"/>
      <c r="O60" s="21"/>
    </row>
    <row r="61" spans="1:15" ht="15" customHeight="1" x14ac:dyDescent="0.15">
      <c r="A61" s="7"/>
      <c r="B61" s="13"/>
      <c r="C61" s="13"/>
      <c r="D61" s="13"/>
      <c r="E61" s="13"/>
      <c r="F61" s="13"/>
      <c r="G61" s="13"/>
      <c r="H61" s="13"/>
      <c r="I61" s="13"/>
      <c r="J61" s="21"/>
      <c r="K61" s="21"/>
      <c r="L61" s="21"/>
      <c r="M61" s="21"/>
      <c r="N61" s="21"/>
      <c r="O61" s="21"/>
    </row>
    <row r="62" spans="1:15" ht="15" customHeight="1" x14ac:dyDescent="0.15">
      <c r="A62" s="7"/>
      <c r="B62" s="13"/>
      <c r="C62" s="13"/>
      <c r="D62" s="13"/>
      <c r="E62" s="13"/>
      <c r="F62" s="13"/>
      <c r="G62" s="13"/>
      <c r="H62" s="13"/>
      <c r="I62" s="13"/>
      <c r="J62" s="21"/>
      <c r="K62" s="21"/>
      <c r="L62" s="21"/>
      <c r="M62" s="21"/>
      <c r="N62" s="21"/>
      <c r="O62" s="21"/>
    </row>
    <row r="63" spans="1:15" ht="15" customHeight="1" x14ac:dyDescent="0.15">
      <c r="A63" s="7"/>
      <c r="B63" s="13"/>
      <c r="C63" s="13"/>
      <c r="D63" s="13"/>
      <c r="E63" s="13"/>
      <c r="F63" s="13"/>
      <c r="G63" s="13"/>
      <c r="H63" s="13"/>
      <c r="I63" s="13"/>
      <c r="J63" s="21"/>
      <c r="K63" s="21"/>
      <c r="L63" s="21"/>
      <c r="M63" s="21"/>
      <c r="N63" s="21"/>
      <c r="O63" s="21"/>
    </row>
    <row r="64" spans="1:15" ht="15" customHeight="1" thickBot="1" x14ac:dyDescent="0.2">
      <c r="A64" s="8"/>
      <c r="B64" s="14"/>
      <c r="C64" s="14"/>
      <c r="D64" s="14"/>
      <c r="E64" s="14"/>
      <c r="F64" s="14"/>
      <c r="G64" s="14"/>
      <c r="H64" s="14"/>
      <c r="I64" s="14"/>
      <c r="J64" s="22"/>
      <c r="K64" s="22"/>
      <c r="L64" s="22"/>
      <c r="M64" s="22"/>
      <c r="N64" s="22"/>
      <c r="O64" s="22"/>
    </row>
    <row r="65" spans="1:15" ht="15" customHeight="1" thickTop="1" x14ac:dyDescent="0.15">
      <c r="A65" s="9" t="s">
        <v>6</v>
      </c>
      <c r="B65" s="15">
        <f t="shared" ref="B65:O65" si="1">SUM(B40:B64)</f>
        <v>177</v>
      </c>
      <c r="C65" s="15">
        <f t="shared" si="1"/>
        <v>132</v>
      </c>
      <c r="D65" s="15">
        <f t="shared" si="1"/>
        <v>19</v>
      </c>
      <c r="E65" s="15">
        <f t="shared" si="1"/>
        <v>9</v>
      </c>
      <c r="F65" s="15">
        <f>SUM(F40:F64)</f>
        <v>5</v>
      </c>
      <c r="G65" s="15">
        <f>SUM(G40:G64)</f>
        <v>10</v>
      </c>
      <c r="H65" s="15">
        <f>SUM(H40:H64)</f>
        <v>2</v>
      </c>
      <c r="I65" s="15">
        <f>SUM(I40:I64)</f>
        <v>0</v>
      </c>
      <c r="J65" s="15">
        <f t="shared" si="1"/>
        <v>12</v>
      </c>
      <c r="K65" s="15">
        <f t="shared" si="1"/>
        <v>0</v>
      </c>
      <c r="L65" s="15">
        <f t="shared" si="1"/>
        <v>5</v>
      </c>
      <c r="M65" s="15">
        <f t="shared" si="1"/>
        <v>0</v>
      </c>
      <c r="N65" s="15">
        <f t="shared" si="1"/>
        <v>9</v>
      </c>
      <c r="O65" s="15">
        <f t="shared" si="1"/>
        <v>3</v>
      </c>
    </row>
    <row r="66" spans="1:15" ht="15" customHeight="1" x14ac:dyDescent="0.15">
      <c r="A66" s="1" t="s">
        <v>7</v>
      </c>
      <c r="B66" s="16">
        <f>B65-C65</f>
        <v>45</v>
      </c>
      <c r="C66" s="17"/>
      <c r="D66" s="16">
        <f>D65-E65</f>
        <v>10</v>
      </c>
      <c r="E66" s="17"/>
      <c r="F66" s="16"/>
      <c r="G66" s="17"/>
      <c r="H66" s="16">
        <f>H65-I65</f>
        <v>2</v>
      </c>
      <c r="I66" s="17"/>
      <c r="J66" s="16">
        <f>J65-K65</f>
        <v>12</v>
      </c>
      <c r="L66" s="16">
        <f>L65-M65</f>
        <v>5</v>
      </c>
      <c r="N66" s="16">
        <f>N65-O65</f>
        <v>6</v>
      </c>
    </row>
    <row r="67" spans="1:15" ht="15" customHeight="1" x14ac:dyDescent="0.15">
      <c r="B67" s="11"/>
      <c r="C67" s="11"/>
      <c r="D67" s="11"/>
      <c r="E67" s="11"/>
      <c r="F67" s="11"/>
      <c r="G67" s="11"/>
      <c r="H67" s="11"/>
      <c r="I67" s="11"/>
    </row>
    <row r="68" spans="1:15" ht="15" customHeight="1" x14ac:dyDescent="0.15">
      <c r="B68" s="11"/>
      <c r="C68" s="11"/>
      <c r="D68" s="11"/>
      <c r="E68" s="11"/>
      <c r="F68" s="11"/>
      <c r="G68" s="11"/>
      <c r="H68" s="11"/>
      <c r="I68" s="11"/>
    </row>
    <row r="69" spans="1:15" ht="15" customHeight="1" x14ac:dyDescent="0.15">
      <c r="B69" s="4"/>
      <c r="C69" s="4"/>
      <c r="D69" s="4"/>
      <c r="E69" s="4"/>
      <c r="F69" s="4"/>
      <c r="G69" s="4"/>
      <c r="H69" s="4"/>
      <c r="I69" s="4"/>
    </row>
    <row r="70" spans="1:15" ht="15" customHeight="1" x14ac:dyDescent="0.15">
      <c r="B70" s="4"/>
      <c r="C70" s="4"/>
      <c r="D70" s="4"/>
      <c r="E70" s="4"/>
      <c r="F70" s="4"/>
      <c r="G70" s="4"/>
      <c r="H70" s="4"/>
      <c r="I70" s="4"/>
    </row>
    <row r="71" spans="1:15" ht="15" customHeight="1" x14ac:dyDescent="0.15">
      <c r="B71" s="4"/>
      <c r="C71" s="4"/>
      <c r="D71" s="4"/>
      <c r="E71" s="4"/>
      <c r="F71" s="4"/>
      <c r="G71" s="4"/>
      <c r="H71" s="4"/>
      <c r="I71" s="4"/>
    </row>
    <row r="72" spans="1:15" ht="16.5" customHeight="1" x14ac:dyDescent="0.15">
      <c r="B72" s="4"/>
      <c r="C72" s="4"/>
      <c r="D72" s="4"/>
      <c r="E72" s="4"/>
      <c r="F72" s="4"/>
      <c r="G72" s="4"/>
      <c r="H72" s="4"/>
      <c r="I72" s="4"/>
    </row>
    <row r="73" spans="1:15" ht="16.5" customHeight="1" x14ac:dyDescent="0.15">
      <c r="B73" s="4"/>
      <c r="C73" s="4"/>
      <c r="D73" s="4"/>
      <c r="E73" s="4"/>
      <c r="F73" s="4"/>
      <c r="G73" s="4"/>
      <c r="H73" s="4"/>
      <c r="I73" s="4"/>
    </row>
    <row r="74" spans="1:15" ht="16.5" customHeight="1" x14ac:dyDescent="0.15">
      <c r="B74" s="4"/>
      <c r="C74" s="4"/>
      <c r="D74" s="4"/>
      <c r="E74" s="4"/>
      <c r="F74" s="4"/>
      <c r="G74" s="4"/>
      <c r="H74" s="4"/>
      <c r="I74" s="4"/>
    </row>
    <row r="75" spans="1:15" ht="17.25" x14ac:dyDescent="0.15">
      <c r="B75" s="4"/>
      <c r="C75" s="4"/>
      <c r="D75" s="4"/>
      <c r="E75" s="4"/>
      <c r="F75" s="4"/>
      <c r="G75" s="4"/>
      <c r="H75" s="4"/>
      <c r="I75" s="4"/>
    </row>
  </sheetData>
  <mergeCells count="13">
    <mergeCell ref="B38:C38"/>
    <mergeCell ref="A36:I36"/>
    <mergeCell ref="H38:I38"/>
    <mergeCell ref="N38:O38"/>
    <mergeCell ref="L38:M38"/>
    <mergeCell ref="J38:K38"/>
    <mergeCell ref="D38:E38"/>
    <mergeCell ref="L3:M3"/>
    <mergeCell ref="N3:O3"/>
    <mergeCell ref="A1:I1"/>
    <mergeCell ref="B3:C3"/>
    <mergeCell ref="D3:E3"/>
    <mergeCell ref="J3:K3"/>
  </mergeCells>
  <phoneticPr fontId="1"/>
  <pageMargins left="0.78740157480314965" right="0.78740157480314965" top="0.78740157480314965" bottom="0.78740157480314965" header="0" footer="0"/>
  <pageSetup paperSize="9" orientation="landscape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D8D3-1105-4F8D-BB87-EF5373359203}">
  <dimension ref="A1:D27"/>
  <sheetViews>
    <sheetView workbookViewId="0">
      <selection activeCell="C5" sqref="C5:D10"/>
    </sheetView>
  </sheetViews>
  <sheetFormatPr defaultRowHeight="18.75" x14ac:dyDescent="0.15"/>
  <cols>
    <col min="1" max="1" width="10.25" style="5" customWidth="1"/>
    <col min="2" max="2" width="47.875" style="12" customWidth="1"/>
    <col min="3" max="3" width="33.875" style="12" customWidth="1"/>
    <col min="4" max="4" width="35.875" style="12" customWidth="1"/>
    <col min="5" max="16384" width="9" style="12"/>
  </cols>
  <sheetData>
    <row r="1" spans="1:4" ht="21" x14ac:dyDescent="0.15">
      <c r="A1" s="74" t="s">
        <v>67</v>
      </c>
      <c r="B1" s="74"/>
      <c r="C1" s="74"/>
      <c r="D1" s="74"/>
    </row>
    <row r="3" spans="1:4" x14ac:dyDescent="0.15">
      <c r="A3" s="77" t="s">
        <v>5</v>
      </c>
      <c r="B3" s="76" t="s">
        <v>9</v>
      </c>
      <c r="C3" s="76" t="s">
        <v>10</v>
      </c>
      <c r="D3" s="76" t="s">
        <v>12</v>
      </c>
    </row>
    <row r="4" spans="1:4" x14ac:dyDescent="0.15">
      <c r="A4" s="77"/>
      <c r="B4" s="76"/>
      <c r="C4" s="76"/>
      <c r="D4" s="76"/>
    </row>
    <row r="5" spans="1:4" x14ac:dyDescent="0.15">
      <c r="A5" s="6"/>
      <c r="B5" s="10"/>
      <c r="C5" s="10"/>
      <c r="D5" s="48"/>
    </row>
    <row r="6" spans="1:4" x14ac:dyDescent="0.15">
      <c r="A6" s="6"/>
      <c r="B6" s="10"/>
      <c r="C6" s="10"/>
      <c r="D6" s="48"/>
    </row>
    <row r="7" spans="1:4" x14ac:dyDescent="0.15">
      <c r="A7" s="6"/>
      <c r="B7" s="10"/>
      <c r="C7" s="10"/>
      <c r="D7" s="48"/>
    </row>
    <row r="8" spans="1:4" x14ac:dyDescent="0.15">
      <c r="A8" s="6"/>
      <c r="B8" s="10"/>
      <c r="C8" s="52"/>
      <c r="D8" s="48"/>
    </row>
    <row r="9" spans="1:4" x14ac:dyDescent="0.15">
      <c r="A9" s="6"/>
      <c r="B9" s="10"/>
      <c r="C9" s="10"/>
      <c r="D9" s="48"/>
    </row>
    <row r="10" spans="1:4" x14ac:dyDescent="0.15">
      <c r="A10" s="6"/>
      <c r="B10" s="10"/>
      <c r="C10" s="52"/>
      <c r="D10" s="48"/>
    </row>
    <row r="11" spans="1:4" x14ac:dyDescent="0.15">
      <c r="A11" s="6"/>
      <c r="B11" s="48"/>
      <c r="C11" s="48"/>
      <c r="D11" s="48"/>
    </row>
    <row r="12" spans="1:4" x14ac:dyDescent="0.15">
      <c r="A12" s="6"/>
      <c r="B12" s="48"/>
      <c r="C12" s="48"/>
      <c r="D12" s="48"/>
    </row>
    <row r="13" spans="1:4" x14ac:dyDescent="0.15">
      <c r="A13" s="6"/>
      <c r="B13" s="10"/>
      <c r="C13" s="10"/>
      <c r="D13" s="48"/>
    </row>
    <row r="14" spans="1:4" x14ac:dyDescent="0.15">
      <c r="A14" s="6"/>
      <c r="B14" s="10"/>
      <c r="C14" s="10"/>
      <c r="D14" s="10"/>
    </row>
    <row r="15" spans="1:4" x14ac:dyDescent="0.15">
      <c r="A15" s="6"/>
      <c r="B15" s="10"/>
      <c r="C15" s="10"/>
      <c r="D15" s="10"/>
    </row>
    <row r="16" spans="1:4" x14ac:dyDescent="0.15">
      <c r="A16" s="6"/>
      <c r="B16" s="10"/>
      <c r="C16" s="10"/>
      <c r="D16" s="10"/>
    </row>
    <row r="17" spans="1:4" x14ac:dyDescent="0.15">
      <c r="A17" s="6"/>
      <c r="B17" s="10"/>
      <c r="C17" s="10"/>
      <c r="D17" s="10"/>
    </row>
    <row r="18" spans="1:4" x14ac:dyDescent="0.15">
      <c r="A18" s="6"/>
      <c r="B18" s="10"/>
      <c r="C18" s="10"/>
      <c r="D18" s="10"/>
    </row>
    <row r="19" spans="1:4" x14ac:dyDescent="0.15">
      <c r="A19" s="6"/>
      <c r="B19" s="10"/>
      <c r="C19" s="10"/>
      <c r="D19" s="10"/>
    </row>
    <row r="20" spans="1:4" x14ac:dyDescent="0.15">
      <c r="A20" s="6"/>
      <c r="B20" s="10"/>
      <c r="C20" s="10"/>
      <c r="D20" s="10"/>
    </row>
    <row r="21" spans="1:4" x14ac:dyDescent="0.15">
      <c r="A21" s="6"/>
      <c r="B21" s="10"/>
      <c r="C21" s="10"/>
      <c r="D21" s="10"/>
    </row>
    <row r="22" spans="1:4" x14ac:dyDescent="0.15">
      <c r="A22" s="6"/>
      <c r="B22" s="10"/>
      <c r="C22" s="10"/>
      <c r="D22" s="10"/>
    </row>
    <row r="23" spans="1:4" x14ac:dyDescent="0.15">
      <c r="A23" s="6"/>
      <c r="B23" s="10"/>
      <c r="C23" s="10"/>
      <c r="D23" s="10"/>
    </row>
    <row r="24" spans="1:4" x14ac:dyDescent="0.15">
      <c r="A24" s="6"/>
      <c r="B24" s="10"/>
      <c r="C24" s="10"/>
      <c r="D24" s="10"/>
    </row>
    <row r="25" spans="1:4" x14ac:dyDescent="0.15">
      <c r="A25" s="6"/>
      <c r="B25" s="10"/>
      <c r="C25" s="10"/>
      <c r="D25" s="10"/>
    </row>
    <row r="27" spans="1:4" x14ac:dyDescent="0.15">
      <c r="C27" s="75" t="s">
        <v>11</v>
      </c>
      <c r="D27" s="75"/>
    </row>
  </sheetData>
  <mergeCells count="6">
    <mergeCell ref="A1:D1"/>
    <mergeCell ref="C27:D27"/>
    <mergeCell ref="B3:B4"/>
    <mergeCell ref="C3:C4"/>
    <mergeCell ref="A3:A4"/>
    <mergeCell ref="D3:D4"/>
  </mergeCells>
  <phoneticPr fontId="1"/>
  <pageMargins left="0.78740157480314965" right="0.78740157480314965" top="0.78740157480314965" bottom="0.78740157480314965" header="0" footer="0"/>
  <pageSetup paperSize="9" orientation="landscape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AF53-2BB7-475E-BEF1-098498CD7E88}">
  <dimension ref="A1:E56"/>
  <sheetViews>
    <sheetView workbookViewId="0">
      <selection activeCell="A5" sqref="A5:D47"/>
    </sheetView>
  </sheetViews>
  <sheetFormatPr defaultRowHeight="18.75" x14ac:dyDescent="0.15"/>
  <cols>
    <col min="1" max="1" width="10.25" style="5" customWidth="1"/>
    <col min="2" max="2" width="47.875" style="12" customWidth="1"/>
    <col min="3" max="3" width="33.875" style="12" customWidth="1"/>
    <col min="4" max="4" width="30.25" style="12" customWidth="1"/>
    <col min="5" max="16384" width="9" style="12"/>
  </cols>
  <sheetData>
    <row r="1" spans="1:5" ht="21" x14ac:dyDescent="0.15">
      <c r="A1" s="74" t="s">
        <v>66</v>
      </c>
      <c r="B1" s="74"/>
      <c r="C1" s="74"/>
      <c r="D1" s="74"/>
      <c r="E1" s="53"/>
    </row>
    <row r="2" spans="1:5" x14ac:dyDescent="0.15">
      <c r="E2" s="53"/>
    </row>
    <row r="3" spans="1:5" x14ac:dyDescent="0.15">
      <c r="A3" s="77" t="s">
        <v>5</v>
      </c>
      <c r="B3" s="76" t="s">
        <v>9</v>
      </c>
      <c r="C3" s="76" t="s">
        <v>10</v>
      </c>
      <c r="D3" s="78" t="s">
        <v>12</v>
      </c>
      <c r="E3" s="46"/>
    </row>
    <row r="4" spans="1:5" x14ac:dyDescent="0.15">
      <c r="A4" s="77"/>
      <c r="B4" s="76"/>
      <c r="C4" s="76"/>
      <c r="D4" s="78"/>
      <c r="E4" s="46"/>
    </row>
    <row r="5" spans="1:5" x14ac:dyDescent="0.15">
      <c r="A5" s="6"/>
      <c r="B5" s="10"/>
      <c r="C5" s="10"/>
      <c r="D5" s="49"/>
      <c r="E5" s="46"/>
    </row>
    <row r="6" spans="1:5" x14ac:dyDescent="0.15">
      <c r="A6" s="6"/>
      <c r="B6" s="10"/>
      <c r="C6" s="49"/>
      <c r="D6" s="49"/>
      <c r="E6" s="46"/>
    </row>
    <row r="7" spans="1:5" x14ac:dyDescent="0.15">
      <c r="A7" s="6"/>
      <c r="B7" s="10"/>
      <c r="C7" s="49"/>
      <c r="D7" s="49"/>
      <c r="E7" s="46"/>
    </row>
    <row r="8" spans="1:5" x14ac:dyDescent="0.15">
      <c r="A8" s="6"/>
      <c r="B8" s="21"/>
      <c r="C8" s="49"/>
      <c r="D8" s="49"/>
      <c r="E8" s="46"/>
    </row>
    <row r="9" spans="1:5" x14ac:dyDescent="0.15">
      <c r="A9" s="6"/>
      <c r="B9" s="10"/>
      <c r="C9" s="49"/>
      <c r="D9" s="49"/>
      <c r="E9" s="46"/>
    </row>
    <row r="10" spans="1:5" x14ac:dyDescent="0.15">
      <c r="A10" s="6"/>
      <c r="B10" s="10"/>
      <c r="C10" s="49"/>
      <c r="D10" s="49"/>
      <c r="E10" s="46"/>
    </row>
    <row r="11" spans="1:5" x14ac:dyDescent="0.15">
      <c r="A11" s="6"/>
      <c r="B11" s="10"/>
      <c r="C11" s="49"/>
      <c r="D11" s="49"/>
      <c r="E11" s="46"/>
    </row>
    <row r="12" spans="1:5" x14ac:dyDescent="0.15">
      <c r="A12" s="6"/>
      <c r="B12" s="10"/>
      <c r="C12" s="49"/>
      <c r="D12" s="49"/>
      <c r="E12" s="46"/>
    </row>
    <row r="13" spans="1:5" x14ac:dyDescent="0.15">
      <c r="A13" s="6"/>
      <c r="B13" s="10"/>
      <c r="C13" s="49"/>
      <c r="D13" s="49"/>
      <c r="E13" s="46"/>
    </row>
    <row r="14" spans="1:5" x14ac:dyDescent="0.15">
      <c r="A14" s="6"/>
      <c r="B14" s="10"/>
      <c r="C14" s="49"/>
      <c r="D14" s="49"/>
      <c r="E14" s="46"/>
    </row>
    <row r="15" spans="1:5" x14ac:dyDescent="0.15">
      <c r="A15" s="6"/>
      <c r="B15" s="10"/>
      <c r="C15" s="10"/>
      <c r="D15" s="49"/>
      <c r="E15" s="46"/>
    </row>
    <row r="16" spans="1:5" x14ac:dyDescent="0.15">
      <c r="A16" s="6"/>
      <c r="B16" s="10"/>
      <c r="C16" s="49"/>
      <c r="D16" s="49"/>
      <c r="E16" s="46"/>
    </row>
    <row r="17" spans="1:5" x14ac:dyDescent="0.15">
      <c r="A17" s="6"/>
      <c r="B17" s="10"/>
      <c r="C17" s="49"/>
      <c r="D17" s="49"/>
      <c r="E17" s="46"/>
    </row>
    <row r="18" spans="1:5" x14ac:dyDescent="0.15">
      <c r="A18" s="6"/>
      <c r="B18" s="10"/>
      <c r="C18" s="49"/>
      <c r="D18" s="49"/>
      <c r="E18" s="46"/>
    </row>
    <row r="19" spans="1:5" x14ac:dyDescent="0.15">
      <c r="A19" s="6"/>
      <c r="B19" s="10"/>
      <c r="C19" s="49"/>
      <c r="D19" s="49"/>
      <c r="E19" s="46"/>
    </row>
    <row r="20" spans="1:5" x14ac:dyDescent="0.15">
      <c r="A20" s="6"/>
      <c r="B20" s="10"/>
      <c r="C20" s="49"/>
      <c r="D20" s="49"/>
      <c r="E20" s="46"/>
    </row>
    <row r="21" spans="1:5" x14ac:dyDescent="0.15">
      <c r="A21" s="6"/>
      <c r="B21" s="10"/>
      <c r="C21" s="49"/>
      <c r="D21" s="49"/>
      <c r="E21" s="46"/>
    </row>
    <row r="22" spans="1:5" x14ac:dyDescent="0.15">
      <c r="A22" s="6"/>
      <c r="B22" s="10"/>
      <c r="C22" s="49"/>
      <c r="D22" s="49"/>
      <c r="E22" s="46"/>
    </row>
    <row r="23" spans="1:5" x14ac:dyDescent="0.15">
      <c r="A23" s="6"/>
      <c r="B23" s="10"/>
      <c r="C23" s="49"/>
      <c r="D23" s="49"/>
      <c r="E23" s="46"/>
    </row>
    <row r="24" spans="1:5" x14ac:dyDescent="0.15">
      <c r="A24" s="6"/>
      <c r="B24" s="10"/>
      <c r="C24" s="10"/>
      <c r="D24" s="49"/>
      <c r="E24" s="46"/>
    </row>
    <row r="25" spans="1:5" x14ac:dyDescent="0.15">
      <c r="A25" s="6"/>
      <c r="B25" s="10"/>
      <c r="C25" s="49"/>
      <c r="D25" s="49"/>
      <c r="E25" s="46"/>
    </row>
    <row r="26" spans="1:5" x14ac:dyDescent="0.15">
      <c r="A26" s="6"/>
      <c r="B26" s="10"/>
      <c r="C26" s="49"/>
      <c r="D26" s="49"/>
      <c r="E26" s="46"/>
    </row>
    <row r="27" spans="1:5" x14ac:dyDescent="0.15">
      <c r="A27" s="6"/>
      <c r="B27" s="10"/>
      <c r="C27" s="49"/>
      <c r="D27" s="49"/>
      <c r="E27" s="46"/>
    </row>
    <row r="28" spans="1:5" x14ac:dyDescent="0.15">
      <c r="A28" s="6"/>
      <c r="B28" s="10"/>
      <c r="C28" s="49"/>
      <c r="D28" s="49"/>
      <c r="E28" s="46"/>
    </row>
    <row r="29" spans="1:5" x14ac:dyDescent="0.15">
      <c r="A29" s="6"/>
      <c r="B29" s="10"/>
      <c r="C29" s="49"/>
      <c r="D29" s="49"/>
      <c r="E29" s="46"/>
    </row>
    <row r="30" spans="1:5" x14ac:dyDescent="0.15">
      <c r="A30" s="6"/>
      <c r="B30" s="10"/>
      <c r="C30" s="49"/>
      <c r="D30" s="49"/>
      <c r="E30" s="46"/>
    </row>
    <row r="31" spans="1:5" x14ac:dyDescent="0.15">
      <c r="A31" s="6"/>
      <c r="B31" s="10"/>
      <c r="C31" s="49"/>
      <c r="D31" s="49"/>
      <c r="E31" s="46"/>
    </row>
    <row r="32" spans="1:5" x14ac:dyDescent="0.15">
      <c r="A32" s="6"/>
      <c r="B32" s="10"/>
      <c r="C32" s="49"/>
      <c r="D32" s="49"/>
      <c r="E32" s="46"/>
    </row>
    <row r="33" spans="1:5" x14ac:dyDescent="0.15">
      <c r="A33" s="6"/>
      <c r="B33" s="10"/>
      <c r="C33" s="49"/>
      <c r="D33" s="49"/>
      <c r="E33" s="46"/>
    </row>
    <row r="34" spans="1:5" x14ac:dyDescent="0.15">
      <c r="A34" s="6"/>
      <c r="B34" s="10"/>
      <c r="C34" s="10"/>
      <c r="D34" s="49"/>
      <c r="E34" s="46"/>
    </row>
    <row r="35" spans="1:5" x14ac:dyDescent="0.15">
      <c r="A35" s="6"/>
      <c r="B35" s="10"/>
      <c r="C35" s="49"/>
      <c r="D35" s="49"/>
      <c r="E35" s="46"/>
    </row>
    <row r="36" spans="1:5" x14ac:dyDescent="0.15">
      <c r="A36" s="6"/>
      <c r="B36" s="10"/>
      <c r="C36" s="49"/>
      <c r="D36" s="49"/>
      <c r="E36" s="46"/>
    </row>
    <row r="37" spans="1:5" x14ac:dyDescent="0.15">
      <c r="A37" s="6"/>
      <c r="B37" s="10"/>
      <c r="C37" s="10"/>
      <c r="D37" s="49"/>
      <c r="E37" s="46"/>
    </row>
    <row r="38" spans="1:5" x14ac:dyDescent="0.15">
      <c r="A38" s="6"/>
      <c r="B38" s="10"/>
      <c r="C38" s="49"/>
      <c r="D38" s="49"/>
      <c r="E38" s="46"/>
    </row>
    <row r="39" spans="1:5" x14ac:dyDescent="0.15">
      <c r="A39" s="6"/>
      <c r="B39" s="10"/>
      <c r="C39" s="49"/>
      <c r="D39" s="49"/>
      <c r="E39" s="46"/>
    </row>
    <row r="40" spans="1:5" x14ac:dyDescent="0.15">
      <c r="A40" s="6"/>
      <c r="B40" s="10"/>
      <c r="C40" s="45"/>
      <c r="D40" s="49"/>
      <c r="E40" s="46"/>
    </row>
    <row r="41" spans="1:5" x14ac:dyDescent="0.15">
      <c r="A41" s="6"/>
      <c r="B41" s="10"/>
      <c r="C41" s="49"/>
      <c r="D41" s="49"/>
      <c r="E41" s="46"/>
    </row>
    <row r="42" spans="1:5" x14ac:dyDescent="0.15">
      <c r="A42" s="6"/>
      <c r="B42" s="10"/>
      <c r="C42" s="49"/>
      <c r="D42" s="49"/>
      <c r="E42" s="46"/>
    </row>
    <row r="43" spans="1:5" x14ac:dyDescent="0.15">
      <c r="A43" s="6"/>
      <c r="B43" s="10"/>
      <c r="C43" s="49"/>
      <c r="D43" s="49"/>
      <c r="E43" s="46"/>
    </row>
    <row r="44" spans="1:5" x14ac:dyDescent="0.15">
      <c r="A44" s="6"/>
      <c r="B44" s="10"/>
      <c r="C44" s="49"/>
      <c r="D44" s="49"/>
      <c r="E44" s="46"/>
    </row>
    <row r="45" spans="1:5" x14ac:dyDescent="0.15">
      <c r="A45" s="6"/>
      <c r="B45" s="10"/>
      <c r="C45" s="49"/>
      <c r="D45" s="49"/>
      <c r="E45" s="46"/>
    </row>
    <row r="46" spans="1:5" x14ac:dyDescent="0.15">
      <c r="A46" s="6"/>
      <c r="B46" s="10"/>
      <c r="C46" s="49"/>
      <c r="D46" s="49"/>
      <c r="E46" s="46"/>
    </row>
    <row r="47" spans="1:5" x14ac:dyDescent="0.15">
      <c r="A47" s="6"/>
      <c r="B47" s="10"/>
      <c r="C47" s="49"/>
      <c r="D47" s="49"/>
      <c r="E47" s="46"/>
    </row>
    <row r="48" spans="1:5" x14ac:dyDescent="0.15">
      <c r="A48" s="6"/>
      <c r="B48" s="10"/>
      <c r="C48" s="48"/>
      <c r="D48" s="49"/>
      <c r="E48" s="46"/>
    </row>
    <row r="49" spans="1:5" x14ac:dyDescent="0.15">
      <c r="A49" s="6"/>
      <c r="B49" s="10"/>
      <c r="C49" s="48"/>
      <c r="D49" s="49"/>
      <c r="E49" s="46"/>
    </row>
    <row r="50" spans="1:5" x14ac:dyDescent="0.15">
      <c r="A50" s="6"/>
      <c r="B50" s="10"/>
      <c r="C50" s="48"/>
      <c r="D50" s="49"/>
      <c r="E50" s="46"/>
    </row>
    <row r="51" spans="1:5" x14ac:dyDescent="0.15">
      <c r="A51" s="6"/>
      <c r="B51" s="10"/>
      <c r="C51" s="48"/>
      <c r="D51" s="49"/>
      <c r="E51" s="46"/>
    </row>
    <row r="52" spans="1:5" x14ac:dyDescent="0.15">
      <c r="A52" s="6"/>
      <c r="B52" s="10"/>
      <c r="C52" s="48"/>
      <c r="D52" s="49"/>
      <c r="E52" s="46"/>
    </row>
    <row r="53" spans="1:5" x14ac:dyDescent="0.15">
      <c r="A53" s="6"/>
      <c r="B53" s="10"/>
      <c r="C53" s="10"/>
      <c r="D53" s="49"/>
      <c r="E53" s="46"/>
    </row>
    <row r="54" spans="1:5" x14ac:dyDescent="0.15">
      <c r="A54" s="6"/>
      <c r="B54" s="10"/>
      <c r="C54" s="10"/>
      <c r="D54" s="49"/>
      <c r="E54" s="46"/>
    </row>
    <row r="55" spans="1:5" x14ac:dyDescent="0.15">
      <c r="A55" s="6"/>
      <c r="B55" s="10"/>
      <c r="C55" s="10"/>
      <c r="D55" s="49"/>
      <c r="E55" s="46"/>
    </row>
    <row r="56" spans="1:5" x14ac:dyDescent="0.15">
      <c r="A56" s="6"/>
      <c r="B56" s="10"/>
      <c r="C56" s="10"/>
      <c r="D56" s="49"/>
      <c r="E56" s="46"/>
    </row>
  </sheetData>
  <mergeCells count="5">
    <mergeCell ref="A1:D1"/>
    <mergeCell ref="B3:B4"/>
    <mergeCell ref="C3:C4"/>
    <mergeCell ref="A3:A4"/>
    <mergeCell ref="D3:D4"/>
  </mergeCells>
  <phoneticPr fontId="1"/>
  <pageMargins left="0.78740157480314965" right="0.78740157480314965" top="0.78740157480314965" bottom="0.78740157480314965" header="0" footer="0"/>
  <pageSetup paperSize="9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48A5-9E01-4619-BFC1-6530B118384D}">
  <dimension ref="A1:G46"/>
  <sheetViews>
    <sheetView tabSelected="1" workbookViewId="0">
      <selection activeCell="G18" sqref="G18"/>
    </sheetView>
  </sheetViews>
  <sheetFormatPr defaultRowHeight="18.75" x14ac:dyDescent="0.15"/>
  <cols>
    <col min="1" max="1" width="10.25" style="5" customWidth="1"/>
    <col min="2" max="2" width="47.875" style="12" customWidth="1"/>
    <col min="3" max="3" width="33.875" style="12" customWidth="1"/>
    <col min="4" max="4" width="35.875" style="12" customWidth="1"/>
    <col min="5" max="5" width="3.5" style="12" customWidth="1"/>
    <col min="6" max="6" width="25.25" style="12" customWidth="1"/>
    <col min="7" max="7" width="20.625" style="12" customWidth="1"/>
    <col min="8" max="16384" width="9" style="12"/>
  </cols>
  <sheetData>
    <row r="1" spans="1:7" ht="21" x14ac:dyDescent="0.15">
      <c r="A1" s="74" t="s">
        <v>65</v>
      </c>
      <c r="B1" s="74"/>
      <c r="C1" s="74"/>
      <c r="D1" s="74"/>
    </row>
    <row r="2" spans="1:7" ht="21" x14ac:dyDescent="0.15">
      <c r="A2" s="24"/>
      <c r="B2" s="25" t="s">
        <v>26</v>
      </c>
      <c r="C2" s="25" t="s">
        <v>24</v>
      </c>
      <c r="D2" s="81" t="s">
        <v>25</v>
      </c>
      <c r="E2" s="82"/>
      <c r="F2" s="83"/>
    </row>
    <row r="3" spans="1:7" ht="21" x14ac:dyDescent="0.15">
      <c r="A3" s="24"/>
      <c r="B3" s="26" t="s">
        <v>51</v>
      </c>
      <c r="C3" s="69">
        <v>45027</v>
      </c>
      <c r="D3" s="69">
        <v>45027</v>
      </c>
      <c r="E3" s="12" t="s">
        <v>72</v>
      </c>
      <c r="F3" s="69">
        <v>45027</v>
      </c>
    </row>
    <row r="4" spans="1:7" ht="21" x14ac:dyDescent="0.15">
      <c r="A4" s="24"/>
      <c r="B4" s="26" t="s">
        <v>48</v>
      </c>
      <c r="C4" s="69">
        <v>45027</v>
      </c>
      <c r="D4" s="69">
        <v>45027</v>
      </c>
      <c r="E4" s="12" t="s">
        <v>72</v>
      </c>
      <c r="F4" s="69">
        <v>45027</v>
      </c>
    </row>
    <row r="5" spans="1:7" ht="21" x14ac:dyDescent="0.15">
      <c r="A5" s="24"/>
      <c r="B5" s="26" t="s">
        <v>50</v>
      </c>
      <c r="C5" s="69">
        <v>45027</v>
      </c>
      <c r="D5" s="69">
        <v>45027</v>
      </c>
      <c r="E5" s="12" t="s">
        <v>72</v>
      </c>
      <c r="F5" s="69">
        <v>45027</v>
      </c>
    </row>
    <row r="6" spans="1:7" ht="21" customHeight="1" x14ac:dyDescent="0.15">
      <c r="A6" s="24"/>
      <c r="B6" s="59" t="s">
        <v>49</v>
      </c>
      <c r="C6" s="69">
        <v>45027</v>
      </c>
      <c r="D6" s="69">
        <v>45027</v>
      </c>
      <c r="E6" s="12" t="s">
        <v>72</v>
      </c>
      <c r="F6" s="69">
        <v>45027</v>
      </c>
    </row>
    <row r="7" spans="1:7" ht="21" x14ac:dyDescent="0.15">
      <c r="A7" s="24"/>
      <c r="B7" s="51"/>
      <c r="C7" s="80"/>
      <c r="D7" s="80"/>
      <c r="E7" s="67"/>
    </row>
    <row r="8" spans="1:7" ht="21" x14ac:dyDescent="0.15">
      <c r="A8" s="24"/>
      <c r="B8" s="50" t="s">
        <v>26</v>
      </c>
      <c r="C8" s="79" t="s">
        <v>25</v>
      </c>
      <c r="D8" s="79"/>
      <c r="E8" s="67"/>
      <c r="F8" s="67"/>
      <c r="G8" s="67"/>
    </row>
    <row r="9" spans="1:7" ht="21" x14ac:dyDescent="0.15">
      <c r="A9" s="24"/>
      <c r="B9" s="26" t="s">
        <v>59</v>
      </c>
      <c r="C9" s="69">
        <v>45027</v>
      </c>
      <c r="D9" s="69">
        <v>45027</v>
      </c>
      <c r="F9" s="68" t="s">
        <v>58</v>
      </c>
      <c r="G9" s="67" t="s">
        <v>70</v>
      </c>
    </row>
    <row r="10" spans="1:7" ht="21" x14ac:dyDescent="0.15">
      <c r="A10" s="24"/>
      <c r="B10" s="59" t="s">
        <v>60</v>
      </c>
      <c r="C10" s="69">
        <v>45027</v>
      </c>
      <c r="D10" s="69">
        <v>45027</v>
      </c>
      <c r="F10" s="68" t="s">
        <v>58</v>
      </c>
      <c r="G10" s="67" t="s">
        <v>70</v>
      </c>
    </row>
    <row r="11" spans="1:7" ht="21" x14ac:dyDescent="0.15">
      <c r="A11" s="24"/>
      <c r="B11" s="59" t="s">
        <v>71</v>
      </c>
      <c r="C11" s="69">
        <v>45027</v>
      </c>
      <c r="D11" s="69">
        <v>45027</v>
      </c>
      <c r="F11" s="68" t="s">
        <v>58</v>
      </c>
      <c r="G11" s="67" t="s">
        <v>70</v>
      </c>
    </row>
    <row r="12" spans="1:7" ht="18.75" customHeight="1" x14ac:dyDescent="0.15">
      <c r="B12" s="59" t="s">
        <v>47</v>
      </c>
      <c r="C12" s="69">
        <v>45027</v>
      </c>
      <c r="D12" s="69">
        <v>45027</v>
      </c>
      <c r="F12" s="68" t="s">
        <v>58</v>
      </c>
      <c r="G12" s="67" t="s">
        <v>70</v>
      </c>
    </row>
    <row r="13" spans="1:7" ht="18.75" customHeight="1" x14ac:dyDescent="0.15">
      <c r="B13" s="59" t="s">
        <v>46</v>
      </c>
      <c r="C13" s="69">
        <v>45027</v>
      </c>
      <c r="D13" s="69">
        <v>45027</v>
      </c>
      <c r="F13" s="68" t="s">
        <v>58</v>
      </c>
      <c r="G13" s="67" t="s">
        <v>70</v>
      </c>
    </row>
    <row r="15" spans="1:7" x14ac:dyDescent="0.15">
      <c r="A15" s="77" t="s">
        <v>5</v>
      </c>
      <c r="B15" s="76" t="s">
        <v>9</v>
      </c>
      <c r="C15" s="76" t="s">
        <v>10</v>
      </c>
      <c r="D15" s="76" t="s">
        <v>12</v>
      </c>
    </row>
    <row r="16" spans="1:7" x14ac:dyDescent="0.15">
      <c r="A16" s="77"/>
      <c r="B16" s="76"/>
      <c r="C16" s="76"/>
      <c r="D16" s="76"/>
    </row>
    <row r="17" spans="1:4" x14ac:dyDescent="0.15">
      <c r="A17" s="6"/>
      <c r="B17" s="62"/>
      <c r="C17" s="10"/>
      <c r="D17" s="10"/>
    </row>
    <row r="18" spans="1:4" x14ac:dyDescent="0.15">
      <c r="A18" s="6"/>
      <c r="B18" s="59"/>
      <c r="C18" s="10"/>
      <c r="D18" s="10"/>
    </row>
    <row r="19" spans="1:4" ht="21" x14ac:dyDescent="0.15">
      <c r="A19" s="6"/>
      <c r="B19" s="26"/>
      <c r="C19" s="10"/>
      <c r="D19" s="10"/>
    </row>
    <row r="20" spans="1:4" x14ac:dyDescent="0.15">
      <c r="A20" s="6"/>
      <c r="B20" s="62"/>
      <c r="C20" s="10"/>
      <c r="D20" s="10"/>
    </row>
    <row r="21" spans="1:4" x14ac:dyDescent="0.15">
      <c r="A21" s="6"/>
      <c r="B21" s="62"/>
      <c r="C21" s="10"/>
      <c r="D21" s="10"/>
    </row>
    <row r="22" spans="1:4" x14ac:dyDescent="0.15">
      <c r="A22" s="6"/>
      <c r="B22" s="62"/>
      <c r="C22" s="10"/>
      <c r="D22" s="10"/>
    </row>
    <row r="23" spans="1:4" x14ac:dyDescent="0.15">
      <c r="A23" s="6"/>
      <c r="B23" s="10"/>
      <c r="C23" s="10"/>
      <c r="D23" s="10"/>
    </row>
    <row r="24" spans="1:4" x14ac:dyDescent="0.15">
      <c r="A24" s="6"/>
      <c r="B24" s="10"/>
      <c r="C24" s="10"/>
      <c r="D24" s="10"/>
    </row>
    <row r="25" spans="1:4" x14ac:dyDescent="0.15">
      <c r="A25" s="6"/>
      <c r="B25" s="10"/>
      <c r="C25" s="10"/>
      <c r="D25" s="52"/>
    </row>
    <row r="26" spans="1:4" x14ac:dyDescent="0.15">
      <c r="A26" s="6"/>
      <c r="B26" s="10"/>
      <c r="C26" s="10"/>
      <c r="D26" s="10"/>
    </row>
    <row r="27" spans="1:4" x14ac:dyDescent="0.15">
      <c r="A27" s="6"/>
      <c r="B27" s="10"/>
      <c r="C27" s="10"/>
      <c r="D27" s="52"/>
    </row>
    <row r="28" spans="1:4" x14ac:dyDescent="0.15">
      <c r="A28" s="6"/>
      <c r="B28" s="10"/>
      <c r="C28" s="10"/>
      <c r="D28" s="52"/>
    </row>
    <row r="29" spans="1:4" x14ac:dyDescent="0.15">
      <c r="A29" s="6"/>
      <c r="B29" s="10"/>
      <c r="C29" s="10"/>
      <c r="D29" s="10"/>
    </row>
    <row r="30" spans="1:4" x14ac:dyDescent="0.15">
      <c r="A30" s="6"/>
      <c r="B30" s="10"/>
      <c r="C30" s="10"/>
      <c r="D30" s="10"/>
    </row>
    <row r="31" spans="1:4" x14ac:dyDescent="0.15">
      <c r="A31" s="6"/>
      <c r="B31" s="10"/>
      <c r="C31" s="45"/>
      <c r="D31" s="10"/>
    </row>
    <row r="32" spans="1:4" x14ac:dyDescent="0.15">
      <c r="A32" s="6"/>
      <c r="B32" s="10"/>
      <c r="C32" s="60"/>
      <c r="D32" s="61"/>
    </row>
    <row r="33" spans="1:4" x14ac:dyDescent="0.15">
      <c r="A33" s="6"/>
      <c r="B33" s="10"/>
      <c r="C33" s="60"/>
      <c r="D33" s="61"/>
    </row>
    <row r="34" spans="1:4" x14ac:dyDescent="0.15">
      <c r="A34" s="6"/>
      <c r="B34" s="10"/>
      <c r="C34" s="10"/>
      <c r="D34" s="10"/>
    </row>
    <row r="35" spans="1:4" x14ac:dyDescent="0.15">
      <c r="A35" s="6"/>
      <c r="B35" s="10"/>
      <c r="C35" s="60"/>
      <c r="D35" s="61"/>
    </row>
    <row r="36" spans="1:4" x14ac:dyDescent="0.15">
      <c r="A36" s="6"/>
      <c r="B36" s="10"/>
      <c r="C36" s="60"/>
      <c r="D36" s="61"/>
    </row>
    <row r="37" spans="1:4" x14ac:dyDescent="0.15">
      <c r="A37" s="6"/>
      <c r="B37" s="10"/>
      <c r="C37" s="10"/>
      <c r="D37" s="10"/>
    </row>
    <row r="38" spans="1:4" x14ac:dyDescent="0.15">
      <c r="A38" s="6"/>
      <c r="B38" s="10"/>
      <c r="C38" s="45"/>
      <c r="D38" s="10"/>
    </row>
    <row r="39" spans="1:4" x14ac:dyDescent="0.15">
      <c r="A39" s="6"/>
      <c r="B39" s="10"/>
      <c r="C39" s="10"/>
      <c r="D39" s="10"/>
    </row>
    <row r="40" spans="1:4" x14ac:dyDescent="0.15">
      <c r="A40" s="6"/>
      <c r="B40" s="10"/>
      <c r="C40" s="10"/>
      <c r="D40" s="10"/>
    </row>
    <row r="41" spans="1:4" x14ac:dyDescent="0.15">
      <c r="A41" s="6"/>
      <c r="B41" s="10"/>
      <c r="C41" s="10"/>
      <c r="D41" s="10"/>
    </row>
    <row r="42" spans="1:4" x14ac:dyDescent="0.15">
      <c r="A42" s="6"/>
      <c r="B42" s="10"/>
      <c r="C42" s="10"/>
      <c r="D42" s="10"/>
    </row>
    <row r="43" spans="1:4" x14ac:dyDescent="0.15">
      <c r="A43" s="6"/>
      <c r="B43" s="10"/>
      <c r="C43" s="10"/>
      <c r="D43" s="10"/>
    </row>
    <row r="44" spans="1:4" x14ac:dyDescent="0.15">
      <c r="A44" s="6"/>
      <c r="B44" s="10"/>
      <c r="C44" s="10"/>
      <c r="D44" s="10"/>
    </row>
    <row r="45" spans="1:4" x14ac:dyDescent="0.15">
      <c r="A45" s="6"/>
      <c r="B45" s="10"/>
      <c r="C45" s="10"/>
      <c r="D45" s="10"/>
    </row>
    <row r="46" spans="1:4" x14ac:dyDescent="0.15">
      <c r="A46" s="6"/>
      <c r="B46" s="10"/>
      <c r="C46" s="10"/>
      <c r="D46" s="10"/>
    </row>
  </sheetData>
  <mergeCells count="8">
    <mergeCell ref="C8:D8"/>
    <mergeCell ref="B15:B16"/>
    <mergeCell ref="C15:C16"/>
    <mergeCell ref="A15:A16"/>
    <mergeCell ref="D15:D16"/>
    <mergeCell ref="A1:D1"/>
    <mergeCell ref="C7:D7"/>
    <mergeCell ref="D2:F2"/>
  </mergeCells>
  <phoneticPr fontId="1"/>
  <pageMargins left="0.78740157480314965" right="0.78740157480314965" top="0.78740157480314965" bottom="0.78740157480314965" header="0" footer="0"/>
  <pageSetup paperSize="9" orientation="landscape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2D62-D03F-4EEC-9A18-DE86A2978E2E}">
  <dimension ref="A1:F75"/>
  <sheetViews>
    <sheetView zoomScaleNormal="100" workbookViewId="0">
      <selection activeCell="B5" sqref="B5:D17"/>
    </sheetView>
  </sheetViews>
  <sheetFormatPr defaultRowHeight="18.75" x14ac:dyDescent="0.15"/>
  <cols>
    <col min="1" max="1" width="10.25" style="5" customWidth="1"/>
    <col min="2" max="2" width="47.875" style="12" customWidth="1"/>
    <col min="3" max="3" width="33.875" style="12" customWidth="1"/>
    <col min="4" max="4" width="35.875" style="12" customWidth="1"/>
    <col min="5" max="16384" width="9" style="12"/>
  </cols>
  <sheetData>
    <row r="1" spans="1:6" ht="21" x14ac:dyDescent="0.15">
      <c r="A1" s="74" t="s">
        <v>64</v>
      </c>
      <c r="B1" s="74"/>
      <c r="C1" s="74"/>
      <c r="D1" s="74"/>
    </row>
    <row r="3" spans="1:6" x14ac:dyDescent="0.15">
      <c r="A3" s="77" t="s">
        <v>5</v>
      </c>
      <c r="B3" s="76" t="s">
        <v>13</v>
      </c>
      <c r="C3" s="76" t="s">
        <v>14</v>
      </c>
      <c r="D3" s="76" t="s">
        <v>12</v>
      </c>
    </row>
    <row r="4" spans="1:6" x14ac:dyDescent="0.15">
      <c r="A4" s="77"/>
      <c r="B4" s="76"/>
      <c r="C4" s="76"/>
      <c r="D4" s="76"/>
    </row>
    <row r="5" spans="1:6" x14ac:dyDescent="0.15">
      <c r="A5" s="6"/>
      <c r="B5" s="10"/>
      <c r="C5" s="10"/>
      <c r="D5" s="10"/>
    </row>
    <row r="6" spans="1:6" x14ac:dyDescent="0.15">
      <c r="A6" s="6"/>
      <c r="B6" s="10"/>
      <c r="C6" s="10"/>
      <c r="D6" s="10"/>
    </row>
    <row r="7" spans="1:6" x14ac:dyDescent="0.15">
      <c r="A7" s="6"/>
      <c r="B7" s="10"/>
      <c r="C7" s="10"/>
      <c r="D7" s="10"/>
      <c r="E7" s="54"/>
    </row>
    <row r="8" spans="1:6" x14ac:dyDescent="0.15">
      <c r="A8" s="6"/>
      <c r="B8" s="10"/>
      <c r="C8" s="10"/>
      <c r="D8" s="10"/>
    </row>
    <row r="9" spans="1:6" x14ac:dyDescent="0.15">
      <c r="A9" s="6"/>
      <c r="B9" s="10"/>
      <c r="C9" s="10"/>
      <c r="D9" s="10"/>
      <c r="E9" s="46"/>
    </row>
    <row r="10" spans="1:6" x14ac:dyDescent="0.15">
      <c r="A10" s="6"/>
      <c r="B10" s="10"/>
      <c r="C10" s="10"/>
      <c r="D10" s="10"/>
    </row>
    <row r="11" spans="1:6" x14ac:dyDescent="0.15">
      <c r="A11" s="6"/>
      <c r="B11" s="10"/>
      <c r="C11" s="10"/>
      <c r="D11" s="10"/>
    </row>
    <row r="12" spans="1:6" x14ac:dyDescent="0.15">
      <c r="A12" s="6"/>
      <c r="B12" s="10"/>
      <c r="C12" s="45"/>
      <c r="D12" s="10"/>
    </row>
    <row r="13" spans="1:6" x14ac:dyDescent="0.15">
      <c r="A13" s="6"/>
      <c r="B13" s="10"/>
      <c r="C13" s="10"/>
      <c r="D13" s="48"/>
    </row>
    <row r="14" spans="1:6" x14ac:dyDescent="0.15">
      <c r="A14" s="6"/>
      <c r="B14" s="10"/>
      <c r="C14" s="10"/>
      <c r="D14" s="10"/>
    </row>
    <row r="15" spans="1:6" x14ac:dyDescent="0.15">
      <c r="A15" s="6"/>
      <c r="B15" s="10"/>
      <c r="C15" s="10"/>
      <c r="D15" s="10"/>
      <c r="F15" s="47"/>
    </row>
    <row r="16" spans="1:6" x14ac:dyDescent="0.15">
      <c r="A16" s="6"/>
      <c r="B16" s="10"/>
      <c r="C16" s="45"/>
      <c r="D16" s="10"/>
    </row>
    <row r="17" spans="1:4" x14ac:dyDescent="0.15">
      <c r="A17" s="6"/>
      <c r="B17" s="10"/>
      <c r="C17" s="10"/>
      <c r="D17" s="10"/>
    </row>
    <row r="18" spans="1:4" x14ac:dyDescent="0.15">
      <c r="A18" s="6"/>
      <c r="B18" s="10"/>
      <c r="C18" s="10"/>
      <c r="D18" s="10"/>
    </row>
    <row r="19" spans="1:4" x14ac:dyDescent="0.15">
      <c r="A19" s="58"/>
      <c r="B19" s="10"/>
      <c r="C19" s="10"/>
      <c r="D19" s="48"/>
    </row>
    <row r="20" spans="1:4" x14ac:dyDescent="0.15">
      <c r="A20" s="6"/>
      <c r="B20" s="10"/>
      <c r="C20" s="10"/>
      <c r="D20" s="48"/>
    </row>
    <row r="21" spans="1:4" x14ac:dyDescent="0.15">
      <c r="A21" s="6"/>
      <c r="B21" s="10"/>
      <c r="C21" s="10"/>
      <c r="D21" s="10"/>
    </row>
    <row r="22" spans="1:4" x14ac:dyDescent="0.15">
      <c r="A22" s="6"/>
      <c r="B22" s="10"/>
      <c r="C22" s="45"/>
      <c r="D22" s="10"/>
    </row>
    <row r="23" spans="1:4" x14ac:dyDescent="0.15">
      <c r="A23" s="57"/>
      <c r="B23" s="10"/>
      <c r="C23" s="10"/>
      <c r="D23" s="10"/>
    </row>
    <row r="24" spans="1:4" x14ac:dyDescent="0.15">
      <c r="A24" s="6"/>
      <c r="B24" s="10"/>
      <c r="C24" s="10"/>
      <c r="D24" s="10"/>
    </row>
    <row r="25" spans="1:4" x14ac:dyDescent="0.15">
      <c r="A25" s="6"/>
      <c r="B25" s="10"/>
      <c r="C25" s="45"/>
      <c r="D25" s="10"/>
    </row>
    <row r="26" spans="1:4" x14ac:dyDescent="0.15">
      <c r="A26" s="6"/>
      <c r="B26" s="10"/>
      <c r="C26" s="10"/>
      <c r="D26" s="10"/>
    </row>
    <row r="27" spans="1:4" x14ac:dyDescent="0.15">
      <c r="A27" s="6"/>
      <c r="B27" s="10"/>
      <c r="C27" s="10"/>
      <c r="D27" s="48"/>
    </row>
    <row r="28" spans="1:4" x14ac:dyDescent="0.15">
      <c r="A28" s="6"/>
      <c r="B28" s="10"/>
      <c r="C28" s="10"/>
      <c r="D28" s="48"/>
    </row>
    <row r="29" spans="1:4" x14ac:dyDescent="0.15">
      <c r="A29" s="6"/>
      <c r="B29" s="10"/>
      <c r="C29" s="10"/>
      <c r="D29" s="52"/>
    </row>
    <row r="30" spans="1:4" x14ac:dyDescent="0.15">
      <c r="A30" s="6"/>
      <c r="B30" s="10"/>
      <c r="C30" s="45"/>
      <c r="D30" s="10"/>
    </row>
    <row r="31" spans="1:4" x14ac:dyDescent="0.15">
      <c r="A31" s="6"/>
      <c r="B31" s="10"/>
      <c r="C31" s="10"/>
      <c r="D31" s="10"/>
    </row>
    <row r="32" spans="1:4" x14ac:dyDescent="0.15">
      <c r="A32" s="6"/>
      <c r="B32" s="48"/>
      <c r="C32" s="60"/>
      <c r="D32" s="48"/>
    </row>
    <row r="33" spans="1:4" x14ac:dyDescent="0.15">
      <c r="A33" s="6"/>
      <c r="B33" s="10"/>
      <c r="C33" s="10"/>
      <c r="D33" s="10"/>
    </row>
    <row r="34" spans="1:4" x14ac:dyDescent="0.15">
      <c r="A34" s="6"/>
      <c r="B34" s="10"/>
      <c r="C34" s="10"/>
      <c r="D34" s="10"/>
    </row>
    <row r="35" spans="1:4" x14ac:dyDescent="0.15">
      <c r="A35" s="6"/>
      <c r="B35" s="10"/>
      <c r="C35" s="45"/>
      <c r="D35" s="10"/>
    </row>
    <row r="36" spans="1:4" x14ac:dyDescent="0.15">
      <c r="A36" s="6"/>
      <c r="B36" s="10"/>
      <c r="C36" s="10"/>
      <c r="D36" s="10"/>
    </row>
    <row r="37" spans="1:4" x14ac:dyDescent="0.15">
      <c r="A37" s="6"/>
      <c r="B37" s="10"/>
      <c r="C37" s="10"/>
      <c r="D37" s="10"/>
    </row>
    <row r="38" spans="1:4" x14ac:dyDescent="0.15">
      <c r="A38" s="6"/>
      <c r="B38" s="10"/>
      <c r="C38" s="45"/>
      <c r="D38" s="10"/>
    </row>
    <row r="39" spans="1:4" x14ac:dyDescent="0.15">
      <c r="A39" s="6"/>
      <c r="B39" s="10"/>
      <c r="C39" s="10"/>
      <c r="D39" s="10"/>
    </row>
    <row r="40" spans="1:4" x14ac:dyDescent="0.15">
      <c r="A40" s="6"/>
      <c r="B40" s="10"/>
      <c r="C40" s="45"/>
      <c r="D40" s="10"/>
    </row>
    <row r="41" spans="1:4" x14ac:dyDescent="0.15">
      <c r="A41" s="57"/>
      <c r="B41" s="10"/>
      <c r="C41" s="10"/>
      <c r="D41" s="10"/>
    </row>
    <row r="42" spans="1:4" x14ac:dyDescent="0.15">
      <c r="A42" s="6"/>
      <c r="B42" s="10"/>
      <c r="C42" s="10"/>
      <c r="D42" s="10"/>
    </row>
    <row r="43" spans="1:4" x14ac:dyDescent="0.15">
      <c r="A43" s="6"/>
      <c r="B43" s="10"/>
      <c r="C43" s="45"/>
      <c r="D43" s="10"/>
    </row>
    <row r="44" spans="1:4" x14ac:dyDescent="0.15">
      <c r="A44" s="6"/>
      <c r="B44" s="10"/>
      <c r="C44" s="10"/>
      <c r="D44" s="10"/>
    </row>
    <row r="45" spans="1:4" x14ac:dyDescent="0.15">
      <c r="A45" s="6"/>
      <c r="B45" s="10"/>
      <c r="C45" s="45"/>
      <c r="D45" s="10"/>
    </row>
    <row r="46" spans="1:4" x14ac:dyDescent="0.15">
      <c r="A46" s="6"/>
      <c r="B46" s="10"/>
      <c r="C46" s="10"/>
      <c r="D46" s="10"/>
    </row>
    <row r="47" spans="1:4" x14ac:dyDescent="0.15">
      <c r="A47" s="6"/>
      <c r="B47" s="10"/>
      <c r="C47" s="45"/>
      <c r="D47" s="10"/>
    </row>
    <row r="48" spans="1:4" x14ac:dyDescent="0.15">
      <c r="A48" s="6"/>
      <c r="B48" s="10"/>
      <c r="C48" s="45"/>
      <c r="D48" s="10"/>
    </row>
    <row r="49" spans="1:4" x14ac:dyDescent="0.15">
      <c r="A49" s="6"/>
      <c r="B49" s="10"/>
      <c r="C49" s="10"/>
      <c r="D49" s="10"/>
    </row>
    <row r="50" spans="1:4" x14ac:dyDescent="0.15">
      <c r="A50" s="6"/>
      <c r="B50" s="10"/>
      <c r="C50" s="10"/>
      <c r="D50" s="10"/>
    </row>
    <row r="51" spans="1:4" x14ac:dyDescent="0.15">
      <c r="A51" s="6"/>
      <c r="B51" s="10"/>
      <c r="C51" s="10"/>
      <c r="D51" s="10"/>
    </row>
    <row r="52" spans="1:4" x14ac:dyDescent="0.15">
      <c r="A52" s="58"/>
      <c r="B52" s="48"/>
      <c r="C52" s="10"/>
      <c r="D52" s="48"/>
    </row>
    <row r="53" spans="1:4" x14ac:dyDescent="0.15">
      <c r="A53" s="6"/>
      <c r="B53" s="48"/>
      <c r="C53" s="10"/>
      <c r="D53" s="48"/>
    </row>
    <row r="54" spans="1:4" x14ac:dyDescent="0.15">
      <c r="A54" s="6"/>
      <c r="B54" s="10"/>
      <c r="C54" s="10"/>
      <c r="D54" s="10"/>
    </row>
    <row r="55" spans="1:4" x14ac:dyDescent="0.15">
      <c r="A55" s="6"/>
      <c r="B55" s="10"/>
      <c r="C55" s="45"/>
      <c r="D55" s="10"/>
    </row>
    <row r="56" spans="1:4" x14ac:dyDescent="0.15">
      <c r="A56" s="6"/>
      <c r="B56" s="10"/>
      <c r="C56" s="10"/>
      <c r="D56" s="10"/>
    </row>
    <row r="57" spans="1:4" x14ac:dyDescent="0.15">
      <c r="A57" s="6"/>
      <c r="B57" s="10"/>
      <c r="C57" s="45"/>
      <c r="D57" s="10"/>
    </row>
    <row r="58" spans="1:4" x14ac:dyDescent="0.15">
      <c r="A58" s="6"/>
      <c r="B58" s="10"/>
      <c r="C58" s="10"/>
      <c r="D58" s="10"/>
    </row>
    <row r="59" spans="1:4" x14ac:dyDescent="0.15">
      <c r="A59" s="6"/>
      <c r="B59" s="10"/>
      <c r="C59" s="45"/>
      <c r="D59" s="10"/>
    </row>
    <row r="60" spans="1:4" x14ac:dyDescent="0.15">
      <c r="A60" s="6"/>
      <c r="B60" s="10"/>
      <c r="C60" s="45"/>
      <c r="D60" s="10"/>
    </row>
    <row r="61" spans="1:4" x14ac:dyDescent="0.15">
      <c r="A61" s="6"/>
      <c r="B61" s="10"/>
      <c r="C61" s="10"/>
      <c r="D61" s="10"/>
    </row>
    <row r="62" spans="1:4" x14ac:dyDescent="0.15">
      <c r="A62" s="6"/>
      <c r="B62" s="10"/>
      <c r="C62" s="10"/>
      <c r="D62" s="10"/>
    </row>
    <row r="63" spans="1:4" x14ac:dyDescent="0.15">
      <c r="A63" s="6"/>
      <c r="B63" s="10"/>
      <c r="C63" s="45"/>
      <c r="D63" s="10"/>
    </row>
    <row r="64" spans="1:4" x14ac:dyDescent="0.15">
      <c r="A64" s="6"/>
      <c r="B64" s="21"/>
      <c r="C64" s="10"/>
      <c r="D64" s="10"/>
    </row>
    <row r="65" spans="1:4" x14ac:dyDescent="0.15">
      <c r="A65" s="6"/>
      <c r="B65" s="10"/>
      <c r="C65" s="10"/>
      <c r="D65" s="21"/>
    </row>
    <row r="66" spans="1:4" x14ac:dyDescent="0.15">
      <c r="A66" s="6"/>
      <c r="B66" s="10"/>
      <c r="C66" s="10"/>
      <c r="D66" s="10"/>
    </row>
    <row r="67" spans="1:4" x14ac:dyDescent="0.15">
      <c r="A67" s="6"/>
      <c r="B67" s="10"/>
      <c r="C67" s="10"/>
      <c r="D67" s="10"/>
    </row>
    <row r="68" spans="1:4" x14ac:dyDescent="0.15">
      <c r="A68" s="6"/>
      <c r="B68" s="10"/>
      <c r="C68" s="10"/>
      <c r="D68" s="10"/>
    </row>
    <row r="69" spans="1:4" x14ac:dyDescent="0.15">
      <c r="A69" s="6"/>
      <c r="B69" s="10"/>
      <c r="C69" s="45"/>
      <c r="D69" s="10"/>
    </row>
    <row r="70" spans="1:4" x14ac:dyDescent="0.15">
      <c r="A70" s="6"/>
      <c r="B70" s="10"/>
      <c r="C70" s="45"/>
      <c r="D70" s="10"/>
    </row>
    <row r="71" spans="1:4" x14ac:dyDescent="0.15">
      <c r="A71" s="6"/>
      <c r="B71" s="10"/>
      <c r="C71" s="10"/>
      <c r="D71" s="10"/>
    </row>
    <row r="72" spans="1:4" x14ac:dyDescent="0.15">
      <c r="A72" s="6"/>
      <c r="B72" s="10"/>
      <c r="C72" s="10"/>
      <c r="D72" s="10"/>
    </row>
    <row r="73" spans="1:4" x14ac:dyDescent="0.15">
      <c r="A73" s="6"/>
      <c r="B73" s="10"/>
      <c r="C73" s="10"/>
      <c r="D73" s="10"/>
    </row>
    <row r="74" spans="1:4" x14ac:dyDescent="0.15">
      <c r="A74" s="6"/>
      <c r="B74" s="10"/>
      <c r="C74" s="10"/>
      <c r="D74" s="10"/>
    </row>
    <row r="75" spans="1:4" x14ac:dyDescent="0.15">
      <c r="A75" s="6"/>
      <c r="B75" s="10"/>
      <c r="C75" s="10"/>
      <c r="D75" s="10"/>
    </row>
  </sheetData>
  <mergeCells count="5">
    <mergeCell ref="A1:D1"/>
    <mergeCell ref="A3:A4"/>
    <mergeCell ref="B3:B4"/>
    <mergeCell ref="C3:C4"/>
    <mergeCell ref="D3:D4"/>
  </mergeCells>
  <phoneticPr fontId="7"/>
  <pageMargins left="0.78740157480314965" right="0.78740157480314965" top="0.78740157480314965" bottom="0.78740157480314965" header="0" footer="0"/>
  <pageSetup paperSize="9" orientation="landscape" horizontalDpi="4294967293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7852-89AD-41BE-A022-FB066A7DEAF7}">
  <dimension ref="A1:M45"/>
  <sheetViews>
    <sheetView zoomScaleNormal="100" workbookViewId="0">
      <pane ySplit="2" topLeftCell="A3" activePane="bottomLeft" state="frozen"/>
      <selection activeCell="V21" sqref="V21"/>
      <selection pane="bottomLeft" activeCell="Q15" sqref="Q15:Q16"/>
    </sheetView>
  </sheetViews>
  <sheetFormatPr defaultRowHeight="17.25" x14ac:dyDescent="0.15"/>
  <cols>
    <col min="1" max="1" width="9.25" style="29" customWidth="1"/>
    <col min="2" max="2" width="6.375" style="30" customWidth="1"/>
    <col min="3" max="3" width="10.375" style="30" customWidth="1"/>
    <col min="4" max="4" width="12.125" style="30" customWidth="1"/>
    <col min="5" max="5" width="7.25" style="30" customWidth="1"/>
    <col min="6" max="6" width="12.25" style="30" customWidth="1"/>
    <col min="7" max="7" width="12.125" style="30" customWidth="1"/>
    <col min="8" max="8" width="7.25" style="30" customWidth="1"/>
    <col min="9" max="9" width="10.625" style="30" customWidth="1"/>
    <col min="10" max="10" width="12.125" style="30" customWidth="1"/>
    <col min="11" max="11" width="7.25" style="30" customWidth="1"/>
    <col min="12" max="12" width="11" style="30" customWidth="1"/>
    <col min="13" max="13" width="12.125" style="30" customWidth="1"/>
    <col min="14" max="16384" width="9" style="30"/>
  </cols>
  <sheetData>
    <row r="1" spans="1:13" ht="19.5" customHeight="1" x14ac:dyDescent="0.15">
      <c r="A1" s="91" t="s">
        <v>62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</row>
    <row r="2" spans="1:13" s="31" customFormat="1" ht="22.5" customHeight="1" x14ac:dyDescent="0.15">
      <c r="A2" s="27" t="s">
        <v>5</v>
      </c>
      <c r="B2" s="90" t="s">
        <v>19</v>
      </c>
      <c r="C2" s="90"/>
      <c r="D2" s="90"/>
      <c r="E2" s="90" t="s">
        <v>20</v>
      </c>
      <c r="F2" s="90"/>
      <c r="G2" s="90"/>
      <c r="H2" s="90" t="s">
        <v>21</v>
      </c>
      <c r="I2" s="90"/>
      <c r="J2" s="90"/>
      <c r="K2" s="90" t="s">
        <v>22</v>
      </c>
      <c r="L2" s="90"/>
      <c r="M2" s="90"/>
    </row>
    <row r="3" spans="1:13" s="31" customFormat="1" ht="22.5" customHeight="1" x14ac:dyDescent="0.15">
      <c r="A3" s="27"/>
      <c r="B3" s="28" t="s">
        <v>1</v>
      </c>
      <c r="C3" s="28" t="s">
        <v>29</v>
      </c>
      <c r="D3" s="28" t="s">
        <v>28</v>
      </c>
      <c r="E3" s="28" t="s">
        <v>1</v>
      </c>
      <c r="F3" s="28" t="s">
        <v>29</v>
      </c>
      <c r="G3" s="28" t="s">
        <v>28</v>
      </c>
      <c r="H3" s="28" t="s">
        <v>1</v>
      </c>
      <c r="I3" s="28" t="s">
        <v>29</v>
      </c>
      <c r="J3" s="28" t="s">
        <v>28</v>
      </c>
      <c r="K3" s="28" t="s">
        <v>1</v>
      </c>
      <c r="L3" s="28" t="s">
        <v>29</v>
      </c>
      <c r="M3" s="28" t="s">
        <v>28</v>
      </c>
    </row>
    <row r="4" spans="1:13" ht="22.5" customHeight="1" x14ac:dyDescent="0.15">
      <c r="A4" s="27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ht="22.5" customHeight="1" x14ac:dyDescent="0.15">
      <c r="A5" s="27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ht="22.5" customHeight="1" x14ac:dyDescent="0.15">
      <c r="A6" s="27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ht="22.5" customHeight="1" x14ac:dyDescent="0.15">
      <c r="A7" s="27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 spans="1:13" ht="22.5" customHeight="1" x14ac:dyDescent="0.15">
      <c r="A8" s="27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1:13" ht="22.5" customHeight="1" x14ac:dyDescent="0.15">
      <c r="A9" s="27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3" ht="22.5" customHeight="1" x14ac:dyDescent="0.15">
      <c r="A10" s="27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ht="22.5" customHeight="1" x14ac:dyDescent="0.15">
      <c r="A11" s="27"/>
      <c r="B11" s="35"/>
      <c r="C11" s="35"/>
      <c r="D11" s="35" t="str">
        <f>IF(C11="","",B11*C11)</f>
        <v/>
      </c>
      <c r="E11" s="35"/>
      <c r="F11" s="35"/>
      <c r="G11" s="35"/>
      <c r="H11" s="35"/>
      <c r="I11" s="35"/>
      <c r="J11" s="35" t="str">
        <f>IF(I11="","",H11*I11)</f>
        <v/>
      </c>
      <c r="K11" s="35"/>
      <c r="L11" s="35"/>
      <c r="M11" s="35" t="str">
        <f>IF(L11="","",K11*L11)</f>
        <v/>
      </c>
    </row>
    <row r="12" spans="1:13" ht="22.5" customHeight="1" thickBot="1" x14ac:dyDescent="0.2">
      <c r="A12" s="32" t="s">
        <v>41</v>
      </c>
      <c r="B12" s="37"/>
      <c r="C12" s="37"/>
      <c r="D12" s="37"/>
      <c r="E12" s="37"/>
      <c r="F12" s="37"/>
      <c r="G12" s="37"/>
      <c r="H12" s="37"/>
      <c r="I12" s="37"/>
      <c r="J12" s="37" t="str">
        <f>IF(I12="","",H12*I12)</f>
        <v/>
      </c>
      <c r="K12" s="37"/>
      <c r="L12" s="37"/>
      <c r="M12" s="37" t="str">
        <f>IF(L12="","",K12*L12)</f>
        <v/>
      </c>
    </row>
    <row r="13" spans="1:13" ht="22.5" customHeight="1" thickTop="1" x14ac:dyDescent="0.15">
      <c r="A13" s="33" t="s">
        <v>27</v>
      </c>
      <c r="B13" s="36">
        <f>SUM(B4:B12)</f>
        <v>0</v>
      </c>
      <c r="C13" s="36"/>
      <c r="D13" s="36">
        <f>SUM(D4:D12)</f>
        <v>0</v>
      </c>
      <c r="E13" s="36">
        <f>SUM(E4:E12)</f>
        <v>0</v>
      </c>
      <c r="F13" s="36"/>
      <c r="G13" s="36">
        <f>SUM(G4:G12)</f>
        <v>0</v>
      </c>
      <c r="H13" s="36">
        <f>SUM(H4:H12)</f>
        <v>0</v>
      </c>
      <c r="I13" s="36"/>
      <c r="J13" s="36">
        <f>SUM(J4:J12)</f>
        <v>0</v>
      </c>
      <c r="K13" s="36">
        <f>SUM(K4:K12)</f>
        <v>0</v>
      </c>
      <c r="L13" s="36"/>
      <c r="M13" s="36">
        <f>SUM(M4:M12)</f>
        <v>0</v>
      </c>
    </row>
    <row r="14" spans="1:13" ht="22.5" customHeight="1" x14ac:dyDescent="0.15">
      <c r="A14" s="29" t="s">
        <v>18</v>
      </c>
      <c r="B14" s="92">
        <f>D13+G13+J13+M13</f>
        <v>0</v>
      </c>
      <c r="C14" s="93"/>
      <c r="D14" s="38" t="s">
        <v>30</v>
      </c>
      <c r="E14" s="34"/>
      <c r="F14" s="34"/>
      <c r="G14" s="34"/>
      <c r="H14" s="34"/>
      <c r="I14" s="34"/>
      <c r="J14" s="34"/>
      <c r="K14" s="34"/>
      <c r="L14" s="34"/>
      <c r="M14" s="34"/>
    </row>
    <row r="15" spans="1:13" ht="22.5" customHeight="1" x14ac:dyDescent="0.15">
      <c r="B15" s="86" t="s">
        <v>63</v>
      </c>
      <c r="C15" s="86"/>
      <c r="D15" s="86"/>
      <c r="E15" s="86"/>
      <c r="F15" s="86"/>
      <c r="G15" s="86"/>
      <c r="H15" s="86"/>
      <c r="I15" s="86"/>
      <c r="J15" s="86"/>
      <c r="K15" s="86"/>
      <c r="L15" s="87"/>
    </row>
    <row r="16" spans="1:13" ht="22.5" customHeight="1" x14ac:dyDescent="0.15">
      <c r="B16" s="39"/>
      <c r="C16" s="88" t="s">
        <v>31</v>
      </c>
      <c r="D16" s="88"/>
      <c r="E16" s="88"/>
      <c r="F16" s="88" t="s">
        <v>32</v>
      </c>
      <c r="G16" s="88"/>
      <c r="H16" s="88"/>
      <c r="I16" s="88" t="s">
        <v>33</v>
      </c>
      <c r="J16" s="88"/>
      <c r="K16" s="88"/>
      <c r="L16" s="88"/>
      <c r="M16" s="88"/>
    </row>
    <row r="17" spans="2:13" ht="22.5" customHeight="1" x14ac:dyDescent="0.15">
      <c r="B17" s="39"/>
      <c r="C17" s="40" t="s">
        <v>38</v>
      </c>
      <c r="D17" s="39" t="s">
        <v>28</v>
      </c>
      <c r="E17" s="39" t="s">
        <v>29</v>
      </c>
      <c r="F17" s="40" t="s">
        <v>39</v>
      </c>
      <c r="G17" s="39" t="s">
        <v>28</v>
      </c>
      <c r="H17" s="39" t="s">
        <v>29</v>
      </c>
      <c r="I17" s="40" t="s">
        <v>39</v>
      </c>
      <c r="J17" s="39" t="s">
        <v>28</v>
      </c>
      <c r="K17" s="39" t="s">
        <v>29</v>
      </c>
      <c r="L17" s="88" t="s">
        <v>34</v>
      </c>
      <c r="M17" s="88"/>
    </row>
    <row r="18" spans="2:13" ht="22.5" customHeight="1" x14ac:dyDescent="0.15">
      <c r="B18" s="39" t="s">
        <v>35</v>
      </c>
      <c r="C18" s="41"/>
      <c r="D18" s="41">
        <f>C18*K18</f>
        <v>0</v>
      </c>
      <c r="E18" s="41"/>
      <c r="F18" s="41"/>
      <c r="G18" s="41">
        <f>F18*N18</f>
        <v>0</v>
      </c>
      <c r="H18" s="41"/>
      <c r="I18" s="41"/>
      <c r="J18" s="41">
        <f>I18*Q18</f>
        <v>0</v>
      </c>
      <c r="K18" s="41"/>
      <c r="L18" s="89">
        <f>D18+G18+J18</f>
        <v>0</v>
      </c>
      <c r="M18" s="89"/>
    </row>
    <row r="19" spans="2:13" ht="22.5" customHeight="1" x14ac:dyDescent="0.15">
      <c r="B19" s="39" t="s">
        <v>36</v>
      </c>
      <c r="C19" s="41"/>
      <c r="D19" s="41">
        <f>C19*K19</f>
        <v>0</v>
      </c>
      <c r="E19" s="41"/>
      <c r="F19" s="41"/>
      <c r="G19" s="41">
        <f>F19*N19</f>
        <v>0</v>
      </c>
      <c r="H19" s="41"/>
      <c r="I19" s="41"/>
      <c r="J19" s="41">
        <f>I19*Q19</f>
        <v>0</v>
      </c>
      <c r="K19" s="41"/>
      <c r="L19" s="89">
        <f>D19+G19+J19</f>
        <v>0</v>
      </c>
      <c r="M19" s="89"/>
    </row>
    <row r="20" spans="2:13" ht="22.5" customHeight="1" x14ac:dyDescent="0.15">
      <c r="B20" s="39" t="s">
        <v>37</v>
      </c>
      <c r="C20" s="41"/>
      <c r="D20" s="41">
        <f>C20*K20</f>
        <v>0</v>
      </c>
      <c r="E20" s="41"/>
      <c r="F20" s="41"/>
      <c r="G20" s="41">
        <f>F20*N20</f>
        <v>0</v>
      </c>
      <c r="H20" s="41"/>
      <c r="I20" s="41"/>
      <c r="J20" s="41">
        <f>I20*Q20</f>
        <v>0</v>
      </c>
      <c r="K20" s="41"/>
      <c r="L20" s="89">
        <f>D20+G20+J20</f>
        <v>0</v>
      </c>
      <c r="M20" s="89"/>
    </row>
    <row r="21" spans="2:13" ht="22.5" customHeight="1" thickBot="1" x14ac:dyDescent="0.2">
      <c r="B21" s="42" t="s">
        <v>40</v>
      </c>
      <c r="C21" s="43"/>
      <c r="D21" s="43"/>
      <c r="E21" s="43"/>
      <c r="F21" s="43"/>
      <c r="G21" s="43"/>
      <c r="H21" s="43"/>
      <c r="I21" s="43"/>
      <c r="J21" s="43">
        <f>I21*K21</f>
        <v>0</v>
      </c>
      <c r="K21" s="43"/>
      <c r="L21" s="85">
        <f>D21+G21+J21</f>
        <v>0</v>
      </c>
      <c r="M21" s="85"/>
    </row>
    <row r="22" spans="2:13" ht="21.75" customHeight="1" thickTop="1" x14ac:dyDescent="0.15">
      <c r="B22" s="44" t="s">
        <v>18</v>
      </c>
      <c r="C22" s="84">
        <f>SUM(L18:L20)</f>
        <v>0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</row>
    <row r="23" spans="2:13" ht="15.75" customHeight="1" x14ac:dyDescent="0.15"/>
    <row r="24" spans="2:13" ht="15.75" customHeight="1" x14ac:dyDescent="0.15"/>
    <row r="25" spans="2:13" ht="15.75" customHeight="1" x14ac:dyDescent="0.15"/>
    <row r="26" spans="2:13" ht="15.75" customHeight="1" x14ac:dyDescent="0.15"/>
    <row r="27" spans="2:13" ht="15.75" customHeight="1" x14ac:dyDescent="0.15"/>
    <row r="28" spans="2:13" ht="15.75" customHeight="1" x14ac:dyDescent="0.15"/>
    <row r="29" spans="2:13" ht="15.75" customHeight="1" x14ac:dyDescent="0.15"/>
    <row r="30" spans="2:13" ht="15.75" customHeight="1" x14ac:dyDescent="0.15"/>
    <row r="31" spans="2:13" ht="15.75" customHeight="1" x14ac:dyDescent="0.15"/>
    <row r="32" spans="2:1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</sheetData>
  <mergeCells count="17">
    <mergeCell ref="L20:M20"/>
    <mergeCell ref="H2:J2"/>
    <mergeCell ref="K2:M2"/>
    <mergeCell ref="A1:M1"/>
    <mergeCell ref="B14:C14"/>
    <mergeCell ref="B2:D2"/>
    <mergeCell ref="E2:G2"/>
    <mergeCell ref="C22:M22"/>
    <mergeCell ref="L21:M21"/>
    <mergeCell ref="B15:L15"/>
    <mergeCell ref="L17:M17"/>
    <mergeCell ref="L18:M18"/>
    <mergeCell ref="L19:M19"/>
    <mergeCell ref="L16:M16"/>
    <mergeCell ref="C16:E16"/>
    <mergeCell ref="F16:H16"/>
    <mergeCell ref="I16:K16"/>
  </mergeCells>
  <phoneticPr fontId="1"/>
  <conditionalFormatting sqref="A3:A6">
    <cfRule type="expression" dxfId="1" priority="1" stopIfTrue="1">
      <formula>WEEKDAY(DATE(2011,$A$2,A3))=7</formula>
    </cfRule>
    <cfRule type="expression" dxfId="0" priority="2" stopIfTrue="1">
      <formula>WEEKDAY(DATE(2011,$A$2,A3))=1</formula>
    </cfRule>
  </conditionalFormatting>
  <printOptions horizontalCentered="1"/>
  <pageMargins left="0.78740157480314965" right="0.78740157480314965" top="0.98425196850393704" bottom="0.98425196850393704" header="0" footer="0"/>
  <pageSetup paperSize="9" fitToWidth="0" orientation="landscape" horizontalDpi="4294967293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8283-DF67-49E1-8721-1381F204F942}">
  <dimension ref="A1:D27"/>
  <sheetViews>
    <sheetView workbookViewId="0">
      <selection activeCell="G20" sqref="G20"/>
    </sheetView>
  </sheetViews>
  <sheetFormatPr defaultRowHeight="18.75" x14ac:dyDescent="0.15"/>
  <cols>
    <col min="1" max="1" width="10.25" style="5" customWidth="1"/>
    <col min="2" max="2" width="47.875" style="12" customWidth="1"/>
    <col min="3" max="3" width="33.875" style="12" customWidth="1"/>
    <col min="4" max="4" width="35.875" style="12" customWidth="1"/>
    <col min="5" max="16384" width="9" style="12"/>
  </cols>
  <sheetData>
    <row r="1" spans="1:4" ht="21" x14ac:dyDescent="0.15">
      <c r="A1" s="74" t="s">
        <v>61</v>
      </c>
      <c r="B1" s="74"/>
      <c r="C1" s="74"/>
      <c r="D1" s="74"/>
    </row>
    <row r="3" spans="1:4" x14ac:dyDescent="0.15">
      <c r="A3" s="77" t="s">
        <v>5</v>
      </c>
      <c r="B3" s="76" t="s">
        <v>9</v>
      </c>
      <c r="C3" s="76" t="s">
        <v>10</v>
      </c>
      <c r="D3" s="76" t="s">
        <v>12</v>
      </c>
    </row>
    <row r="4" spans="1:4" x14ac:dyDescent="0.15">
      <c r="A4" s="77"/>
      <c r="B4" s="76"/>
      <c r="C4" s="76"/>
      <c r="D4" s="76"/>
    </row>
    <row r="5" spans="1:4" x14ac:dyDescent="0.15">
      <c r="A5" s="6"/>
      <c r="B5" s="10"/>
      <c r="C5" s="10"/>
      <c r="D5" s="48"/>
    </row>
    <row r="6" spans="1:4" x14ac:dyDescent="0.15">
      <c r="A6" s="6"/>
      <c r="B6" s="10"/>
      <c r="C6" s="10"/>
      <c r="D6" s="48"/>
    </row>
    <row r="7" spans="1:4" x14ac:dyDescent="0.15">
      <c r="A7" s="6"/>
      <c r="B7" s="10"/>
      <c r="C7" s="10"/>
      <c r="D7" s="48"/>
    </row>
    <row r="8" spans="1:4" x14ac:dyDescent="0.15">
      <c r="A8" s="6"/>
      <c r="B8" s="10"/>
      <c r="C8" s="52"/>
      <c r="D8" s="48"/>
    </row>
    <row r="9" spans="1:4" x14ac:dyDescent="0.15">
      <c r="A9" s="6"/>
      <c r="B9" s="10"/>
      <c r="C9" s="10"/>
      <c r="D9" s="48"/>
    </row>
    <row r="10" spans="1:4" x14ac:dyDescent="0.15">
      <c r="A10" s="6"/>
      <c r="B10" s="10"/>
      <c r="C10" s="52"/>
      <c r="D10" s="48"/>
    </row>
    <row r="11" spans="1:4" x14ac:dyDescent="0.15">
      <c r="A11" s="6"/>
      <c r="B11" s="48"/>
      <c r="C11" s="48"/>
      <c r="D11" s="48"/>
    </row>
    <row r="12" spans="1:4" x14ac:dyDescent="0.15">
      <c r="A12" s="6"/>
      <c r="B12" s="48"/>
      <c r="C12" s="48"/>
      <c r="D12" s="48"/>
    </row>
    <row r="13" spans="1:4" x14ac:dyDescent="0.15">
      <c r="A13" s="6"/>
      <c r="B13" s="10"/>
      <c r="C13" s="10"/>
      <c r="D13" s="48"/>
    </row>
    <row r="14" spans="1:4" x14ac:dyDescent="0.15">
      <c r="A14" s="6"/>
      <c r="B14" s="10"/>
      <c r="C14" s="10"/>
      <c r="D14" s="10"/>
    </row>
    <row r="15" spans="1:4" x14ac:dyDescent="0.15">
      <c r="A15" s="6"/>
      <c r="B15" s="10"/>
      <c r="C15" s="10"/>
      <c r="D15" s="10"/>
    </row>
    <row r="16" spans="1:4" x14ac:dyDescent="0.15">
      <c r="A16" s="6"/>
      <c r="B16" s="10"/>
      <c r="C16" s="10"/>
      <c r="D16" s="10"/>
    </row>
    <row r="17" spans="1:4" x14ac:dyDescent="0.15">
      <c r="A17" s="6"/>
      <c r="B17" s="10"/>
      <c r="C17" s="10"/>
      <c r="D17" s="10"/>
    </row>
    <row r="18" spans="1:4" x14ac:dyDescent="0.15">
      <c r="A18" s="6"/>
      <c r="B18" s="10"/>
      <c r="C18" s="10"/>
      <c r="D18" s="10"/>
    </row>
    <row r="19" spans="1:4" x14ac:dyDescent="0.15">
      <c r="A19" s="6"/>
      <c r="B19" s="10"/>
      <c r="C19" s="10"/>
      <c r="D19" s="10"/>
    </row>
    <row r="20" spans="1:4" x14ac:dyDescent="0.15">
      <c r="A20" s="6"/>
      <c r="B20" s="10"/>
      <c r="C20" s="10"/>
      <c r="D20" s="10"/>
    </row>
    <row r="21" spans="1:4" x14ac:dyDescent="0.15">
      <c r="A21" s="6"/>
      <c r="B21" s="10"/>
      <c r="C21" s="10"/>
      <c r="D21" s="10"/>
    </row>
    <row r="22" spans="1:4" x14ac:dyDescent="0.15">
      <c r="A22" s="6"/>
      <c r="B22" s="10"/>
      <c r="C22" s="10"/>
      <c r="D22" s="10"/>
    </row>
    <row r="23" spans="1:4" x14ac:dyDescent="0.15">
      <c r="A23" s="6"/>
      <c r="B23" s="10"/>
      <c r="C23" s="10"/>
      <c r="D23" s="10"/>
    </row>
    <row r="24" spans="1:4" x14ac:dyDescent="0.15">
      <c r="A24" s="6"/>
      <c r="B24" s="10"/>
      <c r="C24" s="10"/>
      <c r="D24" s="10"/>
    </row>
    <row r="25" spans="1:4" x14ac:dyDescent="0.15">
      <c r="A25" s="6"/>
      <c r="B25" s="10"/>
      <c r="C25" s="10"/>
      <c r="D25" s="10"/>
    </row>
    <row r="27" spans="1:4" x14ac:dyDescent="0.15">
      <c r="C27" s="75" t="s">
        <v>11</v>
      </c>
      <c r="D27" s="75"/>
    </row>
  </sheetData>
  <mergeCells count="6">
    <mergeCell ref="A1:D1"/>
    <mergeCell ref="A3:A4"/>
    <mergeCell ref="B3:B4"/>
    <mergeCell ref="C3:C4"/>
    <mergeCell ref="D3:D4"/>
    <mergeCell ref="C27:D27"/>
  </mergeCells>
  <phoneticPr fontId="1"/>
  <pageMargins left="0.78740157480314965" right="0.78740157480314965" top="0.78740157480314965" bottom="0.78740157480314965" header="0" footer="0"/>
  <pageSetup paperSize="9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薬品・消耗品</vt:lpstr>
      <vt:lpstr>クレーン</vt:lpstr>
      <vt:lpstr>機械整備</vt:lpstr>
      <vt:lpstr>重機・自動車</vt:lpstr>
      <vt:lpstr>委託工事・検査</vt:lpstr>
      <vt:lpstr>オイル</vt:lpstr>
      <vt:lpstr>水処理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ごみ処理場</dc:creator>
  <cp:lastModifiedBy>Lay Hirosaki</cp:lastModifiedBy>
  <cp:lastPrinted>2017-04-11T06:25:34Z</cp:lastPrinted>
  <dcterms:created xsi:type="dcterms:W3CDTF">2011-08-30T00:59:54Z</dcterms:created>
  <dcterms:modified xsi:type="dcterms:W3CDTF">2026-03-05T04:49:09Z</dcterms:modified>
</cp:coreProperties>
</file>