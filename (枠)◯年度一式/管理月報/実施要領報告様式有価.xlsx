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FD8B0D8E-97A9-4340-A4E7-88EF682D1893}" xr6:coauthVersionLast="47" xr6:coauthVersionMax="47" xr10:uidLastSave="{00000000-0000-0000-0000-000000000000}"/>
  <bookViews>
    <workbookView xWindow="3075" yWindow="315" windowWidth="15750" windowHeight="15480" xr2:uid="{57CE4AD5-2BC3-4110-8DAF-C104A3A5DEF1}"/>
  </bookViews>
  <sheets>
    <sheet name="別記様式４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0">別記様式４!$A$1:$O$45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7" l="1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M29" i="7" s="1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F29" i="7" s="1"/>
  <c r="E25" i="7"/>
  <c r="D25" i="7"/>
  <c r="C25" i="7"/>
  <c r="C29" i="7" s="1"/>
  <c r="N24" i="7"/>
  <c r="M24" i="7"/>
  <c r="L24" i="7"/>
  <c r="K24" i="7"/>
  <c r="J24" i="7"/>
  <c r="I24" i="7"/>
  <c r="H24" i="7"/>
  <c r="G24" i="7"/>
  <c r="F24" i="7"/>
  <c r="E24" i="7"/>
  <c r="D24" i="7"/>
  <c r="C24" i="7"/>
  <c r="O28" i="7" l="1"/>
  <c r="O27" i="7"/>
  <c r="D29" i="7"/>
  <c r="O25" i="7"/>
  <c r="L29" i="7"/>
  <c r="I29" i="7"/>
  <c r="K29" i="7"/>
  <c r="N29" i="7"/>
  <c r="O26" i="7"/>
  <c r="H29" i="7"/>
  <c r="G29" i="7"/>
  <c r="J29" i="7"/>
  <c r="E29" i="7"/>
  <c r="O29" i="7" s="1"/>
  <c r="O24" i="7"/>
</calcChain>
</file>

<file path=xl/sharedStrings.xml><?xml version="1.0" encoding="utf-8"?>
<sst xmlns="http://schemas.openxmlformats.org/spreadsheetml/2006/main" count="55" uniqueCount="42">
  <si>
    <t>計</t>
    <rPh sb="0" eb="1">
      <t>ケイ</t>
    </rPh>
    <phoneticPr fontId="1"/>
  </si>
  <si>
    <t>３月</t>
    <rPh sb="1" eb="2">
      <t>ガツ</t>
    </rPh>
    <phoneticPr fontId="1"/>
  </si>
  <si>
    <t>２月</t>
    <rPh sb="1" eb="2">
      <t>ガツ</t>
    </rPh>
    <phoneticPr fontId="1"/>
  </si>
  <si>
    <t>１月</t>
    <rPh sb="1" eb="2">
      <t>ガツ</t>
    </rPh>
    <phoneticPr fontId="1"/>
  </si>
  <si>
    <t>１２月</t>
    <rPh sb="2" eb="3">
      <t>ガツ</t>
    </rPh>
    <phoneticPr fontId="1"/>
  </si>
  <si>
    <t>１１月</t>
    <rPh sb="2" eb="3">
      <t>ガツ</t>
    </rPh>
    <phoneticPr fontId="1"/>
  </si>
  <si>
    <t>１０月</t>
    <rPh sb="2" eb="3">
      <t>ガツ</t>
    </rPh>
    <phoneticPr fontId="1"/>
  </si>
  <si>
    <t>９月</t>
    <rPh sb="1" eb="2">
      <t>ガツ</t>
    </rPh>
    <phoneticPr fontId="1"/>
  </si>
  <si>
    <t>８月</t>
    <rPh sb="1" eb="2">
      <t>ガツ</t>
    </rPh>
    <phoneticPr fontId="1"/>
  </si>
  <si>
    <t>７月</t>
    <rPh sb="1" eb="2">
      <t>ガツ</t>
    </rPh>
    <phoneticPr fontId="1"/>
  </si>
  <si>
    <t>６月</t>
    <rPh sb="1" eb="2">
      <t>ガツ</t>
    </rPh>
    <phoneticPr fontId="1"/>
  </si>
  <si>
    <t>５月</t>
    <rPh sb="1" eb="2">
      <t>ガツ</t>
    </rPh>
    <phoneticPr fontId="1"/>
  </si>
  <si>
    <t>４月</t>
    <rPh sb="1" eb="2">
      <t>ガツ</t>
    </rPh>
    <phoneticPr fontId="1"/>
  </si>
  <si>
    <t>施設設置者名</t>
    <rPh sb="0" eb="2">
      <t>シセツ</t>
    </rPh>
    <rPh sb="2" eb="5">
      <t>セッチシャ</t>
    </rPh>
    <rPh sb="5" eb="6">
      <t>メイ</t>
    </rPh>
    <phoneticPr fontId="1"/>
  </si>
  <si>
    <t>許可(届出)年月日</t>
    <rPh sb="0" eb="2">
      <t>キョカ</t>
    </rPh>
    <rPh sb="3" eb="5">
      <t>トドケデ</t>
    </rPh>
    <rPh sb="6" eb="9">
      <t>ネンガッピ</t>
    </rPh>
    <phoneticPr fontId="1"/>
  </si>
  <si>
    <t>施設所在地</t>
    <rPh sb="0" eb="1">
      <t>ホドコ</t>
    </rPh>
    <rPh sb="1" eb="2">
      <t>セツ</t>
    </rPh>
    <rPh sb="2" eb="3">
      <t>トコロ</t>
    </rPh>
    <rPh sb="3" eb="4">
      <t>ザイ</t>
    </rPh>
    <rPh sb="4" eb="5">
      <t>チ</t>
    </rPh>
    <phoneticPr fontId="1"/>
  </si>
  <si>
    <t>技術管理者名</t>
    <rPh sb="0" eb="2">
      <t>ギジュツ</t>
    </rPh>
    <rPh sb="2" eb="5">
      <t>カンリシャ</t>
    </rPh>
    <rPh sb="5" eb="6">
      <t>メイ</t>
    </rPh>
    <phoneticPr fontId="1"/>
  </si>
  <si>
    <t>施設名</t>
    <rPh sb="0" eb="1">
      <t>ホドコ</t>
    </rPh>
    <rPh sb="1" eb="2">
      <t>セツ</t>
    </rPh>
    <rPh sb="2" eb="3">
      <t>ナ</t>
    </rPh>
    <phoneticPr fontId="1"/>
  </si>
  <si>
    <t>許可番号</t>
    <rPh sb="0" eb="1">
      <t>モト</t>
    </rPh>
    <rPh sb="1" eb="2">
      <t>カ</t>
    </rPh>
    <rPh sb="2" eb="3">
      <t>バン</t>
    </rPh>
    <rPh sb="3" eb="4">
      <t>ゴウ</t>
    </rPh>
    <phoneticPr fontId="1"/>
  </si>
  <si>
    <t>処理能力</t>
    <rPh sb="0" eb="2">
      <t>ショリ</t>
    </rPh>
    <rPh sb="2" eb="4">
      <t>ノウリョク</t>
    </rPh>
    <phoneticPr fontId="1"/>
  </si>
  <si>
    <t>日平均処理量(t)</t>
  </si>
  <si>
    <t>残渣量</t>
    <rPh sb="0" eb="2">
      <t>ザンサ</t>
    </rPh>
    <rPh sb="2" eb="3">
      <t>リョウ</t>
    </rPh>
    <phoneticPr fontId="1"/>
  </si>
  <si>
    <t>月処理量(t)</t>
    <rPh sb="0" eb="1">
      <t>ツキ</t>
    </rPh>
    <phoneticPr fontId="1"/>
  </si>
  <si>
    <t>有価物回収・製造量</t>
    <rPh sb="0" eb="3">
      <t>ユウカブツ</t>
    </rPh>
    <rPh sb="3" eb="5">
      <t>カイシュウ</t>
    </rPh>
    <rPh sb="6" eb="8">
      <t>セイゾウ</t>
    </rPh>
    <rPh sb="8" eb="9">
      <t>リョウ</t>
    </rPh>
    <phoneticPr fontId="1"/>
  </si>
  <si>
    <t>焼却対象ごみ量(t)</t>
    <rPh sb="0" eb="2">
      <t>ショウキャク</t>
    </rPh>
    <rPh sb="2" eb="4">
      <t>タイショウ</t>
    </rPh>
    <rPh sb="6" eb="7">
      <t>リョウ</t>
    </rPh>
    <phoneticPr fontId="1"/>
  </si>
  <si>
    <t>埋立対象ごみ量(t)</t>
    <rPh sb="0" eb="2">
      <t>ウメタテ</t>
    </rPh>
    <rPh sb="2" eb="4">
      <t>タイショウ</t>
    </rPh>
    <rPh sb="6" eb="7">
      <t>リョウ</t>
    </rPh>
    <phoneticPr fontId="1"/>
  </si>
  <si>
    <t>○　ごみ処理状況</t>
    <rPh sb="4" eb="6">
      <t>ショリ</t>
    </rPh>
    <rPh sb="6" eb="7">
      <t>ジョウ</t>
    </rPh>
    <rPh sb="7" eb="8">
      <t>イワン</t>
    </rPh>
    <phoneticPr fontId="1"/>
  </si>
  <si>
    <t>ごみ搬入・処理量</t>
    <rPh sb="2" eb="4">
      <t>ハンニュウ</t>
    </rPh>
    <rPh sb="5" eb="8">
      <t>ショリリョウ</t>
    </rPh>
    <phoneticPr fontId="1"/>
  </si>
  <si>
    <t>　利　尻　郡　清　掃　施　設　組　合</t>
    <rPh sb="1" eb="2">
      <t>リ</t>
    </rPh>
    <rPh sb="3" eb="4">
      <t>シリ</t>
    </rPh>
    <rPh sb="5" eb="6">
      <t>グン</t>
    </rPh>
    <rPh sb="7" eb="8">
      <t>セイ</t>
    </rPh>
    <rPh sb="9" eb="10">
      <t>ハ</t>
    </rPh>
    <rPh sb="11" eb="12">
      <t>シ</t>
    </rPh>
    <rPh sb="13" eb="14">
      <t>セツ</t>
    </rPh>
    <rPh sb="15" eb="16">
      <t>クミ</t>
    </rPh>
    <rPh sb="17" eb="18">
      <t>ゴウ</t>
    </rPh>
    <phoneticPr fontId="1"/>
  </si>
  <si>
    <t>　北海道利尻郡利尻富士町鴛泊字大磯443番地</t>
    <rPh sb="1" eb="4">
      <t>ホッカイドウ</t>
    </rPh>
    <rPh sb="4" eb="7">
      <t>リシリグン</t>
    </rPh>
    <rPh sb="7" eb="11">
      <t>リシリフジ</t>
    </rPh>
    <rPh sb="11" eb="12">
      <t>マチ</t>
    </rPh>
    <rPh sb="12" eb="13">
      <t>オシ</t>
    </rPh>
    <rPh sb="13" eb="14">
      <t>ド</t>
    </rPh>
    <rPh sb="14" eb="15">
      <t>アザ</t>
    </rPh>
    <rPh sb="15" eb="17">
      <t>オオイソ</t>
    </rPh>
    <rPh sb="20" eb="22">
      <t>バンチ</t>
    </rPh>
    <phoneticPr fontId="1"/>
  </si>
  <si>
    <t>環廃第　13-3号</t>
    <rPh sb="0" eb="1">
      <t>カン</t>
    </rPh>
    <rPh sb="1" eb="2">
      <t>ハイ</t>
    </rPh>
    <rPh sb="2" eb="3">
      <t>ダイ</t>
    </rPh>
    <rPh sb="8" eb="9">
      <t>ゴウ</t>
    </rPh>
    <phoneticPr fontId="1"/>
  </si>
  <si>
    <t>　利　尻　郡　ご　み　焼　却　処　理　場</t>
    <phoneticPr fontId="1"/>
  </si>
  <si>
    <t>6t／日</t>
    <rPh sb="3" eb="4">
      <t>ニチ</t>
    </rPh>
    <phoneticPr fontId="1"/>
  </si>
  <si>
    <t>処理方式</t>
    <rPh sb="0" eb="2">
      <t>ショリ</t>
    </rPh>
    <rPh sb="2" eb="4">
      <t>ホウシキ</t>
    </rPh>
    <phoneticPr fontId="1"/>
  </si>
  <si>
    <t>　衝撃剪断併用回転式</t>
    <rPh sb="1" eb="3">
      <t>ショウゲキ</t>
    </rPh>
    <rPh sb="4" eb="5">
      <t>ダン</t>
    </rPh>
    <rPh sb="5" eb="7">
      <t>ヘイヨウ</t>
    </rPh>
    <rPh sb="7" eb="9">
      <t>カイテン</t>
    </rPh>
    <rPh sb="9" eb="10">
      <t>シキ</t>
    </rPh>
    <phoneticPr fontId="1"/>
  </si>
  <si>
    <t/>
  </si>
  <si>
    <t>収集缶類(ｔ）</t>
    <rPh sb="0" eb="2">
      <t>シュウシュウ</t>
    </rPh>
    <rPh sb="2" eb="4">
      <t>カンルイ</t>
    </rPh>
    <phoneticPr fontId="1"/>
  </si>
  <si>
    <t>収集紙類（ｔ）</t>
    <rPh sb="0" eb="2">
      <t>シュウシュウ</t>
    </rPh>
    <rPh sb="2" eb="4">
      <t>カミルイ</t>
    </rPh>
    <phoneticPr fontId="1"/>
  </si>
  <si>
    <t>収集ペットボトル（ｔ）</t>
    <rPh sb="0" eb="2">
      <t>シュウシュウ</t>
    </rPh>
    <phoneticPr fontId="1"/>
  </si>
  <si>
    <t>収集粗大鉄くず（ｔ）</t>
    <rPh sb="0" eb="2">
      <t>シュウシュウ</t>
    </rPh>
    <rPh sb="2" eb="4">
      <t>ソダイ</t>
    </rPh>
    <rPh sb="4" eb="5">
      <t>テツ</t>
    </rPh>
    <phoneticPr fontId="1"/>
  </si>
  <si>
    <t>直搬粗大鉄くず（ｔ）</t>
    <rPh sb="0" eb="1">
      <t>チョク</t>
    </rPh>
    <rPh sb="1" eb="2">
      <t>ハン</t>
    </rPh>
    <rPh sb="2" eb="4">
      <t>ソダイ</t>
    </rPh>
    <rPh sb="4" eb="5">
      <t>テツ</t>
    </rPh>
    <phoneticPr fontId="1"/>
  </si>
  <si>
    <t>柴田和彦</t>
    <rPh sb="0" eb="4">
      <t>シバタカズヒコ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</si>
</sst>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"/>
    <numFmt numFmtId="177" formatCode="#,##0_ "/>
  </numFmts>
  <fonts count="7" x14ac:knownFonts="1"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7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明朝"/>
      <family val="1"/>
      <charset val="128"/>
    </font>
    <font>
      <sz val="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176" fontId="0" fillId="0" borderId="3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76" fontId="0" fillId="0" borderId="5" xfId="0" applyNumberFormat="1" applyFont="1" applyBorder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9" xfId="0" applyNumberFormat="1" applyFont="1" applyBorder="1">
      <alignment vertical="center"/>
    </xf>
    <xf numFmtId="176" fontId="0" fillId="0" borderId="1" xfId="0" applyNumberFormat="1" applyFont="1" applyBorder="1">
      <alignment vertical="center"/>
    </xf>
    <xf numFmtId="176" fontId="0" fillId="0" borderId="6" xfId="0" applyNumberFormat="1" applyFont="1" applyBorder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Font="1" applyBorder="1">
      <alignment vertical="center"/>
    </xf>
    <xf numFmtId="0" fontId="0" fillId="0" borderId="11" xfId="0" applyFont="1" applyBorder="1">
      <alignment vertical="center"/>
    </xf>
    <xf numFmtId="0" fontId="5" fillId="0" borderId="3" xfId="0" applyFont="1" applyBorder="1" applyAlignment="1">
      <alignment vertical="center"/>
    </xf>
    <xf numFmtId="177" fontId="0" fillId="0" borderId="0" xfId="0" applyNumberFormat="1" applyFont="1" applyBorder="1">
      <alignment vertical="center"/>
    </xf>
    <xf numFmtId="0" fontId="0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right" vertical="center"/>
    </xf>
    <xf numFmtId="0" fontId="0" fillId="0" borderId="18" xfId="0" applyFont="1" applyBorder="1" applyAlignment="1">
      <alignment horizontal="right" vertical="center"/>
    </xf>
    <xf numFmtId="0" fontId="0" fillId="0" borderId="17" xfId="0" applyFont="1" applyBorder="1" applyAlignment="1">
      <alignment horizontal="right" vertical="center"/>
    </xf>
    <xf numFmtId="0" fontId="0" fillId="0" borderId="19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58" fontId="0" fillId="0" borderId="16" xfId="0" applyNumberFormat="1" applyFont="1" applyBorder="1" applyAlignment="1">
      <alignment vertical="center"/>
    </xf>
    <xf numFmtId="0" fontId="0" fillId="0" borderId="0" xfId="0" applyFont="1" applyBorder="1" applyAlignment="1">
      <alignment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0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/>
      <sheetData sheetId="4"/>
      <sheetData sheetId="5">
        <row r="43">
          <cell r="U43">
            <v>0</v>
          </cell>
        </row>
      </sheetData>
      <sheetData sheetId="6"/>
      <sheetData sheetId="7">
        <row r="43">
          <cell r="F43">
            <v>0</v>
          </cell>
          <cell r="Q43">
            <v>0</v>
          </cell>
        </row>
      </sheetData>
      <sheetData sheetId="8">
        <row r="43">
          <cell r="F43">
            <v>0</v>
          </cell>
          <cell r="Q43">
            <v>0</v>
          </cell>
        </row>
      </sheetData>
      <sheetData sheetId="9">
        <row r="43">
          <cell r="F43">
            <v>0</v>
          </cell>
        </row>
      </sheetData>
      <sheetData sheetId="10">
        <row r="43">
          <cell r="K43">
            <v>0</v>
          </cell>
          <cell r="U43">
            <v>0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0C6C-08FE-478A-AC4A-7B2E7D1070AC}">
  <dimension ref="A1:O45"/>
  <sheetViews>
    <sheetView tabSelected="1" topLeftCell="D1" zoomScale="150" zoomScaleNormal="100" zoomScaleSheetLayoutView="120" workbookViewId="0">
      <selection activeCell="P2" sqref="P2"/>
    </sheetView>
  </sheetViews>
  <sheetFormatPr defaultRowHeight="17.100000000000001" customHeight="1" x14ac:dyDescent="0.15"/>
  <cols>
    <col min="1" max="1" width="4" style="1" customWidth="1"/>
    <col min="2" max="2" width="18" style="1" customWidth="1"/>
    <col min="3" max="16384" width="9.59765625" style="1"/>
  </cols>
  <sheetData>
    <row r="1" spans="1:15" ht="18.75" customHeight="1" x14ac:dyDescent="0.15">
      <c r="A1"/>
    </row>
    <row r="2" spans="1:15" ht="18.75" customHeight="1" x14ac:dyDescent="0.15">
      <c r="A2" s="29" t="str">
        <f>"令和"&amp;[13]Sheet1!$C$2&amp;"年度　破砕処理施設維持管理状況報告書"</f>
        <v>令和8年度　破砕処理施設維持管理状況報告書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8.75" customHeight="1" x14ac:dyDescent="0.15"/>
    <row r="4" spans="1:15" ht="18.75" customHeight="1" x14ac:dyDescent="0.15">
      <c r="A4" s="32" t="s">
        <v>13</v>
      </c>
      <c r="B4" s="33"/>
      <c r="C4" s="36" t="s">
        <v>28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</row>
    <row r="5" spans="1:15" ht="18.75" customHeight="1" x14ac:dyDescent="0.15">
      <c r="A5" s="32" t="s">
        <v>17</v>
      </c>
      <c r="B5" s="33"/>
      <c r="C5" s="47" t="s">
        <v>31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9"/>
    </row>
    <row r="6" spans="1:15" ht="18.75" customHeight="1" x14ac:dyDescent="0.15">
      <c r="A6" s="32" t="s">
        <v>15</v>
      </c>
      <c r="B6" s="33"/>
      <c r="C6" s="47" t="s">
        <v>29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</row>
    <row r="7" spans="1:15" ht="18.75" customHeight="1" x14ac:dyDescent="0.15">
      <c r="A7" s="42" t="s">
        <v>14</v>
      </c>
      <c r="B7" s="43"/>
      <c r="C7" s="50">
        <v>37070</v>
      </c>
      <c r="D7" s="48"/>
      <c r="E7" s="49"/>
      <c r="F7" s="42" t="s">
        <v>18</v>
      </c>
      <c r="G7" s="43"/>
      <c r="H7" s="34" t="s">
        <v>30</v>
      </c>
      <c r="I7" s="35"/>
      <c r="J7" s="33"/>
      <c r="K7" s="32" t="s">
        <v>16</v>
      </c>
      <c r="L7" s="33"/>
      <c r="M7" s="34" t="s">
        <v>41</v>
      </c>
      <c r="N7" s="35"/>
      <c r="O7" s="33"/>
    </row>
    <row r="8" spans="1:15" ht="18.75" customHeight="1" x14ac:dyDescent="0.15">
      <c r="A8" s="34" t="s">
        <v>19</v>
      </c>
      <c r="B8" s="33"/>
      <c r="C8" s="39" t="s">
        <v>32</v>
      </c>
      <c r="D8" s="40"/>
      <c r="E8" s="41"/>
      <c r="F8" s="34" t="s">
        <v>33</v>
      </c>
      <c r="G8" s="33"/>
      <c r="H8" s="44" t="s">
        <v>34</v>
      </c>
      <c r="I8" s="45"/>
      <c r="J8" s="45"/>
      <c r="K8" s="45"/>
      <c r="L8" s="45"/>
      <c r="M8" s="45"/>
      <c r="N8" s="45"/>
      <c r="O8" s="46"/>
    </row>
    <row r="9" spans="1:15" ht="18.75" customHeight="1" x14ac:dyDescent="0.15">
      <c r="A9" s="2"/>
      <c r="B9" s="2"/>
      <c r="C9" s="3"/>
      <c r="D9" s="3"/>
      <c r="E9" s="3"/>
      <c r="F9" s="2"/>
      <c r="G9" s="2"/>
      <c r="H9" s="3"/>
      <c r="I9" s="3"/>
      <c r="J9" s="3"/>
      <c r="K9" s="2"/>
      <c r="L9" s="2"/>
      <c r="M9" s="3"/>
      <c r="N9" s="3"/>
      <c r="O9" s="3"/>
    </row>
    <row r="10" spans="1:15" ht="18.75" customHeight="1" x14ac:dyDescent="0.15">
      <c r="A10" t="s">
        <v>26</v>
      </c>
    </row>
    <row r="11" spans="1:15" ht="18.75" customHeight="1" x14ac:dyDescent="0.15">
      <c r="A11" s="30"/>
      <c r="B11" s="31"/>
      <c r="C11" s="4" t="s">
        <v>12</v>
      </c>
      <c r="D11" s="4" t="s">
        <v>11</v>
      </c>
      <c r="E11" s="4" t="s">
        <v>10</v>
      </c>
      <c r="F11" s="4" t="s">
        <v>9</v>
      </c>
      <c r="G11" s="4" t="s">
        <v>8</v>
      </c>
      <c r="H11" s="4" t="s">
        <v>7</v>
      </c>
      <c r="I11" s="4" t="s">
        <v>6</v>
      </c>
      <c r="J11" s="4" t="s">
        <v>5</v>
      </c>
      <c r="K11" s="4" t="s">
        <v>4</v>
      </c>
      <c r="L11" s="4" t="s">
        <v>3</v>
      </c>
      <c r="M11" s="4" t="s">
        <v>2</v>
      </c>
      <c r="N11" s="4" t="s">
        <v>1</v>
      </c>
      <c r="O11" s="4" t="s">
        <v>0</v>
      </c>
    </row>
    <row r="12" spans="1:15" ht="18.75" customHeight="1" x14ac:dyDescent="0.15">
      <c r="A12" s="52" t="s">
        <v>27</v>
      </c>
      <c r="B12" s="16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ht="18.75" customHeight="1" x14ac:dyDescent="0.15">
      <c r="A13" s="53"/>
      <c r="B13" s="2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8.75" customHeight="1" x14ac:dyDescent="0.15">
      <c r="A14" s="53"/>
      <c r="B14" s="23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8.75" customHeight="1" x14ac:dyDescent="0.15">
      <c r="A15" s="53"/>
      <c r="B15" s="23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8.75" customHeight="1" x14ac:dyDescent="0.15">
      <c r="A16" s="53"/>
      <c r="B16" s="23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8.75" customHeight="1" x14ac:dyDescent="0.15">
      <c r="A17" s="53"/>
      <c r="B17" s="23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8.75" customHeight="1" x14ac:dyDescent="0.15">
      <c r="A18" s="53"/>
      <c r="B18" s="2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8.75" customHeight="1" x14ac:dyDescent="0.15">
      <c r="A19" s="53"/>
      <c r="B19" s="2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8.75" customHeight="1" x14ac:dyDescent="0.15">
      <c r="A20" s="53"/>
      <c r="B20" s="2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8.75" customHeight="1" x14ac:dyDescent="0.15">
      <c r="A21" s="53"/>
      <c r="B21" s="2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18.75" customHeight="1" x14ac:dyDescent="0.15">
      <c r="A22" s="53"/>
      <c r="B22" s="21" t="s">
        <v>22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ht="18.75" customHeight="1" x14ac:dyDescent="0.15">
      <c r="A23" s="54"/>
      <c r="B23" s="22" t="s">
        <v>20</v>
      </c>
      <c r="C23" s="12" t="s">
        <v>35</v>
      </c>
      <c r="D23" s="12" t="s">
        <v>35</v>
      </c>
      <c r="E23" s="12" t="s">
        <v>35</v>
      </c>
      <c r="F23" s="12" t="s">
        <v>35</v>
      </c>
      <c r="G23" s="12" t="s">
        <v>35</v>
      </c>
      <c r="H23" s="12" t="s">
        <v>35</v>
      </c>
      <c r="I23" s="12" t="s">
        <v>35</v>
      </c>
      <c r="J23" s="12" t="s">
        <v>35</v>
      </c>
      <c r="K23" s="12" t="s">
        <v>35</v>
      </c>
      <c r="L23" s="12" t="s">
        <v>35</v>
      </c>
      <c r="M23" s="12" t="s">
        <v>35</v>
      </c>
      <c r="N23" s="12" t="s">
        <v>35</v>
      </c>
      <c r="O23" s="12"/>
    </row>
    <row r="24" spans="1:15" ht="18.75" customHeight="1" x14ac:dyDescent="0.15">
      <c r="A24" s="52" t="s">
        <v>23</v>
      </c>
      <c r="B24" s="11" t="s">
        <v>36</v>
      </c>
      <c r="C24" s="5">
        <f>[1]缶類!$F$43
+[1]缶類!$Q$43</f>
        <v>0</v>
      </c>
      <c r="D24" s="5">
        <f>[2]缶類!$F$43
+[2]缶類!$Q$43</f>
        <v>0</v>
      </c>
      <c r="E24" s="5">
        <f>[3]缶類!$F$43
+[3]缶類!$Q$43</f>
        <v>0</v>
      </c>
      <c r="F24" s="5">
        <f>[4]缶類!$F$43
+[4]缶類!$Q$43</f>
        <v>0</v>
      </c>
      <c r="G24" s="5">
        <f>[5]缶類!$F$43
+[5]缶類!$Q$43</f>
        <v>0</v>
      </c>
      <c r="H24" s="5">
        <f>[6]缶類!$F$43
+[6]缶類!$Q$43</f>
        <v>0</v>
      </c>
      <c r="I24" s="5">
        <f>[7]缶類!$F$43
+[7]缶類!$Q$43</f>
        <v>0</v>
      </c>
      <c r="J24" s="5">
        <f>[8]缶類!$F$43
+[8]缶類!$Q$43</f>
        <v>0</v>
      </c>
      <c r="K24" s="5">
        <f>[9]缶類!$F$43
+[9]缶類!$Q$43</f>
        <v>0</v>
      </c>
      <c r="L24" s="5">
        <f>[10]缶類!$F$43
+[10]缶類!$Q$43</f>
        <v>0</v>
      </c>
      <c r="M24" s="5">
        <f>[11]缶類!$F$43
+[11]缶類!$Q$43</f>
        <v>0</v>
      </c>
      <c r="N24" s="5">
        <f>[12]缶類!$F$43
+[12]缶類!$Q$43</f>
        <v>0</v>
      </c>
      <c r="O24" s="5">
        <f t="shared" ref="O24:O29" si="0">SUM(C24:N24)</f>
        <v>0</v>
      </c>
    </row>
    <row r="25" spans="1:15" ht="18.75" customHeight="1" x14ac:dyDescent="0.15">
      <c r="A25" s="53"/>
      <c r="B25" s="28" t="s">
        <v>38</v>
      </c>
      <c r="C25" s="6">
        <f>[1]ペットボトル!$F$43
+[1]ペットボトル!$Q$43</f>
        <v>0</v>
      </c>
      <c r="D25" s="6">
        <f>[2]ペットボトル!$F$43
+[2]ペットボトル!$Q$43</f>
        <v>0</v>
      </c>
      <c r="E25" s="6">
        <f>[3]ペットボトル!$F$43
+[3]ペットボトル!$Q$43</f>
        <v>0</v>
      </c>
      <c r="F25" s="6">
        <f>[4]ペットボトル!$F$43
+[4]ペットボトル!$Q$43</f>
        <v>0</v>
      </c>
      <c r="G25" s="6">
        <f>[5]ペットボトル!$F$43
+[5]ペットボトル!$Q$43</f>
        <v>0</v>
      </c>
      <c r="H25" s="6">
        <f>[6]ペットボトル!$F$43
+[6]ペットボトル!$Q$43</f>
        <v>0</v>
      </c>
      <c r="I25" s="6">
        <f>[7]ペットボトル!$F$43
+[7]ペットボトル!$Q$43</f>
        <v>0</v>
      </c>
      <c r="J25" s="6">
        <f>[8]ペットボトル!$F$43
+[8]ペットボトル!$Q$43</f>
        <v>0</v>
      </c>
      <c r="K25" s="6">
        <f>[9]ペットボトル!$F$43
+[9]ペットボトル!$Q$43</f>
        <v>0</v>
      </c>
      <c r="L25" s="6">
        <f>[10]ペットボトル!$F$43
+[10]ペットボトル!$Q$43</f>
        <v>0</v>
      </c>
      <c r="M25" s="6">
        <f>[11]ペットボトル!$F$43
+[11]ペットボトル!$Q$43</f>
        <v>0</v>
      </c>
      <c r="N25" s="6">
        <f>[12]ペットボトル!$F$43
+[12]ペットボトル!$Q$43</f>
        <v>0</v>
      </c>
      <c r="O25" s="6">
        <f t="shared" si="0"/>
        <v>0</v>
      </c>
    </row>
    <row r="26" spans="1:15" ht="18.75" customHeight="1" x14ac:dyDescent="0.15">
      <c r="A26" s="53"/>
      <c r="B26" s="13" t="s">
        <v>37</v>
      </c>
      <c r="C26" s="6">
        <f>[1]紙類!$F$43</f>
        <v>0</v>
      </c>
      <c r="D26" s="6">
        <f>[2]紙類!$F$43</f>
        <v>0</v>
      </c>
      <c r="E26" s="6">
        <f>[3]紙類!$F$43</f>
        <v>0</v>
      </c>
      <c r="F26" s="6">
        <f>[4]紙類!$F$43</f>
        <v>0</v>
      </c>
      <c r="G26" s="6">
        <f>[5]紙類!$F$43</f>
        <v>0</v>
      </c>
      <c r="H26" s="6">
        <f>[6]紙類!$F$43</f>
        <v>0</v>
      </c>
      <c r="I26" s="6">
        <f>[7]紙類!$F$43</f>
        <v>0</v>
      </c>
      <c r="J26" s="6">
        <f>[8]紙類!$F$43</f>
        <v>0</v>
      </c>
      <c r="K26" s="6">
        <f>[9]紙類!$F$43</f>
        <v>0</v>
      </c>
      <c r="L26" s="6">
        <f>[10]紙類!$F$43</f>
        <v>0</v>
      </c>
      <c r="M26" s="6">
        <f>[11]紙類!$F$43</f>
        <v>0</v>
      </c>
      <c r="N26" s="6">
        <f>[12]紙類!$F$43</f>
        <v>0</v>
      </c>
      <c r="O26" s="6">
        <f t="shared" si="0"/>
        <v>0</v>
      </c>
    </row>
    <row r="27" spans="1:15" ht="18.75" customHeight="1" x14ac:dyDescent="0.15">
      <c r="A27" s="53"/>
      <c r="B27" s="25" t="s">
        <v>39</v>
      </c>
      <c r="C27" s="6">
        <f>[1]粗大!$K$43</f>
        <v>0</v>
      </c>
      <c r="D27" s="6">
        <f>[2]粗大!$K$43</f>
        <v>0</v>
      </c>
      <c r="E27" s="6">
        <f>[3]粗大!$K$43</f>
        <v>0</v>
      </c>
      <c r="F27" s="6">
        <f>[4]粗大!$K$43</f>
        <v>0</v>
      </c>
      <c r="G27" s="6">
        <f>[5]粗大!$K$43</f>
        <v>0</v>
      </c>
      <c r="H27" s="6">
        <f>[6]粗大!$K$43</f>
        <v>0</v>
      </c>
      <c r="I27" s="6">
        <f>[7]粗大!$K$43</f>
        <v>0</v>
      </c>
      <c r="J27" s="6">
        <f>[8]粗大!$K$43</f>
        <v>0</v>
      </c>
      <c r="K27" s="6">
        <f>[9]粗大!$K$43</f>
        <v>0</v>
      </c>
      <c r="L27" s="6">
        <f>[10]粗大!$K$43</f>
        <v>0</v>
      </c>
      <c r="M27" s="6">
        <f>[11]粗大!$K$43</f>
        <v>0</v>
      </c>
      <c r="N27" s="6">
        <f>[12]粗大!$K$43</f>
        <v>0</v>
      </c>
      <c r="O27" s="6">
        <f t="shared" si="0"/>
        <v>0</v>
      </c>
    </row>
    <row r="28" spans="1:15" ht="18.75" customHeight="1" x14ac:dyDescent="0.15">
      <c r="A28" s="53"/>
      <c r="B28" s="25" t="s">
        <v>40</v>
      </c>
      <c r="C28" s="6">
        <f>[1]粗大!$U$43
+[1]不燃・木くず・海岸清掃!$U$43</f>
        <v>0</v>
      </c>
      <c r="D28" s="6">
        <f>[2]粗大!$U$43
+[2]不燃・木くず・海岸清掃!$U$43</f>
        <v>0</v>
      </c>
      <c r="E28" s="6">
        <f>[3]粗大!$U$43
+[3]不燃・木くず・海岸清掃!$U$43</f>
        <v>0</v>
      </c>
      <c r="F28" s="6">
        <f>[4]粗大!$U$43
+[4]不燃・木くず・海岸清掃!$U$43</f>
        <v>0</v>
      </c>
      <c r="G28" s="6">
        <f>[5]粗大!$U$43
+[5]不燃・木くず・海岸清掃!$U$43</f>
        <v>0</v>
      </c>
      <c r="H28" s="6">
        <f>[6]粗大!$U$43
+[6]不燃・木くず・海岸清掃!$U$43</f>
        <v>0</v>
      </c>
      <c r="I28" s="6">
        <f>[7]粗大!$U$43
+[7]不燃・木くず・海岸清掃!$U$43</f>
        <v>0</v>
      </c>
      <c r="J28" s="6">
        <f>[8]粗大!$U$43
+[8]不燃・木くず・海岸清掃!$U$43</f>
        <v>0</v>
      </c>
      <c r="K28" s="6">
        <f>[9]粗大!$U$43
+[9]不燃・木くず・海岸清掃!$U$43</f>
        <v>0</v>
      </c>
      <c r="L28" s="6">
        <f>[10]粗大!$U$43
+[10]不燃・木くず・海岸清掃!$U$43</f>
        <v>0</v>
      </c>
      <c r="M28" s="6">
        <f>[11]粗大!$U$43
+[11]不燃・木くず・海岸清掃!$U$43</f>
        <v>0</v>
      </c>
      <c r="N28" s="6">
        <f>[12]粗大!$U$43
+[12]不燃・木くず・海岸清掃!$U$43</f>
        <v>0</v>
      </c>
      <c r="O28" s="6">
        <f t="shared" si="0"/>
        <v>0</v>
      </c>
    </row>
    <row r="29" spans="1:15" ht="18.75" customHeight="1" x14ac:dyDescent="0.15">
      <c r="A29" s="54"/>
      <c r="B29" s="10" t="s">
        <v>0</v>
      </c>
      <c r="C29" s="19">
        <f>SUM(C24:C28)</f>
        <v>0</v>
      </c>
      <c r="D29" s="19">
        <f>SUM(D24:D28)</f>
        <v>0</v>
      </c>
      <c r="E29" s="19">
        <f>SUM(E24:E28)</f>
        <v>0</v>
      </c>
      <c r="F29" s="19">
        <f>SUM(F24:F28)</f>
        <v>0</v>
      </c>
      <c r="G29" s="19">
        <f t="shared" ref="G29:N29" si="1">SUM(G24:G28)</f>
        <v>0</v>
      </c>
      <c r="H29" s="19">
        <f t="shared" si="1"/>
        <v>0</v>
      </c>
      <c r="I29" s="19">
        <f t="shared" si="1"/>
        <v>0</v>
      </c>
      <c r="J29" s="19">
        <f t="shared" si="1"/>
        <v>0</v>
      </c>
      <c r="K29" s="19">
        <f t="shared" si="1"/>
        <v>0</v>
      </c>
      <c r="L29" s="19">
        <f t="shared" si="1"/>
        <v>0</v>
      </c>
      <c r="M29" s="19">
        <f t="shared" si="1"/>
        <v>0</v>
      </c>
      <c r="N29" s="19">
        <f t="shared" si="1"/>
        <v>0</v>
      </c>
      <c r="O29" s="19">
        <f t="shared" si="0"/>
        <v>0</v>
      </c>
    </row>
    <row r="30" spans="1:15" ht="18.75" customHeight="1" x14ac:dyDescent="0.15">
      <c r="A30" s="52" t="s">
        <v>21</v>
      </c>
      <c r="B30" s="11" t="s">
        <v>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8.75" customHeight="1" x14ac:dyDescent="0.15">
      <c r="A31" s="53"/>
      <c r="B31" s="13" t="s">
        <v>25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8.75" customHeight="1" x14ac:dyDescent="0.15">
      <c r="A32" s="53"/>
      <c r="B32" s="15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ht="18.75" customHeight="1" x14ac:dyDescent="0.15">
      <c r="A33" s="54"/>
      <c r="B33" s="10" t="s"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8.75" customHeight="1" x14ac:dyDescent="0.15"/>
    <row r="35" spans="1:15" ht="18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8.75" customHeight="1" x14ac:dyDescent="0.15">
      <c r="A36" s="55"/>
      <c r="B36" s="5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8.75" customHeight="1" x14ac:dyDescent="0.15">
      <c r="A37" s="55"/>
      <c r="B37" s="5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ht="18.75" customHeight="1" x14ac:dyDescent="0.15">
      <c r="A38" s="51"/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ht="18.75" customHeight="1" x14ac:dyDescent="0.15">
      <c r="A39" s="51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ht="18.75" customHeight="1" x14ac:dyDescent="0.15">
      <c r="A40" s="51"/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ht="18.75" customHeight="1" x14ac:dyDescent="0.15"/>
    <row r="42" spans="1:15" ht="18.75" customHeight="1" x14ac:dyDescent="0.15">
      <c r="A42"/>
      <c r="I42" s="7"/>
    </row>
    <row r="43" spans="1:15" ht="18.75" customHeight="1" x14ac:dyDescent="0.15">
      <c r="A43"/>
      <c r="B43" s="7"/>
      <c r="E43" s="7"/>
      <c r="H43" s="7"/>
    </row>
    <row r="44" spans="1:15" ht="18.75" customHeight="1" x14ac:dyDescent="0.15">
      <c r="A44"/>
      <c r="B44" s="7"/>
      <c r="E44" s="7"/>
      <c r="H44" s="7"/>
    </row>
    <row r="45" spans="1:15" ht="18.75" customHeight="1" x14ac:dyDescent="0.15">
      <c r="B45" s="14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</row>
  </sheetData>
  <mergeCells count="24">
    <mergeCell ref="H7:J7"/>
    <mergeCell ref="F7:G7"/>
    <mergeCell ref="A38:A40"/>
    <mergeCell ref="A12:A23"/>
    <mergeCell ref="A30:A33"/>
    <mergeCell ref="A24:A29"/>
    <mergeCell ref="A37:B37"/>
    <mergeCell ref="A36:B36"/>
    <mergeCell ref="A2:O2"/>
    <mergeCell ref="A11:B11"/>
    <mergeCell ref="A6:B6"/>
    <mergeCell ref="A8:B8"/>
    <mergeCell ref="F8:G8"/>
    <mergeCell ref="M7:O7"/>
    <mergeCell ref="C4:O4"/>
    <mergeCell ref="K7:L7"/>
    <mergeCell ref="C8:E8"/>
    <mergeCell ref="A7:B7"/>
    <mergeCell ref="A4:B4"/>
    <mergeCell ref="A5:B5"/>
    <mergeCell ref="H8:O8"/>
    <mergeCell ref="C5:O5"/>
    <mergeCell ref="C6:O6"/>
    <mergeCell ref="C7:E7"/>
  </mergeCells>
  <phoneticPr fontId="1"/>
  <printOptions horizontalCentered="1" verticalCentered="1"/>
  <pageMargins left="0.39370078740157483" right="0.39370078740157483" top="0.59055118110236227" bottom="0.59055118110236227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別記様式４</vt:lpstr>
      <vt:lpstr>別記様式４!Print_Area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北海道　環境生活部</dc:creator>
  <cp:lastModifiedBy>Lay Hirosaki</cp:lastModifiedBy>
  <cp:lastPrinted>2014-12-30T07:28:18Z</cp:lastPrinted>
  <dcterms:created xsi:type="dcterms:W3CDTF">2002-12-05T08:41:23Z</dcterms:created>
  <dcterms:modified xsi:type="dcterms:W3CDTF">2026-03-05T05:48:01Z</dcterms:modified>
</cp:coreProperties>
</file>