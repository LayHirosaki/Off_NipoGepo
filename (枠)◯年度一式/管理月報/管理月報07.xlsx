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7C3965B3-54F8-4556-A5F9-9547FA72638F}" xr6:coauthVersionLast="47" xr6:coauthVersionMax="47" xr10:uidLastSave="{00000000-0000-0000-0000-000000000000}"/>
  <bookViews>
    <workbookView xWindow="7995" yWindow="765" windowWidth="18615" windowHeight="14715" tabRatio="848" xr2:uid="{6C5BBE6F-A4FC-4857-87D8-97A4C66883BC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7" s="1"/>
  <c r="O43" i="1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44" i="6" s="1"/>
  <c r="C14" i="6"/>
  <c r="C15" i="6"/>
  <c r="C16" i="6"/>
  <c r="C17" i="6"/>
  <c r="C18" i="6"/>
  <c r="C19" i="6"/>
  <c r="C20" i="6"/>
  <c r="E21" i="6"/>
  <c r="E47" i="6" s="1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H14" i="3"/>
  <c r="H46" i="3" s="1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C21" i="3" s="1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C25" i="3" s="1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C33" i="3" s="1"/>
  <c r="Q31" i="16"/>
  <c r="V31" i="16"/>
  <c r="F32" i="16"/>
  <c r="K32" i="16"/>
  <c r="Q32" i="16"/>
  <c r="V32" i="16"/>
  <c r="F33" i="16"/>
  <c r="K33" i="16"/>
  <c r="C35" i="3" s="1"/>
  <c r="B35" i="3" s="1"/>
  <c r="I35" i="3" s="1"/>
  <c r="Q33" i="16"/>
  <c r="V33" i="16"/>
  <c r="F34" i="16"/>
  <c r="K34" i="16"/>
  <c r="Q34" i="16"/>
  <c r="V34" i="16"/>
  <c r="F35" i="16"/>
  <c r="K35" i="16"/>
  <c r="C37" i="3" s="1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V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D33" i="3" s="1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F43" i="10" s="1"/>
  <c r="C43" i="10"/>
  <c r="D43" i="10"/>
  <c r="E43" i="10"/>
  <c r="G43" i="10"/>
  <c r="H43" i="10"/>
  <c r="I43" i="10"/>
  <c r="K43" i="10" s="1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K43" i="8" s="1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B27" i="1" s="1"/>
  <c r="K26" i="8"/>
  <c r="Q26" i="8"/>
  <c r="V26" i="8"/>
  <c r="F27" i="8"/>
  <c r="K27" i="8"/>
  <c r="Q27" i="8"/>
  <c r="V27" i="8"/>
  <c r="F28" i="8"/>
  <c r="K28" i="8"/>
  <c r="C30" i="3" s="1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C36" i="3" s="1"/>
  <c r="Q34" i="8"/>
  <c r="V34" i="8"/>
  <c r="F35" i="8"/>
  <c r="B36" i="1" s="1"/>
  <c r="K35" i="8"/>
  <c r="Q35" i="8"/>
  <c r="V35" i="8"/>
  <c r="F36" i="8"/>
  <c r="K36" i="8"/>
  <c r="C38" i="3" s="1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V43" i="14" s="1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F43" i="14" s="1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/>
  <c r="P12" i="11"/>
  <c r="F14" i="3"/>
  <c r="U12" i="11"/>
  <c r="X12" i="11"/>
  <c r="F13" i="11"/>
  <c r="K13" i="11"/>
  <c r="G15" i="3" s="1"/>
  <c r="P13" i="11"/>
  <c r="F15" i="3" s="1"/>
  <c r="U13" i="11"/>
  <c r="X13" i="11"/>
  <c r="E15" i="3" s="1"/>
  <c r="F14" i="11"/>
  <c r="K14" i="11"/>
  <c r="G16" i="3" s="1"/>
  <c r="P14" i="11"/>
  <c r="F16" i="3"/>
  <c r="U14" i="11"/>
  <c r="X14" i="11"/>
  <c r="E16" i="3"/>
  <c r="F15" i="11"/>
  <c r="K15" i="11"/>
  <c r="G17" i="3"/>
  <c r="P15" i="11"/>
  <c r="F17" i="3" s="1"/>
  <c r="U15" i="11"/>
  <c r="X15" i="11"/>
  <c r="E17" i="3" s="1"/>
  <c r="F16" i="11"/>
  <c r="K16" i="11"/>
  <c r="G18" i="3"/>
  <c r="P16" i="11"/>
  <c r="F18" i="3"/>
  <c r="U16" i="11"/>
  <c r="X16" i="11"/>
  <c r="E18" i="3"/>
  <c r="F17" i="11"/>
  <c r="K17" i="11"/>
  <c r="G19" i="3" s="1"/>
  <c r="P17" i="11"/>
  <c r="F19" i="3" s="1"/>
  <c r="U17" i="11"/>
  <c r="X17" i="11"/>
  <c r="E19" i="3" s="1"/>
  <c r="F18" i="11"/>
  <c r="K18" i="11"/>
  <c r="G20" i="3" s="1"/>
  <c r="P18" i="11"/>
  <c r="F20" i="3"/>
  <c r="U18" i="11"/>
  <c r="X18" i="11"/>
  <c r="E20" i="3" s="1"/>
  <c r="F19" i="11"/>
  <c r="K19" i="11"/>
  <c r="G21" i="3" s="1"/>
  <c r="P19" i="11"/>
  <c r="F21" i="3" s="1"/>
  <c r="U19" i="11"/>
  <c r="X19" i="11"/>
  <c r="E21" i="3" s="1"/>
  <c r="F20" i="11"/>
  <c r="K20" i="11"/>
  <c r="G22" i="3"/>
  <c r="P20" i="11"/>
  <c r="F22" i="3"/>
  <c r="U20" i="11"/>
  <c r="X20" i="11"/>
  <c r="E22" i="3" s="1"/>
  <c r="F21" i="11"/>
  <c r="K21" i="11"/>
  <c r="G23" i="3" s="1"/>
  <c r="P21" i="11"/>
  <c r="F23" i="3"/>
  <c r="U21" i="11"/>
  <c r="X21" i="11"/>
  <c r="E23" i="3"/>
  <c r="F22" i="11"/>
  <c r="K22" i="11"/>
  <c r="G24" i="3" s="1"/>
  <c r="P22" i="11"/>
  <c r="F24" i="3"/>
  <c r="U22" i="11"/>
  <c r="X22" i="11"/>
  <c r="E24" i="3"/>
  <c r="F23" i="11"/>
  <c r="K23" i="11"/>
  <c r="G25" i="3" s="1"/>
  <c r="P23" i="11"/>
  <c r="F25" i="3"/>
  <c r="U23" i="11"/>
  <c r="X23" i="11"/>
  <c r="E25" i="3"/>
  <c r="F24" i="11"/>
  <c r="K24" i="11"/>
  <c r="G26" i="3" s="1"/>
  <c r="P24" i="11"/>
  <c r="F26" i="3" s="1"/>
  <c r="U24" i="11"/>
  <c r="X24" i="11"/>
  <c r="E26" i="3"/>
  <c r="F25" i="11"/>
  <c r="K25" i="11"/>
  <c r="G27" i="3"/>
  <c r="P25" i="11"/>
  <c r="F27" i="3"/>
  <c r="U25" i="11"/>
  <c r="B26" i="1"/>
  <c r="X25" i="11"/>
  <c r="E27" i="3"/>
  <c r="F26" i="11"/>
  <c r="K26" i="11"/>
  <c r="G28" i="3" s="1"/>
  <c r="P26" i="11"/>
  <c r="F28" i="3"/>
  <c r="U26" i="11"/>
  <c r="X26" i="11"/>
  <c r="E28" i="3"/>
  <c r="F27" i="11"/>
  <c r="K27" i="11"/>
  <c r="G29" i="3"/>
  <c r="P27" i="11"/>
  <c r="F29" i="3"/>
  <c r="U27" i="11"/>
  <c r="X27" i="11"/>
  <c r="E29" i="3" s="1"/>
  <c r="F28" i="11"/>
  <c r="K28" i="11"/>
  <c r="G30" i="3" s="1"/>
  <c r="P28" i="11"/>
  <c r="F30" i="3"/>
  <c r="U28" i="11"/>
  <c r="X28" i="11"/>
  <c r="E30" i="3"/>
  <c r="F29" i="11"/>
  <c r="K29" i="11"/>
  <c r="G31" i="3" s="1"/>
  <c r="P29" i="11"/>
  <c r="F31" i="3"/>
  <c r="U29" i="11"/>
  <c r="X29" i="11"/>
  <c r="E31" i="3" s="1"/>
  <c r="F30" i="11"/>
  <c r="K30" i="11"/>
  <c r="G32" i="3" s="1"/>
  <c r="P30" i="11"/>
  <c r="F32" i="3"/>
  <c r="U30" i="11"/>
  <c r="X30" i="11"/>
  <c r="E32" i="3"/>
  <c r="F31" i="11"/>
  <c r="K31" i="11"/>
  <c r="G33" i="3"/>
  <c r="P31" i="11"/>
  <c r="F33" i="3" s="1"/>
  <c r="U31" i="11"/>
  <c r="X31" i="11"/>
  <c r="E33" i="3"/>
  <c r="F32" i="11"/>
  <c r="K32" i="11"/>
  <c r="G34" i="3"/>
  <c r="P32" i="11"/>
  <c r="F34" i="3" s="1"/>
  <c r="U32" i="11"/>
  <c r="X32" i="11"/>
  <c r="E34" i="3" s="1"/>
  <c r="F33" i="11"/>
  <c r="K33" i="11"/>
  <c r="G35" i="3" s="1"/>
  <c r="P33" i="11"/>
  <c r="F35" i="3"/>
  <c r="U33" i="11"/>
  <c r="X33" i="11"/>
  <c r="E35" i="3"/>
  <c r="F34" i="11"/>
  <c r="K34" i="11"/>
  <c r="G36" i="3" s="1"/>
  <c r="P34" i="11"/>
  <c r="F36" i="3"/>
  <c r="U34" i="11"/>
  <c r="X34" i="11"/>
  <c r="E36" i="3"/>
  <c r="F35" i="11"/>
  <c r="K35" i="11"/>
  <c r="G37" i="3"/>
  <c r="P35" i="11"/>
  <c r="F37" i="3"/>
  <c r="U35" i="11"/>
  <c r="X35" i="11"/>
  <c r="E37" i="3"/>
  <c r="F36" i="11"/>
  <c r="K36" i="11"/>
  <c r="G38" i="3" s="1"/>
  <c r="P36" i="11"/>
  <c r="F38" i="3"/>
  <c r="U36" i="11"/>
  <c r="X36" i="11"/>
  <c r="E38" i="3" s="1"/>
  <c r="F37" i="11"/>
  <c r="K37" i="11"/>
  <c r="G39" i="3" s="1"/>
  <c r="P37" i="11"/>
  <c r="F39" i="3"/>
  <c r="U37" i="11"/>
  <c r="X37" i="11"/>
  <c r="E39" i="3" s="1"/>
  <c r="F38" i="11"/>
  <c r="K38" i="11"/>
  <c r="G40" i="3"/>
  <c r="P38" i="11"/>
  <c r="F40" i="3" s="1"/>
  <c r="U38" i="11"/>
  <c r="X38" i="11"/>
  <c r="E40" i="3" s="1"/>
  <c r="F39" i="11"/>
  <c r="K39" i="11"/>
  <c r="G41" i="3"/>
  <c r="P39" i="11"/>
  <c r="F41" i="3"/>
  <c r="U39" i="11"/>
  <c r="X39" i="11"/>
  <c r="E41" i="3"/>
  <c r="F40" i="11"/>
  <c r="K40" i="11"/>
  <c r="G42" i="3" s="1"/>
  <c r="P40" i="11"/>
  <c r="F42" i="3"/>
  <c r="U40" i="11"/>
  <c r="X40" i="11"/>
  <c r="E42" i="3"/>
  <c r="F41" i="11"/>
  <c r="K41" i="11"/>
  <c r="G43" i="3"/>
  <c r="P41" i="11"/>
  <c r="F43" i="3" s="1"/>
  <c r="U41" i="11"/>
  <c r="X41" i="11"/>
  <c r="E43" i="3"/>
  <c r="F42" i="11"/>
  <c r="K42" i="11"/>
  <c r="G44" i="3"/>
  <c r="P42" i="11"/>
  <c r="F44" i="3"/>
  <c r="U42" i="11"/>
  <c r="X42" i="11"/>
  <c r="E44" i="3"/>
  <c r="B43" i="11"/>
  <c r="C43" i="11"/>
  <c r="D43" i="11"/>
  <c r="E43" i="11"/>
  <c r="G43" i="11"/>
  <c r="H43" i="11"/>
  <c r="I43" i="11"/>
  <c r="J43" i="11"/>
  <c r="L43" i="11"/>
  <c r="M43" i="11"/>
  <c r="N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B32" i="1" s="1"/>
  <c r="Q31" i="15"/>
  <c r="V31" i="15"/>
  <c r="F32" i="15"/>
  <c r="K32" i="15"/>
  <c r="Q32" i="15"/>
  <c r="V32" i="15"/>
  <c r="F33" i="15"/>
  <c r="K33" i="15"/>
  <c r="Q33" i="15"/>
  <c r="V33" i="15"/>
  <c r="F34" i="15"/>
  <c r="K34" i="15"/>
  <c r="B35" i="1" s="1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F43" i="15" s="1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D18" i="3" s="1"/>
  <c r="F17" i="13"/>
  <c r="C19" i="3" s="1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C29" i="3" s="1"/>
  <c r="K27" i="13"/>
  <c r="P27" i="13"/>
  <c r="U27" i="13"/>
  <c r="Z27" i="13"/>
  <c r="F28" i="13"/>
  <c r="K28" i="13"/>
  <c r="P28" i="13"/>
  <c r="U28" i="13"/>
  <c r="Z28" i="13"/>
  <c r="D30" i="3" s="1"/>
  <c r="F29" i="13"/>
  <c r="K29" i="13"/>
  <c r="P29" i="13"/>
  <c r="D31" i="3" s="1"/>
  <c r="U29" i="13"/>
  <c r="Z29" i="13"/>
  <c r="F30" i="13"/>
  <c r="C32" i="3" s="1"/>
  <c r="K30" i="13"/>
  <c r="D32" i="3" s="1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P33" i="13"/>
  <c r="D35" i="3" s="1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16" i="3"/>
  <c r="B39" i="1"/>
  <c r="K43" i="16"/>
  <c r="H45" i="3"/>
  <c r="H47" i="3"/>
  <c r="B9" i="8" l="1"/>
  <c r="B9" i="14"/>
  <c r="B9" i="15"/>
  <c r="B9" i="11"/>
  <c r="B9" i="16"/>
  <c r="B9" i="9"/>
  <c r="B9" i="13"/>
  <c r="B9" i="10"/>
  <c r="B9" i="3"/>
  <c r="B9" i="6"/>
  <c r="Q43" i="16"/>
  <c r="D21" i="3"/>
  <c r="B31" i="1"/>
  <c r="U43" i="11"/>
  <c r="C40" i="3"/>
  <c r="B40" i="3" s="1"/>
  <c r="I40" i="3" s="1"/>
  <c r="B37" i="1"/>
  <c r="D25" i="3"/>
  <c r="D41" i="3"/>
  <c r="AE44" i="7"/>
  <c r="C44" i="3"/>
  <c r="B44" i="3" s="1"/>
  <c r="I44" i="3" s="1"/>
  <c r="C28" i="3"/>
  <c r="B28" i="3" s="1"/>
  <c r="I28" i="3" s="1"/>
  <c r="C24" i="3"/>
  <c r="B24" i="3" s="1"/>
  <c r="I24" i="3" s="1"/>
  <c r="C41" i="3"/>
  <c r="B41" i="3" s="1"/>
  <c r="I41" i="3" s="1"/>
  <c r="Z44" i="7"/>
  <c r="Q43" i="10"/>
  <c r="E45" i="6"/>
  <c r="D34" i="3"/>
  <c r="K43" i="9"/>
  <c r="U44" i="7"/>
  <c r="D43" i="3"/>
  <c r="Q43" i="14"/>
  <c r="C47" i="6"/>
  <c r="X43" i="11"/>
  <c r="B15" i="1"/>
  <c r="U43" i="9"/>
  <c r="F43" i="11"/>
  <c r="D27" i="3"/>
  <c r="V43" i="8"/>
  <c r="K43" i="13"/>
  <c r="B38" i="1"/>
  <c r="Q43" i="8"/>
  <c r="D37" i="3"/>
  <c r="F43" i="9"/>
  <c r="B23" i="1"/>
  <c r="P43" i="13"/>
  <c r="D39" i="3"/>
  <c r="P43" i="9"/>
  <c r="B42" i="1"/>
  <c r="D20" i="3"/>
  <c r="D17" i="3"/>
  <c r="F43" i="13"/>
  <c r="C43" i="3"/>
  <c r="B43" i="3" s="1"/>
  <c r="I43" i="3" s="1"/>
  <c r="C39" i="3"/>
  <c r="C31" i="3"/>
  <c r="B31" i="3" s="1"/>
  <c r="I31" i="3" s="1"/>
  <c r="C27" i="3"/>
  <c r="B27" i="3" s="1"/>
  <c r="I27" i="3" s="1"/>
  <c r="C23" i="3"/>
  <c r="C15" i="3"/>
  <c r="B25" i="1"/>
  <c r="C46" i="6"/>
  <c r="D44" i="3"/>
  <c r="B43" i="1"/>
  <c r="K43" i="15"/>
  <c r="B29" i="1"/>
  <c r="B13" i="1"/>
  <c r="B46" i="1" s="1"/>
  <c r="B30" i="1"/>
  <c r="B22" i="1"/>
  <c r="D23" i="3"/>
  <c r="Z43" i="13"/>
  <c r="P43" i="11"/>
  <c r="K43" i="11"/>
  <c r="Z43" i="9"/>
  <c r="C20" i="3"/>
  <c r="K44" i="7"/>
  <c r="B19" i="1"/>
  <c r="C17" i="3"/>
  <c r="B33" i="1"/>
  <c r="B34" i="1"/>
  <c r="B18" i="1"/>
  <c r="V43" i="10"/>
  <c r="D26" i="3"/>
  <c r="U43" i="13"/>
  <c r="B40" i="1"/>
  <c r="V43" i="15"/>
  <c r="B41" i="1"/>
  <c r="B21" i="1"/>
  <c r="B17" i="1"/>
  <c r="C45" i="6"/>
  <c r="C16" i="3"/>
  <c r="B16" i="3" s="1"/>
  <c r="I16" i="3" s="1"/>
  <c r="D29" i="3"/>
  <c r="B29" i="3" s="1"/>
  <c r="I29" i="3" s="1"/>
  <c r="F44" i="7"/>
  <c r="Q43" i="15"/>
  <c r="D24" i="3"/>
  <c r="C42" i="3"/>
  <c r="B42" i="3" s="1"/>
  <c r="I42" i="3" s="1"/>
  <c r="C34" i="3"/>
  <c r="B34" i="3" s="1"/>
  <c r="I34" i="3" s="1"/>
  <c r="B30" i="3"/>
  <c r="I30" i="3" s="1"/>
  <c r="C26" i="3"/>
  <c r="B26" i="3" s="1"/>
  <c r="I26" i="3" s="1"/>
  <c r="C18" i="3"/>
  <c r="B18" i="3" s="1"/>
  <c r="I18" i="3" s="1"/>
  <c r="H48" i="3"/>
  <c r="D19" i="3"/>
  <c r="B19" i="3" s="1"/>
  <c r="I19" i="3" s="1"/>
  <c r="P44" i="7"/>
  <c r="K43" i="14"/>
  <c r="F43" i="16"/>
  <c r="D38" i="3"/>
  <c r="B38" i="3" s="1"/>
  <c r="I38" i="3" s="1"/>
  <c r="D22" i="3"/>
  <c r="D15" i="3"/>
  <c r="C22" i="3"/>
  <c r="E14" i="3"/>
  <c r="D40" i="3"/>
  <c r="D36" i="3"/>
  <c r="B36" i="3" s="1"/>
  <c r="I36" i="3" s="1"/>
  <c r="D28" i="3"/>
  <c r="F47" i="3"/>
  <c r="G45" i="3"/>
  <c r="G47" i="3"/>
  <c r="B39" i="3"/>
  <c r="I39" i="3" s="1"/>
  <c r="B23" i="3"/>
  <c r="I23" i="3" s="1"/>
  <c r="B15" i="3"/>
  <c r="I15" i="3" s="1"/>
  <c r="G46" i="3"/>
  <c r="B37" i="3"/>
  <c r="I37" i="3" s="1"/>
  <c r="B33" i="3"/>
  <c r="I33" i="3" s="1"/>
  <c r="B25" i="3"/>
  <c r="I25" i="3" s="1"/>
  <c r="B21" i="3"/>
  <c r="I21" i="3" s="1"/>
  <c r="B32" i="3"/>
  <c r="I32" i="3" s="1"/>
  <c r="B22" i="3"/>
  <c r="I22" i="3" s="1"/>
  <c r="E47" i="3"/>
  <c r="G48" i="3"/>
  <c r="B14" i="1"/>
  <c r="D14" i="3"/>
  <c r="F43" i="8"/>
  <c r="F48" i="3"/>
  <c r="F45" i="3"/>
  <c r="F46" i="3"/>
  <c r="E45" i="3"/>
  <c r="E48" i="3"/>
  <c r="C14" i="3"/>
  <c r="E46" i="3"/>
  <c r="B17" i="3" l="1"/>
  <c r="I17" i="3" s="1"/>
  <c r="B45" i="1"/>
  <c r="B20" i="3"/>
  <c r="I20" i="3" s="1"/>
  <c r="B44" i="1"/>
  <c r="B47" i="1"/>
  <c r="D46" i="3"/>
  <c r="D47" i="3"/>
  <c r="D45" i="3"/>
  <c r="D48" i="3"/>
  <c r="C46" i="3"/>
  <c r="C47" i="3"/>
  <c r="C48" i="3"/>
  <c r="B14" i="3"/>
  <c r="C45" i="3"/>
  <c r="B47" i="3" l="1"/>
  <c r="I14" i="3"/>
  <c r="B48" i="3"/>
  <c r="B45" i="3"/>
  <c r="B46" i="3"/>
  <c r="I45" i="3" l="1"/>
  <c r="I46" i="3"/>
  <c r="I48" i="3"/>
  <c r="I47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<sst xmlns="http://schemas.openxmlformats.org/spreadsheetml/2006/main" count="484" uniqueCount="197">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</sst>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2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8FE30-828A-437B-96FC-CB65AA0041F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L17" sqref="L17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2" t="s">
        <v>25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</row>
    <row r="5" spans="1:18" s="3" customFormat="1" ht="13.5" customHeight="1" x14ac:dyDescent="0.15">
      <c r="A5" s="2"/>
      <c r="I5" s="143" t="s">
        <v>32</v>
      </c>
      <c r="J5" s="143"/>
      <c r="K5" s="143" t="s">
        <v>30</v>
      </c>
      <c r="L5" s="143"/>
      <c r="M5" s="143"/>
      <c r="N5" s="143"/>
      <c r="O5" s="143" t="s">
        <v>69</v>
      </c>
      <c r="P5" s="143"/>
      <c r="Q5" s="144" t="s">
        <v>26</v>
      </c>
      <c r="R5" s="145"/>
    </row>
    <row r="6" spans="1:18" s="3" customFormat="1" ht="13.5" customHeight="1" x14ac:dyDescent="0.15">
      <c r="A6" s="2"/>
      <c r="I6" s="143" t="s">
        <v>71</v>
      </c>
      <c r="J6" s="143"/>
      <c r="K6" s="143" t="s">
        <v>31</v>
      </c>
      <c r="L6" s="143"/>
      <c r="M6" s="143"/>
      <c r="N6" s="143"/>
      <c r="O6" s="143" t="s">
        <v>70</v>
      </c>
      <c r="P6" s="143"/>
      <c r="Q6" s="143" t="s">
        <v>27</v>
      </c>
      <c r="R6" s="143"/>
    </row>
    <row r="7" spans="1:18" s="3" customFormat="1" ht="13.5" customHeight="1" x14ac:dyDescent="0.15">
      <c r="A7" s="2"/>
      <c r="I7" s="143" t="s">
        <v>33</v>
      </c>
      <c r="J7" s="143"/>
      <c r="K7" s="151" t="s">
        <v>196</v>
      </c>
      <c r="L7" s="143"/>
      <c r="M7" s="143"/>
      <c r="N7" s="143"/>
      <c r="O7" s="143" t="s">
        <v>29</v>
      </c>
      <c r="P7" s="143"/>
      <c r="Q7" s="143" t="s">
        <v>28</v>
      </c>
      <c r="R7" s="143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9" t="str">
        <f>"("&amp;TEXT(DATE('[1]A-1'!$E$9, 7, 1), "ggge年mm月")&amp;")"</f>
        <v>(令和9年07月)</v>
      </c>
      <c r="C9" s="149"/>
      <c r="D9" s="150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6" t="s">
        <v>24</v>
      </c>
      <c r="O10" s="147"/>
      <c r="P10" s="147"/>
      <c r="Q10" s="147"/>
      <c r="R10" s="148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141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49256B5F-6409-4B28-B135-5E040704A09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A8622-FC09-4361-A1FC-DF3DDA267EAC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2" t="s">
        <v>35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8" t="s">
        <v>32</v>
      </c>
      <c r="G5" s="158"/>
      <c r="H5" s="158" t="s">
        <v>30</v>
      </c>
      <c r="I5" s="158"/>
      <c r="J5" s="158" t="s">
        <v>72</v>
      </c>
      <c r="K5" s="158"/>
      <c r="L5" s="158" t="s">
        <v>36</v>
      </c>
      <c r="M5" s="158"/>
      <c r="N5" s="158"/>
    </row>
    <row r="6" spans="1:16" x14ac:dyDescent="0.15">
      <c r="A6" s="2"/>
      <c r="F6" s="158" t="s">
        <v>74</v>
      </c>
      <c r="G6" s="158"/>
      <c r="H6" s="152" t="s">
        <v>31</v>
      </c>
      <c r="I6" s="154"/>
      <c r="J6" s="158" t="s">
        <v>73</v>
      </c>
      <c r="K6" s="158"/>
      <c r="L6" s="158" t="s">
        <v>37</v>
      </c>
      <c r="M6" s="158"/>
      <c r="N6" s="158"/>
    </row>
    <row r="7" spans="1:16" x14ac:dyDescent="0.15">
      <c r="A7" s="2"/>
      <c r="F7" s="158" t="s">
        <v>33</v>
      </c>
      <c r="G7" s="158"/>
      <c r="H7" s="158" t="s">
        <v>196</v>
      </c>
      <c r="I7" s="158"/>
      <c r="J7" s="158" t="s">
        <v>29</v>
      </c>
      <c r="K7" s="158"/>
      <c r="L7" s="158" t="s">
        <v>38</v>
      </c>
      <c r="M7" s="158"/>
      <c r="N7" s="158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9" t="str">
        <f>'A-1'!B9:D9</f>
        <v>(令和9年07月)</v>
      </c>
      <c r="C9" s="149"/>
      <c r="D9" s="150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2" t="s">
        <v>39</v>
      </c>
      <c r="E10" s="153"/>
      <c r="F10" s="153"/>
      <c r="G10" s="153"/>
      <c r="H10" s="153"/>
      <c r="I10" s="154"/>
      <c r="J10" s="39" t="s">
        <v>13</v>
      </c>
      <c r="K10" s="39" t="s">
        <v>40</v>
      </c>
      <c r="L10" s="39" t="s">
        <v>41</v>
      </c>
      <c r="M10" s="152" t="s">
        <v>42</v>
      </c>
      <c r="N10" s="154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2" t="s">
        <v>43</v>
      </c>
      <c r="E11" s="153"/>
      <c r="F11" s="154"/>
      <c r="G11" s="155" t="s">
        <v>101</v>
      </c>
      <c r="H11" s="156"/>
      <c r="I11" s="157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141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534A9E7E-2632-4E26-A2BB-B77A5722F78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93512-B72E-4D1E-B3E1-AA6D353AB2B2}">
  <sheetPr codeName="Sheet11"/>
  <dimension ref="A1:V48"/>
  <sheetViews>
    <sheetView workbookViewId="0">
      <pane ySplit="13" topLeftCell="A14" activePane="bottomLeft" state="frozen"/>
      <selection pane="bottomLeft" activeCell="W21" sqref="W21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59" t="s">
        <v>64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</row>
    <row r="2" spans="1:22" s="44" customFormat="1" ht="12" customHeight="1" x14ac:dyDescent="0.15">
      <c r="H2" s="165" t="s">
        <v>32</v>
      </c>
      <c r="I2" s="166"/>
      <c r="J2" s="167" t="s">
        <v>30</v>
      </c>
      <c r="K2" s="168"/>
      <c r="L2" s="169"/>
      <c r="M2" s="165" t="s">
        <v>75</v>
      </c>
      <c r="N2" s="170"/>
      <c r="O2" s="166"/>
      <c r="P2" s="167" t="s">
        <v>170</v>
      </c>
      <c r="Q2" s="168"/>
      <c r="R2" s="168"/>
      <c r="S2" s="168"/>
      <c r="T2" s="169"/>
    </row>
    <row r="3" spans="1:22" s="44" customFormat="1" ht="12" customHeight="1" x14ac:dyDescent="0.15">
      <c r="H3" s="165" t="s">
        <v>78</v>
      </c>
      <c r="I3" s="166"/>
      <c r="J3" s="167" t="s">
        <v>174</v>
      </c>
      <c r="K3" s="168"/>
      <c r="L3" s="169"/>
      <c r="M3" s="165" t="s">
        <v>76</v>
      </c>
      <c r="N3" s="170"/>
      <c r="O3" s="166"/>
      <c r="P3" s="167" t="s">
        <v>160</v>
      </c>
      <c r="Q3" s="168"/>
      <c r="R3" s="168"/>
      <c r="S3" s="168"/>
      <c r="T3" s="169"/>
    </row>
    <row r="4" spans="1:22" s="44" customFormat="1" ht="12" customHeight="1" x14ac:dyDescent="0.15">
      <c r="H4" s="165" t="s">
        <v>66</v>
      </c>
      <c r="I4" s="166"/>
      <c r="J4" s="167" t="s">
        <v>175</v>
      </c>
      <c r="K4" s="168"/>
      <c r="L4" s="169"/>
      <c r="M4" s="165" t="s">
        <v>77</v>
      </c>
      <c r="N4" s="170"/>
      <c r="O4" s="166"/>
      <c r="P4" s="167" t="s">
        <v>176</v>
      </c>
      <c r="Q4" s="168"/>
      <c r="R4" s="168"/>
      <c r="S4" s="168"/>
      <c r="T4" s="169"/>
    </row>
    <row r="5" spans="1:22" s="44" customFormat="1" ht="12" customHeight="1" x14ac:dyDescent="0.15">
      <c r="H5" s="165" t="s">
        <v>67</v>
      </c>
      <c r="I5" s="166"/>
      <c r="J5" s="167" t="s">
        <v>177</v>
      </c>
      <c r="K5" s="168"/>
      <c r="L5" s="169"/>
      <c r="M5" s="165" t="s">
        <v>79</v>
      </c>
      <c r="N5" s="166"/>
      <c r="O5" s="59" t="s">
        <v>178</v>
      </c>
      <c r="P5" s="167" t="s">
        <v>172</v>
      </c>
      <c r="Q5" s="168"/>
      <c r="R5" s="168"/>
      <c r="S5" s="168"/>
      <c r="T5" s="169"/>
    </row>
    <row r="6" spans="1:22" s="44" customFormat="1" ht="12" customHeight="1" x14ac:dyDescent="0.15">
      <c r="H6" s="165" t="s">
        <v>33</v>
      </c>
      <c r="I6" s="166"/>
      <c r="J6" s="165" t="s">
        <v>65</v>
      </c>
      <c r="K6" s="170"/>
      <c r="L6" s="166"/>
      <c r="M6" s="165" t="s">
        <v>80</v>
      </c>
      <c r="N6" s="166"/>
      <c r="O6" s="59" t="s">
        <v>179</v>
      </c>
      <c r="P6" s="167" t="s">
        <v>173</v>
      </c>
      <c r="Q6" s="168"/>
      <c r="R6" s="168"/>
      <c r="S6" s="168"/>
      <c r="T6" s="169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9" t="str">
        <f>'A-1'!B9:D9</f>
        <v>(令和9年07月)</v>
      </c>
      <c r="C9" s="149"/>
      <c r="D9" s="150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0" t="s">
        <v>56</v>
      </c>
      <c r="D10" s="161"/>
      <c r="E10" s="161"/>
      <c r="F10" s="161"/>
      <c r="G10" s="161"/>
      <c r="H10" s="161"/>
      <c r="I10" s="75"/>
      <c r="J10" s="162" t="s">
        <v>81</v>
      </c>
      <c r="K10" s="163"/>
      <c r="L10" s="163"/>
      <c r="M10" s="163"/>
      <c r="N10" s="163"/>
      <c r="O10" s="163"/>
      <c r="P10" s="163"/>
      <c r="Q10" s="163"/>
      <c r="R10" s="163"/>
      <c r="S10" s="163"/>
      <c r="T10" s="164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2" t="s">
        <v>62</v>
      </c>
      <c r="M11" s="163"/>
      <c r="N11" s="163"/>
      <c r="O11" s="163"/>
      <c r="P11" s="162" t="s">
        <v>63</v>
      </c>
      <c r="Q11" s="163"/>
      <c r="R11" s="163"/>
      <c r="S11" s="163"/>
      <c r="T11" s="164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>
        <v>75</v>
      </c>
      <c r="L20" s="67">
        <v>7.9</v>
      </c>
      <c r="M20" s="61"/>
      <c r="N20" s="61">
        <v>20</v>
      </c>
      <c r="O20" s="61"/>
      <c r="P20" s="67">
        <v>7.4</v>
      </c>
      <c r="Q20" s="61"/>
      <c r="R20" s="61">
        <v>15</v>
      </c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>
        <v>7.3</v>
      </c>
      <c r="M25" s="61">
        <v>9.8000000000000007</v>
      </c>
      <c r="N25" s="61">
        <v>21.3</v>
      </c>
      <c r="O25" s="61">
        <v>6</v>
      </c>
      <c r="P25" s="67">
        <v>7.2</v>
      </c>
      <c r="Q25" s="61">
        <v>1.9</v>
      </c>
      <c r="R25" s="61">
        <v>14.7</v>
      </c>
      <c r="S25" s="61">
        <v>1.6</v>
      </c>
      <c r="T25" s="64">
        <v>0</v>
      </c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>
        <v>75</v>
      </c>
      <c r="L27" s="67">
        <v>7.9</v>
      </c>
      <c r="M27" s="61"/>
      <c r="N27" s="61">
        <v>20</v>
      </c>
      <c r="O27" s="61"/>
      <c r="P27" s="67">
        <v>7.3</v>
      </c>
      <c r="Q27" s="61"/>
      <c r="R27" s="61">
        <v>15</v>
      </c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141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>
        <v>75</v>
      </c>
      <c r="L34" s="67">
        <v>7.9</v>
      </c>
      <c r="M34" s="61"/>
      <c r="N34" s="61">
        <v>23</v>
      </c>
      <c r="O34" s="61"/>
      <c r="P34" s="67">
        <v>7.4</v>
      </c>
      <c r="Q34" s="61"/>
      <c r="R34" s="61">
        <v>15</v>
      </c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>
        <v>75</v>
      </c>
      <c r="L41" s="67">
        <v>7.7</v>
      </c>
      <c r="M41" s="61"/>
      <c r="N41" s="61">
        <v>20</v>
      </c>
      <c r="O41" s="61"/>
      <c r="P41" s="67">
        <v>7.4</v>
      </c>
      <c r="Q41" s="61"/>
      <c r="R41" s="61">
        <v>30</v>
      </c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300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>
        <f>IF(SUM(K14:K44)=0,"",SUM(K14:K44)/COUNTIF(K14:K44,"&gt;0"))</f>
        <v>75</v>
      </c>
      <c r="L46" s="67">
        <f t="shared" ref="L46:T46" si="4">IF(SUM(L14:L44)=0,"",SUM(L14:L44)/COUNTIF(L14:L44,"&gt;0"))</f>
        <v>7.74</v>
      </c>
      <c r="M46" s="61">
        <f t="shared" si="4"/>
        <v>9.8000000000000007</v>
      </c>
      <c r="N46" s="61">
        <f t="shared" si="4"/>
        <v>20.86</v>
      </c>
      <c r="O46" s="61">
        <f t="shared" si="4"/>
        <v>6</v>
      </c>
      <c r="P46" s="67">
        <f t="shared" si="4"/>
        <v>7.3400000000000007</v>
      </c>
      <c r="Q46" s="61">
        <f t="shared" si="4"/>
        <v>1.9</v>
      </c>
      <c r="R46" s="61">
        <f t="shared" si="4"/>
        <v>17.940000000000001</v>
      </c>
      <c r="S46" s="61">
        <f t="shared" si="4"/>
        <v>1.6</v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75</v>
      </c>
      <c r="L47" s="67">
        <f t="shared" si="6"/>
        <v>7.9</v>
      </c>
      <c r="M47" s="61">
        <f t="shared" si="6"/>
        <v>9.8000000000000007</v>
      </c>
      <c r="N47" s="61">
        <f t="shared" si="6"/>
        <v>23</v>
      </c>
      <c r="O47" s="61">
        <f t="shared" si="6"/>
        <v>6</v>
      </c>
      <c r="P47" s="67">
        <f t="shared" si="6"/>
        <v>7.4</v>
      </c>
      <c r="Q47" s="61">
        <f t="shared" si="6"/>
        <v>1.9</v>
      </c>
      <c r="R47" s="61">
        <f t="shared" si="6"/>
        <v>30</v>
      </c>
      <c r="S47" s="61">
        <f t="shared" si="6"/>
        <v>1.6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>
        <f t="shared" si="8"/>
        <v>75</v>
      </c>
      <c r="L48" s="67">
        <f t="shared" si="8"/>
        <v>7.3</v>
      </c>
      <c r="M48" s="61">
        <f t="shared" si="8"/>
        <v>9.8000000000000007</v>
      </c>
      <c r="N48" s="61">
        <f t="shared" si="8"/>
        <v>20</v>
      </c>
      <c r="O48" s="61">
        <f t="shared" si="8"/>
        <v>6</v>
      </c>
      <c r="P48" s="67">
        <f t="shared" si="8"/>
        <v>7.2</v>
      </c>
      <c r="Q48" s="61">
        <f t="shared" si="8"/>
        <v>1.9</v>
      </c>
      <c r="R48" s="61">
        <f t="shared" si="8"/>
        <v>14.7</v>
      </c>
      <c r="S48" s="61">
        <f t="shared" si="8"/>
        <v>1.6</v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4D13ECDC-1124-4BF5-B5F9-0FF4E55F1932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54BA-8240-4481-ACC3-EBD9218ED871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0" sqref="AI2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1" t="s">
        <v>138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5" t="str">
        <f>'A-1'!B9:D9</f>
        <v>(令和9年07月)</v>
      </c>
      <c r="C9" s="175"/>
      <c r="D9" s="176"/>
    </row>
    <row r="10" spans="1:31" s="108" customFormat="1" ht="15" customHeight="1" x14ac:dyDescent="0.15">
      <c r="A10" s="110"/>
      <c r="B10" s="172" t="s">
        <v>82</v>
      </c>
      <c r="C10" s="173"/>
      <c r="D10" s="173"/>
      <c r="E10" s="173"/>
      <c r="F10" s="174"/>
      <c r="G10" s="172" t="s">
        <v>82</v>
      </c>
      <c r="H10" s="173"/>
      <c r="I10" s="173"/>
      <c r="J10" s="173"/>
      <c r="K10" s="174"/>
      <c r="L10" s="172" t="s">
        <v>82</v>
      </c>
      <c r="M10" s="173"/>
      <c r="N10" s="173"/>
      <c r="O10" s="173"/>
      <c r="P10" s="174"/>
      <c r="Q10" s="172" t="s">
        <v>82</v>
      </c>
      <c r="R10" s="173"/>
      <c r="S10" s="173"/>
      <c r="T10" s="173"/>
      <c r="U10" s="174"/>
      <c r="V10" s="172" t="s">
        <v>82</v>
      </c>
      <c r="W10" s="173"/>
      <c r="X10" s="173"/>
      <c r="Y10" s="173"/>
      <c r="Z10" s="174"/>
      <c r="AA10" s="172" t="s">
        <v>82</v>
      </c>
      <c r="AB10" s="173"/>
      <c r="AC10" s="173"/>
      <c r="AD10" s="173"/>
      <c r="AE10" s="174"/>
    </row>
    <row r="11" spans="1:31" s="108" customFormat="1" ht="15" customHeight="1" x14ac:dyDescent="0.15">
      <c r="A11" s="111" t="s">
        <v>83</v>
      </c>
      <c r="B11" s="172" t="s">
        <v>94</v>
      </c>
      <c r="C11" s="173"/>
      <c r="D11" s="173"/>
      <c r="E11" s="173"/>
      <c r="F11" s="174"/>
      <c r="G11" s="172" t="s">
        <v>99</v>
      </c>
      <c r="H11" s="173"/>
      <c r="I11" s="173"/>
      <c r="J11" s="173"/>
      <c r="K11" s="174"/>
      <c r="L11" s="172" t="s">
        <v>137</v>
      </c>
      <c r="M11" s="173"/>
      <c r="N11" s="173"/>
      <c r="O11" s="173"/>
      <c r="P11" s="174"/>
      <c r="Q11" s="172" t="s">
        <v>128</v>
      </c>
      <c r="R11" s="173"/>
      <c r="S11" s="173"/>
      <c r="T11" s="173"/>
      <c r="U11" s="174"/>
      <c r="V11" s="172" t="s">
        <v>190</v>
      </c>
      <c r="W11" s="173"/>
      <c r="X11" s="173"/>
      <c r="Y11" s="173"/>
      <c r="Z11" s="174"/>
      <c r="AA11" s="172" t="s">
        <v>136</v>
      </c>
      <c r="AB11" s="173"/>
      <c r="AC11" s="173"/>
      <c r="AD11" s="173"/>
      <c r="AE11" s="174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141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D167CE58-C367-4EAC-95A6-17FE6147D05B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70BFC-694D-4CEE-81D5-1D3D934033BC}">
  <sheetPr codeName="Sheet2"/>
  <dimension ref="A1:V43"/>
  <sheetViews>
    <sheetView showZeros="0" workbookViewId="0">
      <pane ySplit="11" topLeftCell="A12" activePane="bottomLeft" state="frozen"/>
      <selection pane="bottomLeft" activeCell="Z20" sqref="Z20:Z21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1" t="s">
        <v>156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0" t="str">
        <f>'A-1'!B9:D9</f>
        <v>(令和9年07月)</v>
      </c>
      <c r="C9" s="180"/>
      <c r="D9" s="181"/>
    </row>
    <row r="10" spans="1:22" s="108" customFormat="1" ht="15" customHeight="1" x14ac:dyDescent="0.15">
      <c r="A10" s="116"/>
      <c r="B10" s="182" t="s">
        <v>97</v>
      </c>
      <c r="C10" s="183"/>
      <c r="D10" s="183"/>
      <c r="E10" s="183"/>
      <c r="F10" s="184"/>
      <c r="G10" s="182" t="s">
        <v>98</v>
      </c>
      <c r="H10" s="183"/>
      <c r="I10" s="183"/>
      <c r="J10" s="183"/>
      <c r="K10" s="184"/>
      <c r="L10" s="116"/>
      <c r="M10" s="177" t="s">
        <v>157</v>
      </c>
      <c r="N10" s="178"/>
      <c r="O10" s="178"/>
      <c r="P10" s="178"/>
      <c r="Q10" s="179"/>
      <c r="R10" s="177" t="s">
        <v>158</v>
      </c>
      <c r="S10" s="178"/>
      <c r="T10" s="178"/>
      <c r="U10" s="178"/>
      <c r="V10" s="179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141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E575E4A-4B7F-45E6-A210-C3B5AE0E50B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60B9-D281-4A67-BD35-E751F1E08409}">
  <sheetPr codeName="Sheet5"/>
  <dimension ref="A1:Z43"/>
  <sheetViews>
    <sheetView showZeros="0" workbookViewId="0">
      <pane ySplit="11" topLeftCell="A12" activePane="bottomLeft" state="frozen"/>
      <selection pane="bottomLeft" activeCell="W27" sqref="W2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8" t="s">
        <v>155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(令和9年07月)</v>
      </c>
      <c r="C9" s="149"/>
      <c r="D9" s="150"/>
    </row>
    <row r="10" spans="1:26" ht="15" customHeight="1" x14ac:dyDescent="0.15">
      <c r="A10" s="103"/>
      <c r="B10" s="185" t="s">
        <v>95</v>
      </c>
      <c r="C10" s="186"/>
      <c r="D10" s="186"/>
      <c r="E10" s="186"/>
      <c r="F10" s="187"/>
      <c r="G10" s="185" t="s">
        <v>96</v>
      </c>
      <c r="H10" s="186"/>
      <c r="I10" s="186"/>
      <c r="J10" s="186"/>
      <c r="K10" s="187"/>
      <c r="L10" s="185" t="s">
        <v>139</v>
      </c>
      <c r="M10" s="186"/>
      <c r="N10" s="186"/>
      <c r="O10" s="186"/>
      <c r="P10" s="187"/>
      <c r="Q10" s="185" t="s">
        <v>154</v>
      </c>
      <c r="R10" s="186"/>
      <c r="S10" s="186"/>
      <c r="T10" s="186"/>
      <c r="U10" s="187"/>
      <c r="V10" s="185" t="s">
        <v>140</v>
      </c>
      <c r="W10" s="186"/>
      <c r="X10" s="186"/>
      <c r="Y10" s="186"/>
      <c r="Z10" s="187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141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27EE2CF7-629C-45E8-957D-F9D04D6729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0C92-B679-4EE0-AD0A-06690D02AB1E}"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150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(令和9年07月)</v>
      </c>
      <c r="C9" s="149"/>
      <c r="D9" s="150"/>
    </row>
    <row r="10" spans="1:22" ht="15" customHeight="1" x14ac:dyDescent="0.15">
      <c r="A10" s="103"/>
      <c r="B10" s="185" t="s">
        <v>149</v>
      </c>
      <c r="C10" s="186"/>
      <c r="D10" s="186"/>
      <c r="E10" s="186"/>
      <c r="F10" s="187"/>
      <c r="G10" s="185" t="s">
        <v>151</v>
      </c>
      <c r="H10" s="186"/>
      <c r="I10" s="186"/>
      <c r="J10" s="186"/>
      <c r="K10" s="187"/>
      <c r="L10" s="103"/>
      <c r="M10" s="185" t="s">
        <v>152</v>
      </c>
      <c r="N10" s="186"/>
      <c r="O10" s="186"/>
      <c r="P10" s="186"/>
      <c r="Q10" s="187"/>
      <c r="R10" s="185" t="s">
        <v>153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9"/>
      <c r="C24" s="129"/>
      <c r="D24" s="123"/>
      <c r="E24" s="123"/>
      <c r="F24" s="123">
        <f t="shared" si="0"/>
        <v>0</v>
      </c>
      <c r="G24" s="129"/>
      <c r="H24" s="129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F0E4555-B393-4603-925C-6649F93992A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5AB02-D685-4883-B0E7-29F2A2B07DB7}">
  <sheetPr codeName="Sheet8"/>
  <dimension ref="A1:V43"/>
  <sheetViews>
    <sheetView showZeros="0" workbookViewId="0">
      <pane ySplit="11" topLeftCell="A12" activePane="bottomLeft" state="frozen"/>
      <selection pane="bottomLeft" activeCell="Z23" sqref="Z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144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(令和9年07月)</v>
      </c>
      <c r="C9" s="149"/>
      <c r="D9" s="150"/>
    </row>
    <row r="10" spans="1:22" ht="15" customHeight="1" x14ac:dyDescent="0.15">
      <c r="A10" s="103"/>
      <c r="B10" s="185" t="s">
        <v>112</v>
      </c>
      <c r="C10" s="186"/>
      <c r="D10" s="186"/>
      <c r="E10" s="186"/>
      <c r="F10" s="187"/>
      <c r="G10" s="185" t="s">
        <v>115</v>
      </c>
      <c r="H10" s="186"/>
      <c r="I10" s="186"/>
      <c r="J10" s="186"/>
      <c r="K10" s="187"/>
      <c r="L10" s="103"/>
      <c r="M10" s="185" t="s">
        <v>113</v>
      </c>
      <c r="N10" s="186"/>
      <c r="O10" s="186"/>
      <c r="P10" s="186"/>
      <c r="Q10" s="187"/>
      <c r="R10" s="185" t="s">
        <v>114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141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0650198-1FE9-4789-9FEE-9DB49875BBB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A0DE5-4D29-40B3-B697-045ED2BD6200}">
  <sheetPr codeName="Sheet3"/>
  <dimension ref="A1:V43"/>
  <sheetViews>
    <sheetView showZeros="0" workbookViewId="0">
      <pane ySplit="11" topLeftCell="A12" activePane="bottomLeft" state="frozen"/>
      <selection pane="bottomLeft" activeCell="AA30" sqref="AA3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8" t="s">
        <v>191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9" t="str">
        <f>'A-1'!B9:D9</f>
        <v>(令和9年07月)</v>
      </c>
      <c r="C9" s="149"/>
      <c r="D9" s="150"/>
    </row>
    <row r="10" spans="1:22" ht="15" customHeight="1" x14ac:dyDescent="0.15">
      <c r="A10" s="103"/>
      <c r="B10" s="185" t="s">
        <v>192</v>
      </c>
      <c r="C10" s="186"/>
      <c r="D10" s="186"/>
      <c r="E10" s="186"/>
      <c r="F10" s="187"/>
      <c r="G10" s="185" t="s">
        <v>193</v>
      </c>
      <c r="H10" s="186"/>
      <c r="I10" s="186"/>
      <c r="J10" s="186"/>
      <c r="K10" s="187"/>
      <c r="L10" s="103"/>
      <c r="M10" s="185" t="s">
        <v>194</v>
      </c>
      <c r="N10" s="186"/>
      <c r="O10" s="186"/>
      <c r="P10" s="186"/>
      <c r="Q10" s="187"/>
      <c r="R10" s="185" t="s">
        <v>195</v>
      </c>
      <c r="S10" s="186"/>
      <c r="T10" s="186"/>
      <c r="U10" s="186"/>
      <c r="V10" s="187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48C84E16-F5A1-4F0B-9079-615C54CF9D2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F911-CDB2-4249-9499-D64077E1ACCC}">
  <dimension ref="A1:V43"/>
  <sheetViews>
    <sheetView showZeros="0" workbookViewId="0">
      <pane ySplit="11" topLeftCell="A12" activePane="bottomLeft" state="frozen"/>
      <selection pane="bottomLeft" activeCell="X16" sqref="X16:X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145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(令和9年07月)</v>
      </c>
      <c r="C9" s="149"/>
      <c r="D9" s="150"/>
    </row>
    <row r="10" spans="1:22" ht="15" customHeight="1" x14ac:dyDescent="0.15">
      <c r="A10" s="103"/>
      <c r="B10" s="185" t="s">
        <v>146</v>
      </c>
      <c r="C10" s="186"/>
      <c r="D10" s="186"/>
      <c r="E10" s="186"/>
      <c r="F10" s="187"/>
      <c r="G10" s="185" t="s">
        <v>147</v>
      </c>
      <c r="H10" s="186"/>
      <c r="I10" s="186"/>
      <c r="J10" s="186"/>
      <c r="K10" s="187"/>
      <c r="L10" s="103"/>
      <c r="M10" s="185" t="s">
        <v>159</v>
      </c>
      <c r="N10" s="186"/>
      <c r="O10" s="186"/>
      <c r="P10" s="186"/>
      <c r="Q10" s="187"/>
      <c r="R10" s="185" t="s">
        <v>148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13F13D9-F64D-441A-9FF6-7E692A85045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5D17-5399-4E02-AC48-D1FE32057C88}">
  <sheetPr codeName="Sheet4"/>
  <dimension ref="A1:Z43"/>
  <sheetViews>
    <sheetView showZeros="0" workbookViewId="0">
      <pane ySplit="11" topLeftCell="A12" activePane="bottomLeft" state="frozen"/>
      <selection pane="bottomLeft" activeCell="AD24" sqref="AD24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8" t="s">
        <v>90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(令和9年07月)</v>
      </c>
      <c r="C9" s="149"/>
      <c r="D9" s="150"/>
      <c r="G9" s="149"/>
      <c r="H9" s="149"/>
      <c r="I9" s="150"/>
    </row>
    <row r="10" spans="1:26" ht="15" customHeight="1" x14ac:dyDescent="0.15">
      <c r="A10" s="103"/>
      <c r="B10" s="185" t="s">
        <v>143</v>
      </c>
      <c r="C10" s="186"/>
      <c r="D10" s="186"/>
      <c r="E10" s="186"/>
      <c r="F10" s="187"/>
      <c r="G10" s="185" t="s">
        <v>141</v>
      </c>
      <c r="H10" s="186"/>
      <c r="I10" s="186"/>
      <c r="J10" s="186"/>
      <c r="K10" s="187"/>
      <c r="L10" s="185" t="s">
        <v>103</v>
      </c>
      <c r="M10" s="186"/>
      <c r="N10" s="186"/>
      <c r="O10" s="186"/>
      <c r="P10" s="187"/>
      <c r="Q10" s="185" t="s">
        <v>142</v>
      </c>
      <c r="R10" s="186"/>
      <c r="S10" s="186"/>
      <c r="T10" s="186"/>
      <c r="U10" s="187"/>
      <c r="V10" s="185" t="s">
        <v>91</v>
      </c>
      <c r="W10" s="186"/>
      <c r="X10" s="186"/>
      <c r="Y10" s="186"/>
      <c r="Z10" s="187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30"/>
      <c r="M13" s="130"/>
      <c r="N13" s="134"/>
      <c r="O13" s="134"/>
      <c r="P13" s="128">
        <f t="shared" ref="P13:P42" si="4">SUM(L13:O13)</f>
        <v>0</v>
      </c>
      <c r="Q13" s="130"/>
      <c r="R13" s="130"/>
      <c r="S13" s="134"/>
      <c r="T13" s="134"/>
      <c r="U13" s="130">
        <f t="shared" si="2"/>
        <v>0</v>
      </c>
      <c r="V13" s="130"/>
      <c r="W13" s="130"/>
      <c r="X13" s="134"/>
      <c r="Y13" s="134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28"/>
      <c r="H14" s="130"/>
      <c r="I14" s="133"/>
      <c r="J14" s="133"/>
      <c r="K14" s="130">
        <f t="shared" si="1"/>
        <v>0</v>
      </c>
      <c r="L14" s="128"/>
      <c r="M14" s="130"/>
      <c r="N14" s="133"/>
      <c r="O14" s="133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30"/>
      <c r="X14" s="133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34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0"/>
      <c r="N21" s="130"/>
      <c r="O21" s="130"/>
      <c r="P21" s="133">
        <f t="shared" si="4"/>
        <v>0</v>
      </c>
      <c r="Q21" s="128"/>
      <c r="R21" s="130"/>
      <c r="S21" s="130"/>
      <c r="T21" s="130"/>
      <c r="U21" s="130">
        <f t="shared" si="2"/>
        <v>0</v>
      </c>
      <c r="V21" s="133"/>
      <c r="W21" s="130"/>
      <c r="X21" s="130"/>
      <c r="Y21" s="130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34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34"/>
      <c r="M27" s="128"/>
      <c r="N27" s="134"/>
      <c r="O27" s="134"/>
      <c r="P27" s="128">
        <f t="shared" si="4"/>
        <v>0</v>
      </c>
      <c r="Q27" s="134"/>
      <c r="R27" s="128"/>
      <c r="S27" s="134"/>
      <c r="T27" s="134"/>
      <c r="U27" s="128">
        <f t="shared" si="2"/>
        <v>0</v>
      </c>
      <c r="V27" s="134"/>
      <c r="W27" s="128"/>
      <c r="X27" s="134"/>
      <c r="Y27" s="134"/>
      <c r="Z27" s="128">
        <f t="shared" si="3"/>
        <v>0</v>
      </c>
    </row>
    <row r="28" spans="1:26" ht="15" customHeight="1" x14ac:dyDescent="0.15">
      <c r="A28" s="141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33"/>
      <c r="M35" s="133"/>
      <c r="N35" s="128"/>
      <c r="O35" s="128"/>
      <c r="P35" s="128">
        <f t="shared" si="4"/>
        <v>0</v>
      </c>
      <c r="Q35" s="133"/>
      <c r="R35" s="133"/>
      <c r="S35" s="128"/>
      <c r="T35" s="128"/>
      <c r="U35" s="128">
        <f t="shared" si="2"/>
        <v>0</v>
      </c>
      <c r="V35" s="133"/>
      <c r="W35" s="133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28"/>
      <c r="S40" s="128"/>
      <c r="T40" s="128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28">
        <f t="shared" si="2"/>
        <v>0</v>
      </c>
      <c r="V41" s="134"/>
      <c r="W41" s="134"/>
      <c r="X41" s="134"/>
      <c r="Y41" s="134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86A05FB-36AC-4AFD-96B2-4B330C13C4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B153-D5A7-425F-A37B-4647DA60FFE7}">
  <sheetPr codeName="Sheet6"/>
  <dimension ref="A1:X43"/>
  <sheetViews>
    <sheetView showZeros="0" workbookViewId="0">
      <pane ySplit="11" topLeftCell="A12" activePane="bottomLeft" state="frozen"/>
      <selection pane="bottomLeft" activeCell="AB21" sqref="AB21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89" t="s">
        <v>92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9" t="str">
        <f>'A-1'!B9:D9</f>
        <v>(令和9年07月)</v>
      </c>
      <c r="C9" s="149"/>
      <c r="D9" s="150"/>
    </row>
    <row r="10" spans="1:24" ht="15" customHeight="1" x14ac:dyDescent="0.15">
      <c r="A10" s="103"/>
      <c r="B10" s="185" t="s">
        <v>180</v>
      </c>
      <c r="C10" s="186"/>
      <c r="D10" s="186"/>
      <c r="E10" s="186"/>
      <c r="F10" s="187"/>
      <c r="G10" s="185" t="s">
        <v>181</v>
      </c>
      <c r="H10" s="186"/>
      <c r="I10" s="186"/>
      <c r="J10" s="186"/>
      <c r="K10" s="187"/>
      <c r="L10" s="158" t="s">
        <v>161</v>
      </c>
      <c r="M10" s="158"/>
      <c r="N10" s="158"/>
      <c r="O10" s="158"/>
      <c r="P10" s="158"/>
      <c r="Q10" s="185" t="s">
        <v>182</v>
      </c>
      <c r="R10" s="186"/>
      <c r="S10" s="186"/>
      <c r="T10" s="186"/>
      <c r="U10" s="187"/>
      <c r="V10" s="190" t="s">
        <v>183</v>
      </c>
      <c r="W10" s="191"/>
      <c r="X10" s="192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3"/>
      <c r="M27" s="131"/>
      <c r="N27" s="131"/>
      <c r="O27" s="131"/>
      <c r="P27" s="123">
        <f t="shared" si="2"/>
        <v>0</v>
      </c>
      <c r="Q27" s="130"/>
      <c r="R27" s="130"/>
      <c r="S27" s="130"/>
      <c r="T27" s="130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>
        <f t="shared" si="3"/>
        <v>0</v>
      </c>
      <c r="V35" s="133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28"/>
      <c r="U40" s="128">
        <f t="shared" si="3"/>
        <v>0</v>
      </c>
      <c r="V40" s="133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AE387CE4-5CE1-455A-83EC-EE32446C3BF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2017-07-31T23:59:35Z</cp:lastPrinted>
  <dcterms:created xsi:type="dcterms:W3CDTF">2000-07-13T03:30:24Z</dcterms:created>
  <dcterms:modified xsi:type="dcterms:W3CDTF">2026-04-03T04:01:59Z</dcterms:modified>
</cp:coreProperties>
</file>