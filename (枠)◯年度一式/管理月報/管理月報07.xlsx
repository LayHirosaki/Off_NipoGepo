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◯年度一式\管理月報\"/>
    </mc:Choice>
  </mc:AlternateContent>
  <xr:revisionPtr revIDLastSave="0" documentId="13_ncr:1_{7578BE9D-5E77-4902-9490-3E3F8116DBBA}" xr6:coauthVersionLast="47" xr6:coauthVersionMax="47" xr10:uidLastSave="{00000000-0000-0000-0000-000000000000}"/>
  <bookViews>
    <workbookView xWindow="1170" yWindow="0" windowWidth="16215" windowHeight="15480" tabRatio="848" xr2:uid="{6C5BBE6F-A4FC-4857-87D8-97A4C66883BC}"/>
  </bookViews>
  <sheets>
    <sheet name="A-1" sheetId="1" r:id="rId1"/>
    <sheet name="A-2" sheetId="6" r:id="rId2"/>
    <sheet name="B-1" sheetId="3" r:id="rId3"/>
    <sheet name="収集（全般）" sheetId="7" r:id="rId4"/>
    <sheet name="可燃" sheetId="8" r:id="rId5"/>
    <sheet name="不燃・木くず・海岸清掃" sheetId="13" r:id="rId6"/>
    <sheet name="ビン類" sheetId="16" r:id="rId7"/>
    <sheet name="缶類" sheetId="14" r:id="rId8"/>
    <sheet name="ペットボトル" sheetId="10" r:id="rId9"/>
    <sheet name="紙類" sheetId="15" r:id="rId10"/>
    <sheet name="粗大" sheetId="9" r:id="rId11"/>
    <sheet name="産廃水産・医療・汚泥" sheetId="11" r:id="rId12"/>
  </sheets>
  <externalReferences>
    <externalReference r:id="rId13"/>
  </externalReferences>
  <definedNames>
    <definedName name="A">#REF!</definedName>
    <definedName name="aa">可燃!$F:$F</definedName>
    <definedName name="B">#REF!</definedName>
    <definedName name="bb">可燃!$Q:$Q</definedName>
    <definedName name="d">産廃水産・医療・汚泥!$F:$F</definedName>
    <definedName name="e">産廃水産・医療・汚泥!$U:$U</definedName>
    <definedName name="f">'A-1'!$D:$D</definedName>
    <definedName name="g">粗大!$K:$K</definedName>
    <definedName name="h">粗大!$U:$U</definedName>
    <definedName name="i" localSheetId="5">不燃・木くず・海岸清掃!$F:$F</definedName>
    <definedName name="i">ペットボトル!$F:$F</definedName>
    <definedName name="j" localSheetId="5">不燃・木くず・海岸清掃!$O:$O</definedName>
    <definedName name="j">ペットボトル!$P:$P</definedName>
    <definedName name="k">粗大!$P:$P</definedName>
    <definedName name="l" localSheetId="5">不燃・木くず・海岸清掃!$K:$K</definedName>
    <definedName name="l">ペットボトル!$K:$K</definedName>
    <definedName name="m">#REF!</definedName>
    <definedName name="n">'収集（全般）'!$P:$P</definedName>
    <definedName name="o">'収集（全般）'!$Z:$Z</definedName>
    <definedName name="p">'収集（全般）'!$AE:$AE</definedName>
    <definedName name="q" localSheetId="5">不燃・木くず・海岸清掃!$P:$P</definedName>
    <definedName name="q">ペットボトル!$Q:$Q</definedName>
    <definedName name="s">粗大!$U:$U</definedName>
    <definedName name="t">可燃!$U:$U</definedName>
    <definedName name="u">粗大!$Z:$Z</definedName>
    <definedName name="v" localSheetId="5">不燃・木くず・海岸清掃!$U:$U</definedName>
    <definedName name="v">ペットボトル!$V:$V</definedName>
    <definedName name="w">産廃水産・医療・汚泥!$K:$K</definedName>
    <definedName name="x">産廃水産・医療・汚泥!$X:$X</definedName>
    <definedName name="y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9" i="7" s="1"/>
  <c r="O43" i="11"/>
  <c r="C44" i="1"/>
  <c r="C45" i="1"/>
  <c r="D44" i="1"/>
  <c r="D45" i="1"/>
  <c r="E44" i="1"/>
  <c r="F44" i="1"/>
  <c r="G44" i="1"/>
  <c r="M44" i="1"/>
  <c r="E45" i="1"/>
  <c r="F45" i="1"/>
  <c r="G45" i="1"/>
  <c r="H45" i="1"/>
  <c r="I45" i="1"/>
  <c r="L45" i="1"/>
  <c r="M45" i="1"/>
  <c r="N45" i="1"/>
  <c r="O45" i="1"/>
  <c r="P45" i="1"/>
  <c r="Q45" i="1"/>
  <c r="R45" i="1"/>
  <c r="C46" i="1"/>
  <c r="D46" i="1"/>
  <c r="E46" i="1"/>
  <c r="F46" i="1"/>
  <c r="G46" i="1"/>
  <c r="H46" i="1"/>
  <c r="I46" i="1"/>
  <c r="L46" i="1"/>
  <c r="M46" i="1"/>
  <c r="N46" i="1"/>
  <c r="O46" i="1"/>
  <c r="P46" i="1"/>
  <c r="Q46" i="1"/>
  <c r="R46" i="1"/>
  <c r="C47" i="1"/>
  <c r="D47" i="1"/>
  <c r="E47" i="1"/>
  <c r="F47" i="1"/>
  <c r="G47" i="1"/>
  <c r="H47" i="1"/>
  <c r="I47" i="1"/>
  <c r="L47" i="1"/>
  <c r="M47" i="1"/>
  <c r="N47" i="1"/>
  <c r="O47" i="1"/>
  <c r="P47" i="1"/>
  <c r="Q47" i="1"/>
  <c r="R47" i="1"/>
  <c r="C13" i="6"/>
  <c r="C44" i="6" s="1"/>
  <c r="C14" i="6"/>
  <c r="C15" i="6"/>
  <c r="C16" i="6"/>
  <c r="C17" i="6"/>
  <c r="C18" i="6"/>
  <c r="C19" i="6"/>
  <c r="C20" i="6"/>
  <c r="E21" i="6"/>
  <c r="E47" i="6" s="1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B44" i="6"/>
  <c r="D44" i="6"/>
  <c r="F44" i="6"/>
  <c r="G44" i="6"/>
  <c r="I44" i="6"/>
  <c r="B45" i="6"/>
  <c r="D45" i="6"/>
  <c r="F45" i="6"/>
  <c r="G45" i="6"/>
  <c r="H45" i="6"/>
  <c r="I45" i="6"/>
  <c r="J45" i="6"/>
  <c r="K45" i="6"/>
  <c r="L45" i="6"/>
  <c r="M45" i="6"/>
  <c r="N45" i="6"/>
  <c r="B46" i="6"/>
  <c r="D46" i="6"/>
  <c r="F46" i="6"/>
  <c r="G46" i="6"/>
  <c r="I46" i="6"/>
  <c r="B47" i="6"/>
  <c r="D47" i="6"/>
  <c r="F47" i="6"/>
  <c r="G47" i="6"/>
  <c r="H47" i="6"/>
  <c r="I47" i="6"/>
  <c r="J47" i="6"/>
  <c r="K47" i="6"/>
  <c r="L47" i="6"/>
  <c r="M47" i="6"/>
  <c r="N47" i="6"/>
  <c r="H14" i="3"/>
  <c r="H46" i="3" s="1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J45" i="3"/>
  <c r="K45" i="3"/>
  <c r="J46" i="3"/>
  <c r="K46" i="3"/>
  <c r="L46" i="3"/>
  <c r="M46" i="3"/>
  <c r="N46" i="3"/>
  <c r="O46" i="3"/>
  <c r="P46" i="3"/>
  <c r="Q46" i="3"/>
  <c r="R46" i="3"/>
  <c r="S46" i="3"/>
  <c r="T46" i="3"/>
  <c r="J47" i="3"/>
  <c r="K47" i="3"/>
  <c r="L47" i="3"/>
  <c r="M47" i="3"/>
  <c r="N47" i="3"/>
  <c r="O47" i="3"/>
  <c r="P47" i="3"/>
  <c r="Q47" i="3"/>
  <c r="R47" i="3"/>
  <c r="S47" i="3"/>
  <c r="T47" i="3"/>
  <c r="J48" i="3"/>
  <c r="K48" i="3"/>
  <c r="L48" i="3"/>
  <c r="M48" i="3"/>
  <c r="N48" i="3"/>
  <c r="O48" i="3"/>
  <c r="P48" i="3"/>
  <c r="Q48" i="3"/>
  <c r="R48" i="3"/>
  <c r="S48" i="3"/>
  <c r="T48" i="3"/>
  <c r="F12" i="16"/>
  <c r="K12" i="16"/>
  <c r="Q12" i="16"/>
  <c r="V12" i="16"/>
  <c r="F13" i="16"/>
  <c r="K13" i="16"/>
  <c r="Q13" i="16"/>
  <c r="V13" i="16"/>
  <c r="F14" i="16"/>
  <c r="K14" i="16"/>
  <c r="Q14" i="16"/>
  <c r="V14" i="16"/>
  <c r="F15" i="16"/>
  <c r="K15" i="16"/>
  <c r="Q15" i="16"/>
  <c r="V15" i="16"/>
  <c r="F16" i="16"/>
  <c r="K16" i="16"/>
  <c r="Q16" i="16"/>
  <c r="V16" i="16"/>
  <c r="F17" i="16"/>
  <c r="K17" i="16"/>
  <c r="Q17" i="16"/>
  <c r="V17" i="16"/>
  <c r="F18" i="16"/>
  <c r="K18" i="16"/>
  <c r="Q18" i="16"/>
  <c r="V18" i="16"/>
  <c r="F19" i="16"/>
  <c r="K19" i="16"/>
  <c r="C21" i="3" s="1"/>
  <c r="Q19" i="16"/>
  <c r="V19" i="16"/>
  <c r="F20" i="16"/>
  <c r="K20" i="16"/>
  <c r="Q20" i="16"/>
  <c r="V20" i="16"/>
  <c r="F21" i="16"/>
  <c r="K21" i="16"/>
  <c r="Q21" i="16"/>
  <c r="V21" i="16"/>
  <c r="F22" i="16"/>
  <c r="K22" i="16"/>
  <c r="Q22" i="16"/>
  <c r="V22" i="16"/>
  <c r="F23" i="16"/>
  <c r="K23" i="16"/>
  <c r="C25" i="3" s="1"/>
  <c r="Q23" i="16"/>
  <c r="V23" i="16"/>
  <c r="F24" i="16"/>
  <c r="K24" i="16"/>
  <c r="Q24" i="16"/>
  <c r="V24" i="16"/>
  <c r="F25" i="16"/>
  <c r="K25" i="16"/>
  <c r="Q25" i="16"/>
  <c r="V25" i="16"/>
  <c r="F26" i="16"/>
  <c r="K26" i="16"/>
  <c r="Q26" i="16"/>
  <c r="V26" i="16"/>
  <c r="F27" i="16"/>
  <c r="K27" i="16"/>
  <c r="Q27" i="16"/>
  <c r="V27" i="16"/>
  <c r="F28" i="16"/>
  <c r="K28" i="16"/>
  <c r="Q28" i="16"/>
  <c r="V28" i="16"/>
  <c r="F29" i="16"/>
  <c r="K29" i="16"/>
  <c r="Q29" i="16"/>
  <c r="V29" i="16"/>
  <c r="F30" i="16"/>
  <c r="K30" i="16"/>
  <c r="Q30" i="16"/>
  <c r="V30" i="16"/>
  <c r="F31" i="16"/>
  <c r="K31" i="16"/>
  <c r="C33" i="3" s="1"/>
  <c r="Q31" i="16"/>
  <c r="V31" i="16"/>
  <c r="F32" i="16"/>
  <c r="K32" i="16"/>
  <c r="Q32" i="16"/>
  <c r="V32" i="16"/>
  <c r="F33" i="16"/>
  <c r="K33" i="16"/>
  <c r="C35" i="3" s="1"/>
  <c r="B35" i="3" s="1"/>
  <c r="I35" i="3" s="1"/>
  <c r="Q33" i="16"/>
  <c r="V33" i="16"/>
  <c r="F34" i="16"/>
  <c r="K34" i="16"/>
  <c r="Q34" i="16"/>
  <c r="V34" i="16"/>
  <c r="F35" i="16"/>
  <c r="K35" i="16"/>
  <c r="C37" i="3" s="1"/>
  <c r="Q35" i="16"/>
  <c r="V35" i="16"/>
  <c r="F36" i="16"/>
  <c r="K36" i="16"/>
  <c r="Q36" i="16"/>
  <c r="V36" i="16"/>
  <c r="F37" i="16"/>
  <c r="K37" i="16"/>
  <c r="Q37" i="16"/>
  <c r="V37" i="16"/>
  <c r="F38" i="16"/>
  <c r="K38" i="16"/>
  <c r="Q38" i="16"/>
  <c r="V38" i="16"/>
  <c r="F39" i="16"/>
  <c r="K39" i="16"/>
  <c r="Q39" i="16"/>
  <c r="V39" i="16"/>
  <c r="F40" i="16"/>
  <c r="K40" i="16"/>
  <c r="Q40" i="16"/>
  <c r="V40" i="16"/>
  <c r="F41" i="16"/>
  <c r="K41" i="16"/>
  <c r="Q41" i="16"/>
  <c r="V41" i="16"/>
  <c r="F42" i="16"/>
  <c r="K42" i="16"/>
  <c r="Q42" i="16"/>
  <c r="V42" i="16"/>
  <c r="B43" i="16"/>
  <c r="C43" i="16"/>
  <c r="D43" i="16"/>
  <c r="E43" i="16"/>
  <c r="G43" i="16"/>
  <c r="H43" i="16"/>
  <c r="I43" i="16"/>
  <c r="J43" i="16"/>
  <c r="M43" i="16"/>
  <c r="N43" i="16"/>
  <c r="O43" i="16"/>
  <c r="P43" i="16"/>
  <c r="R43" i="16"/>
  <c r="S43" i="16"/>
  <c r="T43" i="16"/>
  <c r="U43" i="16"/>
  <c r="V43" i="16"/>
  <c r="F12" i="10"/>
  <c r="K12" i="10"/>
  <c r="Q12" i="10"/>
  <c r="V12" i="10"/>
  <c r="F13" i="10"/>
  <c r="K13" i="10"/>
  <c r="Q13" i="10"/>
  <c r="V13" i="10"/>
  <c r="F14" i="10"/>
  <c r="K14" i="10"/>
  <c r="Q14" i="10"/>
  <c r="V14" i="10"/>
  <c r="F15" i="10"/>
  <c r="K15" i="10"/>
  <c r="Q15" i="10"/>
  <c r="V15" i="10"/>
  <c r="F16" i="10"/>
  <c r="K16" i="10"/>
  <c r="Q16" i="10"/>
  <c r="V16" i="10"/>
  <c r="F17" i="10"/>
  <c r="K17" i="10"/>
  <c r="Q17" i="10"/>
  <c r="V17" i="10"/>
  <c r="F18" i="10"/>
  <c r="K18" i="10"/>
  <c r="Q18" i="10"/>
  <c r="V18" i="10"/>
  <c r="F19" i="10"/>
  <c r="K19" i="10"/>
  <c r="Q19" i="10"/>
  <c r="V19" i="10"/>
  <c r="F20" i="10"/>
  <c r="K20" i="10"/>
  <c r="Q20" i="10"/>
  <c r="V20" i="10"/>
  <c r="F21" i="10"/>
  <c r="K21" i="10"/>
  <c r="Q21" i="10"/>
  <c r="V21" i="10"/>
  <c r="F22" i="10"/>
  <c r="K22" i="10"/>
  <c r="Q22" i="10"/>
  <c r="V22" i="10"/>
  <c r="F23" i="10"/>
  <c r="K23" i="10"/>
  <c r="Q23" i="10"/>
  <c r="V23" i="10"/>
  <c r="F24" i="10"/>
  <c r="K24" i="10"/>
  <c r="Q24" i="10"/>
  <c r="V24" i="10"/>
  <c r="F25" i="10"/>
  <c r="K25" i="10"/>
  <c r="Q25" i="10"/>
  <c r="V25" i="10"/>
  <c r="F26" i="10"/>
  <c r="K26" i="10"/>
  <c r="Q26" i="10"/>
  <c r="V26" i="10"/>
  <c r="F27" i="10"/>
  <c r="K27" i="10"/>
  <c r="Q27" i="10"/>
  <c r="V27" i="10"/>
  <c r="F28" i="10"/>
  <c r="K28" i="10"/>
  <c r="Q28" i="10"/>
  <c r="V28" i="10"/>
  <c r="F29" i="10"/>
  <c r="K29" i="10"/>
  <c r="Q29" i="10"/>
  <c r="V29" i="10"/>
  <c r="F30" i="10"/>
  <c r="K30" i="10"/>
  <c r="Q30" i="10"/>
  <c r="V30" i="10"/>
  <c r="F31" i="10"/>
  <c r="K31" i="10"/>
  <c r="Q31" i="10"/>
  <c r="V31" i="10"/>
  <c r="D33" i="3" s="1"/>
  <c r="F32" i="10"/>
  <c r="K32" i="10"/>
  <c r="Q32" i="10"/>
  <c r="V32" i="10"/>
  <c r="F33" i="10"/>
  <c r="K33" i="10"/>
  <c r="Q33" i="10"/>
  <c r="V33" i="10"/>
  <c r="F34" i="10"/>
  <c r="K34" i="10"/>
  <c r="Q34" i="10"/>
  <c r="V34" i="10"/>
  <c r="F35" i="10"/>
  <c r="K35" i="10"/>
  <c r="Q35" i="10"/>
  <c r="V35" i="10"/>
  <c r="F36" i="10"/>
  <c r="K36" i="10"/>
  <c r="Q36" i="10"/>
  <c r="V36" i="10"/>
  <c r="F37" i="10"/>
  <c r="K37" i="10"/>
  <c r="Q37" i="10"/>
  <c r="V37" i="10"/>
  <c r="F38" i="10"/>
  <c r="K38" i="10"/>
  <c r="Q38" i="10"/>
  <c r="V38" i="10"/>
  <c r="F39" i="10"/>
  <c r="K39" i="10"/>
  <c r="Q39" i="10"/>
  <c r="V39" i="10"/>
  <c r="F40" i="10"/>
  <c r="K40" i="10"/>
  <c r="Q40" i="10"/>
  <c r="V40" i="10"/>
  <c r="F41" i="10"/>
  <c r="K41" i="10"/>
  <c r="Q41" i="10"/>
  <c r="V41" i="10"/>
  <c r="F42" i="10"/>
  <c r="K42" i="10"/>
  <c r="Q42" i="10"/>
  <c r="V42" i="10"/>
  <c r="B43" i="10"/>
  <c r="F43" i="10" s="1"/>
  <c r="C43" i="10"/>
  <c r="D43" i="10"/>
  <c r="E43" i="10"/>
  <c r="G43" i="10"/>
  <c r="H43" i="10"/>
  <c r="I43" i="10"/>
  <c r="K43" i="10" s="1"/>
  <c r="J43" i="10"/>
  <c r="M43" i="10"/>
  <c r="N43" i="10"/>
  <c r="O43" i="10"/>
  <c r="P43" i="10"/>
  <c r="R43" i="10"/>
  <c r="S43" i="10"/>
  <c r="T43" i="10"/>
  <c r="U43" i="10"/>
  <c r="F12" i="8"/>
  <c r="K12" i="8"/>
  <c r="Q12" i="8"/>
  <c r="V12" i="8"/>
  <c r="F13" i="8"/>
  <c r="K13" i="8"/>
  <c r="Q13" i="8"/>
  <c r="V13" i="8"/>
  <c r="F14" i="8"/>
  <c r="K14" i="8"/>
  <c r="K43" i="8" s="1"/>
  <c r="Q14" i="8"/>
  <c r="V14" i="8"/>
  <c r="F15" i="8"/>
  <c r="K15" i="8"/>
  <c r="Q15" i="8"/>
  <c r="V15" i="8"/>
  <c r="F16" i="8"/>
  <c r="K16" i="8"/>
  <c r="Q16" i="8"/>
  <c r="V16" i="8"/>
  <c r="F17" i="8"/>
  <c r="K17" i="8"/>
  <c r="Q17" i="8"/>
  <c r="V17" i="8"/>
  <c r="F18" i="8"/>
  <c r="K18" i="8"/>
  <c r="Q18" i="8"/>
  <c r="V18" i="8"/>
  <c r="F19" i="8"/>
  <c r="K19" i="8"/>
  <c r="Q19" i="8"/>
  <c r="V19" i="8"/>
  <c r="F20" i="8"/>
  <c r="K20" i="8"/>
  <c r="Q20" i="8"/>
  <c r="V20" i="8"/>
  <c r="F21" i="8"/>
  <c r="K21" i="8"/>
  <c r="Q21" i="8"/>
  <c r="V21" i="8"/>
  <c r="F22" i="8"/>
  <c r="K22" i="8"/>
  <c r="Q22" i="8"/>
  <c r="V22" i="8"/>
  <c r="F23" i="8"/>
  <c r="K23" i="8"/>
  <c r="Q23" i="8"/>
  <c r="V23" i="8"/>
  <c r="F24" i="8"/>
  <c r="K24" i="8"/>
  <c r="Q24" i="8"/>
  <c r="V24" i="8"/>
  <c r="F25" i="8"/>
  <c r="K25" i="8"/>
  <c r="Q25" i="8"/>
  <c r="V25" i="8"/>
  <c r="F26" i="8"/>
  <c r="B27" i="1" s="1"/>
  <c r="K26" i="8"/>
  <c r="Q26" i="8"/>
  <c r="V26" i="8"/>
  <c r="F27" i="8"/>
  <c r="K27" i="8"/>
  <c r="Q27" i="8"/>
  <c r="V27" i="8"/>
  <c r="F28" i="8"/>
  <c r="K28" i="8"/>
  <c r="C30" i="3" s="1"/>
  <c r="Q28" i="8"/>
  <c r="V28" i="8"/>
  <c r="F29" i="8"/>
  <c r="K29" i="8"/>
  <c r="Q29" i="8"/>
  <c r="V29" i="8"/>
  <c r="F30" i="8"/>
  <c r="K30" i="8"/>
  <c r="Q30" i="8"/>
  <c r="V30" i="8"/>
  <c r="F31" i="8"/>
  <c r="K31" i="8"/>
  <c r="Q31" i="8"/>
  <c r="V31" i="8"/>
  <c r="F32" i="8"/>
  <c r="K32" i="8"/>
  <c r="Q32" i="8"/>
  <c r="V32" i="8"/>
  <c r="F33" i="8"/>
  <c r="K33" i="8"/>
  <c r="Q33" i="8"/>
  <c r="V33" i="8"/>
  <c r="F34" i="8"/>
  <c r="K34" i="8"/>
  <c r="C36" i="3" s="1"/>
  <c r="Q34" i="8"/>
  <c r="V34" i="8"/>
  <c r="F35" i="8"/>
  <c r="B36" i="1" s="1"/>
  <c r="K35" i="8"/>
  <c r="Q35" i="8"/>
  <c r="V35" i="8"/>
  <c r="F36" i="8"/>
  <c r="K36" i="8"/>
  <c r="C38" i="3" s="1"/>
  <c r="Q36" i="8"/>
  <c r="V36" i="8"/>
  <c r="F37" i="8"/>
  <c r="K37" i="8"/>
  <c r="Q37" i="8"/>
  <c r="V37" i="8"/>
  <c r="F38" i="8"/>
  <c r="K38" i="8"/>
  <c r="Q38" i="8"/>
  <c r="V38" i="8"/>
  <c r="F39" i="8"/>
  <c r="K39" i="8"/>
  <c r="Q39" i="8"/>
  <c r="V39" i="8"/>
  <c r="F40" i="8"/>
  <c r="K40" i="8"/>
  <c r="Q40" i="8"/>
  <c r="V40" i="8"/>
  <c r="F41" i="8"/>
  <c r="K41" i="8"/>
  <c r="Q41" i="8"/>
  <c r="V41" i="8"/>
  <c r="F42" i="8"/>
  <c r="K42" i="8"/>
  <c r="Q42" i="8"/>
  <c r="V42" i="8"/>
  <c r="B43" i="8"/>
  <c r="C43" i="8"/>
  <c r="D43" i="8"/>
  <c r="E43" i="8"/>
  <c r="G43" i="8"/>
  <c r="H43" i="8"/>
  <c r="I43" i="8"/>
  <c r="J43" i="8"/>
  <c r="M43" i="8"/>
  <c r="N43" i="8"/>
  <c r="O43" i="8"/>
  <c r="P43" i="8"/>
  <c r="R43" i="8"/>
  <c r="S43" i="8"/>
  <c r="T43" i="8"/>
  <c r="U43" i="8"/>
  <c r="F12" i="14"/>
  <c r="K12" i="14"/>
  <c r="Q12" i="14"/>
  <c r="V12" i="14"/>
  <c r="V43" i="14" s="1"/>
  <c r="F13" i="14"/>
  <c r="K13" i="14"/>
  <c r="Q13" i="14"/>
  <c r="V13" i="14"/>
  <c r="F14" i="14"/>
  <c r="Q14" i="14"/>
  <c r="V14" i="14"/>
  <c r="F15" i="14"/>
  <c r="Q15" i="14"/>
  <c r="V15" i="14"/>
  <c r="F16" i="14"/>
  <c r="Q16" i="14"/>
  <c r="V16" i="14"/>
  <c r="F17" i="14"/>
  <c r="F43" i="14" s="1"/>
  <c r="Q17" i="14"/>
  <c r="V17" i="14"/>
  <c r="F18" i="14"/>
  <c r="Q18" i="14"/>
  <c r="V18" i="14"/>
  <c r="F19" i="14"/>
  <c r="Q19" i="14"/>
  <c r="V19" i="14"/>
  <c r="F20" i="14"/>
  <c r="Q20" i="14"/>
  <c r="V20" i="14"/>
  <c r="F21" i="14"/>
  <c r="Q21" i="14"/>
  <c r="V21" i="14"/>
  <c r="F22" i="14"/>
  <c r="Q22" i="14"/>
  <c r="V22" i="14"/>
  <c r="F23" i="14"/>
  <c r="Q23" i="14"/>
  <c r="V23" i="14"/>
  <c r="F24" i="14"/>
  <c r="Q24" i="14"/>
  <c r="V24" i="14"/>
  <c r="F25" i="14"/>
  <c r="Q25" i="14"/>
  <c r="V25" i="14"/>
  <c r="F26" i="14"/>
  <c r="Q26" i="14"/>
  <c r="V26" i="14"/>
  <c r="F27" i="14"/>
  <c r="Q27" i="14"/>
  <c r="V27" i="14"/>
  <c r="F28" i="14"/>
  <c r="Q28" i="14"/>
  <c r="V28" i="14"/>
  <c r="F29" i="14"/>
  <c r="Q29" i="14"/>
  <c r="V29" i="14"/>
  <c r="F30" i="14"/>
  <c r="Q30" i="14"/>
  <c r="V30" i="14"/>
  <c r="F31" i="14"/>
  <c r="Q31" i="14"/>
  <c r="V31" i="14"/>
  <c r="F32" i="14"/>
  <c r="Q32" i="14"/>
  <c r="V32" i="14"/>
  <c r="F33" i="14"/>
  <c r="Q33" i="14"/>
  <c r="V33" i="14"/>
  <c r="F34" i="14"/>
  <c r="Q34" i="14"/>
  <c r="V34" i="14"/>
  <c r="F35" i="14"/>
  <c r="K35" i="14"/>
  <c r="Q35" i="14"/>
  <c r="V35" i="14"/>
  <c r="F36" i="14"/>
  <c r="K36" i="14"/>
  <c r="Q36" i="14"/>
  <c r="V36" i="14"/>
  <c r="F37" i="14"/>
  <c r="K37" i="14"/>
  <c r="Q37" i="14"/>
  <c r="V37" i="14"/>
  <c r="F38" i="14"/>
  <c r="K38" i="14"/>
  <c r="Q38" i="14"/>
  <c r="V38" i="14"/>
  <c r="F39" i="14"/>
  <c r="K39" i="14"/>
  <c r="Q39" i="14"/>
  <c r="V39" i="14"/>
  <c r="F40" i="14"/>
  <c r="K40" i="14"/>
  <c r="Q40" i="14"/>
  <c r="V40" i="14"/>
  <c r="F41" i="14"/>
  <c r="K41" i="14"/>
  <c r="Q41" i="14"/>
  <c r="V41" i="14"/>
  <c r="F42" i="14"/>
  <c r="K42" i="14"/>
  <c r="Q42" i="14"/>
  <c r="V42" i="14"/>
  <c r="B43" i="14"/>
  <c r="C43" i="14"/>
  <c r="D43" i="14"/>
  <c r="E43" i="14"/>
  <c r="G43" i="14"/>
  <c r="H43" i="14"/>
  <c r="I43" i="14"/>
  <c r="J43" i="14"/>
  <c r="M43" i="14"/>
  <c r="N43" i="14"/>
  <c r="O43" i="14"/>
  <c r="P43" i="14"/>
  <c r="R43" i="14"/>
  <c r="S43" i="14"/>
  <c r="T43" i="14"/>
  <c r="U43" i="14"/>
  <c r="F12" i="11"/>
  <c r="K12" i="11"/>
  <c r="G14" i="3"/>
  <c r="P12" i="11"/>
  <c r="F14" i="3"/>
  <c r="U12" i="11"/>
  <c r="X12" i="11"/>
  <c r="F13" i="11"/>
  <c r="K13" i="11"/>
  <c r="G15" i="3" s="1"/>
  <c r="P13" i="11"/>
  <c r="F15" i="3" s="1"/>
  <c r="U13" i="11"/>
  <c r="X13" i="11"/>
  <c r="E15" i="3" s="1"/>
  <c r="F14" i="11"/>
  <c r="K14" i="11"/>
  <c r="G16" i="3" s="1"/>
  <c r="P14" i="11"/>
  <c r="F16" i="3"/>
  <c r="U14" i="11"/>
  <c r="X14" i="11"/>
  <c r="E16" i="3"/>
  <c r="F15" i="11"/>
  <c r="K15" i="11"/>
  <c r="G17" i="3"/>
  <c r="P15" i="11"/>
  <c r="F17" i="3" s="1"/>
  <c r="U15" i="11"/>
  <c r="X15" i="11"/>
  <c r="E17" i="3" s="1"/>
  <c r="F16" i="11"/>
  <c r="K16" i="11"/>
  <c r="G18" i="3"/>
  <c r="P16" i="11"/>
  <c r="F18" i="3"/>
  <c r="U16" i="11"/>
  <c r="X16" i="11"/>
  <c r="E18" i="3"/>
  <c r="F17" i="11"/>
  <c r="K17" i="11"/>
  <c r="G19" i="3" s="1"/>
  <c r="P17" i="11"/>
  <c r="F19" i="3" s="1"/>
  <c r="U17" i="11"/>
  <c r="X17" i="11"/>
  <c r="E19" i="3" s="1"/>
  <c r="F18" i="11"/>
  <c r="K18" i="11"/>
  <c r="G20" i="3" s="1"/>
  <c r="P18" i="11"/>
  <c r="F20" i="3"/>
  <c r="U18" i="11"/>
  <c r="X18" i="11"/>
  <c r="E20" i="3" s="1"/>
  <c r="F19" i="11"/>
  <c r="K19" i="11"/>
  <c r="G21" i="3" s="1"/>
  <c r="P19" i="11"/>
  <c r="F21" i="3" s="1"/>
  <c r="U19" i="11"/>
  <c r="X19" i="11"/>
  <c r="E21" i="3" s="1"/>
  <c r="F20" i="11"/>
  <c r="K20" i="11"/>
  <c r="G22" i="3"/>
  <c r="P20" i="11"/>
  <c r="F22" i="3"/>
  <c r="U20" i="11"/>
  <c r="X20" i="11"/>
  <c r="E22" i="3" s="1"/>
  <c r="F21" i="11"/>
  <c r="K21" i="11"/>
  <c r="G23" i="3" s="1"/>
  <c r="P21" i="11"/>
  <c r="F23" i="3"/>
  <c r="U21" i="11"/>
  <c r="X21" i="11"/>
  <c r="E23" i="3"/>
  <c r="F22" i="11"/>
  <c r="K22" i="11"/>
  <c r="G24" i="3" s="1"/>
  <c r="P22" i="11"/>
  <c r="F24" i="3"/>
  <c r="U22" i="11"/>
  <c r="X22" i="11"/>
  <c r="E24" i="3"/>
  <c r="F23" i="11"/>
  <c r="K23" i="11"/>
  <c r="G25" i="3" s="1"/>
  <c r="P23" i="11"/>
  <c r="F25" i="3"/>
  <c r="U23" i="11"/>
  <c r="X23" i="11"/>
  <c r="E25" i="3"/>
  <c r="F24" i="11"/>
  <c r="K24" i="11"/>
  <c r="G26" i="3" s="1"/>
  <c r="P24" i="11"/>
  <c r="F26" i="3" s="1"/>
  <c r="U24" i="11"/>
  <c r="X24" i="11"/>
  <c r="E26" i="3"/>
  <c r="F25" i="11"/>
  <c r="K25" i="11"/>
  <c r="G27" i="3"/>
  <c r="P25" i="11"/>
  <c r="F27" i="3"/>
  <c r="U25" i="11"/>
  <c r="B26" i="1"/>
  <c r="X25" i="11"/>
  <c r="E27" i="3"/>
  <c r="F26" i="11"/>
  <c r="K26" i="11"/>
  <c r="G28" i="3" s="1"/>
  <c r="P26" i="11"/>
  <c r="F28" i="3"/>
  <c r="U26" i="11"/>
  <c r="X26" i="11"/>
  <c r="E28" i="3"/>
  <c r="F27" i="11"/>
  <c r="K27" i="11"/>
  <c r="G29" i="3"/>
  <c r="P27" i="11"/>
  <c r="F29" i="3"/>
  <c r="U27" i="11"/>
  <c r="X27" i="11"/>
  <c r="E29" i="3" s="1"/>
  <c r="F28" i="11"/>
  <c r="K28" i="11"/>
  <c r="G30" i="3" s="1"/>
  <c r="P28" i="11"/>
  <c r="F30" i="3"/>
  <c r="U28" i="11"/>
  <c r="X28" i="11"/>
  <c r="E30" i="3"/>
  <c r="F29" i="11"/>
  <c r="K29" i="11"/>
  <c r="G31" i="3" s="1"/>
  <c r="P29" i="11"/>
  <c r="F31" i="3"/>
  <c r="U29" i="11"/>
  <c r="X29" i="11"/>
  <c r="E31" i="3" s="1"/>
  <c r="F30" i="11"/>
  <c r="K30" i="11"/>
  <c r="G32" i="3" s="1"/>
  <c r="P30" i="11"/>
  <c r="F32" i="3"/>
  <c r="U30" i="11"/>
  <c r="X30" i="11"/>
  <c r="E32" i="3"/>
  <c r="F31" i="11"/>
  <c r="K31" i="11"/>
  <c r="G33" i="3"/>
  <c r="P31" i="11"/>
  <c r="F33" i="3" s="1"/>
  <c r="U31" i="11"/>
  <c r="X31" i="11"/>
  <c r="E33" i="3"/>
  <c r="F32" i="11"/>
  <c r="K32" i="11"/>
  <c r="G34" i="3"/>
  <c r="P32" i="11"/>
  <c r="F34" i="3" s="1"/>
  <c r="U32" i="11"/>
  <c r="X32" i="11"/>
  <c r="E34" i="3" s="1"/>
  <c r="F33" i="11"/>
  <c r="K33" i="11"/>
  <c r="G35" i="3" s="1"/>
  <c r="P33" i="11"/>
  <c r="F35" i="3"/>
  <c r="U33" i="11"/>
  <c r="X33" i="11"/>
  <c r="E35" i="3"/>
  <c r="F34" i="11"/>
  <c r="K34" i="11"/>
  <c r="G36" i="3" s="1"/>
  <c r="P34" i="11"/>
  <c r="F36" i="3"/>
  <c r="U34" i="11"/>
  <c r="X34" i="11"/>
  <c r="E36" i="3"/>
  <c r="F35" i="11"/>
  <c r="K35" i="11"/>
  <c r="G37" i="3"/>
  <c r="P35" i="11"/>
  <c r="F37" i="3"/>
  <c r="U35" i="11"/>
  <c r="X35" i="11"/>
  <c r="E37" i="3"/>
  <c r="F36" i="11"/>
  <c r="K36" i="11"/>
  <c r="G38" i="3" s="1"/>
  <c r="P36" i="11"/>
  <c r="F38" i="3"/>
  <c r="U36" i="11"/>
  <c r="X36" i="11"/>
  <c r="E38" i="3" s="1"/>
  <c r="F37" i="11"/>
  <c r="K37" i="11"/>
  <c r="G39" i="3" s="1"/>
  <c r="P37" i="11"/>
  <c r="F39" i="3"/>
  <c r="U37" i="11"/>
  <c r="X37" i="11"/>
  <c r="E39" i="3" s="1"/>
  <c r="F38" i="11"/>
  <c r="K38" i="11"/>
  <c r="G40" i="3"/>
  <c r="P38" i="11"/>
  <c r="F40" i="3" s="1"/>
  <c r="U38" i="11"/>
  <c r="X38" i="11"/>
  <c r="E40" i="3" s="1"/>
  <c r="F39" i="11"/>
  <c r="K39" i="11"/>
  <c r="G41" i="3"/>
  <c r="P39" i="11"/>
  <c r="F41" i="3"/>
  <c r="U39" i="11"/>
  <c r="X39" i="11"/>
  <c r="E41" i="3"/>
  <c r="F40" i="11"/>
  <c r="K40" i="11"/>
  <c r="G42" i="3" s="1"/>
  <c r="P40" i="11"/>
  <c r="F42" i="3"/>
  <c r="U40" i="11"/>
  <c r="X40" i="11"/>
  <c r="E42" i="3"/>
  <c r="F41" i="11"/>
  <c r="K41" i="11"/>
  <c r="G43" i="3"/>
  <c r="P41" i="11"/>
  <c r="F43" i="3" s="1"/>
  <c r="U41" i="11"/>
  <c r="X41" i="11"/>
  <c r="E43" i="3"/>
  <c r="F42" i="11"/>
  <c r="K42" i="11"/>
  <c r="G44" i="3"/>
  <c r="P42" i="11"/>
  <c r="F44" i="3"/>
  <c r="U42" i="11"/>
  <c r="X42" i="11"/>
  <c r="E44" i="3"/>
  <c r="B43" i="11"/>
  <c r="C43" i="11"/>
  <c r="D43" i="11"/>
  <c r="E43" i="11"/>
  <c r="G43" i="11"/>
  <c r="H43" i="11"/>
  <c r="I43" i="11"/>
  <c r="J43" i="11"/>
  <c r="L43" i="11"/>
  <c r="M43" i="11"/>
  <c r="N43" i="11"/>
  <c r="Q43" i="11"/>
  <c r="R43" i="11"/>
  <c r="S43" i="11"/>
  <c r="T43" i="11"/>
  <c r="V43" i="11"/>
  <c r="W43" i="11"/>
  <c r="F12" i="15"/>
  <c r="K12" i="15"/>
  <c r="Q12" i="15"/>
  <c r="V12" i="15"/>
  <c r="F13" i="15"/>
  <c r="K13" i="15"/>
  <c r="Q13" i="15"/>
  <c r="V13" i="15"/>
  <c r="F14" i="15"/>
  <c r="K14" i="15"/>
  <c r="Q14" i="15"/>
  <c r="V14" i="15"/>
  <c r="F15" i="15"/>
  <c r="K15" i="15"/>
  <c r="B16" i="1" s="1"/>
  <c r="Q15" i="15"/>
  <c r="V15" i="15"/>
  <c r="F16" i="15"/>
  <c r="K16" i="15"/>
  <c r="Q16" i="15"/>
  <c r="V16" i="15"/>
  <c r="F17" i="15"/>
  <c r="K17" i="15"/>
  <c r="Q17" i="15"/>
  <c r="V17" i="15"/>
  <c r="F18" i="15"/>
  <c r="K18" i="15"/>
  <c r="Q18" i="15"/>
  <c r="V18" i="15"/>
  <c r="F19" i="15"/>
  <c r="K19" i="15"/>
  <c r="B20" i="1" s="1"/>
  <c r="Q19" i="15"/>
  <c r="V19" i="15"/>
  <c r="F20" i="15"/>
  <c r="K20" i="15"/>
  <c r="Q20" i="15"/>
  <c r="V20" i="15"/>
  <c r="F21" i="15"/>
  <c r="K21" i="15"/>
  <c r="Q21" i="15"/>
  <c r="V21" i="15"/>
  <c r="F22" i="15"/>
  <c r="K22" i="15"/>
  <c r="Q22" i="15"/>
  <c r="V22" i="15"/>
  <c r="F23" i="15"/>
  <c r="K23" i="15"/>
  <c r="B24" i="1" s="1"/>
  <c r="Q23" i="15"/>
  <c r="V23" i="15"/>
  <c r="F24" i="15"/>
  <c r="K24" i="15"/>
  <c r="Q24" i="15"/>
  <c r="V24" i="15"/>
  <c r="F25" i="15"/>
  <c r="K25" i="15"/>
  <c r="Q25" i="15"/>
  <c r="V25" i="15"/>
  <c r="F26" i="15"/>
  <c r="K26" i="15"/>
  <c r="Q26" i="15"/>
  <c r="V26" i="15"/>
  <c r="F27" i="15"/>
  <c r="K27" i="15"/>
  <c r="B28" i="1" s="1"/>
  <c r="Q27" i="15"/>
  <c r="V27" i="15"/>
  <c r="F28" i="15"/>
  <c r="K28" i="15"/>
  <c r="Q28" i="15"/>
  <c r="V28" i="15"/>
  <c r="F29" i="15"/>
  <c r="K29" i="15"/>
  <c r="Q29" i="15"/>
  <c r="V29" i="15"/>
  <c r="F30" i="15"/>
  <c r="K30" i="15"/>
  <c r="Q30" i="15"/>
  <c r="V30" i="15"/>
  <c r="F31" i="15"/>
  <c r="K31" i="15"/>
  <c r="B32" i="1" s="1"/>
  <c r="Q31" i="15"/>
  <c r="V31" i="15"/>
  <c r="F32" i="15"/>
  <c r="K32" i="15"/>
  <c r="Q32" i="15"/>
  <c r="V32" i="15"/>
  <c r="F33" i="15"/>
  <c r="K33" i="15"/>
  <c r="Q33" i="15"/>
  <c r="V33" i="15"/>
  <c r="F34" i="15"/>
  <c r="K34" i="15"/>
  <c r="B35" i="1" s="1"/>
  <c r="Q34" i="15"/>
  <c r="V34" i="15"/>
  <c r="F35" i="15"/>
  <c r="K35" i="15"/>
  <c r="Q35" i="15"/>
  <c r="V35" i="15"/>
  <c r="F36" i="15"/>
  <c r="K36" i="15"/>
  <c r="Q36" i="15"/>
  <c r="V36" i="15"/>
  <c r="F37" i="15"/>
  <c r="K37" i="15"/>
  <c r="Q37" i="15"/>
  <c r="V37" i="15"/>
  <c r="F38" i="15"/>
  <c r="K38" i="15"/>
  <c r="Q38" i="15"/>
  <c r="V38" i="15"/>
  <c r="F39" i="15"/>
  <c r="K39" i="15"/>
  <c r="Q39" i="15"/>
  <c r="V39" i="15"/>
  <c r="F40" i="15"/>
  <c r="K40" i="15"/>
  <c r="Q40" i="15"/>
  <c r="V40" i="15"/>
  <c r="F41" i="15"/>
  <c r="K41" i="15"/>
  <c r="Q41" i="15"/>
  <c r="V41" i="15"/>
  <c r="F42" i="15"/>
  <c r="K42" i="15"/>
  <c r="Q42" i="15"/>
  <c r="V42" i="15"/>
  <c r="B43" i="15"/>
  <c r="F43" i="15" s="1"/>
  <c r="C43" i="15"/>
  <c r="D43" i="15"/>
  <c r="E43" i="15"/>
  <c r="G43" i="15"/>
  <c r="H43" i="15"/>
  <c r="I43" i="15"/>
  <c r="J43" i="15"/>
  <c r="M43" i="15"/>
  <c r="N43" i="15"/>
  <c r="O43" i="15"/>
  <c r="P43" i="15"/>
  <c r="R43" i="15"/>
  <c r="S43" i="15"/>
  <c r="T43" i="15"/>
  <c r="U43" i="15"/>
  <c r="F13" i="7"/>
  <c r="K13" i="7"/>
  <c r="P13" i="7"/>
  <c r="U13" i="7"/>
  <c r="Z13" i="7"/>
  <c r="AE13" i="7"/>
  <c r="F14" i="7"/>
  <c r="K14" i="7"/>
  <c r="P14" i="7"/>
  <c r="U14" i="7"/>
  <c r="Z14" i="7"/>
  <c r="AE14" i="7"/>
  <c r="F15" i="7"/>
  <c r="K15" i="7"/>
  <c r="P15" i="7"/>
  <c r="U15" i="7"/>
  <c r="Z15" i="7"/>
  <c r="AE15" i="7"/>
  <c r="F16" i="7"/>
  <c r="K16" i="7"/>
  <c r="P16" i="7"/>
  <c r="U16" i="7"/>
  <c r="Z16" i="7"/>
  <c r="AE16" i="7"/>
  <c r="F17" i="7"/>
  <c r="K17" i="7"/>
  <c r="P17" i="7"/>
  <c r="U17" i="7"/>
  <c r="Z17" i="7"/>
  <c r="AE17" i="7"/>
  <c r="F18" i="7"/>
  <c r="K18" i="7"/>
  <c r="P18" i="7"/>
  <c r="U18" i="7"/>
  <c r="Z18" i="7"/>
  <c r="AE18" i="7"/>
  <c r="F19" i="7"/>
  <c r="K19" i="7"/>
  <c r="P19" i="7"/>
  <c r="U19" i="7"/>
  <c r="Z19" i="7"/>
  <c r="AE19" i="7"/>
  <c r="F20" i="7"/>
  <c r="K20" i="7"/>
  <c r="P20" i="7"/>
  <c r="U20" i="7"/>
  <c r="Z20" i="7"/>
  <c r="AE20" i="7"/>
  <c r="F21" i="7"/>
  <c r="K21" i="7"/>
  <c r="P21" i="7"/>
  <c r="U21" i="7"/>
  <c r="Z21" i="7"/>
  <c r="AE21" i="7"/>
  <c r="F22" i="7"/>
  <c r="K22" i="7"/>
  <c r="P22" i="7"/>
  <c r="U22" i="7"/>
  <c r="Z22" i="7"/>
  <c r="AE22" i="7"/>
  <c r="F23" i="7"/>
  <c r="K23" i="7"/>
  <c r="P23" i="7"/>
  <c r="U23" i="7"/>
  <c r="Z23" i="7"/>
  <c r="AE23" i="7"/>
  <c r="F24" i="7"/>
  <c r="K24" i="7"/>
  <c r="P24" i="7"/>
  <c r="U24" i="7"/>
  <c r="Z24" i="7"/>
  <c r="AE24" i="7"/>
  <c r="F25" i="7"/>
  <c r="K25" i="7"/>
  <c r="P25" i="7"/>
  <c r="U25" i="7"/>
  <c r="Z25" i="7"/>
  <c r="AE25" i="7"/>
  <c r="F26" i="7"/>
  <c r="K26" i="7"/>
  <c r="P26" i="7"/>
  <c r="U26" i="7"/>
  <c r="Z26" i="7"/>
  <c r="AE26" i="7"/>
  <c r="F27" i="7"/>
  <c r="K27" i="7"/>
  <c r="P27" i="7"/>
  <c r="U27" i="7"/>
  <c r="Z27" i="7"/>
  <c r="AE27" i="7"/>
  <c r="F28" i="7"/>
  <c r="K28" i="7"/>
  <c r="P28" i="7"/>
  <c r="U28" i="7"/>
  <c r="Z28" i="7"/>
  <c r="AE28" i="7"/>
  <c r="F29" i="7"/>
  <c r="K29" i="7"/>
  <c r="P29" i="7"/>
  <c r="U29" i="7"/>
  <c r="Z29" i="7"/>
  <c r="AE29" i="7"/>
  <c r="F30" i="7"/>
  <c r="K30" i="7"/>
  <c r="P30" i="7"/>
  <c r="U30" i="7"/>
  <c r="Z30" i="7"/>
  <c r="AE30" i="7"/>
  <c r="F31" i="7"/>
  <c r="K31" i="7"/>
  <c r="P31" i="7"/>
  <c r="U31" i="7"/>
  <c r="Z31" i="7"/>
  <c r="AE31" i="7"/>
  <c r="F32" i="7"/>
  <c r="K32" i="7"/>
  <c r="P32" i="7"/>
  <c r="U32" i="7"/>
  <c r="Z32" i="7"/>
  <c r="AE32" i="7"/>
  <c r="F33" i="7"/>
  <c r="K33" i="7"/>
  <c r="P33" i="7"/>
  <c r="U33" i="7"/>
  <c r="Z33" i="7"/>
  <c r="AE33" i="7"/>
  <c r="F34" i="7"/>
  <c r="K34" i="7"/>
  <c r="P34" i="7"/>
  <c r="U34" i="7"/>
  <c r="Z34" i="7"/>
  <c r="AE34" i="7"/>
  <c r="F35" i="7"/>
  <c r="K35" i="7"/>
  <c r="P35" i="7"/>
  <c r="U35" i="7"/>
  <c r="Z35" i="7"/>
  <c r="AE35" i="7"/>
  <c r="F36" i="7"/>
  <c r="K36" i="7"/>
  <c r="P36" i="7"/>
  <c r="U36" i="7"/>
  <c r="Z36" i="7"/>
  <c r="AE36" i="7"/>
  <c r="F37" i="7"/>
  <c r="K37" i="7"/>
  <c r="P37" i="7"/>
  <c r="U37" i="7"/>
  <c r="Z37" i="7"/>
  <c r="AE37" i="7"/>
  <c r="F38" i="7"/>
  <c r="K38" i="7"/>
  <c r="P38" i="7"/>
  <c r="U38" i="7"/>
  <c r="Z38" i="7"/>
  <c r="AE38" i="7"/>
  <c r="F39" i="7"/>
  <c r="K39" i="7"/>
  <c r="P39" i="7"/>
  <c r="U39" i="7"/>
  <c r="Z39" i="7"/>
  <c r="AE39" i="7"/>
  <c r="F40" i="7"/>
  <c r="K40" i="7"/>
  <c r="P40" i="7"/>
  <c r="U40" i="7"/>
  <c r="Z40" i="7"/>
  <c r="AE40" i="7"/>
  <c r="F41" i="7"/>
  <c r="K41" i="7"/>
  <c r="P41" i="7"/>
  <c r="U41" i="7"/>
  <c r="Z41" i="7"/>
  <c r="AE41" i="7"/>
  <c r="F42" i="7"/>
  <c r="K42" i="7"/>
  <c r="P42" i="7"/>
  <c r="U42" i="7"/>
  <c r="Z42" i="7"/>
  <c r="AE42" i="7"/>
  <c r="F43" i="7"/>
  <c r="K43" i="7"/>
  <c r="P43" i="7"/>
  <c r="U43" i="7"/>
  <c r="Z43" i="7"/>
  <c r="AE43" i="7"/>
  <c r="B44" i="7"/>
  <c r="C44" i="7"/>
  <c r="D44" i="7"/>
  <c r="E44" i="7"/>
  <c r="G44" i="7"/>
  <c r="H44" i="7"/>
  <c r="I44" i="7"/>
  <c r="J44" i="7"/>
  <c r="L44" i="7"/>
  <c r="M44" i="7"/>
  <c r="N44" i="7"/>
  <c r="O44" i="7"/>
  <c r="Q44" i="7"/>
  <c r="R44" i="7"/>
  <c r="S44" i="7"/>
  <c r="T44" i="7"/>
  <c r="V44" i="7"/>
  <c r="W44" i="7"/>
  <c r="X44" i="7"/>
  <c r="Y44" i="7"/>
  <c r="AA44" i="7"/>
  <c r="AB44" i="7"/>
  <c r="AC44" i="7"/>
  <c r="AD44" i="7"/>
  <c r="F12" i="9"/>
  <c r="K12" i="9"/>
  <c r="P12" i="9"/>
  <c r="U12" i="9"/>
  <c r="Z12" i="9"/>
  <c r="F13" i="9"/>
  <c r="K13" i="9"/>
  <c r="P13" i="9"/>
  <c r="U13" i="9"/>
  <c r="Z13" i="9"/>
  <c r="F14" i="9"/>
  <c r="K14" i="9"/>
  <c r="P14" i="9"/>
  <c r="U14" i="9"/>
  <c r="Z14" i="9"/>
  <c r="F15" i="9"/>
  <c r="K15" i="9"/>
  <c r="P15" i="9"/>
  <c r="U15" i="9"/>
  <c r="Z15" i="9"/>
  <c r="F16" i="9"/>
  <c r="K16" i="9"/>
  <c r="P16" i="9"/>
  <c r="U16" i="9"/>
  <c r="Z16" i="9"/>
  <c r="F17" i="9"/>
  <c r="K17" i="9"/>
  <c r="P17" i="9"/>
  <c r="U17" i="9"/>
  <c r="Z17" i="9"/>
  <c r="F18" i="9"/>
  <c r="K18" i="9"/>
  <c r="P18" i="9"/>
  <c r="U18" i="9"/>
  <c r="Z18" i="9"/>
  <c r="F19" i="9"/>
  <c r="K19" i="9"/>
  <c r="P19" i="9"/>
  <c r="U19" i="9"/>
  <c r="Z19" i="9"/>
  <c r="F20" i="9"/>
  <c r="K20" i="9"/>
  <c r="P20" i="9"/>
  <c r="U20" i="9"/>
  <c r="Z20" i="9"/>
  <c r="F21" i="9"/>
  <c r="K21" i="9"/>
  <c r="P21" i="9"/>
  <c r="U21" i="9"/>
  <c r="Z21" i="9"/>
  <c r="F22" i="9"/>
  <c r="K22" i="9"/>
  <c r="P22" i="9"/>
  <c r="U22" i="9"/>
  <c r="Z22" i="9"/>
  <c r="F23" i="9"/>
  <c r="K23" i="9"/>
  <c r="P23" i="9"/>
  <c r="U23" i="9"/>
  <c r="Z23" i="9"/>
  <c r="F24" i="9"/>
  <c r="K24" i="9"/>
  <c r="P24" i="9"/>
  <c r="U24" i="9"/>
  <c r="Z24" i="9"/>
  <c r="F25" i="9"/>
  <c r="K25" i="9"/>
  <c r="P25" i="9"/>
  <c r="U25" i="9"/>
  <c r="Z25" i="9"/>
  <c r="F26" i="9"/>
  <c r="K26" i="9"/>
  <c r="P26" i="9"/>
  <c r="U26" i="9"/>
  <c r="Z26" i="9"/>
  <c r="F27" i="9"/>
  <c r="K27" i="9"/>
  <c r="P27" i="9"/>
  <c r="U27" i="9"/>
  <c r="Z27" i="9"/>
  <c r="F28" i="9"/>
  <c r="K28" i="9"/>
  <c r="P28" i="9"/>
  <c r="U28" i="9"/>
  <c r="Z28" i="9"/>
  <c r="F29" i="9"/>
  <c r="K29" i="9"/>
  <c r="P29" i="9"/>
  <c r="U29" i="9"/>
  <c r="Z29" i="9"/>
  <c r="F30" i="9"/>
  <c r="K30" i="9"/>
  <c r="P30" i="9"/>
  <c r="U30" i="9"/>
  <c r="Z30" i="9"/>
  <c r="F31" i="9"/>
  <c r="K31" i="9"/>
  <c r="P31" i="9"/>
  <c r="U31" i="9"/>
  <c r="Z31" i="9"/>
  <c r="F32" i="9"/>
  <c r="K32" i="9"/>
  <c r="P32" i="9"/>
  <c r="U32" i="9"/>
  <c r="Z32" i="9"/>
  <c r="F33" i="9"/>
  <c r="K33" i="9"/>
  <c r="P33" i="9"/>
  <c r="U33" i="9"/>
  <c r="Z33" i="9"/>
  <c r="F34" i="9"/>
  <c r="K34" i="9"/>
  <c r="P34" i="9"/>
  <c r="U34" i="9"/>
  <c r="Z34" i="9"/>
  <c r="F35" i="9"/>
  <c r="K35" i="9"/>
  <c r="P35" i="9"/>
  <c r="U35" i="9"/>
  <c r="Z35" i="9"/>
  <c r="F36" i="9"/>
  <c r="K36" i="9"/>
  <c r="P36" i="9"/>
  <c r="U36" i="9"/>
  <c r="Z36" i="9"/>
  <c r="F37" i="9"/>
  <c r="K37" i="9"/>
  <c r="P37" i="9"/>
  <c r="U37" i="9"/>
  <c r="Z37" i="9"/>
  <c r="F38" i="9"/>
  <c r="K38" i="9"/>
  <c r="P38" i="9"/>
  <c r="U38" i="9"/>
  <c r="Z38" i="9"/>
  <c r="F39" i="9"/>
  <c r="K39" i="9"/>
  <c r="P39" i="9"/>
  <c r="U39" i="9"/>
  <c r="Z39" i="9"/>
  <c r="F40" i="9"/>
  <c r="K40" i="9"/>
  <c r="P40" i="9"/>
  <c r="U40" i="9"/>
  <c r="Z40" i="9"/>
  <c r="F41" i="9"/>
  <c r="K41" i="9"/>
  <c r="P41" i="9"/>
  <c r="U41" i="9"/>
  <c r="Z41" i="9"/>
  <c r="F42" i="9"/>
  <c r="K42" i="9"/>
  <c r="P42" i="9"/>
  <c r="U42" i="9"/>
  <c r="Z42" i="9"/>
  <c r="B43" i="9"/>
  <c r="C43" i="9"/>
  <c r="D43" i="9"/>
  <c r="E43" i="9"/>
  <c r="G43" i="9"/>
  <c r="H43" i="9"/>
  <c r="I43" i="9"/>
  <c r="J43" i="9"/>
  <c r="L43" i="9"/>
  <c r="M43" i="9"/>
  <c r="N43" i="9"/>
  <c r="O43" i="9"/>
  <c r="Q43" i="9"/>
  <c r="R43" i="9"/>
  <c r="S43" i="9"/>
  <c r="T43" i="9"/>
  <c r="V43" i="9"/>
  <c r="W43" i="9"/>
  <c r="X43" i="9"/>
  <c r="Y43" i="9"/>
  <c r="F12" i="13"/>
  <c r="K12" i="13"/>
  <c r="P12" i="13"/>
  <c r="U12" i="13"/>
  <c r="Z12" i="13"/>
  <c r="F13" i="13"/>
  <c r="K13" i="13"/>
  <c r="P13" i="13"/>
  <c r="U13" i="13"/>
  <c r="Z13" i="13"/>
  <c r="F14" i="13"/>
  <c r="K14" i="13"/>
  <c r="P14" i="13"/>
  <c r="U14" i="13"/>
  <c r="Z14" i="13"/>
  <c r="F15" i="13"/>
  <c r="K15" i="13"/>
  <c r="P15" i="13"/>
  <c r="U15" i="13"/>
  <c r="Z15" i="13"/>
  <c r="F16" i="13"/>
  <c r="K16" i="13"/>
  <c r="P16" i="13"/>
  <c r="U16" i="13"/>
  <c r="Z16" i="13"/>
  <c r="D18" i="3" s="1"/>
  <c r="F17" i="13"/>
  <c r="C19" i="3" s="1"/>
  <c r="K17" i="13"/>
  <c r="P17" i="13"/>
  <c r="U17" i="13"/>
  <c r="Z17" i="13"/>
  <c r="F18" i="13"/>
  <c r="K18" i="13"/>
  <c r="P18" i="13"/>
  <c r="U18" i="13"/>
  <c r="Z18" i="13"/>
  <c r="F19" i="13"/>
  <c r="K19" i="13"/>
  <c r="P19" i="13"/>
  <c r="U19" i="13"/>
  <c r="Z19" i="13"/>
  <c r="F20" i="13"/>
  <c r="K20" i="13"/>
  <c r="P20" i="13"/>
  <c r="U20" i="13"/>
  <c r="Z20" i="13"/>
  <c r="F21" i="13"/>
  <c r="K21" i="13"/>
  <c r="P21" i="13"/>
  <c r="U21" i="13"/>
  <c r="Z21" i="13"/>
  <c r="F22" i="13"/>
  <c r="K22" i="13"/>
  <c r="P22" i="13"/>
  <c r="U22" i="13"/>
  <c r="Z22" i="13"/>
  <c r="F23" i="13"/>
  <c r="K23" i="13"/>
  <c r="P23" i="13"/>
  <c r="U23" i="13"/>
  <c r="Z23" i="13"/>
  <c r="F24" i="13"/>
  <c r="K24" i="13"/>
  <c r="P24" i="13"/>
  <c r="U24" i="13"/>
  <c r="Z24" i="13"/>
  <c r="F25" i="13"/>
  <c r="K25" i="13"/>
  <c r="P25" i="13"/>
  <c r="U25" i="13"/>
  <c r="Z25" i="13"/>
  <c r="F26" i="13"/>
  <c r="K26" i="13"/>
  <c r="P26" i="13"/>
  <c r="U26" i="13"/>
  <c r="Z26" i="13"/>
  <c r="F27" i="13"/>
  <c r="C29" i="3" s="1"/>
  <c r="K27" i="13"/>
  <c r="P27" i="13"/>
  <c r="U27" i="13"/>
  <c r="Z27" i="13"/>
  <c r="F28" i="13"/>
  <c r="K28" i="13"/>
  <c r="P28" i="13"/>
  <c r="U28" i="13"/>
  <c r="Z28" i="13"/>
  <c r="D30" i="3" s="1"/>
  <c r="F29" i="13"/>
  <c r="K29" i="13"/>
  <c r="P29" i="13"/>
  <c r="D31" i="3" s="1"/>
  <c r="U29" i="13"/>
  <c r="Z29" i="13"/>
  <c r="F30" i="13"/>
  <c r="C32" i="3" s="1"/>
  <c r="K30" i="13"/>
  <c r="D32" i="3" s="1"/>
  <c r="P30" i="13"/>
  <c r="U30" i="13"/>
  <c r="Z30" i="13"/>
  <c r="F31" i="13"/>
  <c r="K31" i="13"/>
  <c r="P31" i="13"/>
  <c r="U31" i="13"/>
  <c r="Z31" i="13"/>
  <c r="F32" i="13"/>
  <c r="K32" i="13"/>
  <c r="P32" i="13"/>
  <c r="U32" i="13"/>
  <c r="Z32" i="13"/>
  <c r="F33" i="13"/>
  <c r="K33" i="13"/>
  <c r="P33" i="13"/>
  <c r="D35" i="3" s="1"/>
  <c r="U33" i="13"/>
  <c r="Z33" i="13"/>
  <c r="F34" i="13"/>
  <c r="K34" i="13"/>
  <c r="P34" i="13"/>
  <c r="U34" i="13"/>
  <c r="Z34" i="13"/>
  <c r="F35" i="13"/>
  <c r="K35" i="13"/>
  <c r="P35" i="13"/>
  <c r="U35" i="13"/>
  <c r="Z35" i="13"/>
  <c r="F36" i="13"/>
  <c r="K36" i="13"/>
  <c r="P36" i="13"/>
  <c r="U36" i="13"/>
  <c r="Z36" i="13"/>
  <c r="F37" i="13"/>
  <c r="K37" i="13"/>
  <c r="P37" i="13"/>
  <c r="U37" i="13"/>
  <c r="Z37" i="13"/>
  <c r="F38" i="13"/>
  <c r="K38" i="13"/>
  <c r="P38" i="13"/>
  <c r="Z38" i="13"/>
  <c r="F39" i="13"/>
  <c r="K39" i="13"/>
  <c r="P39" i="13"/>
  <c r="Z39" i="13"/>
  <c r="F40" i="13"/>
  <c r="K40" i="13"/>
  <c r="D42" i="3" s="1"/>
  <c r="P40" i="13"/>
  <c r="Z40" i="13"/>
  <c r="F41" i="13"/>
  <c r="K41" i="13"/>
  <c r="P41" i="13"/>
  <c r="Z41" i="13"/>
  <c r="F42" i="13"/>
  <c r="K42" i="13"/>
  <c r="P42" i="13"/>
  <c r="U42" i="13"/>
  <c r="Z42" i="13"/>
  <c r="B43" i="13"/>
  <c r="C43" i="13"/>
  <c r="D43" i="13"/>
  <c r="E43" i="13"/>
  <c r="G43" i="13"/>
  <c r="H43" i="13"/>
  <c r="I43" i="13"/>
  <c r="J43" i="13"/>
  <c r="L43" i="13"/>
  <c r="M43" i="13"/>
  <c r="N43" i="13"/>
  <c r="O43" i="13"/>
  <c r="Q43" i="13"/>
  <c r="R43" i="13"/>
  <c r="S43" i="13"/>
  <c r="T43" i="13"/>
  <c r="V43" i="13"/>
  <c r="W43" i="13"/>
  <c r="X43" i="13"/>
  <c r="Y43" i="13"/>
  <c r="D16" i="3"/>
  <c r="B39" i="1"/>
  <c r="K43" i="16"/>
  <c r="H45" i="3"/>
  <c r="H47" i="3"/>
  <c r="B9" i="8" l="1"/>
  <c r="B9" i="14"/>
  <c r="B9" i="15"/>
  <c r="B9" i="11"/>
  <c r="B9" i="16"/>
  <c r="B9" i="9"/>
  <c r="B9" i="13"/>
  <c r="B9" i="10"/>
  <c r="B9" i="3"/>
  <c r="B9" i="6"/>
  <c r="Q43" i="16"/>
  <c r="D21" i="3"/>
  <c r="B31" i="1"/>
  <c r="U43" i="11"/>
  <c r="C40" i="3"/>
  <c r="B40" i="3" s="1"/>
  <c r="I40" i="3" s="1"/>
  <c r="B37" i="1"/>
  <c r="D25" i="3"/>
  <c r="D41" i="3"/>
  <c r="AE44" i="7"/>
  <c r="C44" i="3"/>
  <c r="B44" i="3" s="1"/>
  <c r="I44" i="3" s="1"/>
  <c r="C28" i="3"/>
  <c r="B28" i="3" s="1"/>
  <c r="I28" i="3" s="1"/>
  <c r="C24" i="3"/>
  <c r="B24" i="3" s="1"/>
  <c r="I24" i="3" s="1"/>
  <c r="C41" i="3"/>
  <c r="B41" i="3" s="1"/>
  <c r="I41" i="3" s="1"/>
  <c r="Z44" i="7"/>
  <c r="Q43" i="10"/>
  <c r="E45" i="6"/>
  <c r="D34" i="3"/>
  <c r="K43" i="9"/>
  <c r="U44" i="7"/>
  <c r="D43" i="3"/>
  <c r="Q43" i="14"/>
  <c r="C47" i="6"/>
  <c r="X43" i="11"/>
  <c r="B15" i="1"/>
  <c r="U43" i="9"/>
  <c r="F43" i="11"/>
  <c r="D27" i="3"/>
  <c r="V43" i="8"/>
  <c r="K43" i="13"/>
  <c r="B38" i="1"/>
  <c r="Q43" i="8"/>
  <c r="D37" i="3"/>
  <c r="F43" i="9"/>
  <c r="B23" i="1"/>
  <c r="P43" i="13"/>
  <c r="D39" i="3"/>
  <c r="P43" i="9"/>
  <c r="B42" i="1"/>
  <c r="D20" i="3"/>
  <c r="D17" i="3"/>
  <c r="F43" i="13"/>
  <c r="C43" i="3"/>
  <c r="B43" i="3" s="1"/>
  <c r="I43" i="3" s="1"/>
  <c r="C39" i="3"/>
  <c r="C31" i="3"/>
  <c r="B31" i="3" s="1"/>
  <c r="I31" i="3" s="1"/>
  <c r="C27" i="3"/>
  <c r="B27" i="3" s="1"/>
  <c r="I27" i="3" s="1"/>
  <c r="C23" i="3"/>
  <c r="C15" i="3"/>
  <c r="B25" i="1"/>
  <c r="C46" i="6"/>
  <c r="D44" i="3"/>
  <c r="B43" i="1"/>
  <c r="K43" i="15"/>
  <c r="B29" i="1"/>
  <c r="B13" i="1"/>
  <c r="B46" i="1" s="1"/>
  <c r="B30" i="1"/>
  <c r="B22" i="1"/>
  <c r="D23" i="3"/>
  <c r="Z43" i="13"/>
  <c r="P43" i="11"/>
  <c r="K43" i="11"/>
  <c r="Z43" i="9"/>
  <c r="C20" i="3"/>
  <c r="K44" i="7"/>
  <c r="B19" i="1"/>
  <c r="C17" i="3"/>
  <c r="B33" i="1"/>
  <c r="B34" i="1"/>
  <c r="B18" i="1"/>
  <c r="V43" i="10"/>
  <c r="D26" i="3"/>
  <c r="U43" i="13"/>
  <c r="B40" i="1"/>
  <c r="V43" i="15"/>
  <c r="B41" i="1"/>
  <c r="B21" i="1"/>
  <c r="B17" i="1"/>
  <c r="C45" i="6"/>
  <c r="C16" i="3"/>
  <c r="B16" i="3" s="1"/>
  <c r="I16" i="3" s="1"/>
  <c r="D29" i="3"/>
  <c r="B29" i="3" s="1"/>
  <c r="I29" i="3" s="1"/>
  <c r="F44" i="7"/>
  <c r="Q43" i="15"/>
  <c r="D24" i="3"/>
  <c r="C42" i="3"/>
  <c r="B42" i="3" s="1"/>
  <c r="I42" i="3" s="1"/>
  <c r="C34" i="3"/>
  <c r="B34" i="3" s="1"/>
  <c r="I34" i="3" s="1"/>
  <c r="B30" i="3"/>
  <c r="I30" i="3" s="1"/>
  <c r="C26" i="3"/>
  <c r="B26" i="3" s="1"/>
  <c r="I26" i="3" s="1"/>
  <c r="C18" i="3"/>
  <c r="B18" i="3" s="1"/>
  <c r="I18" i="3" s="1"/>
  <c r="H48" i="3"/>
  <c r="D19" i="3"/>
  <c r="B19" i="3" s="1"/>
  <c r="I19" i="3" s="1"/>
  <c r="P44" i="7"/>
  <c r="K43" i="14"/>
  <c r="F43" i="16"/>
  <c r="D38" i="3"/>
  <c r="B38" i="3" s="1"/>
  <c r="I38" i="3" s="1"/>
  <c r="D22" i="3"/>
  <c r="D15" i="3"/>
  <c r="C22" i="3"/>
  <c r="E14" i="3"/>
  <c r="D40" i="3"/>
  <c r="D36" i="3"/>
  <c r="B36" i="3" s="1"/>
  <c r="I36" i="3" s="1"/>
  <c r="D28" i="3"/>
  <c r="F47" i="3"/>
  <c r="G45" i="3"/>
  <c r="G47" i="3"/>
  <c r="B39" i="3"/>
  <c r="I39" i="3" s="1"/>
  <c r="B23" i="3"/>
  <c r="I23" i="3" s="1"/>
  <c r="B15" i="3"/>
  <c r="I15" i="3" s="1"/>
  <c r="G46" i="3"/>
  <c r="B37" i="3"/>
  <c r="I37" i="3" s="1"/>
  <c r="B33" i="3"/>
  <c r="I33" i="3" s="1"/>
  <c r="B25" i="3"/>
  <c r="I25" i="3" s="1"/>
  <c r="B21" i="3"/>
  <c r="I21" i="3" s="1"/>
  <c r="B32" i="3"/>
  <c r="I32" i="3" s="1"/>
  <c r="B22" i="3"/>
  <c r="I22" i="3" s="1"/>
  <c r="E47" i="3"/>
  <c r="G48" i="3"/>
  <c r="B14" i="1"/>
  <c r="D14" i="3"/>
  <c r="F43" i="8"/>
  <c r="F48" i="3"/>
  <c r="F45" i="3"/>
  <c r="F46" i="3"/>
  <c r="E45" i="3"/>
  <c r="E48" i="3"/>
  <c r="C14" i="3"/>
  <c r="E46" i="3"/>
  <c r="B17" i="3" l="1"/>
  <c r="I17" i="3" s="1"/>
  <c r="B45" i="1"/>
  <c r="B20" i="3"/>
  <c r="I20" i="3" s="1"/>
  <c r="B44" i="1"/>
  <c r="B47" i="1"/>
  <c r="D46" i="3"/>
  <c r="D47" i="3"/>
  <c r="D45" i="3"/>
  <c r="D48" i="3"/>
  <c r="C46" i="3"/>
  <c r="C47" i="3"/>
  <c r="C48" i="3"/>
  <c r="B14" i="3"/>
  <c r="C45" i="3"/>
  <c r="B47" i="3" l="1"/>
  <c r="I14" i="3"/>
  <c r="B48" i="3"/>
  <c r="B45" i="3"/>
  <c r="B46" i="3"/>
  <c r="I45" i="3" l="1"/>
  <c r="I46" i="3"/>
  <c r="I48" i="3"/>
  <c r="I47" i="3"/>
</calcChain>
</file>

<file path=xl/sharedStrings.xml><?xml version="1.0" encoding="utf-8"?>
<sst xmlns="http://schemas.openxmlformats.org/spreadsheetml/2006/main" count="484" uniqueCount="197">
  <si>
    <t>項目</t>
    <rPh sb="0" eb="2">
      <t>コウモク</t>
    </rPh>
    <phoneticPr fontId="3"/>
  </si>
  <si>
    <t>日付</t>
    <rPh sb="0" eb="2">
      <t>ヒヅケ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</si>
  <si>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</si>
  <si>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</si>
  <si>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</si>
  <si>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</si>
  <si>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搬入量</t>
    <rPh sb="0" eb="2">
      <t>ハンニュウ</t>
    </rPh>
    <rPh sb="2" eb="3">
      <t>リョウ</t>
    </rPh>
    <phoneticPr fontId="3"/>
  </si>
  <si>
    <t>(t/日)</t>
    <rPh sb="3" eb="4">
      <t>ニチ</t>
    </rPh>
    <phoneticPr fontId="3"/>
  </si>
  <si>
    <t>投入量</t>
    <rPh sb="0" eb="2">
      <t>トウニュウ</t>
    </rPh>
    <rPh sb="2" eb="3">
      <t>リョウ</t>
    </rPh>
    <phoneticPr fontId="3"/>
  </si>
  <si>
    <t>残渣量</t>
    <rPh sb="0" eb="2">
      <t>ザンサ</t>
    </rPh>
    <rPh sb="2" eb="3">
      <t>リョウ</t>
    </rPh>
    <phoneticPr fontId="3"/>
  </si>
  <si>
    <t>補助燃料</t>
    <rPh sb="0" eb="2">
      <t>ホジョ</t>
    </rPh>
    <rPh sb="2" eb="4">
      <t>ネンリョウ</t>
    </rPh>
    <phoneticPr fontId="3"/>
  </si>
  <si>
    <t>使用量</t>
    <rPh sb="0" eb="3">
      <t>シヨウリョウ</t>
    </rPh>
    <phoneticPr fontId="3"/>
  </si>
  <si>
    <t>(l/日)</t>
    <rPh sb="3" eb="4">
      <t>ニチ</t>
    </rPh>
    <phoneticPr fontId="3"/>
  </si>
  <si>
    <t>稼動</t>
    <rPh sb="0" eb="2">
      <t>カドウ</t>
    </rPh>
    <phoneticPr fontId="3"/>
  </si>
  <si>
    <t>時間</t>
    <rPh sb="0" eb="2">
      <t>ジカン</t>
    </rPh>
    <phoneticPr fontId="3"/>
  </si>
  <si>
    <t>(hr/日)</t>
    <rPh sb="4" eb="5">
      <t>ニチ</t>
    </rPh>
    <phoneticPr fontId="3"/>
  </si>
  <si>
    <t>燃焼室</t>
    <rPh sb="0" eb="3">
      <t>ネンショウシツ</t>
    </rPh>
    <phoneticPr fontId="3"/>
  </si>
  <si>
    <t>出口温度</t>
    <rPh sb="0" eb="2">
      <t>デグチ</t>
    </rPh>
    <rPh sb="2" eb="4">
      <t>オンド</t>
    </rPh>
    <phoneticPr fontId="3"/>
  </si>
  <si>
    <t>炉内圧</t>
    <rPh sb="0" eb="2">
      <t>ロナイ</t>
    </rPh>
    <rPh sb="2" eb="3">
      <t>アツ</t>
    </rPh>
    <phoneticPr fontId="3"/>
  </si>
  <si>
    <t>吸引力</t>
    <rPh sb="0" eb="3">
      <t>キュウインリョク</t>
    </rPh>
    <phoneticPr fontId="3"/>
  </si>
  <si>
    <t>しゃく減量</t>
    <rPh sb="3" eb="4">
      <t>ゲン</t>
    </rPh>
    <rPh sb="4" eb="5">
      <t>リョウ</t>
    </rPh>
    <phoneticPr fontId="3"/>
  </si>
  <si>
    <t>冷却</t>
    <rPh sb="0" eb="2">
      <t>レイキャク</t>
    </rPh>
    <phoneticPr fontId="3"/>
  </si>
  <si>
    <t>水量</t>
  </si>
  <si>
    <t>(㎥/日)</t>
    <rPh sb="3" eb="4">
      <t>ニチ</t>
    </rPh>
    <phoneticPr fontId="3"/>
  </si>
  <si>
    <t>ばい煙</t>
    <rPh sb="2" eb="3">
      <t>エン</t>
    </rPh>
    <phoneticPr fontId="3"/>
  </si>
  <si>
    <t>ごみ焼却処理施設維持管理月報</t>
    <rPh sb="2" eb="4">
      <t>ショウキャク</t>
    </rPh>
    <rPh sb="4" eb="6">
      <t>ショリ</t>
    </rPh>
    <rPh sb="6" eb="8">
      <t>シセツ</t>
    </rPh>
    <rPh sb="8" eb="10">
      <t>イジ</t>
    </rPh>
    <rPh sb="10" eb="12">
      <t>カンリ</t>
    </rPh>
    <rPh sb="12" eb="14">
      <t>ゲッポウ</t>
    </rPh>
    <phoneticPr fontId="3"/>
  </si>
  <si>
    <t>機械化バッチ燃焼式</t>
    <rPh sb="0" eb="3">
      <t>キカイカ</t>
    </rPh>
    <rPh sb="6" eb="8">
      <t>ネンショウ</t>
    </rPh>
    <rPh sb="8" eb="9">
      <t>シキ</t>
    </rPh>
    <phoneticPr fontId="3"/>
  </si>
  <si>
    <t>15ｔ/日</t>
    <rPh sb="4" eb="5">
      <t>ニチ</t>
    </rPh>
    <phoneticPr fontId="3"/>
  </si>
  <si>
    <t>無</t>
    <rPh sb="0" eb="1">
      <t>ナ</t>
    </rPh>
    <phoneticPr fontId="3"/>
  </si>
  <si>
    <t>放流水の有無</t>
    <rPh sb="0" eb="1">
      <t>ホウ</t>
    </rPh>
    <rPh sb="1" eb="3">
      <t>リュウスイ</t>
    </rPh>
    <rPh sb="4" eb="6">
      <t>ウム</t>
    </rPh>
    <phoneticPr fontId="3"/>
  </si>
  <si>
    <t>利尻郡清掃施設組合</t>
    <rPh sb="0" eb="3">
      <t>リシリグン</t>
    </rPh>
    <rPh sb="3" eb="5">
      <t>セイソウ</t>
    </rPh>
    <rPh sb="5" eb="7">
      <t>シセツ</t>
    </rPh>
    <rPh sb="7" eb="9">
      <t>クミアイ</t>
    </rPh>
    <phoneticPr fontId="3"/>
  </si>
  <si>
    <t>利尻郡ごみ焼却処理場</t>
    <rPh sb="0" eb="3">
      <t>リシリグン</t>
    </rPh>
    <rPh sb="5" eb="7">
      <t>ショウキャク</t>
    </rPh>
    <rPh sb="7" eb="10">
      <t>ショリジョウ</t>
    </rPh>
    <phoneticPr fontId="3"/>
  </si>
  <si>
    <t>設置主体名</t>
    <rPh sb="0" eb="2">
      <t>セッチ</t>
    </rPh>
    <rPh sb="2" eb="4">
      <t>シュタイ</t>
    </rPh>
    <rPh sb="4" eb="5">
      <t>メイ</t>
    </rPh>
    <phoneticPr fontId="3"/>
  </si>
  <si>
    <t>技術管理者名</t>
    <rPh sb="0" eb="2">
      <t>ギジュツ</t>
    </rPh>
    <rPh sb="2" eb="4">
      <t>カンリ</t>
    </rPh>
    <rPh sb="4" eb="5">
      <t>シャ</t>
    </rPh>
    <rPh sb="5" eb="6">
      <t>メイ</t>
    </rPh>
    <phoneticPr fontId="3"/>
  </si>
  <si>
    <t>A-1</t>
    <phoneticPr fontId="3"/>
  </si>
  <si>
    <t>破砕・圧縮処理施設維持管理月報</t>
    <rPh sb="0" eb="2">
      <t>ハサイ</t>
    </rPh>
    <rPh sb="3" eb="5">
      <t>アッシュク</t>
    </rPh>
    <rPh sb="5" eb="7">
      <t>ショリ</t>
    </rPh>
    <rPh sb="7" eb="9">
      <t>シセツ</t>
    </rPh>
    <rPh sb="9" eb="11">
      <t>イジ</t>
    </rPh>
    <rPh sb="11" eb="13">
      <t>カンリ</t>
    </rPh>
    <rPh sb="13" eb="15">
      <t>ゲッポウ</t>
    </rPh>
    <phoneticPr fontId="3"/>
  </si>
  <si>
    <t>衝撃剪断併用回転式</t>
    <rPh sb="0" eb="2">
      <t>ショウゲキ</t>
    </rPh>
    <rPh sb="2" eb="3">
      <t>ハサ</t>
    </rPh>
    <rPh sb="3" eb="4">
      <t>ダン</t>
    </rPh>
    <rPh sb="4" eb="6">
      <t>ヘイヨウ</t>
    </rPh>
    <rPh sb="6" eb="8">
      <t>カイテン</t>
    </rPh>
    <rPh sb="8" eb="9">
      <t>シキ</t>
    </rPh>
    <phoneticPr fontId="3"/>
  </si>
  <si>
    <t>6ｔ/日</t>
    <rPh sb="3" eb="4">
      <t>ニチ</t>
    </rPh>
    <phoneticPr fontId="3"/>
  </si>
  <si>
    <t>無</t>
    <rPh sb="0" eb="1">
      <t>ナシ</t>
    </rPh>
    <phoneticPr fontId="3"/>
  </si>
  <si>
    <t>ごみ投入量の内訳（ｔ/日）</t>
    <rPh sb="2" eb="4">
      <t>トウニュウ</t>
    </rPh>
    <rPh sb="4" eb="5">
      <t>リョウ</t>
    </rPh>
    <rPh sb="6" eb="8">
      <t>ウチワケ</t>
    </rPh>
    <rPh sb="11" eb="12">
      <t>ニチ</t>
    </rPh>
    <phoneticPr fontId="3"/>
  </si>
  <si>
    <t>焼却対象</t>
    <rPh sb="0" eb="2">
      <t>ショウキャク</t>
    </rPh>
    <rPh sb="2" eb="4">
      <t>タイショウ</t>
    </rPh>
    <phoneticPr fontId="3"/>
  </si>
  <si>
    <t>埋立対象</t>
    <rPh sb="0" eb="2">
      <t>ウメタテ</t>
    </rPh>
    <rPh sb="2" eb="4">
      <t>タイショウ</t>
    </rPh>
    <phoneticPr fontId="3"/>
  </si>
  <si>
    <t>有価物回収量</t>
    <rPh sb="0" eb="2">
      <t>ユウカ</t>
    </rPh>
    <rPh sb="2" eb="3">
      <t>ブツ</t>
    </rPh>
    <rPh sb="3" eb="5">
      <t>カイシュウ</t>
    </rPh>
    <rPh sb="5" eb="6">
      <t>リョウ</t>
    </rPh>
    <phoneticPr fontId="3"/>
  </si>
  <si>
    <t>一般ごみ</t>
    <rPh sb="0" eb="2">
      <t>イッパン</t>
    </rPh>
    <phoneticPr fontId="3"/>
  </si>
  <si>
    <t>ごみ量</t>
    <rPh sb="2" eb="3">
      <t>リョウ</t>
    </rPh>
    <phoneticPr fontId="3"/>
  </si>
  <si>
    <t>鉄</t>
    <rPh sb="0" eb="1">
      <t>テツ</t>
    </rPh>
    <phoneticPr fontId="3"/>
  </si>
  <si>
    <t>不燃</t>
    <rPh sb="0" eb="2">
      <t>フネン</t>
    </rPh>
    <phoneticPr fontId="3"/>
  </si>
  <si>
    <t>（ｈｒ/日）</t>
    <rPh sb="4" eb="5">
      <t>ニチ</t>
    </rPh>
    <phoneticPr fontId="3"/>
  </si>
  <si>
    <t>（ｔ/日）</t>
    <rPh sb="3" eb="4">
      <t>ニチ</t>
    </rPh>
    <phoneticPr fontId="3"/>
  </si>
  <si>
    <t>A-2</t>
    <phoneticPr fontId="3"/>
  </si>
  <si>
    <t>ごみ</t>
    <phoneticPr fontId="3"/>
  </si>
  <si>
    <t>（　　）</t>
    <phoneticPr fontId="3"/>
  </si>
  <si>
    <t>埋立量</t>
    <rPh sb="0" eb="2">
      <t>ウメタテ</t>
    </rPh>
    <rPh sb="2" eb="3">
      <t>リョウ</t>
    </rPh>
    <phoneticPr fontId="3"/>
  </si>
  <si>
    <t>日</t>
    <rPh sb="0" eb="1">
      <t>ニチ</t>
    </rPh>
    <phoneticPr fontId="3"/>
  </si>
  <si>
    <t>収集</t>
    <rPh sb="0" eb="2">
      <t>シュウシュウ</t>
    </rPh>
    <phoneticPr fontId="3"/>
  </si>
  <si>
    <t>直搬</t>
    <rPh sb="0" eb="1">
      <t>チョク</t>
    </rPh>
    <rPh sb="1" eb="2">
      <t>ハン</t>
    </rPh>
    <phoneticPr fontId="3"/>
  </si>
  <si>
    <t>ごみ埋立量の内訳</t>
    <rPh sb="2" eb="4">
      <t>ウメタテ</t>
    </rPh>
    <rPh sb="4" eb="5">
      <t>リョウ</t>
    </rPh>
    <rPh sb="6" eb="8">
      <t>ウチワケ</t>
    </rPh>
    <phoneticPr fontId="3"/>
  </si>
  <si>
    <t>覆土量</t>
    <rPh sb="0" eb="1">
      <t>フク</t>
    </rPh>
    <rPh sb="1" eb="2">
      <t>ド</t>
    </rPh>
    <rPh sb="2" eb="3">
      <t>リョウ</t>
    </rPh>
    <phoneticPr fontId="3"/>
  </si>
  <si>
    <t>汚水</t>
    <rPh sb="0" eb="2">
      <t>オスイ</t>
    </rPh>
    <phoneticPr fontId="3"/>
  </si>
  <si>
    <t>貯留量</t>
    <rPh sb="0" eb="2">
      <t>チョリュウ</t>
    </rPh>
    <rPh sb="2" eb="3">
      <t>リョウ</t>
    </rPh>
    <phoneticPr fontId="3"/>
  </si>
  <si>
    <t>処理</t>
    <rPh sb="0" eb="2">
      <t>ショリ</t>
    </rPh>
    <phoneticPr fontId="3"/>
  </si>
  <si>
    <t>水量</t>
    <rPh sb="0" eb="2">
      <t>スイリョウ</t>
    </rPh>
    <phoneticPr fontId="3"/>
  </si>
  <si>
    <t>原　　　　　　水</t>
    <rPh sb="0" eb="1">
      <t>ハラ</t>
    </rPh>
    <rPh sb="7" eb="8">
      <t>ミズ</t>
    </rPh>
    <phoneticPr fontId="3"/>
  </si>
  <si>
    <t>処　　　理　　　水</t>
    <rPh sb="0" eb="1">
      <t>トコロ</t>
    </rPh>
    <rPh sb="4" eb="5">
      <t>リ</t>
    </rPh>
    <rPh sb="8" eb="9">
      <t>スイ</t>
    </rPh>
    <phoneticPr fontId="3"/>
  </si>
  <si>
    <t>最終処分場維持管理月報</t>
    <rPh sb="0" eb="2">
      <t>サイシュウ</t>
    </rPh>
    <rPh sb="2" eb="5">
      <t>ショブンジョウ</t>
    </rPh>
    <rPh sb="5" eb="7">
      <t>イジ</t>
    </rPh>
    <rPh sb="7" eb="9">
      <t>カンリ</t>
    </rPh>
    <rPh sb="9" eb="11">
      <t>ゲッポウ</t>
    </rPh>
    <phoneticPr fontId="3"/>
  </si>
  <si>
    <t>　西　島　　信　希　</t>
    <rPh sb="1" eb="2">
      <t>ニシ</t>
    </rPh>
    <rPh sb="3" eb="4">
      <t>シマ</t>
    </rPh>
    <rPh sb="6" eb="7">
      <t>ノブ</t>
    </rPh>
    <rPh sb="8" eb="9">
      <t>キ</t>
    </rPh>
    <phoneticPr fontId="3"/>
  </si>
  <si>
    <t>埋立地面積</t>
    <rPh sb="0" eb="3">
      <t>ウメタテチ</t>
    </rPh>
    <rPh sb="3" eb="5">
      <t>メンセキ</t>
    </rPh>
    <phoneticPr fontId="3"/>
  </si>
  <si>
    <t>埋立地容量</t>
    <rPh sb="0" eb="3">
      <t>ウメタテチ</t>
    </rPh>
    <rPh sb="3" eb="5">
      <t>ヨウリョウ</t>
    </rPh>
    <phoneticPr fontId="3"/>
  </si>
  <si>
    <t>B-1</t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</si>
  <si>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方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式</t>
    </r>
    <rPh sb="0" eb="1">
      <t>トコロ</t>
    </rPh>
    <rPh sb="2" eb="3">
      <t>リ</t>
    </rPh>
    <rPh sb="4" eb="5">
      <t>ホウ</t>
    </rPh>
    <rPh sb="6" eb="7">
      <t>シキ</t>
    </rPh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</si>
  <si>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能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力</t>
    </r>
    <rPh sb="0" eb="1">
      <t>トコロ</t>
    </rPh>
    <rPh sb="2" eb="3">
      <t>リ</t>
    </rPh>
    <rPh sb="4" eb="5">
      <t>ノウ</t>
    </rPh>
    <rPh sb="6" eb="7">
      <t>チカラ</t>
    </rPh>
    <phoneticPr fontId="3"/>
  </si>
  <si>
    <r>
      <t xml:space="preserve">施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設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名</t>
    </r>
    <rPh sb="0" eb="1">
      <t>ホドコ</t>
    </rPh>
    <rPh sb="3" eb="4">
      <t>セツ</t>
    </rPh>
    <rPh sb="6" eb="7">
      <t>メイ</t>
    </rPh>
    <phoneticPr fontId="3"/>
  </si>
  <si>
    <t>処 理 方 式</t>
    <rPh sb="0" eb="1">
      <t>トコロ</t>
    </rPh>
    <rPh sb="2" eb="3">
      <t>リ</t>
    </rPh>
    <rPh sb="4" eb="5">
      <t>ホウ</t>
    </rPh>
    <rPh sb="6" eb="7">
      <t>シキ</t>
    </rPh>
    <phoneticPr fontId="3"/>
  </si>
  <si>
    <t>処 理 能 力</t>
    <rPh sb="0" eb="1">
      <t>トコロ</t>
    </rPh>
    <rPh sb="2" eb="3">
      <t>リ</t>
    </rPh>
    <rPh sb="4" eb="5">
      <t>ノウ</t>
    </rPh>
    <rPh sb="6" eb="7">
      <t>チカラ</t>
    </rPh>
    <phoneticPr fontId="3"/>
  </si>
  <si>
    <t>施  設  名</t>
    <rPh sb="0" eb="1">
      <t>ホドコ</t>
    </rPh>
    <rPh sb="3" eb="4">
      <t>セツ</t>
    </rPh>
    <rPh sb="6" eb="7">
      <t>メイ</t>
    </rPh>
    <phoneticPr fontId="3"/>
  </si>
  <si>
    <t>汚 水 処 理 方 式</t>
    <rPh sb="0" eb="1">
      <t>キタナ</t>
    </rPh>
    <rPh sb="2" eb="3">
      <t>ミズ</t>
    </rPh>
    <rPh sb="4" eb="5">
      <t>トコロ</t>
    </rPh>
    <rPh sb="6" eb="7">
      <t>リ</t>
    </rPh>
    <rPh sb="8" eb="9">
      <t>ホウ</t>
    </rPh>
    <rPh sb="10" eb="11">
      <t>シキ</t>
    </rPh>
    <phoneticPr fontId="3"/>
  </si>
  <si>
    <t>汚 水 処 理 能 力</t>
    <rPh sb="0" eb="1">
      <t>キタナ</t>
    </rPh>
    <rPh sb="2" eb="3">
      <t>ミズ</t>
    </rPh>
    <rPh sb="4" eb="5">
      <t>トコロ</t>
    </rPh>
    <rPh sb="6" eb="7">
      <t>リ</t>
    </rPh>
    <rPh sb="8" eb="9">
      <t>ノウ</t>
    </rPh>
    <rPh sb="10" eb="11">
      <t>チカラ</t>
    </rPh>
    <phoneticPr fontId="3"/>
  </si>
  <si>
    <t>汚 水 調 整 池 容 量</t>
    <rPh sb="0" eb="1">
      <t>キタナ</t>
    </rPh>
    <rPh sb="2" eb="3">
      <t>ミズ</t>
    </rPh>
    <rPh sb="4" eb="5">
      <t>チョウ</t>
    </rPh>
    <rPh sb="6" eb="7">
      <t>ヒトシ</t>
    </rPh>
    <rPh sb="8" eb="9">
      <t>イケ</t>
    </rPh>
    <rPh sb="10" eb="11">
      <t>カタチ</t>
    </rPh>
    <rPh sb="12" eb="13">
      <t>リョウ</t>
    </rPh>
    <phoneticPr fontId="3"/>
  </si>
  <si>
    <t>施    設    名</t>
    <rPh sb="0" eb="1">
      <t>ホドコ</t>
    </rPh>
    <rPh sb="5" eb="6">
      <t>セツ</t>
    </rPh>
    <rPh sb="10" eb="11">
      <t>メイ</t>
    </rPh>
    <phoneticPr fontId="3"/>
  </si>
  <si>
    <t>目  標</t>
    <rPh sb="0" eb="1">
      <t>メ</t>
    </rPh>
    <rPh sb="3" eb="4">
      <t>シルベ</t>
    </rPh>
    <phoneticPr fontId="3"/>
  </si>
  <si>
    <t>水  質</t>
    <rPh sb="0" eb="1">
      <t>ミズ</t>
    </rPh>
    <rPh sb="3" eb="4">
      <t>シツ</t>
    </rPh>
    <phoneticPr fontId="3"/>
  </si>
  <si>
    <t>浸　　　　　　  出　　  　　　　液</t>
    <rPh sb="0" eb="1">
      <t>ビタシ</t>
    </rPh>
    <rPh sb="9" eb="10">
      <t>デ</t>
    </rPh>
    <rPh sb="18" eb="19">
      <t>エキ</t>
    </rPh>
    <phoneticPr fontId="3"/>
  </si>
  <si>
    <t>収　　集</t>
    <rPh sb="0" eb="1">
      <t>オサム</t>
    </rPh>
    <rPh sb="3" eb="4">
      <t>シュウ</t>
    </rPh>
    <phoneticPr fontId="3"/>
  </si>
  <si>
    <t>日</t>
    <rPh sb="0" eb="1">
      <t>ヒ</t>
    </rPh>
    <phoneticPr fontId="3"/>
  </si>
  <si>
    <t>鬼脇</t>
    <rPh sb="0" eb="1">
      <t>オニ</t>
    </rPh>
    <rPh sb="1" eb="2">
      <t>ワキ</t>
    </rPh>
    <phoneticPr fontId="3"/>
  </si>
  <si>
    <t>鴛泊</t>
    <rPh sb="0" eb="1">
      <t>オシ</t>
    </rPh>
    <rPh sb="1" eb="2">
      <t>ド</t>
    </rPh>
    <phoneticPr fontId="3"/>
  </si>
  <si>
    <t>計</t>
    <rPh sb="0" eb="1">
      <t>ケイ</t>
    </rPh>
    <phoneticPr fontId="3"/>
  </si>
  <si>
    <t>仙法志</t>
    <rPh sb="0" eb="1">
      <t>セン</t>
    </rPh>
    <rPh sb="1" eb="2">
      <t>ホウ</t>
    </rPh>
    <rPh sb="2" eb="3">
      <t>シ</t>
    </rPh>
    <phoneticPr fontId="3"/>
  </si>
  <si>
    <t>沓形</t>
    <rPh sb="0" eb="1">
      <t>クツ</t>
    </rPh>
    <rPh sb="1" eb="2">
      <t>カタ</t>
    </rPh>
    <phoneticPr fontId="3"/>
  </si>
  <si>
    <t>鴛泊</t>
    <rPh sb="0" eb="1">
      <t>オシ</t>
    </rPh>
    <rPh sb="1" eb="2">
      <t>ハク</t>
    </rPh>
    <phoneticPr fontId="3"/>
  </si>
  <si>
    <t>収集・直搬粗大ごみ</t>
    <rPh sb="0" eb="2">
      <t>シュウシュウ</t>
    </rPh>
    <rPh sb="3" eb="4">
      <t>チョク</t>
    </rPh>
    <rPh sb="4" eb="5">
      <t>ハン</t>
    </rPh>
    <rPh sb="5" eb="7">
      <t>ソダイ</t>
    </rPh>
    <phoneticPr fontId="3"/>
  </si>
  <si>
    <t>直搬粗大ごみ　　埋立</t>
    <rPh sb="0" eb="1">
      <t>チョク</t>
    </rPh>
    <rPh sb="1" eb="2">
      <t>ハン</t>
    </rPh>
    <rPh sb="2" eb="4">
      <t>ソダイ</t>
    </rPh>
    <rPh sb="8" eb="10">
      <t>ウメタテ</t>
    </rPh>
    <phoneticPr fontId="3"/>
  </si>
  <si>
    <t>水産物・医療廃棄物・汚泥焼却埋立</t>
    <rPh sb="0" eb="3">
      <t>スイサンブツ</t>
    </rPh>
    <rPh sb="4" eb="6">
      <t>イリョウ</t>
    </rPh>
    <rPh sb="6" eb="9">
      <t>ハイキブツ</t>
    </rPh>
    <rPh sb="10" eb="12">
      <t>オデイ</t>
    </rPh>
    <rPh sb="12" eb="14">
      <t>ショウキャク</t>
    </rPh>
    <rPh sb="14" eb="16">
      <t>ウメタテ</t>
    </rPh>
    <phoneticPr fontId="3"/>
  </si>
  <si>
    <t>10％以下</t>
    <rPh sb="3" eb="5">
      <t>イカ</t>
    </rPh>
    <phoneticPr fontId="3"/>
  </si>
  <si>
    <t>燃やせるごみ</t>
    <rPh sb="0" eb="1">
      <t>モ</t>
    </rPh>
    <phoneticPr fontId="3"/>
  </si>
  <si>
    <t>収集燃やせないごみ（埋立）</t>
    <rPh sb="0" eb="2">
      <t>シュウシュウ</t>
    </rPh>
    <rPh sb="2" eb="3">
      <t>モ</t>
    </rPh>
    <rPh sb="10" eb="12">
      <t>ウメタテ</t>
    </rPh>
    <phoneticPr fontId="3"/>
  </si>
  <si>
    <t>直搬燃やせないごみ（埋立）</t>
    <rPh sb="0" eb="1">
      <t>チョク</t>
    </rPh>
    <rPh sb="1" eb="2">
      <t>ハン</t>
    </rPh>
    <rPh sb="2" eb="3">
      <t>モ</t>
    </rPh>
    <rPh sb="10" eb="12">
      <t>ウメタテ</t>
    </rPh>
    <phoneticPr fontId="3"/>
  </si>
  <si>
    <t>収集燃やせるごみ（焼却）</t>
    <rPh sb="0" eb="2">
      <t>シュウシュウ</t>
    </rPh>
    <rPh sb="2" eb="3">
      <t>モ</t>
    </rPh>
    <rPh sb="9" eb="11">
      <t>ショウキャク</t>
    </rPh>
    <phoneticPr fontId="3"/>
  </si>
  <si>
    <t>収集燃やせるごみ（埋立）</t>
    <rPh sb="0" eb="2">
      <t>シュウシュウ</t>
    </rPh>
    <rPh sb="9" eb="11">
      <t>ウメタテ</t>
    </rPh>
    <phoneticPr fontId="3"/>
  </si>
  <si>
    <t>燃やせないごみ</t>
    <rPh sb="0" eb="1">
      <t>モ</t>
    </rPh>
    <phoneticPr fontId="3"/>
  </si>
  <si>
    <t>資源</t>
    <rPh sb="0" eb="2">
      <t>シゲン</t>
    </rPh>
    <phoneticPr fontId="3"/>
  </si>
  <si>
    <t>収集ごみ</t>
    <rPh sb="0" eb="2">
      <t>シュウシュウ</t>
    </rPh>
    <phoneticPr fontId="3"/>
  </si>
  <si>
    <t>粗大</t>
    <rPh sb="0" eb="2">
      <t>ソダイ</t>
    </rPh>
    <phoneticPr fontId="3"/>
  </si>
  <si>
    <t>収集粗大ごみ　　埋立</t>
    <rPh sb="0" eb="2">
      <t>シュウシュウ</t>
    </rPh>
    <rPh sb="2" eb="4">
      <t>ソダイ</t>
    </rPh>
    <rPh sb="8" eb="10">
      <t>ウメタテ</t>
    </rPh>
    <phoneticPr fontId="3"/>
  </si>
  <si>
    <t>入口温度</t>
    <rPh sb="0" eb="2">
      <t>イリグチ</t>
    </rPh>
    <rPh sb="2" eb="4">
      <t>オンド</t>
    </rPh>
    <phoneticPr fontId="3"/>
  </si>
  <si>
    <t>バグフィルタ</t>
    <phoneticPr fontId="3"/>
  </si>
  <si>
    <t>SOx</t>
    <phoneticPr fontId="3"/>
  </si>
  <si>
    <t>HCl</t>
    <phoneticPr fontId="3"/>
  </si>
  <si>
    <t>(℃)</t>
    <phoneticPr fontId="3"/>
  </si>
  <si>
    <t>(Pa)</t>
    <phoneticPr fontId="3"/>
  </si>
  <si>
    <t>（ｋｐ）</t>
    <phoneticPr fontId="3"/>
  </si>
  <si>
    <t>(%)</t>
    <phoneticPr fontId="3"/>
  </si>
  <si>
    <t>収集缶類　　有価</t>
    <rPh sb="0" eb="2">
      <t>シュウシュウ</t>
    </rPh>
    <rPh sb="2" eb="4">
      <t>カンルイ</t>
    </rPh>
    <rPh sb="6" eb="8">
      <t>ユウカ</t>
    </rPh>
    <phoneticPr fontId="3"/>
  </si>
  <si>
    <t>直搬缶類　　有価</t>
    <rPh sb="0" eb="1">
      <t>チョク</t>
    </rPh>
    <rPh sb="1" eb="2">
      <t>ハン</t>
    </rPh>
    <rPh sb="2" eb="4">
      <t>カンルイ</t>
    </rPh>
    <rPh sb="6" eb="8">
      <t>ユウカ</t>
    </rPh>
    <phoneticPr fontId="3"/>
  </si>
  <si>
    <t>直搬缶類　　埋立</t>
    <rPh sb="0" eb="1">
      <t>チョク</t>
    </rPh>
    <rPh sb="1" eb="2">
      <t>ハン</t>
    </rPh>
    <rPh sb="2" eb="4">
      <t>カンルイ</t>
    </rPh>
    <rPh sb="6" eb="8">
      <t>ウメタテ</t>
    </rPh>
    <phoneticPr fontId="3"/>
  </si>
  <si>
    <t>収集缶類　　埋立</t>
    <rPh sb="0" eb="2">
      <t>シュウシュウ</t>
    </rPh>
    <rPh sb="2" eb="4">
      <t>カンルイ</t>
    </rPh>
    <rPh sb="6" eb="8">
      <t>ウメタテ</t>
    </rPh>
    <phoneticPr fontId="3"/>
  </si>
  <si>
    <r>
      <t>C</t>
    </r>
    <r>
      <rPr>
        <sz val="11"/>
        <rFont val="ＭＳ Ｐゴシック"/>
        <family val="3"/>
        <charset val="128"/>
      </rPr>
      <t>O</t>
    </r>
    <phoneticPr fontId="3"/>
  </si>
  <si>
    <r>
      <t>(</t>
    </r>
    <r>
      <rPr>
        <sz val="11"/>
        <rFont val="ＭＳ Ｐゴシック"/>
        <family val="3"/>
        <charset val="128"/>
      </rPr>
      <t>ppm)</t>
    </r>
    <phoneticPr fontId="3"/>
  </si>
  <si>
    <r>
      <t>D</t>
    </r>
    <r>
      <rPr>
        <sz val="11"/>
        <rFont val="ＭＳ Ｐゴシック"/>
        <family val="3"/>
        <charset val="128"/>
      </rPr>
      <t>ust</t>
    </r>
    <phoneticPr fontId="3"/>
  </si>
  <si>
    <r>
      <t>N</t>
    </r>
    <r>
      <rPr>
        <sz val="11"/>
        <rFont val="ＭＳ Ｐゴシック"/>
        <family val="3"/>
        <charset val="128"/>
      </rPr>
      <t>Ox</t>
    </r>
    <phoneticPr fontId="3"/>
  </si>
  <si>
    <r>
      <t>(</t>
    </r>
    <r>
      <rPr>
        <sz val="11"/>
        <rFont val="ＭＳ Ｐゴシック"/>
        <family val="3"/>
        <charset val="128"/>
      </rPr>
      <t>mg</t>
    </r>
    <r>
      <rPr>
        <sz val="11"/>
        <rFont val="ＭＳ Ｐゴシック"/>
        <family val="3"/>
        <charset val="128"/>
      </rPr>
      <t>/N㎥)</t>
    </r>
    <phoneticPr fontId="3"/>
  </si>
  <si>
    <t>ご　み</t>
    <phoneticPr fontId="3"/>
  </si>
  <si>
    <t>ご　み</t>
    <phoneticPr fontId="3"/>
  </si>
  <si>
    <t>搬　出</t>
    <rPh sb="0" eb="1">
      <t>ハン</t>
    </rPh>
    <rPh sb="2" eb="3">
      <t>デ</t>
    </rPh>
    <phoneticPr fontId="3"/>
  </si>
  <si>
    <t>ダスト</t>
    <phoneticPr fontId="3"/>
  </si>
  <si>
    <t>排出量</t>
    <rPh sb="0" eb="2">
      <t>ハイシュツ</t>
    </rPh>
    <rPh sb="2" eb="3">
      <t>リョウ</t>
    </rPh>
    <phoneticPr fontId="3"/>
  </si>
  <si>
    <t>誘　引</t>
    <rPh sb="0" eb="1">
      <t>ユウ</t>
    </rPh>
    <rPh sb="2" eb="3">
      <t>イン</t>
    </rPh>
    <phoneticPr fontId="3"/>
  </si>
  <si>
    <t>灰　熱</t>
    <rPh sb="0" eb="1">
      <t>ハイ</t>
    </rPh>
    <rPh sb="2" eb="3">
      <t>ネツ</t>
    </rPh>
    <phoneticPr fontId="3"/>
  </si>
  <si>
    <t>資源ごみ（缶類）</t>
    <rPh sb="0" eb="2">
      <t>シゲン</t>
    </rPh>
    <rPh sb="5" eb="7">
      <t>カンルイ</t>
    </rPh>
    <phoneticPr fontId="3"/>
  </si>
  <si>
    <t>ごみ</t>
    <phoneticPr fontId="3"/>
  </si>
  <si>
    <t>ごみ</t>
    <phoneticPr fontId="3"/>
  </si>
  <si>
    <t>pH</t>
    <phoneticPr fontId="3"/>
  </si>
  <si>
    <t>BOD</t>
    <phoneticPr fontId="3"/>
  </si>
  <si>
    <t>COD</t>
    <phoneticPr fontId="3"/>
  </si>
  <si>
    <t>SS</t>
    <phoneticPr fontId="3"/>
  </si>
  <si>
    <r>
      <t>(m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/日）</t>
    </r>
    <rPh sb="4" eb="5">
      <t>ニチ</t>
    </rPh>
    <phoneticPr fontId="3"/>
  </si>
  <si>
    <t>資源ごみ（紙類）</t>
    <rPh sb="0" eb="2">
      <t>シゲン</t>
    </rPh>
    <rPh sb="5" eb="7">
      <t>カミルイ</t>
    </rPh>
    <phoneticPr fontId="3"/>
  </si>
  <si>
    <t>資源ごみ（ビン類）</t>
    <rPh sb="0" eb="2">
      <t>シゲン</t>
    </rPh>
    <rPh sb="7" eb="8">
      <t>ルイ</t>
    </rPh>
    <phoneticPr fontId="3"/>
  </si>
  <si>
    <t>収集可燃・資源となるごみ・燃やせないごみの内訳表</t>
    <rPh sb="0" eb="2">
      <t>シュウシュウ</t>
    </rPh>
    <rPh sb="2" eb="4">
      <t>カネン</t>
    </rPh>
    <rPh sb="5" eb="7">
      <t>シゲン</t>
    </rPh>
    <rPh sb="13" eb="14">
      <t>モ</t>
    </rPh>
    <rPh sb="21" eb="23">
      <t>ウチワケ</t>
    </rPh>
    <rPh sb="23" eb="24">
      <t>ヒョウ</t>
    </rPh>
    <phoneticPr fontId="3"/>
  </si>
  <si>
    <t>木くず　埋立</t>
    <rPh sb="0" eb="1">
      <t>キ</t>
    </rPh>
    <rPh sb="4" eb="6">
      <t>ウメタテ</t>
    </rPh>
    <phoneticPr fontId="3"/>
  </si>
  <si>
    <t>海岸清掃　埋立</t>
    <rPh sb="0" eb="2">
      <t>カイガン</t>
    </rPh>
    <rPh sb="2" eb="4">
      <t>セイソウ</t>
    </rPh>
    <rPh sb="5" eb="7">
      <t>ウメタテ</t>
    </rPh>
    <phoneticPr fontId="3"/>
  </si>
  <si>
    <t>収集粗大ごみ　　有価</t>
    <rPh sb="0" eb="2">
      <t>シュウシュウ</t>
    </rPh>
    <rPh sb="2" eb="4">
      <t>ソダイ</t>
    </rPh>
    <rPh sb="8" eb="10">
      <t>ユウカ</t>
    </rPh>
    <phoneticPr fontId="3"/>
  </si>
  <si>
    <t>直搬粗大ごみ　　有価</t>
    <rPh sb="0" eb="1">
      <t>チョク</t>
    </rPh>
    <rPh sb="1" eb="2">
      <t>ハン</t>
    </rPh>
    <rPh sb="2" eb="4">
      <t>ソダイ</t>
    </rPh>
    <rPh sb="8" eb="10">
      <t>ユウカ</t>
    </rPh>
    <phoneticPr fontId="3"/>
  </si>
  <si>
    <t>収集粗大ごみ　　総量</t>
    <rPh sb="0" eb="2">
      <t>シュウシュウ</t>
    </rPh>
    <rPh sb="2" eb="4">
      <t>ソダイ</t>
    </rPh>
    <rPh sb="8" eb="10">
      <t>ソウリョウ</t>
    </rPh>
    <phoneticPr fontId="3"/>
  </si>
  <si>
    <t>収集・直搬　缶類</t>
    <rPh sb="0" eb="2">
      <t>シュウシュウ</t>
    </rPh>
    <rPh sb="3" eb="4">
      <t>チョク</t>
    </rPh>
    <rPh sb="4" eb="5">
      <t>ハン</t>
    </rPh>
    <rPh sb="6" eb="8">
      <t>カンルイ</t>
    </rPh>
    <phoneticPr fontId="3"/>
  </si>
  <si>
    <t>収集・直搬　紙類</t>
    <rPh sb="0" eb="2">
      <t>シュウシュウ</t>
    </rPh>
    <rPh sb="3" eb="4">
      <t>チョク</t>
    </rPh>
    <rPh sb="4" eb="5">
      <t>ハン</t>
    </rPh>
    <rPh sb="6" eb="8">
      <t>カミルイ</t>
    </rPh>
    <phoneticPr fontId="3"/>
  </si>
  <si>
    <t>収集紙類　　有価</t>
    <rPh sb="0" eb="2">
      <t>シュウシュウ</t>
    </rPh>
    <rPh sb="2" eb="4">
      <t>カミルイ</t>
    </rPh>
    <rPh sb="6" eb="8">
      <t>ユウカ</t>
    </rPh>
    <phoneticPr fontId="3"/>
  </si>
  <si>
    <t>収集紙類　　焼却</t>
    <rPh sb="0" eb="2">
      <t>シュウシュウ</t>
    </rPh>
    <rPh sb="2" eb="4">
      <t>カミルイ</t>
    </rPh>
    <rPh sb="6" eb="8">
      <t>ショウキャク</t>
    </rPh>
    <phoneticPr fontId="3"/>
  </si>
  <si>
    <t>直搬紙類　　焼却</t>
    <rPh sb="0" eb="1">
      <t>チョク</t>
    </rPh>
    <rPh sb="1" eb="2">
      <t>ハン</t>
    </rPh>
    <rPh sb="2" eb="4">
      <t>カミルイ</t>
    </rPh>
    <rPh sb="6" eb="8">
      <t>ショウキャク</t>
    </rPh>
    <phoneticPr fontId="3"/>
  </si>
  <si>
    <t>収集ビン類　　有価</t>
    <rPh sb="0" eb="2">
      <t>シュウシュウ</t>
    </rPh>
    <rPh sb="4" eb="5">
      <t>ルイ</t>
    </rPh>
    <rPh sb="7" eb="9">
      <t>ユウカ</t>
    </rPh>
    <phoneticPr fontId="3"/>
  </si>
  <si>
    <t>収集・直搬　ビン類</t>
    <rPh sb="0" eb="2">
      <t>シュウシュウ</t>
    </rPh>
    <rPh sb="3" eb="4">
      <t>チョク</t>
    </rPh>
    <rPh sb="4" eb="5">
      <t>ハン</t>
    </rPh>
    <rPh sb="8" eb="9">
      <t>ルイ</t>
    </rPh>
    <phoneticPr fontId="3"/>
  </si>
  <si>
    <t>収集ビン類　　埋立</t>
    <rPh sb="0" eb="2">
      <t>シュウシュウ</t>
    </rPh>
    <rPh sb="4" eb="5">
      <t>ルイ</t>
    </rPh>
    <rPh sb="7" eb="9">
      <t>ウメタテ</t>
    </rPh>
    <phoneticPr fontId="3"/>
  </si>
  <si>
    <t>直搬ビン類　　有価</t>
    <rPh sb="0" eb="1">
      <t>チョク</t>
    </rPh>
    <rPh sb="1" eb="2">
      <t>ハン</t>
    </rPh>
    <rPh sb="4" eb="5">
      <t>ルイ</t>
    </rPh>
    <rPh sb="7" eb="9">
      <t>ユウカ</t>
    </rPh>
    <phoneticPr fontId="3"/>
  </si>
  <si>
    <t>直搬ビン類　　埋立</t>
    <rPh sb="0" eb="1">
      <t>チョク</t>
    </rPh>
    <rPh sb="1" eb="2">
      <t>ハン</t>
    </rPh>
    <rPh sb="4" eb="5">
      <t>ルイ</t>
    </rPh>
    <rPh sb="7" eb="9">
      <t>ウメタテ</t>
    </rPh>
    <phoneticPr fontId="3"/>
  </si>
  <si>
    <t>海岸清掃　有価</t>
    <rPh sb="0" eb="2">
      <t>カイガン</t>
    </rPh>
    <rPh sb="2" eb="4">
      <t>セイソウ</t>
    </rPh>
    <rPh sb="5" eb="7">
      <t>ユウカ</t>
    </rPh>
    <phoneticPr fontId="3"/>
  </si>
  <si>
    <t>燃やせないごみ・木くず・海岸清掃</t>
    <rPh sb="0" eb="1">
      <t>モ</t>
    </rPh>
    <rPh sb="8" eb="9">
      <t>キ</t>
    </rPh>
    <rPh sb="12" eb="14">
      <t>カイガン</t>
    </rPh>
    <rPh sb="14" eb="16">
      <t>セイソウ</t>
    </rPh>
    <phoneticPr fontId="3"/>
  </si>
  <si>
    <t>収集・直搬燃やせるごみ・木片</t>
    <rPh sb="0" eb="2">
      <t>シュウシュウ</t>
    </rPh>
    <rPh sb="3" eb="4">
      <t>チョク</t>
    </rPh>
    <rPh sb="4" eb="5">
      <t>ハン</t>
    </rPh>
    <rPh sb="12" eb="14">
      <t>モクヘン</t>
    </rPh>
    <phoneticPr fontId="3"/>
  </si>
  <si>
    <t>直搬燃やせるごみ・木片等(焼却）</t>
    <rPh sb="0" eb="1">
      <t>チョク</t>
    </rPh>
    <rPh sb="1" eb="2">
      <t>ハン</t>
    </rPh>
    <rPh sb="9" eb="11">
      <t>モクヘン</t>
    </rPh>
    <rPh sb="11" eb="12">
      <t>ナド</t>
    </rPh>
    <rPh sb="13" eb="15">
      <t>ショウキャク</t>
    </rPh>
    <phoneticPr fontId="3"/>
  </si>
  <si>
    <t>直搬燃やせるごみ・木片等（埋立）</t>
    <rPh sb="0" eb="1">
      <t>チョク</t>
    </rPh>
    <rPh sb="1" eb="2">
      <t>ハン</t>
    </rPh>
    <rPh sb="9" eb="11">
      <t>モクヘン</t>
    </rPh>
    <rPh sb="11" eb="12">
      <t>ナド</t>
    </rPh>
    <rPh sb="13" eb="15">
      <t>ウメタテ</t>
    </rPh>
    <phoneticPr fontId="3"/>
  </si>
  <si>
    <t>収集紙類　　埋立</t>
    <rPh sb="0" eb="2">
      <t>シュウシュウ</t>
    </rPh>
    <rPh sb="2" eb="4">
      <t>カミルイ</t>
    </rPh>
    <rPh sb="6" eb="8">
      <t>ウメタテ</t>
    </rPh>
    <phoneticPr fontId="3"/>
  </si>
  <si>
    <r>
      <t>35m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/日</t>
    </r>
    <rPh sb="5" eb="6">
      <t>ニチ</t>
    </rPh>
    <phoneticPr fontId="3"/>
  </si>
  <si>
    <t>うに殻等　　　埋立</t>
    <rPh sb="2" eb="3">
      <t>カラ</t>
    </rPh>
    <rPh sb="3" eb="4">
      <t>ナド</t>
    </rPh>
    <rPh sb="7" eb="9">
      <t>ウメタテ</t>
    </rPh>
    <phoneticPr fontId="3"/>
  </si>
  <si>
    <t>富士町</t>
    <rPh sb="0" eb="3">
      <t>フジチョウ</t>
    </rPh>
    <phoneticPr fontId="3"/>
  </si>
  <si>
    <t>利尻町</t>
    <rPh sb="0" eb="3">
      <t>リシリチョウ</t>
    </rPh>
    <phoneticPr fontId="3"/>
  </si>
  <si>
    <t>下水道</t>
    <rPh sb="0" eb="3">
      <t>ゲスイドウ</t>
    </rPh>
    <phoneticPr fontId="3"/>
  </si>
  <si>
    <t>汚泥</t>
    <rPh sb="0" eb="2">
      <t>オデイ</t>
    </rPh>
    <phoneticPr fontId="3"/>
  </si>
  <si>
    <t>うに</t>
    <phoneticPr fontId="3"/>
  </si>
  <si>
    <t>動植物性</t>
    <rPh sb="0" eb="3">
      <t>ドウショクブツ</t>
    </rPh>
    <rPh sb="3" eb="4">
      <t>セイ</t>
    </rPh>
    <phoneticPr fontId="3"/>
  </si>
  <si>
    <t>産廃棄物</t>
    <rPh sb="0" eb="1">
      <t>サン</t>
    </rPh>
    <rPh sb="1" eb="4">
      <t>ハイキブツ</t>
    </rPh>
    <phoneticPr fontId="3"/>
  </si>
  <si>
    <t>3000個/ml以下</t>
    <rPh sb="4" eb="5">
      <t>コ</t>
    </rPh>
    <rPh sb="8" eb="10">
      <t>イカ</t>
    </rPh>
    <phoneticPr fontId="3"/>
  </si>
  <si>
    <t>回転円盤式生物処理+凝集沈澱処理+砂ろ過方式</t>
    <rPh sb="0" eb="2">
      <t>カイテン</t>
    </rPh>
    <rPh sb="2" eb="4">
      <t>エンバン</t>
    </rPh>
    <rPh sb="4" eb="5">
      <t>シキ</t>
    </rPh>
    <rPh sb="5" eb="7">
      <t>セイブツ</t>
    </rPh>
    <rPh sb="7" eb="9">
      <t>ショリ</t>
    </rPh>
    <rPh sb="10" eb="12">
      <t>ギョウシュウ</t>
    </rPh>
    <rPh sb="12" eb="14">
      <t>チンデン</t>
    </rPh>
    <rPh sb="14" eb="16">
      <t>ショリ</t>
    </rPh>
    <rPh sb="17" eb="18">
      <t>スナ</t>
    </rPh>
    <rPh sb="19" eb="20">
      <t>カ</t>
    </rPh>
    <rPh sb="20" eb="22">
      <t>ホウシキ</t>
    </rPh>
    <phoneticPr fontId="3"/>
  </si>
  <si>
    <t>殻等</t>
    <rPh sb="0" eb="1">
      <t>カラ</t>
    </rPh>
    <rPh sb="1" eb="2">
      <t>ナド</t>
    </rPh>
    <phoneticPr fontId="3"/>
  </si>
  <si>
    <t>20mg/L以下</t>
    <rPh sb="6" eb="8">
      <t>イカ</t>
    </rPh>
    <phoneticPr fontId="3"/>
  </si>
  <si>
    <t>10mg/L以下</t>
    <rPh sb="6" eb="8">
      <t>イカ</t>
    </rPh>
    <phoneticPr fontId="3"/>
  </si>
  <si>
    <t>一般廃棄物最終処分場</t>
    <rPh sb="0" eb="2">
      <t>イッパン</t>
    </rPh>
    <rPh sb="2" eb="5">
      <t>ハイキブツ</t>
    </rPh>
    <rPh sb="5" eb="7">
      <t>サイシュウ</t>
    </rPh>
    <rPh sb="7" eb="10">
      <t>ショブンジョウ</t>
    </rPh>
    <phoneticPr fontId="3"/>
  </si>
  <si>
    <t>16,500㎡</t>
    <phoneticPr fontId="3"/>
  </si>
  <si>
    <r>
      <t>3,360m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</si>
  <si>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r>
      <t>55,300m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</si>
  <si>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t>BOD</t>
    <phoneticPr fontId="3"/>
  </si>
  <si>
    <t>SS</t>
    <phoneticPr fontId="3"/>
  </si>
  <si>
    <t>併せ産廃（動植物性）　焼却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ショウキャク</t>
    </rPh>
    <phoneticPr fontId="3"/>
  </si>
  <si>
    <t>併せ産廃（動植物性）　埋立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ウメタテ</t>
    </rPh>
    <phoneticPr fontId="3"/>
  </si>
  <si>
    <t>併せ産廃（医療系）　焼却</t>
    <rPh sb="0" eb="1">
      <t>ヘイ</t>
    </rPh>
    <rPh sb="2" eb="4">
      <t>サンパイ</t>
    </rPh>
    <rPh sb="5" eb="7">
      <t>イリョウ</t>
    </rPh>
    <rPh sb="7" eb="8">
      <t>ケイ</t>
    </rPh>
    <rPh sb="10" eb="12">
      <t>ショウキャク</t>
    </rPh>
    <phoneticPr fontId="3"/>
  </si>
  <si>
    <t>下水道汚泥　埋立</t>
    <rPh sb="0" eb="3">
      <t>ゲスイドウ</t>
    </rPh>
    <rPh sb="3" eb="4">
      <t>キタナ</t>
    </rPh>
    <rPh sb="4" eb="5">
      <t>ドロ</t>
    </rPh>
    <rPh sb="6" eb="8">
      <t>ウメタテ</t>
    </rPh>
    <phoneticPr fontId="3"/>
  </si>
  <si>
    <t>焼却</t>
    <rPh sb="0" eb="2">
      <t>ショウキャク</t>
    </rPh>
    <phoneticPr fontId="3"/>
  </si>
  <si>
    <t>残渣</t>
    <rPh sb="0" eb="2">
      <t>ザンサ</t>
    </rPh>
    <phoneticPr fontId="3"/>
  </si>
  <si>
    <t>大腸菌郡数</t>
    <rPh sb="0" eb="3">
      <t>ダイチョウキン</t>
    </rPh>
    <rPh sb="3" eb="4">
      <t>グン</t>
    </rPh>
    <rPh sb="4" eb="5">
      <t>スウ</t>
    </rPh>
    <phoneticPr fontId="3"/>
  </si>
  <si>
    <t>20mｇ/L以下</t>
    <rPh sb="6" eb="8">
      <t>イカ</t>
    </rPh>
    <phoneticPr fontId="3"/>
  </si>
  <si>
    <t>60mg/L以下</t>
    <rPh sb="6" eb="8">
      <t>イカ</t>
    </rPh>
    <phoneticPr fontId="3"/>
  </si>
  <si>
    <t>5.8～8.6</t>
    <phoneticPr fontId="3"/>
  </si>
  <si>
    <t>資源ごみ（ペットボトル）</t>
    <rPh sb="0" eb="2">
      <t>シゲン</t>
    </rPh>
    <phoneticPr fontId="3"/>
  </si>
  <si>
    <t>収集・直搬資源ごみペットボトル（有価・埋立）</t>
    <rPh sb="0" eb="2">
      <t>シュウシュウ</t>
    </rPh>
    <rPh sb="3" eb="4">
      <t>チョク</t>
    </rPh>
    <rPh sb="4" eb="5">
      <t>ハン</t>
    </rPh>
    <rPh sb="5" eb="7">
      <t>シゲン</t>
    </rPh>
    <rPh sb="16" eb="18">
      <t>ユウカ</t>
    </rPh>
    <rPh sb="19" eb="21">
      <t>ウメタテ</t>
    </rPh>
    <phoneticPr fontId="3"/>
  </si>
  <si>
    <t>収集資源ペットボトル（有価）</t>
    <rPh sb="0" eb="2">
      <t>シュウシュウ</t>
    </rPh>
    <rPh sb="2" eb="4">
      <t>シゲン</t>
    </rPh>
    <rPh sb="11" eb="13">
      <t>ユウカ</t>
    </rPh>
    <phoneticPr fontId="3"/>
  </si>
  <si>
    <t>収集資源ペットボトル（埋立）</t>
    <rPh sb="0" eb="2">
      <t>シュウシュウ</t>
    </rPh>
    <rPh sb="2" eb="4">
      <t>シゲン</t>
    </rPh>
    <rPh sb="11" eb="13">
      <t>ウメタテ</t>
    </rPh>
    <phoneticPr fontId="3"/>
  </si>
  <si>
    <t>直搬資源ペットボトル（有価）</t>
    <rPh sb="0" eb="1">
      <t>チョク</t>
    </rPh>
    <rPh sb="1" eb="2">
      <t>ハン</t>
    </rPh>
    <rPh sb="2" eb="4">
      <t>シゲン</t>
    </rPh>
    <rPh sb="11" eb="13">
      <t>ユウカ</t>
    </rPh>
    <phoneticPr fontId="3"/>
  </si>
  <si>
    <t>直搬資源ペットボトル（埋立）</t>
    <rPh sb="0" eb="2">
      <t>チョクハン</t>
    </rPh>
    <rPh sb="2" eb="4">
      <t>シゲン</t>
    </rPh>
    <rPh sb="11" eb="13">
      <t>ウメタテ</t>
    </rPh>
    <phoneticPr fontId="3"/>
  </si>
  <si>
    <t>柴田和彦</t>
    <rPh sb="0" eb="4">
      <t>シバタカズヒコ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</si>
</sst>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_ "/>
    <numFmt numFmtId="177" formatCode="0.0_);[Red]\(0.0\)"/>
    <numFmt numFmtId="178" formatCode="0.00_ "/>
    <numFmt numFmtId="179" formatCode="0.0;[Red]0.0"/>
    <numFmt numFmtId="180" formatCode="0.00;[Red]0.00"/>
    <numFmt numFmtId="181" formatCode="0_ "/>
    <numFmt numFmtId="182" formatCode="0.0_);\(0.0\)"/>
    <numFmt numFmtId="183" formatCode="#,##0.0_);[Red]\(#,##0.0\)"/>
    <numFmt numFmtId="184" formatCode="0;[Red]0"/>
    <numFmt numFmtId="185" formatCode="#,##0_ "/>
    <numFmt numFmtId="186" formatCode="[h]:mm&quot; &quot;"/>
  </numFmts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u val="doubleAccounting"/>
      <sz val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63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85" fontId="6" fillId="0" borderId="2" xfId="0" applyNumberFormat="1" applyFont="1" applyBorder="1" applyAlignment="1">
      <alignment horizontal="right" vertical="center"/>
    </xf>
    <xf numFmtId="18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81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85" fontId="6" fillId="0" borderId="3" xfId="0" applyNumberFormat="1" applyFont="1" applyBorder="1" applyAlignment="1">
      <alignment horizontal="right" vertical="center"/>
    </xf>
    <xf numFmtId="186" fontId="6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177" fontId="12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1" fontId="6" fillId="0" borderId="3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right" vertical="center"/>
    </xf>
    <xf numFmtId="186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horizontal="right" vertical="center" shrinkToFit="1"/>
    </xf>
    <xf numFmtId="177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right" vertical="center"/>
    </xf>
    <xf numFmtId="177" fontId="11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7" fontId="12" fillId="0" borderId="3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83" fontId="6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77" fontId="6" fillId="0" borderId="4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177" fontId="6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83" fontId="6" fillId="0" borderId="2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0" fontId="6" fillId="0" borderId="1" xfId="0" applyNumberFormat="1" applyFont="1" applyBorder="1" applyAlignment="1">
      <alignment horizontal="right" vertical="center" shrinkToFit="1"/>
    </xf>
    <xf numFmtId="176" fontId="6" fillId="0" borderId="2" xfId="0" applyNumberFormat="1" applyFont="1" applyBorder="1" applyAlignment="1">
      <alignment horizontal="right" vertical="center" shrinkToFit="1"/>
    </xf>
    <xf numFmtId="176" fontId="6" fillId="0" borderId="1" xfId="0" applyNumberFormat="1" applyFont="1" applyBorder="1" applyAlignment="1">
      <alignment horizontal="right" vertical="center" shrinkToFit="1"/>
    </xf>
    <xf numFmtId="182" fontId="6" fillId="0" borderId="2" xfId="0" applyNumberFormat="1" applyFont="1" applyBorder="1" applyAlignment="1">
      <alignment horizontal="right" vertical="center" shrinkToFit="1"/>
    </xf>
    <xf numFmtId="180" fontId="6" fillId="0" borderId="2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vertical="center" shrinkToFit="1"/>
    </xf>
    <xf numFmtId="179" fontId="6" fillId="0" borderId="3" xfId="0" applyNumberFormat="1" applyFont="1" applyBorder="1" applyAlignment="1">
      <alignment horizontal="right" vertical="center" shrinkToFit="1"/>
    </xf>
    <xf numFmtId="182" fontId="6" fillId="0" borderId="3" xfId="0" applyNumberFormat="1" applyFont="1" applyBorder="1" applyAlignment="1">
      <alignment horizontal="right" vertical="center" shrinkToFit="1"/>
    </xf>
    <xf numFmtId="180" fontId="6" fillId="0" borderId="3" xfId="0" applyNumberFormat="1" applyFont="1" applyBorder="1" applyAlignment="1">
      <alignment horizontal="right" vertical="center" shrinkToFit="1"/>
    </xf>
    <xf numFmtId="176" fontId="6" fillId="0" borderId="3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right" vertical="center"/>
    </xf>
    <xf numFmtId="177" fontId="16" fillId="0" borderId="3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6" fillId="0" borderId="3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right" vertical="center"/>
    </xf>
    <xf numFmtId="179" fontId="23" fillId="0" borderId="2" xfId="0" applyNumberFormat="1" applyFont="1" applyBorder="1" applyAlignment="1">
      <alignment horizontal="right" vertical="center" shrinkToFit="1"/>
    </xf>
    <xf numFmtId="179" fontId="22" fillId="0" borderId="2" xfId="0" applyNumberFormat="1" applyFont="1" applyBorder="1" applyAlignment="1" applyProtection="1">
      <alignment horizontal="right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 shrinkToFit="1"/>
    </xf>
    <xf numFmtId="179" fontId="23" fillId="0" borderId="2" xfId="0" applyNumberFormat="1" applyFont="1" applyBorder="1" applyAlignment="1">
      <alignment horizontal="right" vertical="center"/>
    </xf>
    <xf numFmtId="179" fontId="29" fillId="0" borderId="2" xfId="0" applyNumberFormat="1" applyFont="1" applyBorder="1" applyAlignment="1">
      <alignment horizontal="right" vertical="center" shrinkToFit="1"/>
    </xf>
    <xf numFmtId="179" fontId="29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/>
    </xf>
    <xf numFmtId="179" fontId="22" fillId="0" borderId="2" xfId="0" applyNumberFormat="1" applyFont="1" applyBorder="1" applyAlignment="1">
      <alignment horizontal="right" vertical="center" shrinkToFit="1"/>
    </xf>
    <xf numFmtId="179" fontId="30" fillId="0" borderId="2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shrinkToFit="1"/>
    </xf>
    <xf numFmtId="184" fontId="6" fillId="0" borderId="2" xfId="0" applyNumberFormat="1" applyFont="1" applyBorder="1" applyAlignment="1">
      <alignment horizontal="right" vertical="center" shrinkToFit="1"/>
    </xf>
    <xf numFmtId="0" fontId="3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right" vertical="center" shrinkToFit="1"/>
    </xf>
    <xf numFmtId="0" fontId="8" fillId="0" borderId="4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21" fillId="0" borderId="1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16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20" fillId="0" borderId="16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24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9711;&#24180;&#24230;&#19968;&#24335;\&#31649;&#29702;&#26376;&#22577;\&#31649;&#29702;&#26376;&#22577;04.xlsx" TargetMode="External"/><Relationship Id="rId1" Type="http://schemas.openxmlformats.org/officeDocument/2006/relationships/externalLinkPath" Target="&#31649;&#29702;&#26376;&#22577;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9">
          <cell r="E9">
            <v>2027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FE30-828A-437B-96FC-CB65AA0041F1}">
  <sheetPr codeName="Sheet9"/>
  <dimension ref="A1:R47"/>
  <sheetViews>
    <sheetView tabSelected="1" topLeftCell="A4" workbookViewId="0">
      <pane ySplit="9" topLeftCell="A13" activePane="bottomLeft" state="frozen"/>
      <selection activeCell="A4" sqref="A4"/>
      <selection pane="bottomLeft" activeCell="J17" sqref="J17"/>
    </sheetView>
  </sheetViews>
  <sheetFormatPr defaultRowHeight="13.5" x14ac:dyDescent="0.15"/>
  <cols>
    <col min="1" max="1" width="3.75" style="2" customWidth="1"/>
    <col min="2" max="8" width="7.125" style="3" customWidth="1"/>
    <col min="9" max="17" width="7.125" style="1" customWidth="1"/>
    <col min="18" max="16384" width="9" style="1"/>
  </cols>
  <sheetData>
    <row r="1" spans="1:18" hidden="1" x14ac:dyDescent="0.15"/>
    <row r="2" spans="1:18" ht="12.75" hidden="1" customHeight="1" x14ac:dyDescent="0.15"/>
    <row r="3" spans="1:18" ht="21" hidden="1" customHeight="1" x14ac:dyDescent="0.15"/>
    <row r="4" spans="1:18" ht="22.5" customHeight="1" x14ac:dyDescent="0.15">
      <c r="A4" s="149" t="s">
        <v>25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</row>
    <row r="5" spans="1:18" s="3" customFormat="1" ht="13.5" customHeight="1" x14ac:dyDescent="0.15">
      <c r="A5" s="2"/>
      <c r="I5" s="148" t="s">
        <v>32</v>
      </c>
      <c r="J5" s="148"/>
      <c r="K5" s="148" t="s">
        <v>30</v>
      </c>
      <c r="L5" s="148"/>
      <c r="M5" s="148"/>
      <c r="N5" s="148"/>
      <c r="O5" s="148" t="s">
        <v>69</v>
      </c>
      <c r="P5" s="148"/>
      <c r="Q5" s="150" t="s">
        <v>26</v>
      </c>
      <c r="R5" s="151"/>
    </row>
    <row r="6" spans="1:18" s="3" customFormat="1" ht="13.5" customHeight="1" x14ac:dyDescent="0.15">
      <c r="A6" s="2"/>
      <c r="I6" s="148" t="s">
        <v>71</v>
      </c>
      <c r="J6" s="148"/>
      <c r="K6" s="148" t="s">
        <v>31</v>
      </c>
      <c r="L6" s="148"/>
      <c r="M6" s="148"/>
      <c r="N6" s="148"/>
      <c r="O6" s="148" t="s">
        <v>70</v>
      </c>
      <c r="P6" s="148"/>
      <c r="Q6" s="148" t="s">
        <v>27</v>
      </c>
      <c r="R6" s="148"/>
    </row>
    <row r="7" spans="1:18" s="3" customFormat="1" ht="13.5" customHeight="1" x14ac:dyDescent="0.15">
      <c r="A7" s="2"/>
      <c r="I7" s="148" t="s">
        <v>33</v>
      </c>
      <c r="J7" s="148"/>
      <c r="K7" s="147" t="s">
        <v>196</v>
      </c>
      <c r="L7" s="148"/>
      <c r="M7" s="148"/>
      <c r="N7" s="148"/>
      <c r="O7" s="148" t="s">
        <v>29</v>
      </c>
      <c r="P7" s="148"/>
      <c r="Q7" s="148" t="s">
        <v>28</v>
      </c>
      <c r="R7" s="148"/>
    </row>
    <row r="8" spans="1:18" s="3" customFormat="1" ht="13.5" hidden="1" customHeight="1" x14ac:dyDescent="0.15">
      <c r="A8" s="2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ht="12.75" customHeight="1" x14ac:dyDescent="0.15">
      <c r="A9" s="2" t="s">
        <v>34</v>
      </c>
      <c r="B9" s="145" t="str">
        <f>"("&amp;TEXT(DATE('[1]A-1'!$E$9, 7, 1), "ggge年mm月")&amp;")"</f>
        <v>(令和9年07月)</v>
      </c>
      <c r="C9" s="145"/>
      <c r="D9" s="146"/>
      <c r="E9" s="90"/>
    </row>
    <row r="10" spans="1:18" s="38" customFormat="1" ht="12.75" customHeight="1" x14ac:dyDescent="0.15">
      <c r="A10" s="91" t="s">
        <v>0</v>
      </c>
      <c r="B10" s="92" t="s">
        <v>121</v>
      </c>
      <c r="C10" s="91" t="s">
        <v>122</v>
      </c>
      <c r="D10" s="91" t="s">
        <v>123</v>
      </c>
      <c r="E10" s="91" t="s">
        <v>124</v>
      </c>
      <c r="F10" s="93" t="s">
        <v>10</v>
      </c>
      <c r="G10" s="93" t="s">
        <v>13</v>
      </c>
      <c r="H10" s="93" t="s">
        <v>16</v>
      </c>
      <c r="I10" s="93" t="s">
        <v>18</v>
      </c>
      <c r="J10" s="91" t="s">
        <v>126</v>
      </c>
      <c r="K10" s="91" t="s">
        <v>127</v>
      </c>
      <c r="L10" s="91" t="s">
        <v>105</v>
      </c>
      <c r="M10" s="91" t="s">
        <v>21</v>
      </c>
      <c r="N10" s="142" t="s">
        <v>24</v>
      </c>
      <c r="O10" s="143"/>
      <c r="P10" s="143"/>
      <c r="Q10" s="143"/>
      <c r="R10" s="144"/>
    </row>
    <row r="11" spans="1:18" s="38" customFormat="1" ht="12.75" customHeight="1" x14ac:dyDescent="0.15">
      <c r="A11" s="94"/>
      <c r="B11" s="95" t="s">
        <v>6</v>
      </c>
      <c r="C11" s="94" t="s">
        <v>8</v>
      </c>
      <c r="D11" s="94" t="s">
        <v>9</v>
      </c>
      <c r="E11" s="94" t="s">
        <v>125</v>
      </c>
      <c r="F11" s="96" t="s">
        <v>11</v>
      </c>
      <c r="G11" s="96" t="s">
        <v>14</v>
      </c>
      <c r="H11" s="96" t="s">
        <v>17</v>
      </c>
      <c r="I11" s="94"/>
      <c r="J11" s="94" t="s">
        <v>19</v>
      </c>
      <c r="K11" s="94" t="s">
        <v>20</v>
      </c>
      <c r="L11" s="94" t="s">
        <v>104</v>
      </c>
      <c r="M11" s="94" t="s">
        <v>22</v>
      </c>
      <c r="N11" s="91" t="s">
        <v>116</v>
      </c>
      <c r="O11" s="91" t="s">
        <v>119</v>
      </c>
      <c r="P11" s="91" t="s">
        <v>106</v>
      </c>
      <c r="Q11" s="91" t="s">
        <v>118</v>
      </c>
      <c r="R11" s="91" t="s">
        <v>107</v>
      </c>
    </row>
    <row r="12" spans="1:18" s="38" customFormat="1" ht="12.75" customHeight="1" x14ac:dyDescent="0.15">
      <c r="A12" s="97" t="s">
        <v>1</v>
      </c>
      <c r="B12" s="98" t="s">
        <v>7</v>
      </c>
      <c r="C12" s="94" t="s">
        <v>7</v>
      </c>
      <c r="D12" s="94" t="s">
        <v>7</v>
      </c>
      <c r="E12" s="94" t="s">
        <v>7</v>
      </c>
      <c r="F12" s="96" t="s">
        <v>12</v>
      </c>
      <c r="G12" s="96" t="s">
        <v>15</v>
      </c>
      <c r="H12" s="96" t="s">
        <v>108</v>
      </c>
      <c r="I12" s="96" t="s">
        <v>109</v>
      </c>
      <c r="J12" s="94" t="s">
        <v>110</v>
      </c>
      <c r="K12" s="94" t="s">
        <v>111</v>
      </c>
      <c r="L12" s="94" t="s">
        <v>108</v>
      </c>
      <c r="M12" s="94" t="s">
        <v>23</v>
      </c>
      <c r="N12" s="97" t="s">
        <v>117</v>
      </c>
      <c r="O12" s="94" t="s">
        <v>117</v>
      </c>
      <c r="P12" s="94" t="s">
        <v>117</v>
      </c>
      <c r="Q12" s="97" t="s">
        <v>120</v>
      </c>
      <c r="R12" s="94" t="s">
        <v>117</v>
      </c>
    </row>
    <row r="13" spans="1:18" ht="12.75" customHeight="1" x14ac:dyDescent="0.15">
      <c r="A13" s="24">
        <v>1</v>
      </c>
      <c r="B13" s="137" t="str">
        <f>IF(可燃!F12+可燃!Q12+紙類!K12+紙類!V12+産廃水産・医療・汚泥!F12+産廃水産・医療・汚泥!U12=0,"",可燃!F12+可燃!Q12+紙類!K12+紙類!V12+産廃水産・医療・汚泥!F12+産廃水産・医療・汚泥!U12)</f>
        <v/>
      </c>
      <c r="C13" s="85"/>
      <c r="D13" s="137"/>
      <c r="E13" s="137"/>
      <c r="F13" s="5"/>
      <c r="G13" s="6"/>
      <c r="H13" s="8"/>
      <c r="I13" s="8"/>
      <c r="J13" s="7"/>
      <c r="K13" s="7"/>
      <c r="L13" s="9"/>
      <c r="M13" s="10"/>
      <c r="N13" s="8"/>
      <c r="O13" s="8"/>
      <c r="P13" s="8"/>
      <c r="Q13" s="8"/>
      <c r="R13" s="8"/>
    </row>
    <row r="14" spans="1:18" ht="12.75" customHeight="1" x14ac:dyDescent="0.15">
      <c r="A14" s="24">
        <v>2</v>
      </c>
      <c r="B14" s="137" t="str">
        <f>IF(可燃!F13+可燃!Q13+紙類!K13+紙類!V13+産廃水産・医療・汚泥!F13+産廃水産・医療・汚泥!U13=0,"",可燃!F13+可燃!Q13+紙類!K13+紙類!V13+産廃水産・医療・汚泥!F13+産廃水産・医療・汚泥!U13)</f>
        <v/>
      </c>
      <c r="C14" s="85"/>
      <c r="D14" s="137"/>
      <c r="E14" s="137"/>
      <c r="F14" s="5"/>
      <c r="G14" s="6"/>
      <c r="H14" s="8"/>
      <c r="I14" s="8"/>
      <c r="J14" s="7"/>
      <c r="K14" s="7"/>
      <c r="L14" s="9"/>
      <c r="M14" s="10"/>
      <c r="N14" s="8"/>
      <c r="O14" s="8"/>
      <c r="P14" s="8"/>
      <c r="Q14" s="8"/>
      <c r="R14" s="8"/>
    </row>
    <row r="15" spans="1:18" ht="12.75" customHeight="1" x14ac:dyDescent="0.15">
      <c r="A15" s="24">
        <v>3</v>
      </c>
      <c r="B15" s="137" t="str">
        <f>IF(可燃!F14+可燃!Q14+紙類!K14+紙類!V14+産廃水産・医療・汚泥!F14+産廃水産・医療・汚泥!U14=0,"",可燃!F14+可燃!Q14+紙類!K14+紙類!V14+産廃水産・医療・汚泥!F14+産廃水産・医療・汚泥!U14)</f>
        <v/>
      </c>
      <c r="C15" s="85"/>
      <c r="D15" s="137"/>
      <c r="E15" s="137"/>
      <c r="F15" s="5"/>
      <c r="G15" s="6"/>
      <c r="H15" s="8"/>
      <c r="I15" s="8"/>
      <c r="J15" s="7"/>
      <c r="K15" s="7"/>
      <c r="L15" s="9"/>
      <c r="M15" s="10"/>
      <c r="N15" s="8"/>
      <c r="O15" s="8"/>
      <c r="P15" s="8"/>
      <c r="Q15" s="8"/>
      <c r="R15" s="8"/>
    </row>
    <row r="16" spans="1:18" ht="12.75" customHeight="1" x14ac:dyDescent="0.15">
      <c r="A16" s="24">
        <v>4</v>
      </c>
      <c r="B16" s="137" t="str">
        <f>IF(可燃!F15+可燃!Q15+紙類!K15+紙類!V15+産廃水産・医療・汚泥!F15+産廃水産・医療・汚泥!U15=0,"",可燃!F15+可燃!Q15+紙類!K15+紙類!V15+産廃水産・医療・汚泥!F15+産廃水産・医療・汚泥!U15)</f>
        <v/>
      </c>
      <c r="C16" s="85"/>
      <c r="D16" s="137"/>
      <c r="E16" s="137"/>
      <c r="F16" s="5"/>
      <c r="G16" s="6"/>
      <c r="H16" s="8"/>
      <c r="I16" s="8"/>
      <c r="J16" s="7"/>
      <c r="K16" s="7"/>
      <c r="L16" s="9"/>
      <c r="M16" s="10"/>
      <c r="N16" s="8"/>
      <c r="O16" s="8"/>
      <c r="P16" s="8"/>
      <c r="Q16" s="8"/>
      <c r="R16" s="8"/>
    </row>
    <row r="17" spans="1:18" ht="12.75" customHeight="1" x14ac:dyDescent="0.15">
      <c r="A17" s="24">
        <v>5</v>
      </c>
      <c r="B17" s="137" t="str">
        <f>IF(可燃!F16+可燃!Q16+紙類!K16+紙類!V16+産廃水産・医療・汚泥!F16+産廃水産・医療・汚泥!U16=0,"",可燃!F16+可燃!Q16+紙類!K16+紙類!V16+産廃水産・医療・汚泥!F16+産廃水産・医療・汚泥!U16)</f>
        <v/>
      </c>
      <c r="C17" s="85"/>
      <c r="D17" s="137"/>
      <c r="E17" s="137"/>
      <c r="F17" s="5"/>
      <c r="G17" s="6"/>
      <c r="H17" s="8"/>
      <c r="I17" s="8"/>
      <c r="J17" s="7"/>
      <c r="K17" s="7"/>
      <c r="L17" s="9"/>
      <c r="M17" s="10"/>
      <c r="N17" s="8"/>
      <c r="O17" s="8"/>
      <c r="P17" s="8"/>
      <c r="Q17" s="8"/>
      <c r="R17" s="8"/>
    </row>
    <row r="18" spans="1:18" ht="12.75" customHeight="1" x14ac:dyDescent="0.15">
      <c r="A18" s="24">
        <v>6</v>
      </c>
      <c r="B18" s="137" t="str">
        <f>IF(可燃!F17+可燃!Q17+紙類!K17+紙類!V17+産廃水産・医療・汚泥!F17+産廃水産・医療・汚泥!U17=0,"",可燃!F17+可燃!Q17+紙類!K17+紙類!V17+産廃水産・医療・汚泥!F17+産廃水産・医療・汚泥!U17)</f>
        <v/>
      </c>
      <c r="C18" s="85"/>
      <c r="D18" s="137"/>
      <c r="E18" s="137"/>
      <c r="F18" s="5"/>
      <c r="G18" s="6"/>
      <c r="H18" s="8"/>
      <c r="I18" s="8"/>
      <c r="J18" s="7"/>
      <c r="K18" s="7"/>
      <c r="L18" s="9"/>
      <c r="M18" s="10"/>
      <c r="N18" s="8"/>
      <c r="O18" s="8"/>
      <c r="P18" s="8"/>
      <c r="Q18" s="8"/>
      <c r="R18" s="8"/>
    </row>
    <row r="19" spans="1:18" ht="12.75" customHeight="1" x14ac:dyDescent="0.15">
      <c r="A19" s="24">
        <v>7</v>
      </c>
      <c r="B19" s="137" t="str">
        <f>IF(可燃!F18+可燃!Q18+紙類!K18+紙類!V18+産廃水産・医療・汚泥!F18+産廃水産・医療・汚泥!U18=0,"",可燃!F18+可燃!Q18+紙類!K18+紙類!V18+産廃水産・医療・汚泥!F18+産廃水産・医療・汚泥!U18)</f>
        <v/>
      </c>
      <c r="C19" s="85"/>
      <c r="D19" s="137"/>
      <c r="E19" s="137"/>
      <c r="F19" s="5"/>
      <c r="G19" s="6"/>
      <c r="H19" s="8"/>
      <c r="I19" s="8"/>
      <c r="J19" s="7"/>
      <c r="K19" s="7"/>
      <c r="L19" s="9"/>
      <c r="M19" s="10"/>
      <c r="N19" s="8"/>
      <c r="O19" s="8"/>
      <c r="P19" s="8"/>
      <c r="Q19" s="8"/>
      <c r="R19" s="8"/>
    </row>
    <row r="20" spans="1:18" ht="12.75" customHeight="1" x14ac:dyDescent="0.15">
      <c r="A20" s="24">
        <v>8</v>
      </c>
      <c r="B20" s="137" t="str">
        <f>IF(可燃!F19+可燃!Q19+紙類!K19+紙類!V19+産廃水産・医療・汚泥!F19+産廃水産・医療・汚泥!U19=0,"",可燃!F19+可燃!Q19+紙類!K19+紙類!V19+産廃水産・医療・汚泥!F19+産廃水産・医療・汚泥!U19)</f>
        <v/>
      </c>
      <c r="C20" s="85"/>
      <c r="D20" s="137"/>
      <c r="E20" s="137"/>
      <c r="F20" s="5"/>
      <c r="G20" s="6"/>
      <c r="H20" s="8"/>
      <c r="I20" s="8"/>
      <c r="J20" s="7"/>
      <c r="K20" s="7"/>
      <c r="L20" s="9"/>
      <c r="M20" s="10"/>
      <c r="N20" s="8"/>
      <c r="O20" s="8"/>
      <c r="P20" s="8"/>
      <c r="Q20" s="8"/>
      <c r="R20" s="8"/>
    </row>
    <row r="21" spans="1:18" ht="12.75" customHeight="1" x14ac:dyDescent="0.15">
      <c r="A21" s="24">
        <v>9</v>
      </c>
      <c r="B21" s="137" t="str">
        <f>IF(可燃!F20+可燃!Q20+紙類!K20+紙類!V20+産廃水産・医療・汚泥!F20+産廃水産・医療・汚泥!U20=0,"",可燃!F20+可燃!Q20+紙類!K20+紙類!V20+産廃水産・医療・汚泥!F20+産廃水産・医療・汚泥!U20)</f>
        <v/>
      </c>
      <c r="C21" s="85"/>
      <c r="D21" s="137"/>
      <c r="E21" s="137"/>
      <c r="F21" s="5"/>
      <c r="G21" s="6"/>
      <c r="H21" s="8"/>
      <c r="I21" s="8"/>
      <c r="J21" s="7"/>
      <c r="K21" s="7"/>
      <c r="L21" s="9"/>
      <c r="M21" s="10"/>
      <c r="N21" s="8"/>
      <c r="O21" s="8"/>
      <c r="P21" s="8"/>
      <c r="Q21" s="8"/>
      <c r="R21" s="8"/>
    </row>
    <row r="22" spans="1:18" ht="12.75" customHeight="1" x14ac:dyDescent="0.15">
      <c r="A22" s="24">
        <v>10</v>
      </c>
      <c r="B22" s="137" t="str">
        <f>IF(可燃!F21+可燃!Q21+紙類!K21+紙類!V21+産廃水産・医療・汚泥!F21+産廃水産・医療・汚泥!U21=0,"",可燃!F21+可燃!Q21+紙類!K21+紙類!V21+産廃水産・医療・汚泥!F21+産廃水産・医療・汚泥!U21)</f>
        <v/>
      </c>
      <c r="C22" s="85"/>
      <c r="D22" s="137"/>
      <c r="E22" s="137"/>
      <c r="F22" s="5"/>
      <c r="G22" s="6"/>
      <c r="H22" s="8"/>
      <c r="I22" s="8"/>
      <c r="J22" s="7"/>
      <c r="K22" s="7"/>
      <c r="L22" s="9"/>
      <c r="M22" s="10"/>
      <c r="N22" s="8"/>
      <c r="O22" s="8"/>
      <c r="P22" s="8"/>
      <c r="Q22" s="8"/>
      <c r="R22" s="8"/>
    </row>
    <row r="23" spans="1:18" ht="12.75" customHeight="1" x14ac:dyDescent="0.15">
      <c r="A23" s="24">
        <v>11</v>
      </c>
      <c r="B23" s="137" t="str">
        <f>IF(可燃!F22+可燃!Q22+紙類!K22+紙類!V22+産廃水産・医療・汚泥!F22+産廃水産・医療・汚泥!U22=0,"",可燃!F22+可燃!Q22+紙類!K22+紙類!V22+産廃水産・医療・汚泥!F22+産廃水産・医療・汚泥!U22)</f>
        <v/>
      </c>
      <c r="C23" s="85"/>
      <c r="D23" s="137"/>
      <c r="E23" s="137"/>
      <c r="F23" s="5"/>
      <c r="G23" s="6"/>
      <c r="H23" s="8"/>
      <c r="I23" s="8"/>
      <c r="J23" s="7"/>
      <c r="K23" s="7"/>
      <c r="L23" s="9"/>
      <c r="M23" s="10"/>
      <c r="N23" s="8"/>
      <c r="O23" s="8"/>
      <c r="P23" s="8"/>
      <c r="Q23" s="8"/>
      <c r="R23" s="8"/>
    </row>
    <row r="24" spans="1:18" ht="12.75" customHeight="1" x14ac:dyDescent="0.15">
      <c r="A24" s="24">
        <v>12</v>
      </c>
      <c r="B24" s="137" t="str">
        <f>IF(可燃!F23+可燃!Q23+紙類!K23+紙類!V23+産廃水産・医療・汚泥!F23+産廃水産・医療・汚泥!U23=0,"",可燃!F23+可燃!Q23+紙類!K23+紙類!V23+産廃水産・医療・汚泥!F23+産廃水産・医療・汚泥!U23)</f>
        <v/>
      </c>
      <c r="C24" s="85"/>
      <c r="D24" s="137"/>
      <c r="E24" s="137"/>
      <c r="F24" s="5"/>
      <c r="G24" s="6"/>
      <c r="H24" s="8"/>
      <c r="I24" s="8"/>
      <c r="J24" s="7"/>
      <c r="K24" s="7"/>
      <c r="L24" s="9"/>
      <c r="M24" s="10"/>
      <c r="N24" s="8"/>
      <c r="O24" s="8"/>
      <c r="P24" s="8"/>
      <c r="Q24" s="8"/>
      <c r="R24" s="8"/>
    </row>
    <row r="25" spans="1:18" ht="12.75" customHeight="1" x14ac:dyDescent="0.15">
      <c r="A25" s="24">
        <v>13</v>
      </c>
      <c r="B25" s="137" t="str">
        <f>IF(可燃!F24+可燃!Q24+紙類!K24+紙類!V24+産廃水産・医療・汚泥!F24+産廃水産・医療・汚泥!U24=0,"",可燃!F24+可燃!Q24+紙類!K24+紙類!V24+産廃水産・医療・汚泥!F24+産廃水産・医療・汚泥!U24)</f>
        <v/>
      </c>
      <c r="C25" s="85"/>
      <c r="D25" s="137"/>
      <c r="E25" s="137"/>
      <c r="F25" s="5"/>
      <c r="G25" s="6"/>
      <c r="H25" s="8"/>
      <c r="I25" s="8"/>
      <c r="J25" s="7"/>
      <c r="K25" s="7"/>
      <c r="L25" s="9"/>
      <c r="M25" s="10"/>
      <c r="N25" s="8"/>
      <c r="O25" s="8"/>
      <c r="P25" s="8"/>
      <c r="Q25" s="8"/>
      <c r="R25" s="8"/>
    </row>
    <row r="26" spans="1:18" ht="12.75" customHeight="1" x14ac:dyDescent="0.15">
      <c r="A26" s="24">
        <v>14</v>
      </c>
      <c r="B26" s="137" t="str">
        <f>IF(可燃!F25+可燃!Q25+紙類!K25+紙類!V25+産廃水産・医療・汚泥!F25+産廃水産・医療・汚泥!U25=0,"",可燃!F25+可燃!Q25+紙類!K25+紙類!V25+産廃水産・医療・汚泥!F25+産廃水産・医療・汚泥!U25)</f>
        <v/>
      </c>
      <c r="C26" s="85"/>
      <c r="D26" s="137"/>
      <c r="E26" s="137"/>
      <c r="F26" s="5"/>
      <c r="G26" s="6"/>
      <c r="H26" s="8"/>
      <c r="I26" s="8"/>
      <c r="J26" s="7"/>
      <c r="K26" s="7"/>
      <c r="L26" s="9"/>
      <c r="M26" s="10"/>
      <c r="N26" s="8"/>
      <c r="O26" s="8"/>
      <c r="P26" s="8"/>
      <c r="Q26" s="8"/>
      <c r="R26" s="8"/>
    </row>
    <row r="27" spans="1:18" ht="12.75" customHeight="1" x14ac:dyDescent="0.15">
      <c r="A27" s="24">
        <v>15</v>
      </c>
      <c r="B27" s="137" t="str">
        <f>IF(可燃!F26+可燃!Q26+紙類!K26+紙類!V26+産廃水産・医療・汚泥!F26+産廃水産・医療・汚泥!U26=0,"",可燃!F26+可燃!Q26+紙類!K26+紙類!V26+産廃水産・医療・汚泥!F26+産廃水産・医療・汚泥!U26)</f>
        <v/>
      </c>
      <c r="C27" s="85"/>
      <c r="D27" s="137"/>
      <c r="E27" s="137"/>
      <c r="F27" s="5"/>
      <c r="G27" s="6"/>
      <c r="H27" s="8"/>
      <c r="I27" s="8"/>
      <c r="J27" s="7"/>
      <c r="K27" s="7"/>
      <c r="L27" s="9"/>
      <c r="M27" s="10"/>
      <c r="N27" s="8"/>
      <c r="O27" s="8"/>
      <c r="P27" s="8"/>
      <c r="Q27" s="8"/>
      <c r="R27" s="8"/>
    </row>
    <row r="28" spans="1:18" ht="12.75" customHeight="1" x14ac:dyDescent="0.15">
      <c r="A28" s="24">
        <v>16</v>
      </c>
      <c r="B28" s="137" t="str">
        <f>IF(可燃!F27+可燃!Q27+紙類!K27+紙類!V27+産廃水産・医療・汚泥!F27+産廃水産・医療・汚泥!U27=0,"",可燃!F27+可燃!Q27+紙類!K27+紙類!V27+産廃水産・医療・汚泥!F27+産廃水産・医療・汚泥!U27)</f>
        <v/>
      </c>
      <c r="C28" s="85"/>
      <c r="D28" s="137"/>
      <c r="E28" s="137"/>
      <c r="F28" s="5"/>
      <c r="G28" s="6"/>
      <c r="H28" s="8"/>
      <c r="I28" s="8"/>
      <c r="J28" s="7"/>
      <c r="K28" s="82"/>
      <c r="L28" s="9"/>
      <c r="M28" s="10"/>
      <c r="N28" s="8"/>
      <c r="O28" s="8"/>
      <c r="P28" s="8"/>
      <c r="Q28" s="8"/>
      <c r="R28" s="8"/>
    </row>
    <row r="29" spans="1:18" ht="12.75" customHeight="1" x14ac:dyDescent="0.15">
      <c r="A29" s="141">
        <v>17</v>
      </c>
      <c r="B29" s="137" t="str">
        <f>IF(可燃!F28+可燃!Q28+紙類!K28+紙類!V28+産廃水産・医療・汚泥!F28+産廃水産・医療・汚泥!U28=0,"",可燃!F28+可燃!Q28+紙類!K28+紙類!V28+産廃水産・医療・汚泥!F28+産廃水産・医療・汚泥!U28)</f>
        <v/>
      </c>
      <c r="C29" s="86"/>
      <c r="D29" s="137"/>
      <c r="E29" s="137"/>
      <c r="F29" s="5"/>
      <c r="G29" s="6"/>
      <c r="H29" s="8"/>
      <c r="I29" s="8"/>
      <c r="J29" s="7"/>
      <c r="K29" s="7"/>
      <c r="L29" s="9"/>
      <c r="M29" s="10"/>
      <c r="N29" s="8"/>
      <c r="O29" s="8"/>
      <c r="P29" s="8"/>
      <c r="Q29" s="8"/>
      <c r="R29" s="8"/>
    </row>
    <row r="30" spans="1:18" ht="12.75" customHeight="1" x14ac:dyDescent="0.15">
      <c r="A30" s="24">
        <v>18</v>
      </c>
      <c r="B30" s="137" t="str">
        <f>IF(可燃!F29+可燃!Q29+紙類!K29+紙類!V29+産廃水産・医療・汚泥!F29+産廃水産・医療・汚泥!U29=0,"",可燃!F29+可燃!Q29+紙類!K29+紙類!V29+産廃水産・医療・汚泥!F29+産廃水産・医療・汚泥!U29)</f>
        <v/>
      </c>
      <c r="C30" s="85"/>
      <c r="D30" s="137"/>
      <c r="E30" s="137"/>
      <c r="F30" s="5"/>
      <c r="G30" s="6"/>
      <c r="H30" s="8"/>
      <c r="I30" s="8"/>
      <c r="J30" s="7"/>
      <c r="K30" s="7"/>
      <c r="L30" s="9"/>
      <c r="M30" s="10"/>
      <c r="N30" s="8"/>
      <c r="O30" s="8"/>
      <c r="P30" s="8"/>
      <c r="Q30" s="8"/>
      <c r="R30" s="8"/>
    </row>
    <row r="31" spans="1:18" ht="12.75" customHeight="1" x14ac:dyDescent="0.15">
      <c r="A31" s="24">
        <v>19</v>
      </c>
      <c r="B31" s="137" t="str">
        <f>IF(可燃!F30+可燃!Q30+紙類!K30+紙類!V30+産廃水産・医療・汚泥!F30+産廃水産・医療・汚泥!U30=0,"",可燃!F30+可燃!Q30+紙類!K30+紙類!V30+産廃水産・医療・汚泥!F30+産廃水産・医療・汚泥!U30)</f>
        <v/>
      </c>
      <c r="C31" s="85"/>
      <c r="D31" s="137"/>
      <c r="E31" s="137"/>
      <c r="F31" s="5"/>
      <c r="G31" s="6"/>
      <c r="H31" s="8"/>
      <c r="I31" s="8"/>
      <c r="J31" s="7"/>
      <c r="K31" s="7"/>
      <c r="L31" s="9"/>
      <c r="M31" s="10"/>
      <c r="N31" s="8"/>
      <c r="O31" s="8"/>
      <c r="P31" s="8"/>
      <c r="Q31" s="8"/>
      <c r="R31" s="8"/>
    </row>
    <row r="32" spans="1:18" ht="12.75" customHeight="1" x14ac:dyDescent="0.15">
      <c r="A32" s="24">
        <v>20</v>
      </c>
      <c r="B32" s="137" t="str">
        <f>IF(可燃!F31+可燃!Q31+紙類!K31+紙類!V31+産廃水産・医療・汚泥!F31+産廃水産・医療・汚泥!U31=0,"",可燃!F31+可燃!Q31+紙類!K31+紙類!V31+産廃水産・医療・汚泥!F31+産廃水産・医療・汚泥!U31)</f>
        <v/>
      </c>
      <c r="C32" s="85"/>
      <c r="D32" s="137"/>
      <c r="E32" s="137"/>
      <c r="F32" s="5"/>
      <c r="G32" s="6"/>
      <c r="H32" s="8"/>
      <c r="I32" s="8"/>
      <c r="J32" s="7"/>
      <c r="K32" s="7"/>
      <c r="L32" s="9"/>
      <c r="M32" s="10"/>
      <c r="N32" s="8"/>
      <c r="O32" s="8"/>
      <c r="P32" s="8"/>
      <c r="Q32" s="8"/>
      <c r="R32" s="8"/>
    </row>
    <row r="33" spans="1:18" ht="12.75" customHeight="1" x14ac:dyDescent="0.15">
      <c r="A33" s="24">
        <v>21</v>
      </c>
      <c r="B33" s="137" t="str">
        <f>IF(可燃!F32+可燃!Q32+紙類!K32+紙類!V32+産廃水産・医療・汚泥!F32+産廃水産・医療・汚泥!U32=0,"",可燃!F32+可燃!Q32+紙類!K32+紙類!V32+産廃水産・医療・汚泥!F32+産廃水産・医療・汚泥!U32)</f>
        <v/>
      </c>
      <c r="C33" s="85"/>
      <c r="D33" s="137"/>
      <c r="E33" s="137"/>
      <c r="F33" s="5"/>
      <c r="G33" s="6"/>
      <c r="H33" s="8"/>
      <c r="I33" s="8"/>
      <c r="J33" s="7"/>
      <c r="K33" s="7"/>
      <c r="L33" s="9"/>
      <c r="M33" s="10"/>
      <c r="N33" s="8"/>
      <c r="O33" s="8"/>
      <c r="P33" s="8"/>
      <c r="Q33" s="8"/>
      <c r="R33" s="8"/>
    </row>
    <row r="34" spans="1:18" ht="12.75" customHeight="1" x14ac:dyDescent="0.15">
      <c r="A34" s="24">
        <v>22</v>
      </c>
      <c r="B34" s="137" t="str">
        <f>IF(可燃!F33+可燃!Q33+紙類!K33+紙類!V33+産廃水産・医療・汚泥!F33+産廃水産・医療・汚泥!U33=0,"",可燃!F33+可燃!Q33+紙類!K33+紙類!V33+産廃水産・医療・汚泥!F33+産廃水産・医療・汚泥!U33)</f>
        <v/>
      </c>
      <c r="C34" s="85"/>
      <c r="D34" s="137"/>
      <c r="E34" s="137"/>
      <c r="F34" s="5"/>
      <c r="G34" s="6"/>
      <c r="H34" s="8"/>
      <c r="I34" s="8"/>
      <c r="J34" s="7"/>
      <c r="K34" s="7"/>
      <c r="L34" s="9"/>
      <c r="M34" s="10"/>
      <c r="N34" s="8"/>
      <c r="O34" s="8"/>
      <c r="P34" s="8"/>
      <c r="Q34" s="8"/>
      <c r="R34" s="8"/>
    </row>
    <row r="35" spans="1:18" ht="12.75" customHeight="1" x14ac:dyDescent="0.15">
      <c r="A35" s="24">
        <v>23</v>
      </c>
      <c r="B35" s="137" t="str">
        <f>IF(可燃!F34+可燃!Q34+紙類!K34+紙類!V34+産廃水産・医療・汚泥!F34+産廃水産・医療・汚泥!U34=0,"",可燃!F34+可燃!Q34+紙類!K34+紙類!V34+産廃水産・医療・汚泥!F34+産廃水産・医療・汚泥!U34)</f>
        <v/>
      </c>
      <c r="C35" s="85"/>
      <c r="D35" s="137"/>
      <c r="E35" s="137"/>
      <c r="F35" s="5"/>
      <c r="G35" s="6"/>
      <c r="H35" s="8"/>
      <c r="I35" s="8"/>
      <c r="J35" s="7"/>
      <c r="K35" s="7"/>
      <c r="L35" s="9"/>
      <c r="M35" s="10"/>
      <c r="N35" s="8"/>
      <c r="O35" s="8"/>
      <c r="P35" s="8"/>
      <c r="Q35" s="8"/>
      <c r="R35" s="8"/>
    </row>
    <row r="36" spans="1:18" ht="12.75" customHeight="1" x14ac:dyDescent="0.15">
      <c r="A36" s="24">
        <v>24</v>
      </c>
      <c r="B36" s="137" t="str">
        <f>IF(可燃!F35+可燃!Q35+紙類!K35+紙類!V35+産廃水産・医療・汚泥!F35+産廃水産・医療・汚泥!U35=0,"",可燃!F35+可燃!Q35+紙類!K35+紙類!V35+産廃水産・医療・汚泥!F35+産廃水産・医療・汚泥!U35)</f>
        <v/>
      </c>
      <c r="C36" s="85"/>
      <c r="D36" s="137"/>
      <c r="E36" s="137"/>
      <c r="F36" s="5"/>
      <c r="G36" s="6"/>
      <c r="H36" s="8"/>
      <c r="I36" s="8"/>
      <c r="J36" s="7"/>
      <c r="K36" s="7"/>
      <c r="L36" s="9"/>
      <c r="M36" s="10"/>
      <c r="N36" s="8"/>
      <c r="O36" s="8"/>
      <c r="P36" s="8"/>
      <c r="Q36" s="8"/>
      <c r="R36" s="8"/>
    </row>
    <row r="37" spans="1:18" ht="12.75" customHeight="1" x14ac:dyDescent="0.15">
      <c r="A37" s="24">
        <v>25</v>
      </c>
      <c r="B37" s="137" t="str">
        <f>IF(可燃!F36+可燃!Q36+紙類!K36+紙類!V36+産廃水産・医療・汚泥!F36+産廃水産・医療・汚泥!U36=0,"",可燃!F36+可燃!Q36+紙類!K36+紙類!V36+産廃水産・医療・汚泥!F36+産廃水産・医療・汚泥!U36)</f>
        <v/>
      </c>
      <c r="C37" s="85"/>
      <c r="D37" s="137"/>
      <c r="E37" s="137"/>
      <c r="F37" s="5"/>
      <c r="G37" s="6"/>
      <c r="H37" s="8"/>
      <c r="I37" s="8"/>
      <c r="J37" s="7"/>
      <c r="K37" s="7"/>
      <c r="L37" s="9"/>
      <c r="M37" s="10"/>
      <c r="N37" s="8"/>
      <c r="O37" s="8"/>
      <c r="P37" s="8"/>
      <c r="Q37" s="8"/>
      <c r="R37" s="8"/>
    </row>
    <row r="38" spans="1:18" ht="12.75" customHeight="1" x14ac:dyDescent="0.15">
      <c r="A38" s="24">
        <v>26</v>
      </c>
      <c r="B38" s="137" t="str">
        <f>IF(可燃!F37+可燃!Q37+紙類!K37+紙類!V37+産廃水産・医療・汚泥!F37+産廃水産・医療・汚泥!U37=0,"",可燃!F37+可燃!Q37+紙類!K37+紙類!V37+産廃水産・医療・汚泥!F37+産廃水産・医療・汚泥!U37)</f>
        <v/>
      </c>
      <c r="C38" s="85"/>
      <c r="D38" s="137"/>
      <c r="E38" s="137"/>
      <c r="F38" s="5"/>
      <c r="G38" s="6"/>
      <c r="H38" s="8"/>
      <c r="I38" s="8"/>
      <c r="J38" s="7"/>
      <c r="K38" s="7"/>
      <c r="L38" s="9"/>
      <c r="M38" s="10"/>
      <c r="N38" s="8"/>
      <c r="O38" s="8"/>
      <c r="P38" s="8"/>
      <c r="Q38" s="8"/>
      <c r="R38" s="8"/>
    </row>
    <row r="39" spans="1:18" ht="12.75" customHeight="1" x14ac:dyDescent="0.15">
      <c r="A39" s="24">
        <v>27</v>
      </c>
      <c r="B39" s="137" t="str">
        <f>IF(可燃!F38+可燃!Q38+紙類!K38+紙類!V38+産廃水産・医療・汚泥!F38+産廃水産・医療・汚泥!U38=0,"",可燃!F38+可燃!Q38+紙類!K38+紙類!V38+産廃水産・医療・汚泥!F38+産廃水産・医療・汚泥!U38)</f>
        <v/>
      </c>
      <c r="C39" s="85"/>
      <c r="D39" s="137"/>
      <c r="E39" s="137"/>
      <c r="F39" s="5"/>
      <c r="G39" s="6"/>
      <c r="H39" s="8"/>
      <c r="I39" s="8"/>
      <c r="J39" s="7"/>
      <c r="K39" s="7"/>
      <c r="L39" s="9"/>
      <c r="M39" s="10"/>
      <c r="N39" s="8"/>
      <c r="O39" s="8"/>
      <c r="P39" s="8"/>
      <c r="Q39" s="8"/>
      <c r="R39" s="8"/>
    </row>
    <row r="40" spans="1:18" ht="12.75" customHeight="1" x14ac:dyDescent="0.15">
      <c r="A40" s="24">
        <v>28</v>
      </c>
      <c r="B40" s="137" t="str">
        <f>IF(可燃!F39+可燃!Q39+紙類!K39+紙類!V39+産廃水産・医療・汚泥!F39+産廃水産・医療・汚泥!U39=0,"",可燃!F39+可燃!Q39+紙類!K39+紙類!V39+産廃水産・医療・汚泥!F39+産廃水産・医療・汚泥!U39)</f>
        <v/>
      </c>
      <c r="C40" s="85"/>
      <c r="D40" s="137"/>
      <c r="E40" s="137"/>
      <c r="F40" s="5"/>
      <c r="G40" s="6"/>
      <c r="H40" s="8"/>
      <c r="I40" s="8"/>
      <c r="J40" s="7"/>
      <c r="K40" s="7"/>
      <c r="L40" s="9"/>
      <c r="M40" s="10"/>
      <c r="N40" s="8"/>
      <c r="O40" s="8"/>
      <c r="P40" s="8"/>
      <c r="Q40" s="8"/>
      <c r="R40" s="8"/>
    </row>
    <row r="41" spans="1:18" ht="12.75" customHeight="1" x14ac:dyDescent="0.15">
      <c r="A41" s="24">
        <v>29</v>
      </c>
      <c r="B41" s="137" t="str">
        <f>IF(可燃!F40+可燃!Q40+紙類!K40+紙類!V40+産廃水産・医療・汚泥!F40+産廃水産・医療・汚泥!U40=0,"",可燃!F40+可燃!Q40+紙類!K40+紙類!V40+産廃水産・医療・汚泥!F40+産廃水産・医療・汚泥!U40)</f>
        <v/>
      </c>
      <c r="C41" s="85"/>
      <c r="D41" s="137"/>
      <c r="E41" s="137"/>
      <c r="F41" s="5"/>
      <c r="G41" s="6"/>
      <c r="H41" s="8"/>
      <c r="I41" s="8"/>
      <c r="J41" s="7"/>
      <c r="K41" s="7"/>
      <c r="L41" s="9"/>
      <c r="M41" s="10"/>
      <c r="N41" s="8"/>
      <c r="O41" s="8"/>
      <c r="P41" s="8"/>
      <c r="Q41" s="8"/>
      <c r="R41" s="8"/>
    </row>
    <row r="42" spans="1:18" ht="12.75" customHeight="1" x14ac:dyDescent="0.15">
      <c r="A42" s="24">
        <v>30</v>
      </c>
      <c r="B42" s="137" t="str">
        <f>IF(可燃!F41+可燃!Q41+紙類!K41+紙類!V41+産廃水産・医療・汚泥!F41+産廃水産・医療・汚泥!U41=0,"",可燃!F41+可燃!Q41+紙類!K41+紙類!V41+産廃水産・医療・汚泥!F41+産廃水産・医療・汚泥!U41)</f>
        <v/>
      </c>
      <c r="C42" s="85"/>
      <c r="D42" s="137"/>
      <c r="E42" s="137"/>
      <c r="F42" s="5"/>
      <c r="G42" s="6"/>
      <c r="H42" s="8"/>
      <c r="I42" s="8"/>
      <c r="J42" s="7"/>
      <c r="K42" s="7"/>
      <c r="L42" s="9"/>
      <c r="M42" s="10"/>
      <c r="N42" s="8"/>
      <c r="O42" s="8"/>
      <c r="P42" s="8"/>
      <c r="Q42" s="8"/>
      <c r="R42" s="8"/>
    </row>
    <row r="43" spans="1:18" ht="12.75" customHeight="1" thickBot="1" x14ac:dyDescent="0.2">
      <c r="A43" s="107">
        <v>31</v>
      </c>
      <c r="B43" s="138" t="str">
        <f>IF(可燃!F42+可燃!Q42+紙類!K42+紙類!V42+産廃水産・医療・汚泥!F42+産廃水産・医療・汚泥!U42=0,"",可燃!F42+可燃!Q42+紙類!K42+紙類!V42+産廃水産・医療・汚泥!F42+産廃水産・医療・汚泥!U42)</f>
        <v/>
      </c>
      <c r="C43" s="87"/>
      <c r="D43" s="138"/>
      <c r="E43" s="138"/>
      <c r="F43" s="11"/>
      <c r="G43" s="12"/>
      <c r="H43" s="16"/>
      <c r="I43" s="16"/>
      <c r="J43" s="13"/>
      <c r="K43" s="13"/>
      <c r="L43" s="83"/>
      <c r="M43" s="15"/>
      <c r="N43" s="16"/>
      <c r="O43" s="16"/>
      <c r="P43" s="16"/>
      <c r="Q43" s="16"/>
      <c r="R43" s="16"/>
    </row>
    <row r="44" spans="1:18" ht="12.75" customHeight="1" thickTop="1" x14ac:dyDescent="0.15">
      <c r="A44" s="17" t="s">
        <v>2</v>
      </c>
      <c r="B44" s="60">
        <f>ROUND(SUM(B13:B43),1)</f>
        <v>0</v>
      </c>
      <c r="C44" s="61">
        <f>ROUND(SUM(C13:C43),1)</f>
        <v>0</v>
      </c>
      <c r="D44" s="61">
        <f>ROUND(SUM(D13:D43),1)</f>
        <v>0</v>
      </c>
      <c r="E44" s="61">
        <f>ROUND(SUM(E13:E43),1)</f>
        <v>0</v>
      </c>
      <c r="F44" s="18">
        <f>SUM(F13:F43)</f>
        <v>0</v>
      </c>
      <c r="G44" s="19">
        <f>SUM(G13:G43)</f>
        <v>0</v>
      </c>
      <c r="H44" s="20"/>
      <c r="I44" s="20"/>
      <c r="J44" s="21"/>
      <c r="K44" s="21"/>
      <c r="L44" s="22"/>
      <c r="M44" s="23">
        <f>SUM(M13:M43)</f>
        <v>0</v>
      </c>
      <c r="N44" s="20"/>
      <c r="O44" s="20"/>
      <c r="P44" s="20"/>
      <c r="Q44" s="20"/>
      <c r="R44" s="20"/>
    </row>
    <row r="45" spans="1:18" x14ac:dyDescent="0.15">
      <c r="A45" s="24" t="s">
        <v>3</v>
      </c>
      <c r="B45" s="84" t="str">
        <f>IF(COUNTIF(B13:B43,"&gt;0")=0,"",ROUND(B44/COUNTIF(B13:B43,"&gt;0"),1))</f>
        <v/>
      </c>
      <c r="C45" s="84" t="str">
        <f>IF(COUNTIF(C13:C43,"&gt;0")=0,"",ROUND(C44/COUNTIF(C13:C43,"&gt;0"),1))</f>
        <v/>
      </c>
      <c r="D45" s="84" t="str">
        <f>IF(COUNTIF(D13:D43,"&gt;0")=0,"",ROUND(D44/COUNTIF(D13:D43,"&gt;0"),1))</f>
        <v/>
      </c>
      <c r="E45" s="84" t="str">
        <f>IF(COUNTIF(E13:E43,"&gt;0")=0,"",ROUND(E44/COUNTIF(E13:E43,"&gt;0"),1))</f>
        <v/>
      </c>
      <c r="F45" s="5" t="str">
        <f>IF(SUM(F13:F43)=0,"",AVERAGE(F13:F43))</f>
        <v/>
      </c>
      <c r="G45" s="6" t="str">
        <f>IF(SUM(G13:G43)=0,"",AVERAGE(G13:G43))</f>
        <v/>
      </c>
      <c r="H45" s="8" t="str">
        <f>IF(SUM(H13:H43)=0,"",AVERAGE(H13:H43))</f>
        <v/>
      </c>
      <c r="I45" s="8" t="str">
        <f>IF(SUM(I13:I43)=0,"",AVERAGE(I13:I43))</f>
        <v/>
      </c>
      <c r="J45" s="25">
        <v>3.43</v>
      </c>
      <c r="K45" s="26" t="s">
        <v>93</v>
      </c>
      <c r="L45" s="9" t="str">
        <f t="shared" ref="L45:R45" si="0">IF(SUM(L13:L43)=0,"",AVERAGE(L13:L43))</f>
        <v/>
      </c>
      <c r="M45" s="10" t="str">
        <f t="shared" si="0"/>
        <v/>
      </c>
      <c r="N45" s="8" t="str">
        <f t="shared" si="0"/>
        <v/>
      </c>
      <c r="O45" s="8" t="str">
        <f t="shared" si="0"/>
        <v/>
      </c>
      <c r="P45" s="8" t="str">
        <f t="shared" si="0"/>
        <v/>
      </c>
      <c r="Q45" s="8" t="str">
        <f t="shared" si="0"/>
        <v/>
      </c>
      <c r="R45" s="8" t="str">
        <f t="shared" si="0"/>
        <v/>
      </c>
    </row>
    <row r="46" spans="1:18" x14ac:dyDescent="0.15">
      <c r="A46" s="24" t="s">
        <v>4</v>
      </c>
      <c r="B46" s="84">
        <f>ROUND(MAX(B13:B43),1)</f>
        <v>0</v>
      </c>
      <c r="C46" s="84">
        <f>ROUND(MAX(C13:C43),1)</f>
        <v>0</v>
      </c>
      <c r="D46" s="84">
        <f>ROUND(MAX(D13:D43),1)</f>
        <v>0</v>
      </c>
      <c r="E46" s="84">
        <f>ROUND(MAX(E13:E43),1)</f>
        <v>0</v>
      </c>
      <c r="F46" s="5">
        <f>MAX(F13:F43)</f>
        <v>0</v>
      </c>
      <c r="G46" s="6">
        <f>MAX(G13:G43)</f>
        <v>0</v>
      </c>
      <c r="H46" s="8">
        <f>MAX(H13:H43)</f>
        <v>0</v>
      </c>
      <c r="I46" s="8">
        <f>MAX(I13:I43)</f>
        <v>0</v>
      </c>
      <c r="J46" s="7"/>
      <c r="K46" s="7"/>
      <c r="L46" s="9">
        <f t="shared" ref="L46:R46" si="1">MAX(L13:L43)</f>
        <v>0</v>
      </c>
      <c r="M46" s="10">
        <f t="shared" si="1"/>
        <v>0</v>
      </c>
      <c r="N46" s="8">
        <f t="shared" si="1"/>
        <v>0</v>
      </c>
      <c r="O46" s="8">
        <f t="shared" si="1"/>
        <v>0</v>
      </c>
      <c r="P46" s="8">
        <f t="shared" si="1"/>
        <v>0</v>
      </c>
      <c r="Q46" s="8">
        <f t="shared" si="1"/>
        <v>0</v>
      </c>
      <c r="R46" s="8">
        <f t="shared" si="1"/>
        <v>0</v>
      </c>
    </row>
    <row r="47" spans="1:18" x14ac:dyDescent="0.15">
      <c r="A47" s="24" t="s">
        <v>5</v>
      </c>
      <c r="B47" s="84" t="str">
        <f>IF(COUNTIF(B13:B43,"&gt;0")=0,"",ROUND(LARGE(B13:B43,COUNTIF(B13:B43,"&gt;0")),1))</f>
        <v/>
      </c>
      <c r="C47" s="84" t="str">
        <f>IF(COUNTIF(C13:C43,"&gt;0")=0,"",ROUND(LARGE(C13:C43,COUNTIF(C13:C43,"&gt;0")),1))</f>
        <v/>
      </c>
      <c r="D47" s="84" t="str">
        <f>IF(COUNTIF(D13:D43,"&gt;0")=0,"",ROUND(LARGE(D13:D43,COUNTIF(D13:D43,"&gt;0")),1))</f>
        <v/>
      </c>
      <c r="E47" s="84" t="str">
        <f>IF(COUNTIF(E13:E43,"&gt;0")=0,"",ROUND(LARGE(E13:E43,COUNTIF(E13:E43,"&gt;0")),1))</f>
        <v/>
      </c>
      <c r="F47" s="8">
        <f>MIN(F13:F43)</f>
        <v>0</v>
      </c>
      <c r="G47" s="6">
        <f>MIN(G13:G43)</f>
        <v>0</v>
      </c>
      <c r="H47" s="8">
        <f>MIN(H13:H43)</f>
        <v>0</v>
      </c>
      <c r="I47" s="8">
        <f>MIN(I13:I43)</f>
        <v>0</v>
      </c>
      <c r="J47" s="7"/>
      <c r="K47" s="7"/>
      <c r="L47" s="9">
        <f t="shared" ref="L47:R47" si="2">MIN(L13:L43)</f>
        <v>0</v>
      </c>
      <c r="M47" s="10">
        <f t="shared" si="2"/>
        <v>0</v>
      </c>
      <c r="N47" s="8">
        <f t="shared" si="2"/>
        <v>0</v>
      </c>
      <c r="O47" s="8">
        <f t="shared" si="2"/>
        <v>0</v>
      </c>
      <c r="P47" s="8">
        <f t="shared" si="2"/>
        <v>0</v>
      </c>
      <c r="Q47" s="8">
        <f t="shared" si="2"/>
        <v>0</v>
      </c>
      <c r="R47" s="8">
        <f t="shared" si="2"/>
        <v>0</v>
      </c>
    </row>
  </sheetData>
  <mergeCells count="15">
    <mergeCell ref="A4:R4"/>
    <mergeCell ref="Q6:R6"/>
    <mergeCell ref="Q5:R5"/>
    <mergeCell ref="Q7:R7"/>
    <mergeCell ref="O5:P5"/>
    <mergeCell ref="O6:P6"/>
    <mergeCell ref="O7:P7"/>
    <mergeCell ref="K5:N5"/>
    <mergeCell ref="K6:N6"/>
    <mergeCell ref="N10:R10"/>
    <mergeCell ref="B9:D9"/>
    <mergeCell ref="K7:N7"/>
    <mergeCell ref="I5:J5"/>
    <mergeCell ref="I6:J6"/>
    <mergeCell ref="I7:J7"/>
  </mergeCells>
  <phoneticPr fontId="3"/>
  <conditionalFormatting sqref="A13:A43">
    <cfRule type="expression" dxfId="23" priority="3" stopIfTrue="1">
      <formula>WEEKDAY(DATE(VALUE(MID($B$9,4,2))+1988,VALUE(MID($B$9,7,2)),A13))=7</formula>
    </cfRule>
    <cfRule type="expression" dxfId="22" priority="4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R43" xr:uid="{49256B5F-6409-4B28-B135-5E040704A093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8622-FC09-4361-A1FC-DF3DDA267EAC}">
  <sheetPr codeName="Sheet10"/>
  <dimension ref="A1:P47"/>
  <sheetViews>
    <sheetView showZeros="0" workbookViewId="0">
      <pane ySplit="12" topLeftCell="A13" activePane="bottomLeft" state="frozen"/>
      <selection pane="bottomLeft" activeCell="H9" sqref="H9"/>
    </sheetView>
  </sheetViews>
  <sheetFormatPr defaultRowHeight="13.5" x14ac:dyDescent="0.15"/>
  <cols>
    <col min="1" max="1" width="3.75" style="100" customWidth="1"/>
    <col min="2" max="2" width="9.25" style="2" customWidth="1"/>
    <col min="3" max="7" width="9.25" style="3" customWidth="1"/>
    <col min="8" max="14" width="9.25" style="1" customWidth="1"/>
    <col min="15" max="15" width="9.75" style="1" bestFit="1" customWidth="1"/>
    <col min="16" max="16" width="9.125" style="1" bestFit="1" customWidth="1"/>
    <col min="17" max="16384" width="9" style="1"/>
  </cols>
  <sheetData>
    <row r="1" spans="1:16" ht="25.5" x14ac:dyDescent="0.15">
      <c r="A1" s="149" t="s">
        <v>35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99"/>
      <c r="P1" s="99"/>
    </row>
    <row r="2" spans="1:16" ht="12.75" hidden="1" customHeight="1" x14ac:dyDescent="0.15">
      <c r="A2" s="2"/>
      <c r="F2" s="1"/>
      <c r="G2" s="1"/>
    </row>
    <row r="3" spans="1:16" ht="12.75" hidden="1" customHeight="1" x14ac:dyDescent="0.15">
      <c r="A3" s="2"/>
      <c r="F3" s="1"/>
      <c r="G3" s="1"/>
    </row>
    <row r="4" spans="1:16" ht="12.75" hidden="1" customHeight="1" x14ac:dyDescent="0.15">
      <c r="A4" s="1"/>
      <c r="B4" s="55"/>
      <c r="C4" s="1"/>
      <c r="F4" s="1"/>
      <c r="G4" s="1"/>
    </row>
    <row r="5" spans="1:16" s="3" customFormat="1" ht="12.75" customHeight="1" x14ac:dyDescent="0.15">
      <c r="B5" s="2"/>
      <c r="F5" s="152" t="s">
        <v>32</v>
      </c>
      <c r="G5" s="152"/>
      <c r="H5" s="152" t="s">
        <v>30</v>
      </c>
      <c r="I5" s="152"/>
      <c r="J5" s="152" t="s">
        <v>72</v>
      </c>
      <c r="K5" s="152"/>
      <c r="L5" s="152" t="s">
        <v>36</v>
      </c>
      <c r="M5" s="152"/>
      <c r="N5" s="152"/>
    </row>
    <row r="6" spans="1:16" x14ac:dyDescent="0.15">
      <c r="A6" s="2"/>
      <c r="F6" s="152" t="s">
        <v>74</v>
      </c>
      <c r="G6" s="152"/>
      <c r="H6" s="153" t="s">
        <v>31</v>
      </c>
      <c r="I6" s="155"/>
      <c r="J6" s="152" t="s">
        <v>73</v>
      </c>
      <c r="K6" s="152"/>
      <c r="L6" s="152" t="s">
        <v>37</v>
      </c>
      <c r="M6" s="152"/>
      <c r="N6" s="152"/>
    </row>
    <row r="7" spans="1:16" x14ac:dyDescent="0.15">
      <c r="A7" s="2"/>
      <c r="F7" s="152" t="s">
        <v>33</v>
      </c>
      <c r="G7" s="152"/>
      <c r="H7" s="152" t="s">
        <v>196</v>
      </c>
      <c r="I7" s="152"/>
      <c r="J7" s="152" t="s">
        <v>29</v>
      </c>
      <c r="K7" s="152"/>
      <c r="L7" s="152" t="s">
        <v>38</v>
      </c>
      <c r="M7" s="152"/>
      <c r="N7" s="152"/>
    </row>
    <row r="8" spans="1:16" hidden="1" x14ac:dyDescent="0.15">
      <c r="A8" s="2"/>
      <c r="F8" s="2"/>
      <c r="G8" s="2"/>
      <c r="H8" s="2"/>
      <c r="I8" s="2"/>
      <c r="J8" s="2"/>
      <c r="K8" s="2"/>
      <c r="L8" s="2"/>
      <c r="M8" s="2"/>
      <c r="N8" s="2"/>
    </row>
    <row r="9" spans="1:16" x14ac:dyDescent="0.15">
      <c r="A9" s="2" t="s">
        <v>49</v>
      </c>
      <c r="B9" s="145" t="str">
        <f>'A-1'!B9:D9</f>
        <v>(令和9年07月)</v>
      </c>
      <c r="C9" s="145"/>
      <c r="D9" s="146"/>
    </row>
    <row r="10" spans="1:16" s="40" customFormat="1" ht="12.75" customHeight="1" x14ac:dyDescent="0.15">
      <c r="A10" s="45" t="s">
        <v>0</v>
      </c>
      <c r="B10" s="39" t="s">
        <v>50</v>
      </c>
      <c r="C10" s="48" t="s">
        <v>50</v>
      </c>
      <c r="D10" s="153" t="s">
        <v>39</v>
      </c>
      <c r="E10" s="154"/>
      <c r="F10" s="154"/>
      <c r="G10" s="154"/>
      <c r="H10" s="154"/>
      <c r="I10" s="155"/>
      <c r="J10" s="39" t="s">
        <v>13</v>
      </c>
      <c r="K10" s="39" t="s">
        <v>40</v>
      </c>
      <c r="L10" s="39" t="s">
        <v>41</v>
      </c>
      <c r="M10" s="153" t="s">
        <v>42</v>
      </c>
      <c r="N10" s="155"/>
    </row>
    <row r="11" spans="1:16" s="40" customFormat="1" ht="12.75" customHeight="1" x14ac:dyDescent="0.15">
      <c r="A11" s="46"/>
      <c r="B11" s="41" t="s">
        <v>6</v>
      </c>
      <c r="C11" s="51" t="s">
        <v>8</v>
      </c>
      <c r="D11" s="153" t="s">
        <v>43</v>
      </c>
      <c r="E11" s="154"/>
      <c r="F11" s="155"/>
      <c r="G11" s="156" t="s">
        <v>101</v>
      </c>
      <c r="H11" s="157"/>
      <c r="I11" s="158"/>
      <c r="J11" s="41" t="s">
        <v>14</v>
      </c>
      <c r="K11" s="41" t="s">
        <v>44</v>
      </c>
      <c r="L11" s="41" t="s">
        <v>44</v>
      </c>
      <c r="M11" s="39" t="s">
        <v>45</v>
      </c>
      <c r="N11" s="39" t="s">
        <v>51</v>
      </c>
    </row>
    <row r="12" spans="1:16" s="44" customFormat="1" ht="12.75" customHeight="1" x14ac:dyDescent="0.15">
      <c r="A12" s="47" t="s">
        <v>1</v>
      </c>
      <c r="B12" s="4" t="s">
        <v>7</v>
      </c>
      <c r="C12" s="51" t="s">
        <v>7</v>
      </c>
      <c r="D12" s="42" t="s">
        <v>100</v>
      </c>
      <c r="E12" s="43" t="s">
        <v>46</v>
      </c>
      <c r="F12" s="43" t="s">
        <v>102</v>
      </c>
      <c r="G12" s="42" t="s">
        <v>100</v>
      </c>
      <c r="H12" s="43" t="s">
        <v>46</v>
      </c>
      <c r="I12" s="43" t="s">
        <v>102</v>
      </c>
      <c r="J12" s="41" t="s">
        <v>47</v>
      </c>
      <c r="K12" s="41" t="s">
        <v>48</v>
      </c>
      <c r="L12" s="41" t="s">
        <v>48</v>
      </c>
      <c r="M12" s="41" t="s">
        <v>48</v>
      </c>
      <c r="N12" s="41" t="s">
        <v>48</v>
      </c>
    </row>
    <row r="13" spans="1:16" ht="12.75" customHeight="1" x14ac:dyDescent="0.15">
      <c r="A13" s="24">
        <v>1</v>
      </c>
      <c r="B13" s="9"/>
      <c r="C13" s="52">
        <f>SUM(D13:I13)</f>
        <v>0</v>
      </c>
      <c r="D13" s="9"/>
      <c r="E13" s="9"/>
      <c r="F13" s="9"/>
      <c r="G13" s="27"/>
      <c r="H13" s="27"/>
      <c r="I13" s="28"/>
      <c r="J13" s="28"/>
      <c r="K13" s="28"/>
      <c r="L13" s="28"/>
      <c r="M13" s="28"/>
      <c r="N13" s="28"/>
    </row>
    <row r="14" spans="1:16" ht="12.75" customHeight="1" x14ac:dyDescent="0.15">
      <c r="A14" s="24">
        <v>2</v>
      </c>
      <c r="B14" s="9"/>
      <c r="C14" s="52">
        <f>SUM(D14:I14)</f>
        <v>0</v>
      </c>
      <c r="D14" s="9"/>
      <c r="E14" s="9"/>
      <c r="F14" s="9"/>
      <c r="G14" s="27"/>
      <c r="H14" s="27"/>
      <c r="I14" s="28"/>
      <c r="J14" s="28"/>
      <c r="K14" s="28"/>
      <c r="L14" s="28"/>
      <c r="M14" s="28"/>
      <c r="N14" s="28"/>
    </row>
    <row r="15" spans="1:16" ht="12.75" customHeight="1" x14ac:dyDescent="0.15">
      <c r="A15" s="24">
        <v>3</v>
      </c>
      <c r="B15" s="9"/>
      <c r="C15" s="52">
        <f>SUM(D15:I15)</f>
        <v>0</v>
      </c>
      <c r="D15" s="9"/>
      <c r="E15" s="9"/>
      <c r="F15" s="9"/>
      <c r="G15" s="29"/>
      <c r="H15" s="27"/>
      <c r="I15" s="28"/>
      <c r="J15" s="28"/>
      <c r="K15" s="28"/>
      <c r="L15" s="28"/>
      <c r="M15" s="28"/>
      <c r="N15" s="28"/>
    </row>
    <row r="16" spans="1:16" ht="12.75" customHeight="1" x14ac:dyDescent="0.15">
      <c r="A16" s="24">
        <v>4</v>
      </c>
      <c r="B16" s="9"/>
      <c r="C16" s="52">
        <f t="shared" ref="C16:C42" si="0">SUM(D16:I16)</f>
        <v>0</v>
      </c>
      <c r="D16" s="9"/>
      <c r="E16" s="9"/>
      <c r="F16" s="9"/>
      <c r="G16" s="29"/>
      <c r="H16" s="27"/>
      <c r="I16" s="28"/>
      <c r="J16" s="28"/>
      <c r="K16" s="28"/>
      <c r="L16" s="28"/>
      <c r="M16" s="28"/>
      <c r="N16" s="28"/>
    </row>
    <row r="17" spans="1:14" ht="12.75" customHeight="1" x14ac:dyDescent="0.15">
      <c r="A17" s="24">
        <v>5</v>
      </c>
      <c r="B17" s="9"/>
      <c r="C17" s="52">
        <f t="shared" si="0"/>
        <v>0</v>
      </c>
      <c r="D17" s="9"/>
      <c r="E17" s="9"/>
      <c r="F17" s="9"/>
      <c r="G17" s="29"/>
      <c r="H17" s="27"/>
      <c r="I17" s="28"/>
      <c r="J17" s="28"/>
      <c r="K17" s="28"/>
      <c r="L17" s="28"/>
      <c r="M17" s="28"/>
      <c r="N17" s="28"/>
    </row>
    <row r="18" spans="1:14" ht="12.75" customHeight="1" x14ac:dyDescent="0.15">
      <c r="A18" s="24">
        <v>6</v>
      </c>
      <c r="B18" s="9"/>
      <c r="C18" s="52">
        <f t="shared" si="0"/>
        <v>0</v>
      </c>
      <c r="D18" s="9"/>
      <c r="E18" s="9"/>
      <c r="F18" s="9"/>
      <c r="G18" s="27"/>
      <c r="H18" s="27"/>
      <c r="I18" s="28"/>
      <c r="J18" s="28"/>
      <c r="K18" s="28"/>
      <c r="L18" s="28"/>
      <c r="M18" s="28"/>
      <c r="N18" s="28"/>
    </row>
    <row r="19" spans="1:14" ht="12.75" customHeight="1" x14ac:dyDescent="0.15">
      <c r="A19" s="24">
        <v>7</v>
      </c>
      <c r="B19" s="9"/>
      <c r="C19" s="52">
        <f t="shared" si="0"/>
        <v>0</v>
      </c>
      <c r="D19" s="9"/>
      <c r="E19" s="9"/>
      <c r="F19" s="9"/>
      <c r="G19" s="27"/>
      <c r="H19" s="27"/>
      <c r="I19" s="28"/>
      <c r="J19" s="28"/>
      <c r="K19" s="28"/>
      <c r="L19" s="28"/>
      <c r="M19" s="28"/>
      <c r="N19" s="28"/>
    </row>
    <row r="20" spans="1:14" ht="12.75" customHeight="1" x14ac:dyDescent="0.15">
      <c r="A20" s="24">
        <v>8</v>
      </c>
      <c r="B20" s="9"/>
      <c r="C20" s="52">
        <f t="shared" si="0"/>
        <v>0</v>
      </c>
      <c r="D20" s="9"/>
      <c r="E20" s="9"/>
      <c r="F20" s="9"/>
      <c r="G20" s="27"/>
      <c r="H20" s="27"/>
      <c r="I20" s="28"/>
      <c r="J20" s="28"/>
      <c r="K20" s="30"/>
      <c r="L20" s="28"/>
      <c r="M20" s="28"/>
      <c r="N20" s="28"/>
    </row>
    <row r="21" spans="1:14" ht="12.75" customHeight="1" x14ac:dyDescent="0.15">
      <c r="A21" s="24">
        <v>9</v>
      </c>
      <c r="B21" s="9"/>
      <c r="C21" s="52">
        <f t="shared" si="0"/>
        <v>0</v>
      </c>
      <c r="D21" s="9"/>
      <c r="E21" s="9">
        <f>COUNTIF(F20:F25,"&gt;0")</f>
        <v>0</v>
      </c>
      <c r="F21" s="9"/>
      <c r="G21" s="27"/>
      <c r="H21" s="27"/>
      <c r="I21" s="28"/>
      <c r="J21" s="28"/>
      <c r="K21" s="28"/>
      <c r="L21" s="28"/>
      <c r="M21" s="28"/>
      <c r="N21" s="28"/>
    </row>
    <row r="22" spans="1:14" ht="12.75" customHeight="1" x14ac:dyDescent="0.15">
      <c r="A22" s="24">
        <v>10</v>
      </c>
      <c r="B22" s="9"/>
      <c r="C22" s="52">
        <f t="shared" si="0"/>
        <v>0</v>
      </c>
      <c r="D22" s="9"/>
      <c r="E22" s="9"/>
      <c r="F22" s="9"/>
      <c r="G22" s="27"/>
      <c r="H22" s="27"/>
      <c r="I22" s="28"/>
      <c r="J22" s="28"/>
      <c r="K22" s="28"/>
      <c r="L22" s="28"/>
      <c r="M22" s="28"/>
      <c r="N22" s="28"/>
    </row>
    <row r="23" spans="1:14" ht="12.75" customHeight="1" x14ac:dyDescent="0.15">
      <c r="A23" s="24">
        <v>11</v>
      </c>
      <c r="B23" s="9"/>
      <c r="C23" s="52">
        <f t="shared" si="0"/>
        <v>0</v>
      </c>
      <c r="D23" s="9"/>
      <c r="E23" s="9"/>
      <c r="F23" s="9"/>
      <c r="G23" s="27"/>
      <c r="H23" s="27"/>
      <c r="I23" s="28"/>
      <c r="J23" s="28"/>
      <c r="K23" s="28"/>
      <c r="L23" s="28"/>
      <c r="M23" s="28"/>
      <c r="N23" s="28"/>
    </row>
    <row r="24" spans="1:14" ht="12.75" customHeight="1" x14ac:dyDescent="0.15">
      <c r="A24" s="24">
        <v>12</v>
      </c>
      <c r="B24" s="9"/>
      <c r="C24" s="52">
        <f t="shared" si="0"/>
        <v>0</v>
      </c>
      <c r="D24" s="9"/>
      <c r="E24" s="9"/>
      <c r="F24" s="9"/>
      <c r="G24" s="27"/>
      <c r="H24" s="27"/>
      <c r="I24" s="28"/>
      <c r="J24" s="28"/>
      <c r="K24" s="28"/>
      <c r="L24" s="28"/>
      <c r="M24" s="28"/>
      <c r="N24" s="28"/>
    </row>
    <row r="25" spans="1:14" ht="12.75" customHeight="1" x14ac:dyDescent="0.15">
      <c r="A25" s="24">
        <v>13</v>
      </c>
      <c r="B25" s="9"/>
      <c r="C25" s="52">
        <f t="shared" si="0"/>
        <v>0</v>
      </c>
      <c r="D25" s="9"/>
      <c r="E25" s="9"/>
      <c r="F25" s="9"/>
      <c r="G25" s="27"/>
      <c r="H25" s="27"/>
      <c r="I25" s="28"/>
      <c r="J25" s="28"/>
      <c r="K25" s="28"/>
      <c r="L25" s="28"/>
      <c r="M25" s="28"/>
      <c r="N25" s="28"/>
    </row>
    <row r="26" spans="1:14" ht="12.75" customHeight="1" x14ac:dyDescent="0.15">
      <c r="A26" s="24">
        <v>14</v>
      </c>
      <c r="B26" s="9"/>
      <c r="C26" s="52">
        <f t="shared" si="0"/>
        <v>0</v>
      </c>
      <c r="D26" s="9"/>
      <c r="E26" s="9"/>
      <c r="F26" s="9"/>
      <c r="G26" s="27"/>
      <c r="H26" s="27"/>
      <c r="I26" s="28"/>
      <c r="J26" s="28"/>
      <c r="K26" s="28"/>
      <c r="L26" s="28"/>
      <c r="M26" s="28"/>
      <c r="N26" s="28"/>
    </row>
    <row r="27" spans="1:14" ht="12.75" customHeight="1" x14ac:dyDescent="0.15">
      <c r="A27" s="24">
        <v>15</v>
      </c>
      <c r="B27" s="9"/>
      <c r="C27" s="52">
        <f t="shared" si="0"/>
        <v>0</v>
      </c>
      <c r="D27" s="9"/>
      <c r="E27" s="9"/>
      <c r="F27" s="9"/>
      <c r="G27" s="27"/>
      <c r="H27" s="27"/>
      <c r="I27" s="28"/>
      <c r="J27" s="28"/>
      <c r="K27" s="28"/>
      <c r="L27" s="28"/>
      <c r="M27" s="28"/>
      <c r="N27" s="28"/>
    </row>
    <row r="28" spans="1:14" ht="12.75" customHeight="1" x14ac:dyDescent="0.15">
      <c r="A28" s="24">
        <v>16</v>
      </c>
      <c r="B28" s="9"/>
      <c r="C28" s="52">
        <f t="shared" si="0"/>
        <v>0</v>
      </c>
      <c r="D28" s="9"/>
      <c r="E28" s="9"/>
      <c r="F28" s="9"/>
      <c r="G28" s="27"/>
      <c r="H28" s="27"/>
      <c r="I28" s="28"/>
      <c r="J28" s="28"/>
      <c r="K28" s="28"/>
      <c r="L28" s="28"/>
      <c r="M28" s="28"/>
      <c r="N28" s="28"/>
    </row>
    <row r="29" spans="1:14" ht="12.75" customHeight="1" x14ac:dyDescent="0.15">
      <c r="A29" s="141">
        <v>17</v>
      </c>
      <c r="B29" s="9"/>
      <c r="C29" s="52">
        <f t="shared" si="0"/>
        <v>0</v>
      </c>
      <c r="D29" s="9"/>
      <c r="E29" s="9"/>
      <c r="F29" s="9"/>
      <c r="G29" s="27"/>
      <c r="H29" s="27"/>
      <c r="I29" s="28"/>
      <c r="J29" s="28"/>
      <c r="K29" s="28"/>
      <c r="L29" s="28"/>
      <c r="M29" s="28"/>
      <c r="N29" s="28"/>
    </row>
    <row r="30" spans="1:14" ht="12.75" customHeight="1" x14ac:dyDescent="0.15">
      <c r="A30" s="24">
        <v>18</v>
      </c>
      <c r="B30" s="9"/>
      <c r="C30" s="52">
        <f t="shared" si="0"/>
        <v>0</v>
      </c>
      <c r="D30" s="9"/>
      <c r="E30" s="9"/>
      <c r="F30" s="9"/>
      <c r="G30" s="27"/>
      <c r="H30" s="27"/>
      <c r="I30" s="28"/>
      <c r="J30" s="28"/>
      <c r="K30" s="28"/>
      <c r="L30" s="28"/>
      <c r="M30" s="28"/>
      <c r="N30" s="28"/>
    </row>
    <row r="31" spans="1:14" ht="12.75" customHeight="1" x14ac:dyDescent="0.15">
      <c r="A31" s="24">
        <v>19</v>
      </c>
      <c r="B31" s="9"/>
      <c r="C31" s="52">
        <f t="shared" si="0"/>
        <v>0</v>
      </c>
      <c r="D31" s="9"/>
      <c r="E31" s="9"/>
      <c r="F31" s="9"/>
      <c r="G31" s="27"/>
      <c r="H31" s="27"/>
      <c r="I31" s="28"/>
      <c r="J31" s="28"/>
      <c r="K31" s="28"/>
      <c r="L31" s="28"/>
      <c r="M31" s="28"/>
      <c r="N31" s="28"/>
    </row>
    <row r="32" spans="1:14" ht="12.75" customHeight="1" x14ac:dyDescent="0.15">
      <c r="A32" s="24">
        <v>20</v>
      </c>
      <c r="B32" s="9"/>
      <c r="C32" s="52">
        <f t="shared" si="0"/>
        <v>0</v>
      </c>
      <c r="D32" s="9"/>
      <c r="E32" s="9"/>
      <c r="F32" s="9"/>
      <c r="G32" s="27"/>
      <c r="H32" s="27"/>
      <c r="I32" s="28"/>
      <c r="J32" s="28"/>
      <c r="K32" s="28"/>
      <c r="L32" s="28"/>
      <c r="M32" s="28"/>
      <c r="N32" s="28"/>
    </row>
    <row r="33" spans="1:14" ht="12.75" customHeight="1" x14ac:dyDescent="0.15">
      <c r="A33" s="24">
        <v>21</v>
      </c>
      <c r="B33" s="9"/>
      <c r="C33" s="52">
        <f t="shared" si="0"/>
        <v>0</v>
      </c>
      <c r="D33" s="9"/>
      <c r="E33" s="9"/>
      <c r="F33" s="9"/>
      <c r="G33" s="27"/>
      <c r="H33" s="27"/>
      <c r="I33" s="28"/>
      <c r="J33" s="28"/>
      <c r="K33" s="28"/>
      <c r="L33" s="28"/>
      <c r="M33" s="28"/>
      <c r="N33" s="28"/>
    </row>
    <row r="34" spans="1:14" ht="12.75" customHeight="1" x14ac:dyDescent="0.15">
      <c r="A34" s="24">
        <v>22</v>
      </c>
      <c r="B34" s="9"/>
      <c r="C34" s="52">
        <f t="shared" si="0"/>
        <v>0</v>
      </c>
      <c r="D34" s="9"/>
      <c r="E34" s="9"/>
      <c r="F34" s="9"/>
      <c r="G34" s="27"/>
      <c r="H34" s="27"/>
      <c r="I34" s="28"/>
      <c r="J34" s="28"/>
      <c r="K34" s="28"/>
      <c r="L34" s="28"/>
      <c r="M34" s="28"/>
      <c r="N34" s="28"/>
    </row>
    <row r="35" spans="1:14" ht="12.75" customHeight="1" x14ac:dyDescent="0.15">
      <c r="A35" s="24">
        <v>23</v>
      </c>
      <c r="B35" s="9"/>
      <c r="C35" s="52">
        <f t="shared" si="0"/>
        <v>0</v>
      </c>
      <c r="D35" s="9"/>
      <c r="E35" s="9"/>
      <c r="F35" s="9"/>
      <c r="G35" s="27"/>
      <c r="H35" s="27"/>
      <c r="I35" s="28"/>
      <c r="J35" s="28"/>
      <c r="K35" s="28"/>
      <c r="L35" s="28"/>
      <c r="M35" s="28"/>
      <c r="N35" s="28"/>
    </row>
    <row r="36" spans="1:14" ht="12.75" customHeight="1" x14ac:dyDescent="0.15">
      <c r="A36" s="24">
        <v>24</v>
      </c>
      <c r="B36" s="9"/>
      <c r="C36" s="52">
        <f t="shared" si="0"/>
        <v>0</v>
      </c>
      <c r="D36" s="9"/>
      <c r="E36" s="9"/>
      <c r="F36" s="9"/>
      <c r="G36" s="9"/>
      <c r="H36" s="27"/>
      <c r="I36" s="28"/>
      <c r="J36" s="28"/>
      <c r="K36" s="28"/>
      <c r="L36" s="28"/>
      <c r="M36" s="28"/>
      <c r="N36" s="28"/>
    </row>
    <row r="37" spans="1:14" ht="12.75" customHeight="1" x14ac:dyDescent="0.15">
      <c r="A37" s="24">
        <v>25</v>
      </c>
      <c r="B37" s="9"/>
      <c r="C37" s="52">
        <f t="shared" si="0"/>
        <v>0</v>
      </c>
      <c r="D37" s="9"/>
      <c r="E37" s="9"/>
      <c r="F37" s="9"/>
      <c r="G37" s="27"/>
      <c r="H37" s="27"/>
      <c r="I37" s="28"/>
      <c r="J37" s="28"/>
      <c r="K37" s="28"/>
      <c r="L37" s="28"/>
      <c r="M37" s="28"/>
      <c r="N37" s="28"/>
    </row>
    <row r="38" spans="1:14" ht="12.75" customHeight="1" x14ac:dyDescent="0.15">
      <c r="A38" s="24">
        <v>26</v>
      </c>
      <c r="B38" s="9"/>
      <c r="C38" s="52">
        <f t="shared" si="0"/>
        <v>0</v>
      </c>
      <c r="D38" s="9"/>
      <c r="E38" s="9"/>
      <c r="F38" s="9"/>
      <c r="G38" s="27"/>
      <c r="H38" s="27"/>
      <c r="I38" s="28"/>
      <c r="J38" s="28"/>
      <c r="K38" s="28"/>
      <c r="L38" s="28"/>
      <c r="M38" s="28"/>
      <c r="N38" s="28"/>
    </row>
    <row r="39" spans="1:14" ht="12.75" customHeight="1" x14ac:dyDescent="0.15">
      <c r="A39" s="24">
        <v>27</v>
      </c>
      <c r="B39" s="9"/>
      <c r="C39" s="52">
        <f t="shared" si="0"/>
        <v>0</v>
      </c>
      <c r="D39" s="9"/>
      <c r="E39" s="9"/>
      <c r="F39" s="9"/>
      <c r="G39" s="27"/>
      <c r="H39" s="27"/>
      <c r="I39" s="28"/>
      <c r="J39" s="28"/>
      <c r="K39" s="28"/>
      <c r="L39" s="28"/>
      <c r="M39" s="28"/>
      <c r="N39" s="28"/>
    </row>
    <row r="40" spans="1:14" ht="12.75" customHeight="1" x14ac:dyDescent="0.15">
      <c r="A40" s="24">
        <v>28</v>
      </c>
      <c r="B40" s="9"/>
      <c r="C40" s="52">
        <f t="shared" si="0"/>
        <v>0</v>
      </c>
      <c r="D40" s="9"/>
      <c r="E40" s="9"/>
      <c r="F40" s="9"/>
      <c r="G40" s="27"/>
      <c r="H40" s="27"/>
      <c r="I40" s="28"/>
      <c r="J40" s="28"/>
      <c r="K40" s="28"/>
      <c r="L40" s="28"/>
      <c r="M40" s="28"/>
      <c r="N40" s="28"/>
    </row>
    <row r="41" spans="1:14" ht="12.75" customHeight="1" x14ac:dyDescent="0.15">
      <c r="A41" s="24">
        <v>29</v>
      </c>
      <c r="B41" s="9"/>
      <c r="C41" s="52">
        <f t="shared" si="0"/>
        <v>0</v>
      </c>
      <c r="D41" s="9"/>
      <c r="E41" s="9"/>
      <c r="F41" s="9"/>
      <c r="G41" s="27"/>
      <c r="H41" s="27"/>
      <c r="I41" s="28"/>
      <c r="J41" s="28"/>
      <c r="K41" s="28"/>
      <c r="L41" s="28"/>
      <c r="M41" s="28"/>
      <c r="N41" s="28"/>
    </row>
    <row r="42" spans="1:14" ht="12.75" customHeight="1" x14ac:dyDescent="0.15">
      <c r="A42" s="24">
        <v>30</v>
      </c>
      <c r="B42" s="9"/>
      <c r="C42" s="52">
        <f t="shared" si="0"/>
        <v>0</v>
      </c>
      <c r="D42" s="9"/>
      <c r="E42" s="9"/>
      <c r="F42" s="9"/>
      <c r="G42" s="27"/>
      <c r="H42" s="27"/>
      <c r="I42" s="28"/>
      <c r="J42" s="28"/>
      <c r="K42" s="28"/>
      <c r="L42" s="28"/>
      <c r="M42" s="28"/>
      <c r="N42" s="28"/>
    </row>
    <row r="43" spans="1:14" ht="12.75" customHeight="1" thickBot="1" x14ac:dyDescent="0.2">
      <c r="A43" s="107">
        <v>31</v>
      </c>
      <c r="B43" s="31"/>
      <c r="C43" s="53"/>
      <c r="D43" s="31"/>
      <c r="E43" s="14"/>
      <c r="F43" s="31"/>
      <c r="G43" s="31"/>
      <c r="H43" s="32"/>
      <c r="I43" s="33"/>
      <c r="J43" s="34"/>
      <c r="K43" s="34"/>
      <c r="L43" s="34"/>
      <c r="M43" s="34"/>
      <c r="N43" s="34"/>
    </row>
    <row r="44" spans="1:14" ht="12.75" customHeight="1" thickTop="1" x14ac:dyDescent="0.15">
      <c r="A44" s="49" t="s">
        <v>2</v>
      </c>
      <c r="B44" s="22">
        <f>SUM(B13:B43)</f>
        <v>0</v>
      </c>
      <c r="C44" s="54">
        <f>SUM(C13:C43)</f>
        <v>0</v>
      </c>
      <c r="D44" s="35">
        <f>SUM(D13:D43)</f>
        <v>0</v>
      </c>
      <c r="E44" s="22"/>
      <c r="F44" s="22">
        <f>SUM(F13:F43)</f>
        <v>0</v>
      </c>
      <c r="G44" s="35">
        <f>SUM(G13:G43)</f>
        <v>0</v>
      </c>
      <c r="H44" s="36"/>
      <c r="I44" s="35">
        <f>SUM(I13:I43)</f>
        <v>0</v>
      </c>
      <c r="J44" s="35"/>
      <c r="K44" s="35"/>
      <c r="L44" s="35"/>
      <c r="M44" s="35"/>
      <c r="N44" s="35"/>
    </row>
    <row r="45" spans="1:14" ht="12.75" customHeight="1" x14ac:dyDescent="0.15">
      <c r="A45" s="50" t="s">
        <v>3</v>
      </c>
      <c r="B45" s="9" t="str">
        <f>IF(SUM(B13:B43)=0,"",AVERAGE(B13:B43))</f>
        <v/>
      </c>
      <c r="C45" s="52" t="str">
        <f>IF(SUM(C13:C43)=0,"",SUM(C13:C43)/COUNTIF(C13:C43,"&gt;0"))</f>
        <v/>
      </c>
      <c r="D45" s="9" t="str">
        <f t="shared" ref="D45:N45" si="1">IF(SUM(D13:D43)=0,"",AVERAGE(D13:D43))</f>
        <v/>
      </c>
      <c r="E45" s="9" t="str">
        <f t="shared" si="1"/>
        <v/>
      </c>
      <c r="F45" s="9" t="str">
        <f t="shared" si="1"/>
        <v/>
      </c>
      <c r="G45" s="9" t="str">
        <f>IF(SUM(G13:G43)=0,"",AVERAGE(G13:G43))</f>
        <v/>
      </c>
      <c r="H45" s="9" t="str">
        <f t="shared" si="1"/>
        <v/>
      </c>
      <c r="I45" s="9" t="str">
        <f t="shared" si="1"/>
        <v/>
      </c>
      <c r="J45" s="9" t="str">
        <f t="shared" si="1"/>
        <v/>
      </c>
      <c r="K45" s="9" t="str">
        <f t="shared" si="1"/>
        <v/>
      </c>
      <c r="L45" s="9" t="str">
        <f t="shared" si="1"/>
        <v/>
      </c>
      <c r="M45" s="9" t="str">
        <f t="shared" si="1"/>
        <v/>
      </c>
      <c r="N45" s="9" t="str">
        <f t="shared" si="1"/>
        <v/>
      </c>
    </row>
    <row r="46" spans="1:14" ht="12.75" customHeight="1" x14ac:dyDescent="0.15">
      <c r="A46" s="50" t="s">
        <v>4</v>
      </c>
      <c r="B46" s="9">
        <f>MAX(B13:B43)</f>
        <v>0</v>
      </c>
      <c r="C46" s="52">
        <f>MAX(C13:C43)</f>
        <v>0</v>
      </c>
      <c r="D46" s="9">
        <f>MAX(D13:D43)</f>
        <v>0</v>
      </c>
      <c r="E46" s="9"/>
      <c r="F46" s="9">
        <f>MAX(F13:F43)</f>
        <v>0</v>
      </c>
      <c r="G46" s="9">
        <f>MAX(G13:G43)</f>
        <v>0</v>
      </c>
      <c r="H46" s="27"/>
      <c r="I46" s="28">
        <f>MAX(I13:I43)</f>
        <v>0</v>
      </c>
      <c r="J46" s="28"/>
      <c r="K46" s="28"/>
      <c r="L46" s="28"/>
      <c r="M46" s="28"/>
      <c r="N46" s="28"/>
    </row>
    <row r="47" spans="1:14" ht="12.75" customHeight="1" x14ac:dyDescent="0.15">
      <c r="A47" s="50" t="s">
        <v>5</v>
      </c>
      <c r="B47" s="56" t="str">
        <f>IF(COUNTIF(B13:B43,"&gt;0")=0,"",LARGE(B13:B43,COUNTIF(B13:B43,"&gt;0")))</f>
        <v/>
      </c>
      <c r="C47" s="37" t="str">
        <f t="shared" ref="C47:I47" si="2">IF(COUNTIF(C13:C43,"&gt;0")=0,"",LARGE(C13:C43,COUNTIF(C13:C43,"&gt;0")))</f>
        <v/>
      </c>
      <c r="D47" s="37" t="str">
        <f t="shared" si="2"/>
        <v/>
      </c>
      <c r="E47" s="37" t="str">
        <f t="shared" si="2"/>
        <v/>
      </c>
      <c r="F47" s="37" t="str">
        <f t="shared" si="2"/>
        <v/>
      </c>
      <c r="G47" s="37" t="str">
        <f t="shared" si="2"/>
        <v/>
      </c>
      <c r="H47" s="37" t="str">
        <f t="shared" si="2"/>
        <v/>
      </c>
      <c r="I47" s="37" t="str">
        <f t="shared" si="2"/>
        <v/>
      </c>
      <c r="J47" s="9">
        <f>MIN(J13:J43)</f>
        <v>0</v>
      </c>
      <c r="K47" s="9">
        <f>MIN(K13:K43)</f>
        <v>0</v>
      </c>
      <c r="L47" s="9">
        <f>MIN(L13:L43)</f>
        <v>0</v>
      </c>
      <c r="M47" s="9">
        <f>MIN(M13:M43)</f>
        <v>0</v>
      </c>
      <c r="N47" s="9">
        <f>MIN(N13:N43)</f>
        <v>0</v>
      </c>
    </row>
  </sheetData>
  <mergeCells count="18">
    <mergeCell ref="D11:F11"/>
    <mergeCell ref="G11:I11"/>
    <mergeCell ref="J6:K6"/>
    <mergeCell ref="J7:K7"/>
    <mergeCell ref="B9:D9"/>
    <mergeCell ref="L6:N6"/>
    <mergeCell ref="L7:N7"/>
    <mergeCell ref="A1:N1"/>
    <mergeCell ref="D10:I10"/>
    <mergeCell ref="M10:N10"/>
    <mergeCell ref="F6:G6"/>
    <mergeCell ref="F7:G7"/>
    <mergeCell ref="H6:I6"/>
    <mergeCell ref="H7:I7"/>
    <mergeCell ref="L5:N5"/>
    <mergeCell ref="H5:I5"/>
    <mergeCell ref="F5:G5"/>
    <mergeCell ref="J5:K5"/>
  </mergeCells>
  <phoneticPr fontId="3"/>
  <conditionalFormatting sqref="A13:A43">
    <cfRule type="expression" dxfId="21" priority="5" stopIfTrue="1">
      <formula>WEEKDAY(DATE(VALUE(MID($B$9,4,2))+1988,VALUE(MID($B$9,7,2)),A13))=7</formula>
    </cfRule>
    <cfRule type="expression" dxfId="20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N43" xr:uid="{534A9E7E-2632-4E26-A2BB-B77A5722F785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3512-B72E-4D1E-B3E1-AA6D353AB2B2}">
  <sheetPr codeName="Sheet11"/>
  <dimension ref="A1:V48"/>
  <sheetViews>
    <sheetView workbookViewId="0">
      <pane ySplit="13" topLeftCell="A14" activePane="bottomLeft" state="frozen"/>
      <selection pane="bottomLeft" activeCell="W21" sqref="W21"/>
    </sheetView>
  </sheetViews>
  <sheetFormatPr defaultRowHeight="13.5" x14ac:dyDescent="0.15"/>
  <cols>
    <col min="1" max="1" width="3.75" style="1" customWidth="1"/>
    <col min="2" max="11" width="6.5" style="1" customWidth="1"/>
    <col min="12" max="19" width="7.25" style="1" customWidth="1"/>
    <col min="20" max="20" width="9.125" style="1" customWidth="1"/>
    <col min="21" max="22" width="4.5" style="1" customWidth="1"/>
    <col min="23" max="16384" width="9" style="1"/>
  </cols>
  <sheetData>
    <row r="1" spans="1:22" s="101" customFormat="1" ht="18" customHeight="1" x14ac:dyDescent="0.15">
      <c r="A1" s="165" t="s">
        <v>64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</row>
    <row r="2" spans="1:22" s="44" customFormat="1" ht="12" customHeight="1" x14ac:dyDescent="0.15">
      <c r="H2" s="159" t="s">
        <v>32</v>
      </c>
      <c r="I2" s="160"/>
      <c r="J2" s="161" t="s">
        <v>30</v>
      </c>
      <c r="K2" s="162"/>
      <c r="L2" s="163"/>
      <c r="M2" s="159" t="s">
        <v>75</v>
      </c>
      <c r="N2" s="164"/>
      <c r="O2" s="160"/>
      <c r="P2" s="161" t="s">
        <v>170</v>
      </c>
      <c r="Q2" s="162"/>
      <c r="R2" s="162"/>
      <c r="S2" s="162"/>
      <c r="T2" s="163"/>
    </row>
    <row r="3" spans="1:22" s="44" customFormat="1" ht="12" customHeight="1" x14ac:dyDescent="0.15">
      <c r="H3" s="159" t="s">
        <v>78</v>
      </c>
      <c r="I3" s="160"/>
      <c r="J3" s="161" t="s">
        <v>174</v>
      </c>
      <c r="K3" s="162"/>
      <c r="L3" s="163"/>
      <c r="M3" s="159" t="s">
        <v>76</v>
      </c>
      <c r="N3" s="164"/>
      <c r="O3" s="160"/>
      <c r="P3" s="161" t="s">
        <v>160</v>
      </c>
      <c r="Q3" s="162"/>
      <c r="R3" s="162"/>
      <c r="S3" s="162"/>
      <c r="T3" s="163"/>
    </row>
    <row r="4" spans="1:22" s="44" customFormat="1" ht="12" customHeight="1" x14ac:dyDescent="0.15">
      <c r="H4" s="159" t="s">
        <v>66</v>
      </c>
      <c r="I4" s="160"/>
      <c r="J4" s="161" t="s">
        <v>175</v>
      </c>
      <c r="K4" s="162"/>
      <c r="L4" s="163"/>
      <c r="M4" s="159" t="s">
        <v>77</v>
      </c>
      <c r="N4" s="164"/>
      <c r="O4" s="160"/>
      <c r="P4" s="161" t="s">
        <v>176</v>
      </c>
      <c r="Q4" s="162"/>
      <c r="R4" s="162"/>
      <c r="S4" s="162"/>
      <c r="T4" s="163"/>
    </row>
    <row r="5" spans="1:22" s="44" customFormat="1" ht="12" customHeight="1" x14ac:dyDescent="0.15">
      <c r="H5" s="159" t="s">
        <v>67</v>
      </c>
      <c r="I5" s="160"/>
      <c r="J5" s="161" t="s">
        <v>177</v>
      </c>
      <c r="K5" s="162"/>
      <c r="L5" s="163"/>
      <c r="M5" s="159" t="s">
        <v>79</v>
      </c>
      <c r="N5" s="160"/>
      <c r="O5" s="59" t="s">
        <v>178</v>
      </c>
      <c r="P5" s="161" t="s">
        <v>172</v>
      </c>
      <c r="Q5" s="162"/>
      <c r="R5" s="162"/>
      <c r="S5" s="162"/>
      <c r="T5" s="163"/>
    </row>
    <row r="6" spans="1:22" s="44" customFormat="1" ht="12" customHeight="1" x14ac:dyDescent="0.15">
      <c r="H6" s="159" t="s">
        <v>33</v>
      </c>
      <c r="I6" s="160"/>
      <c r="J6" s="159" t="s">
        <v>65</v>
      </c>
      <c r="K6" s="164"/>
      <c r="L6" s="160"/>
      <c r="M6" s="159" t="s">
        <v>80</v>
      </c>
      <c r="N6" s="160"/>
      <c r="O6" s="59" t="s">
        <v>179</v>
      </c>
      <c r="P6" s="161" t="s">
        <v>173</v>
      </c>
      <c r="Q6" s="162"/>
      <c r="R6" s="162"/>
      <c r="S6" s="162"/>
      <c r="T6" s="163"/>
    </row>
    <row r="7" spans="1:22" s="44" customFormat="1" ht="11.25" hidden="1" customHeight="1" x14ac:dyDescent="0.15">
      <c r="P7" s="105"/>
      <c r="Q7" s="105"/>
      <c r="R7" s="105"/>
      <c r="S7" s="105"/>
      <c r="T7" s="105"/>
      <c r="U7" s="105"/>
      <c r="V7" s="105"/>
    </row>
    <row r="8" spans="1:22" s="44" customFormat="1" ht="11.25" hidden="1" customHeight="1" x14ac:dyDescent="0.15">
      <c r="P8" s="105"/>
      <c r="Q8" s="105"/>
      <c r="R8" s="105"/>
      <c r="S8" s="105"/>
      <c r="T8" s="105"/>
      <c r="U8" s="105"/>
      <c r="V8" s="105"/>
    </row>
    <row r="9" spans="1:22" ht="12.75" customHeight="1" x14ac:dyDescent="0.15">
      <c r="A9" s="3" t="s">
        <v>68</v>
      </c>
      <c r="B9" s="145" t="str">
        <f>'A-1'!B9:D9</f>
        <v>(令和9年07月)</v>
      </c>
      <c r="C9" s="145"/>
      <c r="D9" s="146"/>
      <c r="E9" s="2"/>
      <c r="F9" s="2"/>
      <c r="G9" s="2"/>
    </row>
    <row r="10" spans="1:22" s="44" customFormat="1" ht="12" customHeight="1" x14ac:dyDescent="0.15">
      <c r="A10" s="75" t="s">
        <v>0</v>
      </c>
      <c r="B10" s="75"/>
      <c r="C10" s="166" t="s">
        <v>56</v>
      </c>
      <c r="D10" s="167"/>
      <c r="E10" s="167"/>
      <c r="F10" s="167"/>
      <c r="G10" s="167"/>
      <c r="H10" s="167"/>
      <c r="I10" s="75"/>
      <c r="J10" s="168" t="s">
        <v>81</v>
      </c>
      <c r="K10" s="169"/>
      <c r="L10" s="169"/>
      <c r="M10" s="169"/>
      <c r="N10" s="169"/>
      <c r="O10" s="169"/>
      <c r="P10" s="169"/>
      <c r="Q10" s="169"/>
      <c r="R10" s="169"/>
      <c r="S10" s="169"/>
      <c r="T10" s="170"/>
    </row>
    <row r="11" spans="1:22" s="44" customFormat="1" ht="12" customHeight="1" x14ac:dyDescent="0.15">
      <c r="A11" s="77"/>
      <c r="B11" s="76" t="s">
        <v>129</v>
      </c>
      <c r="C11" s="75" t="s">
        <v>54</v>
      </c>
      <c r="D11" s="75" t="s">
        <v>55</v>
      </c>
      <c r="E11" s="75" t="s">
        <v>164</v>
      </c>
      <c r="F11" s="76" t="s">
        <v>166</v>
      </c>
      <c r="G11" s="76" t="s">
        <v>167</v>
      </c>
      <c r="H11" s="75" t="s">
        <v>184</v>
      </c>
      <c r="I11" s="125" t="s">
        <v>57</v>
      </c>
      <c r="J11" s="79" t="s">
        <v>58</v>
      </c>
      <c r="K11" s="79" t="s">
        <v>60</v>
      </c>
      <c r="L11" s="168" t="s">
        <v>62</v>
      </c>
      <c r="M11" s="169"/>
      <c r="N11" s="169"/>
      <c r="O11" s="169"/>
      <c r="P11" s="168" t="s">
        <v>63</v>
      </c>
      <c r="Q11" s="169"/>
      <c r="R11" s="169"/>
      <c r="S11" s="169"/>
      <c r="T11" s="170"/>
    </row>
    <row r="12" spans="1:22" s="44" customFormat="1" ht="12" customHeight="1" x14ac:dyDescent="0.15">
      <c r="A12" s="77"/>
      <c r="B12" s="77" t="s">
        <v>52</v>
      </c>
      <c r="C12" s="80" t="s">
        <v>130</v>
      </c>
      <c r="D12" s="80" t="s">
        <v>130</v>
      </c>
      <c r="E12" s="80" t="s">
        <v>165</v>
      </c>
      <c r="F12" s="80" t="s">
        <v>171</v>
      </c>
      <c r="G12" s="77" t="s">
        <v>168</v>
      </c>
      <c r="H12" s="80" t="s">
        <v>185</v>
      </c>
      <c r="I12" s="126"/>
      <c r="J12" s="78" t="s">
        <v>59</v>
      </c>
      <c r="K12" s="78" t="s">
        <v>61</v>
      </c>
      <c r="L12" s="139" t="s">
        <v>131</v>
      </c>
      <c r="M12" s="139" t="s">
        <v>132</v>
      </c>
      <c r="N12" s="139" t="s">
        <v>133</v>
      </c>
      <c r="O12" s="139" t="s">
        <v>134</v>
      </c>
      <c r="P12" s="139" t="s">
        <v>131</v>
      </c>
      <c r="Q12" s="139" t="s">
        <v>132</v>
      </c>
      <c r="R12" s="139" t="s">
        <v>133</v>
      </c>
      <c r="S12" s="139" t="s">
        <v>134</v>
      </c>
      <c r="T12" s="74" t="s">
        <v>186</v>
      </c>
    </row>
    <row r="13" spans="1:22" s="44" customFormat="1" ht="12" customHeight="1" x14ac:dyDescent="0.15">
      <c r="A13" s="57" t="s">
        <v>53</v>
      </c>
      <c r="B13" s="57" t="s">
        <v>48</v>
      </c>
      <c r="C13" s="58" t="s">
        <v>48</v>
      </c>
      <c r="D13" s="58" t="s">
        <v>48</v>
      </c>
      <c r="E13" s="58" t="s">
        <v>48</v>
      </c>
      <c r="F13" s="58" t="s">
        <v>48</v>
      </c>
      <c r="G13" s="57" t="s">
        <v>48</v>
      </c>
      <c r="H13" s="58" t="s">
        <v>48</v>
      </c>
      <c r="I13" s="127" t="s">
        <v>135</v>
      </c>
      <c r="J13" s="102" t="s">
        <v>135</v>
      </c>
      <c r="K13" s="106" t="s">
        <v>135</v>
      </c>
      <c r="L13" s="58" t="s">
        <v>189</v>
      </c>
      <c r="M13" s="81" t="s">
        <v>187</v>
      </c>
      <c r="N13" s="81" t="s">
        <v>188</v>
      </c>
      <c r="O13" s="81" t="s">
        <v>173</v>
      </c>
      <c r="P13" s="58" t="s">
        <v>189</v>
      </c>
      <c r="Q13" s="81" t="s">
        <v>187</v>
      </c>
      <c r="R13" s="81" t="s">
        <v>188</v>
      </c>
      <c r="S13" s="81" t="s">
        <v>173</v>
      </c>
      <c r="T13" s="64" t="s">
        <v>169</v>
      </c>
    </row>
    <row r="14" spans="1:22" s="44" customFormat="1" ht="12" customHeight="1" x14ac:dyDescent="0.15">
      <c r="A14" s="24">
        <v>1</v>
      </c>
      <c r="B14" s="60" t="str">
        <f>IF(SUM(C14:H14)=0,"",SUM(C14:H14))</f>
        <v/>
      </c>
      <c r="C14" s="60" t="str">
        <f>IF(可燃!K12+不燃・木くず・海岸清掃!F12+ビン類!K12+缶類!K12+ペットボトル!K12+粗大!P12+紙類!Q12=0,"",可燃!K12+不燃・木くず・海岸清掃!F12+ビン類!K12+缶類!K12+ペットボトル!K12+粗大!P12+紙類!Q12)</f>
        <v/>
      </c>
      <c r="D14" s="60" t="str">
        <f>IF(不燃・木くず・海岸清掃!K12+不燃・木くず・海岸清掃!P12+不燃・木くず・海岸清掃!Z12+可燃!V12+ビン類!V12+缶類!V12+ペットボトル!V12+粗大!Z12=0,"",不燃・木くず・海岸清掃!K12+不燃・木くず・海岸清掃!P12+不燃・木くず・海岸清掃!Z12+可燃!V12+ビン類!V12+缶類!V12+ペットボトル!V12+粗大!Z12)</f>
        <v/>
      </c>
      <c r="E14" s="60" t="str">
        <f>IF(産廃水産・医療・汚泥!X12=0,"",産廃水産・医療・汚泥!X12)</f>
        <v/>
      </c>
      <c r="F14" s="60" t="str">
        <f>IF(産廃水産・医療・汚泥!P12=0,"",産廃水産・医療・汚泥!P12)</f>
        <v/>
      </c>
      <c r="G14" s="60" t="str">
        <f>IF(産廃水産・医療・汚泥!K12=0,"",産廃水産・医療・汚泥!K12)</f>
        <v/>
      </c>
      <c r="H14" s="60" t="str">
        <f>IF('A-1'!D13+'A-1'!E13=0,"",'A-1'!D13+'A-1'!E13)</f>
        <v/>
      </c>
      <c r="I14" s="60" t="str">
        <f>IF(SUM(B14)*0.54=0,"",SUM(B14)*0.54)</f>
        <v/>
      </c>
      <c r="J14" s="60"/>
      <c r="K14" s="62"/>
      <c r="L14" s="63"/>
      <c r="M14" s="60"/>
      <c r="N14" s="60"/>
      <c r="O14" s="60"/>
      <c r="P14" s="63"/>
      <c r="Q14" s="60"/>
      <c r="R14" s="60"/>
      <c r="S14" s="60"/>
      <c r="T14" s="64"/>
    </row>
    <row r="15" spans="1:22" s="44" customFormat="1" ht="12" customHeight="1" x14ac:dyDescent="0.15">
      <c r="A15" s="24">
        <v>2</v>
      </c>
      <c r="B15" s="60" t="str">
        <f t="shared" ref="B15:B44" si="0">IF(SUM(C15:H15)=0,"",SUM(C15:H15))</f>
        <v/>
      </c>
      <c r="C15" s="60" t="str">
        <f>IF(可燃!K13+不燃・木くず・海岸清掃!F13+ビン類!K13+缶類!K13+ペットボトル!K13+粗大!P13+紙類!Q13=0,"",可燃!K13+不燃・木くず・海岸清掃!F13+ビン類!K13+缶類!K13+ペットボトル!K13+粗大!P13+紙類!Q13)</f>
        <v/>
      </c>
      <c r="D15" s="60" t="str">
        <f>IF(不燃・木くず・海岸清掃!K13+不燃・木くず・海岸清掃!P13+不燃・木くず・海岸清掃!Z13+可燃!V13+ビン類!V13+缶類!V13+ペットボトル!V13+粗大!Z13=0,"",不燃・木くず・海岸清掃!K13+不燃・木くず・海岸清掃!P13+不燃・木くず・海岸清掃!Z13+可燃!V13+ビン類!V13+缶類!V13+ペットボトル!V13+粗大!Z13)</f>
        <v/>
      </c>
      <c r="E15" s="60" t="str">
        <f>IF(産廃水産・医療・汚泥!X13=0,"",産廃水産・医療・汚泥!X13)</f>
        <v/>
      </c>
      <c r="F15" s="60" t="str">
        <f>IF(産廃水産・医療・汚泥!P13=0,"",産廃水産・医療・汚泥!P13)</f>
        <v/>
      </c>
      <c r="G15" s="60" t="str">
        <f>IF(産廃水産・医療・汚泥!K13=0,"",産廃水産・医療・汚泥!K13)</f>
        <v/>
      </c>
      <c r="H15" s="60" t="str">
        <f>IF('A-1'!D14+'A-1'!E14=0,"",'A-1'!D14+'A-1'!E14)</f>
        <v/>
      </c>
      <c r="I15" s="60" t="str">
        <f>IF(SUM(B15)*0.54=0,"",SUM(B15)*0.54)</f>
        <v/>
      </c>
      <c r="J15" s="61"/>
      <c r="K15" s="66"/>
      <c r="L15" s="67"/>
      <c r="M15" s="61"/>
      <c r="N15" s="61"/>
      <c r="O15" s="61"/>
      <c r="P15" s="67"/>
      <c r="Q15" s="61"/>
      <c r="R15" s="61"/>
      <c r="S15" s="61"/>
      <c r="T15" s="68"/>
    </row>
    <row r="16" spans="1:22" s="44" customFormat="1" ht="12" customHeight="1" x14ac:dyDescent="0.15">
      <c r="A16" s="24">
        <v>3</v>
      </c>
      <c r="B16" s="60" t="str">
        <f t="shared" si="0"/>
        <v/>
      </c>
      <c r="C16" s="60" t="str">
        <f>IF(可燃!K14+不燃・木くず・海岸清掃!F14+ビン類!K14+缶類!K14+ペットボトル!K14+粗大!P14+紙類!Q14=0,"",可燃!K14+不燃・木くず・海岸清掃!F14+ビン類!K14+缶類!K14+ペットボトル!K14+粗大!P14+紙類!Q14)</f>
        <v/>
      </c>
      <c r="D16" s="60" t="str">
        <f>IF(不燃・木くず・海岸清掃!K14+不燃・木くず・海岸清掃!P14+不燃・木くず・海岸清掃!Z14+可燃!V14+ビン類!V14+缶類!V14+ペットボトル!V14+粗大!Z14=0,"",不燃・木くず・海岸清掃!K14+不燃・木くず・海岸清掃!P14+不燃・木くず・海岸清掃!Z14+可燃!V14+ビン類!V14+缶類!V14+ペットボトル!V14+粗大!Z14)</f>
        <v/>
      </c>
      <c r="E16" s="60" t="str">
        <f>IF(産廃水産・医療・汚泥!X14=0,"",産廃水産・医療・汚泥!X14)</f>
        <v/>
      </c>
      <c r="F16" s="60" t="str">
        <f>IF(産廃水産・医療・汚泥!P14=0,"",産廃水産・医療・汚泥!P14)</f>
        <v/>
      </c>
      <c r="G16" s="60" t="str">
        <f>IF(産廃水産・医療・汚泥!K14=0,"",産廃水産・医療・汚泥!K14)</f>
        <v/>
      </c>
      <c r="H16" s="60" t="str">
        <f>IF('A-1'!D15+'A-1'!E15=0,"",'A-1'!D15+'A-1'!E15)</f>
        <v/>
      </c>
      <c r="I16" s="60" t="str">
        <f>IF(SUM(B16)*0.54=0,"",SUM(B16)*0.54)</f>
        <v/>
      </c>
      <c r="J16" s="61"/>
      <c r="K16" s="66"/>
      <c r="L16" s="67"/>
      <c r="M16" s="61"/>
      <c r="N16" s="61"/>
      <c r="O16" s="61"/>
      <c r="P16" s="67"/>
      <c r="Q16" s="61"/>
      <c r="R16" s="61"/>
      <c r="S16" s="61"/>
      <c r="T16" s="26"/>
    </row>
    <row r="17" spans="1:20" s="44" customFormat="1" ht="12" customHeight="1" x14ac:dyDescent="0.15">
      <c r="A17" s="24">
        <v>4</v>
      </c>
      <c r="B17" s="60" t="str">
        <f t="shared" si="0"/>
        <v/>
      </c>
      <c r="C17" s="60" t="str">
        <f>IF(可燃!K15+不燃・木くず・海岸清掃!F15+ビン類!K15+缶類!K15+ペットボトル!K15+粗大!P15+紙類!Q15=0,"",可燃!K15+不燃・木くず・海岸清掃!F15+ビン類!K15+缶類!K15+ペットボトル!K15+粗大!P15+紙類!Q15)</f>
        <v/>
      </c>
      <c r="D17" s="60" t="str">
        <f>IF(不燃・木くず・海岸清掃!K15+不燃・木くず・海岸清掃!P15+不燃・木くず・海岸清掃!Z15+可燃!V15+ビン類!V15+缶類!V15+ペットボトル!V15+粗大!Z15=0,"",不燃・木くず・海岸清掃!K15+不燃・木くず・海岸清掃!P15+不燃・木くず・海岸清掃!Z15+可燃!V15+ビン類!V15+缶類!V15+ペットボトル!V15+粗大!Z15)</f>
        <v/>
      </c>
      <c r="E17" s="60" t="str">
        <f>IF(産廃水産・医療・汚泥!X15=0,"",産廃水産・医療・汚泥!X15)</f>
        <v/>
      </c>
      <c r="F17" s="60" t="str">
        <f>IF(産廃水産・医療・汚泥!P15=0,"",産廃水産・医療・汚泥!P15)</f>
        <v/>
      </c>
      <c r="G17" s="60" t="str">
        <f>IF(産廃水産・医療・汚泥!K15=0,"",産廃水産・医療・汚泥!K15)</f>
        <v/>
      </c>
      <c r="H17" s="60" t="str">
        <f>IF('A-1'!D16+'A-1'!E16=0,"",'A-1'!D16+'A-1'!E16)</f>
        <v/>
      </c>
      <c r="I17" s="60" t="str">
        <f>IF(SUM(B17)*0.54=0,"",SUM(B17)*0.54)</f>
        <v/>
      </c>
      <c r="J17" s="61"/>
      <c r="K17" s="66"/>
      <c r="L17" s="67"/>
      <c r="M17" s="61"/>
      <c r="N17" s="61"/>
      <c r="O17" s="61"/>
      <c r="P17" s="67"/>
      <c r="Q17" s="61"/>
      <c r="R17" s="61"/>
      <c r="S17" s="61"/>
      <c r="T17" s="64"/>
    </row>
    <row r="18" spans="1:20" s="44" customFormat="1" ht="12" customHeight="1" x14ac:dyDescent="0.15">
      <c r="A18" s="24">
        <v>5</v>
      </c>
      <c r="B18" s="60" t="str">
        <f t="shared" si="0"/>
        <v/>
      </c>
      <c r="C18" s="60" t="str">
        <f>IF(可燃!K16+不燃・木くず・海岸清掃!F16+ビン類!K16+缶類!K16+ペットボトル!K16+粗大!P16+紙類!Q16=0,"",可燃!K16+不燃・木くず・海岸清掃!F16+ビン類!K16+缶類!K16+ペットボトル!K16+粗大!P16+紙類!Q16)</f>
        <v/>
      </c>
      <c r="D18" s="60" t="str">
        <f>IF(不燃・木くず・海岸清掃!K16+不燃・木くず・海岸清掃!P16+不燃・木くず・海岸清掃!Z16+可燃!V16+ビン類!V16+缶類!V16+ペットボトル!V16+粗大!Z16=0,"",不燃・木くず・海岸清掃!K16+不燃・木くず・海岸清掃!P16+不燃・木くず・海岸清掃!Z16+可燃!V16+ビン類!V16+缶類!V16+ペットボトル!V16+粗大!Z16)</f>
        <v/>
      </c>
      <c r="E18" s="60" t="str">
        <f>IF(産廃水産・医療・汚泥!X16=0,"",産廃水産・医療・汚泥!X16)</f>
        <v/>
      </c>
      <c r="F18" s="60" t="str">
        <f>IF(産廃水産・医療・汚泥!P16=0,"",産廃水産・医療・汚泥!P16)</f>
        <v/>
      </c>
      <c r="G18" s="60" t="str">
        <f>IF(産廃水産・医療・汚泥!K16=0,"",産廃水産・医療・汚泥!K16)</f>
        <v/>
      </c>
      <c r="H18" s="60" t="str">
        <f>IF('A-1'!D17+'A-1'!E17=0,"",'A-1'!D17+'A-1'!E17)</f>
        <v/>
      </c>
      <c r="I18" s="60" t="str">
        <f>IF(SUM(B18)*0.54=0,"",SUM(B18)*0.54)</f>
        <v/>
      </c>
      <c r="J18" s="61"/>
      <c r="K18" s="66"/>
      <c r="L18" s="67"/>
      <c r="M18" s="61"/>
      <c r="N18" s="61"/>
      <c r="O18" s="61"/>
      <c r="P18" s="67"/>
      <c r="Q18" s="61"/>
      <c r="R18" s="61"/>
      <c r="S18" s="61"/>
      <c r="T18" s="64"/>
    </row>
    <row r="19" spans="1:20" s="44" customFormat="1" ht="12" customHeight="1" x14ac:dyDescent="0.15">
      <c r="A19" s="24">
        <v>6</v>
      </c>
      <c r="B19" s="60" t="str">
        <f t="shared" si="0"/>
        <v/>
      </c>
      <c r="C19" s="60" t="str">
        <f>IF(可燃!K17+不燃・木くず・海岸清掃!F17+ビン類!K17+缶類!K17+ペットボトル!K17+粗大!P17+紙類!Q17=0,"",可燃!K17+不燃・木くず・海岸清掃!F17+ビン類!K17+缶類!K17+ペットボトル!K17+粗大!P17+紙類!Q17)</f>
        <v/>
      </c>
      <c r="D19" s="60" t="str">
        <f>IF(不燃・木くず・海岸清掃!K17+不燃・木くず・海岸清掃!P17+不燃・木くず・海岸清掃!Z17+可燃!V17+ビン類!V17+缶類!V17+ペットボトル!V17+粗大!Z17=0,"",不燃・木くず・海岸清掃!K17+不燃・木くず・海岸清掃!P17+不燃・木くず・海岸清掃!Z17+可燃!V17+ビン類!V17+缶類!V17+ペットボトル!V17+粗大!Z17)</f>
        <v/>
      </c>
      <c r="E19" s="60" t="str">
        <f>IF(産廃水産・医療・汚泥!X17=0,"",産廃水産・医療・汚泥!X17)</f>
        <v/>
      </c>
      <c r="F19" s="60" t="str">
        <f>IF(産廃水産・医療・汚泥!P17=0,"",産廃水産・医療・汚泥!P17)</f>
        <v/>
      </c>
      <c r="G19" s="60" t="str">
        <f>IF(産廃水産・医療・汚泥!K17=0,"",産廃水産・医療・汚泥!K17)</f>
        <v/>
      </c>
      <c r="H19" s="60" t="str">
        <f>IF('A-1'!D18+'A-1'!E18=0,"",'A-1'!D18+'A-1'!E18)</f>
        <v/>
      </c>
      <c r="I19" s="60" t="str">
        <f t="shared" ref="I19:I44" si="1">IF(SUM(B19)*0.54=0,"",SUM(B19)*0.54)</f>
        <v/>
      </c>
      <c r="J19" s="61"/>
      <c r="K19" s="66"/>
      <c r="L19" s="67"/>
      <c r="M19" s="61"/>
      <c r="N19" s="61"/>
      <c r="O19" s="61"/>
      <c r="P19" s="67"/>
      <c r="Q19" s="61"/>
      <c r="R19" s="61"/>
      <c r="S19" s="61"/>
      <c r="T19" s="64"/>
    </row>
    <row r="20" spans="1:20" s="44" customFormat="1" ht="12" customHeight="1" x14ac:dyDescent="0.15">
      <c r="A20" s="24">
        <v>7</v>
      </c>
      <c r="B20" s="60" t="str">
        <f t="shared" si="0"/>
        <v/>
      </c>
      <c r="C20" s="60" t="str">
        <f>IF(可燃!K18+不燃・木くず・海岸清掃!F18+ビン類!K18+缶類!K18+ペットボトル!K18+粗大!P18+紙類!Q18=0,"",可燃!K18+不燃・木くず・海岸清掃!F18+ビン類!K18+缶類!K18+ペットボトル!K18+粗大!P18+紙類!Q18)</f>
        <v/>
      </c>
      <c r="D20" s="60" t="str">
        <f>IF(不燃・木くず・海岸清掃!K18+不燃・木くず・海岸清掃!P18+不燃・木くず・海岸清掃!Z18+可燃!V18+ビン類!V18+缶類!V18+ペットボトル!V18+粗大!Z18=0,"",不燃・木くず・海岸清掃!K18+不燃・木くず・海岸清掃!P18+不燃・木くず・海岸清掃!Z18+可燃!V18+ビン類!V18+缶類!V18+ペットボトル!V18+粗大!Z18)</f>
        <v/>
      </c>
      <c r="E20" s="60" t="str">
        <f>IF(産廃水産・医療・汚泥!X18=0,"",産廃水産・医療・汚泥!X18)</f>
        <v/>
      </c>
      <c r="F20" s="60" t="str">
        <f>IF(産廃水産・医療・汚泥!P18=0,"",産廃水産・医療・汚泥!P18)</f>
        <v/>
      </c>
      <c r="G20" s="60" t="str">
        <f>IF(産廃水産・医療・汚泥!K18=0,"",産廃水産・医療・汚泥!K18)</f>
        <v/>
      </c>
      <c r="H20" s="60" t="str">
        <f>IF('A-1'!D19+'A-1'!E19=0,"",'A-1'!D19+'A-1'!E19)</f>
        <v/>
      </c>
      <c r="I20" s="60" t="str">
        <f t="shared" si="1"/>
        <v/>
      </c>
      <c r="J20" s="61"/>
      <c r="K20" s="66">
        <v>75</v>
      </c>
      <c r="L20" s="67">
        <v>7.9</v>
      </c>
      <c r="M20" s="61"/>
      <c r="N20" s="61">
        <v>20</v>
      </c>
      <c r="O20" s="61"/>
      <c r="P20" s="67">
        <v>7.4</v>
      </c>
      <c r="Q20" s="61"/>
      <c r="R20" s="61">
        <v>15</v>
      </c>
      <c r="S20" s="61"/>
      <c r="T20" s="64"/>
    </row>
    <row r="21" spans="1:20" s="44" customFormat="1" ht="12" customHeight="1" x14ac:dyDescent="0.15">
      <c r="A21" s="24">
        <v>8</v>
      </c>
      <c r="B21" s="60" t="str">
        <f t="shared" si="0"/>
        <v/>
      </c>
      <c r="C21" s="60" t="str">
        <f>IF(可燃!K19+不燃・木くず・海岸清掃!F19+ビン類!K19+缶類!K19+ペットボトル!K19+粗大!P19+紙類!Q19=0,"",可燃!K19+不燃・木くず・海岸清掃!F19+ビン類!K19+缶類!K19+ペットボトル!K19+粗大!P19+紙類!Q19)</f>
        <v/>
      </c>
      <c r="D21" s="60" t="str">
        <f>IF(不燃・木くず・海岸清掃!K19+不燃・木くず・海岸清掃!P19+不燃・木くず・海岸清掃!Z19+可燃!V19+ビン類!V19+缶類!V19+ペットボトル!V19+粗大!Z19=0,"",不燃・木くず・海岸清掃!K19+不燃・木くず・海岸清掃!P19+不燃・木くず・海岸清掃!Z19+可燃!V19+ビン類!V19+缶類!V19+ペットボトル!V19+粗大!Z19)</f>
        <v/>
      </c>
      <c r="E21" s="60" t="str">
        <f>IF(産廃水産・医療・汚泥!X19=0,"",産廃水産・医療・汚泥!X19)</f>
        <v/>
      </c>
      <c r="F21" s="60" t="str">
        <f>IF(産廃水産・医療・汚泥!P19=0,"",産廃水産・医療・汚泥!P19)</f>
        <v/>
      </c>
      <c r="G21" s="60" t="str">
        <f>IF(産廃水産・医療・汚泥!K19=0,"",産廃水産・医療・汚泥!K19)</f>
        <v/>
      </c>
      <c r="H21" s="60" t="str">
        <f>IF('A-1'!D20+'A-1'!E20=0,"",'A-1'!D20+'A-1'!E20)</f>
        <v/>
      </c>
      <c r="I21" s="60" t="str">
        <f t="shared" si="1"/>
        <v/>
      </c>
      <c r="J21" s="61"/>
      <c r="K21" s="66"/>
      <c r="L21" s="67"/>
      <c r="M21" s="61"/>
      <c r="N21" s="61"/>
      <c r="O21" s="61"/>
      <c r="P21" s="67"/>
      <c r="Q21" s="61"/>
      <c r="R21" s="61"/>
      <c r="S21" s="61"/>
      <c r="T21" s="64"/>
    </row>
    <row r="22" spans="1:20" s="44" customFormat="1" ht="12" customHeight="1" x14ac:dyDescent="0.15">
      <c r="A22" s="24">
        <v>9</v>
      </c>
      <c r="B22" s="60" t="str">
        <f t="shared" si="0"/>
        <v/>
      </c>
      <c r="C22" s="60" t="str">
        <f>IF(可燃!K20+不燃・木くず・海岸清掃!F20+ビン類!K20+缶類!K20+ペットボトル!K20+粗大!P20+紙類!Q20=0,"",可燃!K20+不燃・木くず・海岸清掃!F20+ビン類!K20+缶類!K20+ペットボトル!K20+粗大!P20+紙類!Q20)</f>
        <v/>
      </c>
      <c r="D22" s="60" t="str">
        <f>IF(不燃・木くず・海岸清掃!K20+不燃・木くず・海岸清掃!P20+不燃・木くず・海岸清掃!Z20+可燃!V20+ビン類!V20+缶類!V20+ペットボトル!V20+粗大!Z20=0,"",不燃・木くず・海岸清掃!K20+不燃・木くず・海岸清掃!P20+不燃・木くず・海岸清掃!Z20+可燃!V20+ビン類!V20+缶類!V20+ペットボトル!V20+粗大!Z20)</f>
        <v/>
      </c>
      <c r="E22" s="60" t="str">
        <f>IF(産廃水産・医療・汚泥!X20=0,"",産廃水産・医療・汚泥!X20)</f>
        <v/>
      </c>
      <c r="F22" s="60" t="str">
        <f>IF(産廃水産・医療・汚泥!P20=0,"",産廃水産・医療・汚泥!P20)</f>
        <v/>
      </c>
      <c r="G22" s="60" t="str">
        <f>IF(産廃水産・医療・汚泥!K20=0,"",産廃水産・医療・汚泥!K20)</f>
        <v/>
      </c>
      <c r="H22" s="60" t="str">
        <f>IF('A-1'!D21+'A-1'!E21=0,"",'A-1'!D21+'A-1'!E21)</f>
        <v/>
      </c>
      <c r="I22" s="60" t="str">
        <f t="shared" si="1"/>
        <v/>
      </c>
      <c r="J22" s="61"/>
      <c r="K22" s="66"/>
      <c r="L22" s="67"/>
      <c r="M22" s="61"/>
      <c r="N22" s="61"/>
      <c r="O22" s="61"/>
      <c r="P22" s="67"/>
      <c r="Q22" s="61"/>
      <c r="R22" s="61"/>
      <c r="S22" s="61"/>
      <c r="T22" s="64"/>
    </row>
    <row r="23" spans="1:20" s="44" customFormat="1" ht="12" customHeight="1" x14ac:dyDescent="0.15">
      <c r="A23" s="24">
        <v>10</v>
      </c>
      <c r="B23" s="60" t="str">
        <f t="shared" si="0"/>
        <v/>
      </c>
      <c r="C23" s="60" t="str">
        <f>IF(可燃!K21+不燃・木くず・海岸清掃!F21+ビン類!K21+缶類!K21+ペットボトル!K21+粗大!P21+紙類!Q21=0,"",可燃!K21+不燃・木くず・海岸清掃!F21+ビン類!K21+缶類!K21+ペットボトル!K21+粗大!P21+紙類!Q21)</f>
        <v/>
      </c>
      <c r="D23" s="60" t="str">
        <f>IF(不燃・木くず・海岸清掃!K21+不燃・木くず・海岸清掃!P21+不燃・木くず・海岸清掃!Z21+可燃!V21+ビン類!V21+缶類!V21+ペットボトル!V21+粗大!Z21=0,"",不燃・木くず・海岸清掃!K21+不燃・木くず・海岸清掃!P21+不燃・木くず・海岸清掃!Z21+可燃!V21+ビン類!V21+缶類!V21+ペットボトル!V21+粗大!Z21)</f>
        <v/>
      </c>
      <c r="E23" s="60" t="str">
        <f>IF(産廃水産・医療・汚泥!X21=0,"",産廃水産・医療・汚泥!X21)</f>
        <v/>
      </c>
      <c r="F23" s="60" t="str">
        <f>IF(産廃水産・医療・汚泥!P21=0,"",産廃水産・医療・汚泥!P21)</f>
        <v/>
      </c>
      <c r="G23" s="60" t="str">
        <f>IF(産廃水産・医療・汚泥!K21=0,"",産廃水産・医療・汚泥!K21)</f>
        <v/>
      </c>
      <c r="H23" s="60" t="str">
        <f>IF('A-1'!D22+'A-1'!E22=0,"",'A-1'!D22+'A-1'!E22)</f>
        <v/>
      </c>
      <c r="I23" s="60" t="str">
        <f t="shared" si="1"/>
        <v/>
      </c>
      <c r="J23" s="61"/>
      <c r="K23" s="66"/>
      <c r="L23" s="67"/>
      <c r="M23" s="61"/>
      <c r="N23" s="61"/>
      <c r="O23" s="61"/>
      <c r="P23" s="67"/>
      <c r="Q23" s="61"/>
      <c r="R23" s="61"/>
      <c r="S23" s="61"/>
      <c r="T23" s="64"/>
    </row>
    <row r="24" spans="1:20" s="44" customFormat="1" ht="12" customHeight="1" x14ac:dyDescent="0.15">
      <c r="A24" s="24">
        <v>11</v>
      </c>
      <c r="B24" s="60" t="str">
        <f t="shared" si="0"/>
        <v/>
      </c>
      <c r="C24" s="60" t="str">
        <f>IF(可燃!K22+不燃・木くず・海岸清掃!F22+ビン類!K22+缶類!K22+ペットボトル!K22+粗大!P22+紙類!Q22=0,"",可燃!K22+不燃・木くず・海岸清掃!F22+ビン類!K22+缶類!K22+ペットボトル!K22+粗大!P22+紙類!Q22)</f>
        <v/>
      </c>
      <c r="D24" s="60" t="str">
        <f>IF(不燃・木くず・海岸清掃!K22+不燃・木くず・海岸清掃!P22+不燃・木くず・海岸清掃!Z22+可燃!V22+ビン類!V22+缶類!V22+ペットボトル!V22+粗大!Z22=0,"",不燃・木くず・海岸清掃!K22+不燃・木くず・海岸清掃!P22+不燃・木くず・海岸清掃!Z22+可燃!V22+ビン類!V22+缶類!V22+ペットボトル!V22+粗大!Z22)</f>
        <v/>
      </c>
      <c r="E24" s="60" t="str">
        <f>IF(産廃水産・医療・汚泥!X22=0,"",産廃水産・医療・汚泥!X22)</f>
        <v/>
      </c>
      <c r="F24" s="60" t="str">
        <f>IF(産廃水産・医療・汚泥!P22=0,"",産廃水産・医療・汚泥!P22)</f>
        <v/>
      </c>
      <c r="G24" s="60" t="str">
        <f>IF(産廃水産・医療・汚泥!K22=0,"",産廃水産・医療・汚泥!K22)</f>
        <v/>
      </c>
      <c r="H24" s="60" t="str">
        <f>IF('A-1'!D23+'A-1'!E23=0,"",'A-1'!D23+'A-1'!E23)</f>
        <v/>
      </c>
      <c r="I24" s="60" t="str">
        <f t="shared" si="1"/>
        <v/>
      </c>
      <c r="J24" s="61"/>
      <c r="K24" s="66"/>
      <c r="L24" s="67"/>
      <c r="M24" s="61"/>
      <c r="N24" s="61"/>
      <c r="O24" s="61"/>
      <c r="P24" s="67"/>
      <c r="Q24" s="61"/>
      <c r="R24" s="61"/>
      <c r="S24" s="61"/>
      <c r="T24" s="64"/>
    </row>
    <row r="25" spans="1:20" s="44" customFormat="1" ht="12" customHeight="1" x14ac:dyDescent="0.15">
      <c r="A25" s="24">
        <v>12</v>
      </c>
      <c r="B25" s="60" t="str">
        <f t="shared" si="0"/>
        <v/>
      </c>
      <c r="C25" s="60" t="str">
        <f>IF(可燃!K23+不燃・木くず・海岸清掃!F23+ビン類!K23+缶類!K23+ペットボトル!K23+粗大!P23+紙類!Q23=0,"",可燃!K23+不燃・木くず・海岸清掃!F23+ビン類!K23+缶類!K23+ペットボトル!K23+粗大!P23+紙類!Q23)</f>
        <v/>
      </c>
      <c r="D25" s="60" t="str">
        <f>IF(不燃・木くず・海岸清掃!K23+不燃・木くず・海岸清掃!P23+不燃・木くず・海岸清掃!Z23+可燃!V23+ビン類!V23+缶類!V23+ペットボトル!V23+粗大!Z23=0,"",不燃・木くず・海岸清掃!K23+不燃・木くず・海岸清掃!P23+不燃・木くず・海岸清掃!Z23+可燃!V23+ビン類!V23+缶類!V23+ペットボトル!V23+粗大!Z23)</f>
        <v/>
      </c>
      <c r="E25" s="60" t="str">
        <f>IF(産廃水産・医療・汚泥!X23=0,"",産廃水産・医療・汚泥!X23)</f>
        <v/>
      </c>
      <c r="F25" s="60" t="str">
        <f>IF(産廃水産・医療・汚泥!P23=0,"",産廃水産・医療・汚泥!P23)</f>
        <v/>
      </c>
      <c r="G25" s="60" t="str">
        <f>IF(産廃水産・医療・汚泥!K23=0,"",産廃水産・医療・汚泥!K23)</f>
        <v/>
      </c>
      <c r="H25" s="60" t="str">
        <f>IF('A-1'!D24+'A-1'!E24=0,"",'A-1'!D24+'A-1'!E24)</f>
        <v/>
      </c>
      <c r="I25" s="60" t="str">
        <f t="shared" si="1"/>
        <v/>
      </c>
      <c r="J25" s="61"/>
      <c r="K25" s="66"/>
      <c r="L25" s="67">
        <v>7.3</v>
      </c>
      <c r="M25" s="61">
        <v>9.8000000000000007</v>
      </c>
      <c r="N25" s="61">
        <v>21.3</v>
      </c>
      <c r="O25" s="61">
        <v>6</v>
      </c>
      <c r="P25" s="67">
        <v>7.2</v>
      </c>
      <c r="Q25" s="61">
        <v>1.9</v>
      </c>
      <c r="R25" s="61">
        <v>14.7</v>
      </c>
      <c r="S25" s="61">
        <v>1.6</v>
      </c>
      <c r="T25" s="64">
        <v>0</v>
      </c>
    </row>
    <row r="26" spans="1:20" s="44" customFormat="1" ht="12" customHeight="1" x14ac:dyDescent="0.15">
      <c r="A26" s="24">
        <v>13</v>
      </c>
      <c r="B26" s="60" t="str">
        <f t="shared" si="0"/>
        <v/>
      </c>
      <c r="C26" s="60" t="str">
        <f>IF(可燃!K24+不燃・木くず・海岸清掃!F24+ビン類!K24+缶類!K24+ペットボトル!K24+粗大!P24+紙類!Q24=0,"",可燃!K24+不燃・木くず・海岸清掃!F24+ビン類!K24+缶類!K24+ペットボトル!K24+粗大!P24+紙類!Q24)</f>
        <v/>
      </c>
      <c r="D26" s="60" t="str">
        <f>IF(不燃・木くず・海岸清掃!K24+不燃・木くず・海岸清掃!P24+不燃・木くず・海岸清掃!Z24+可燃!V24+ビン類!V24+缶類!V24+ペットボトル!V24+粗大!Z24=0,"",不燃・木くず・海岸清掃!K24+不燃・木くず・海岸清掃!P24+不燃・木くず・海岸清掃!Z24+可燃!V24+ビン類!V24+缶類!V24+ペットボトル!V24+粗大!Z24)</f>
        <v/>
      </c>
      <c r="E26" s="60" t="str">
        <f>IF(産廃水産・医療・汚泥!X24=0,"",産廃水産・医療・汚泥!X24)</f>
        <v/>
      </c>
      <c r="F26" s="60" t="str">
        <f>IF(産廃水産・医療・汚泥!P24=0,"",産廃水産・医療・汚泥!P24)</f>
        <v/>
      </c>
      <c r="G26" s="60" t="str">
        <f>IF(産廃水産・医療・汚泥!K24=0,"",産廃水産・医療・汚泥!K24)</f>
        <v/>
      </c>
      <c r="H26" s="60" t="str">
        <f>IF('A-1'!D25+'A-1'!E25=0,"",'A-1'!D25+'A-1'!E25)</f>
        <v/>
      </c>
      <c r="I26" s="60" t="str">
        <f t="shared" si="1"/>
        <v/>
      </c>
      <c r="J26" s="61"/>
      <c r="K26" s="66"/>
      <c r="L26" s="67"/>
      <c r="M26" s="61"/>
      <c r="N26" s="61"/>
      <c r="O26" s="61"/>
      <c r="P26" s="67"/>
      <c r="Q26" s="61"/>
      <c r="R26" s="61"/>
      <c r="S26" s="61"/>
      <c r="T26" s="68"/>
    </row>
    <row r="27" spans="1:20" s="44" customFormat="1" ht="12" customHeight="1" x14ac:dyDescent="0.15">
      <c r="A27" s="24">
        <v>14</v>
      </c>
      <c r="B27" s="60" t="str">
        <f t="shared" si="0"/>
        <v/>
      </c>
      <c r="C27" s="60" t="str">
        <f>IF(可燃!K25+不燃・木くず・海岸清掃!F25+ビン類!K25+缶類!K25+ペットボトル!K25+粗大!P25+紙類!Q25=0,"",可燃!K25+不燃・木くず・海岸清掃!F25+ビン類!K25+缶類!K25+ペットボトル!K25+粗大!P25+紙類!Q25)</f>
        <v/>
      </c>
      <c r="D27" s="60" t="str">
        <f>IF(不燃・木くず・海岸清掃!K25+不燃・木くず・海岸清掃!P25+不燃・木くず・海岸清掃!Z25+可燃!V25+ビン類!V25+缶類!V25+ペットボトル!V25+粗大!Z25=0,"",不燃・木くず・海岸清掃!K25+不燃・木くず・海岸清掃!P25+不燃・木くず・海岸清掃!Z25+可燃!V25+ビン類!V25+缶類!V25+ペットボトル!V25+粗大!Z25)</f>
        <v/>
      </c>
      <c r="E27" s="60" t="str">
        <f>IF(産廃水産・医療・汚泥!X25=0,"",産廃水産・医療・汚泥!X25)</f>
        <v/>
      </c>
      <c r="F27" s="60" t="str">
        <f>IF(産廃水産・医療・汚泥!P25=0,"",産廃水産・医療・汚泥!P25)</f>
        <v/>
      </c>
      <c r="G27" s="60" t="str">
        <f>IF(産廃水産・医療・汚泥!K25=0,"",産廃水産・医療・汚泥!K25)</f>
        <v/>
      </c>
      <c r="H27" s="60" t="str">
        <f>IF('A-1'!D26+'A-1'!E26=0,"",'A-1'!D26+'A-1'!E26)</f>
        <v/>
      </c>
      <c r="I27" s="60" t="str">
        <f t="shared" si="1"/>
        <v/>
      </c>
      <c r="J27" s="61"/>
      <c r="K27" s="66">
        <v>75</v>
      </c>
      <c r="L27" s="67">
        <v>7.9</v>
      </c>
      <c r="M27" s="61"/>
      <c r="N27" s="61">
        <v>20</v>
      </c>
      <c r="O27" s="61"/>
      <c r="P27" s="67">
        <v>7.3</v>
      </c>
      <c r="Q27" s="61"/>
      <c r="R27" s="61">
        <v>15</v>
      </c>
      <c r="S27" s="61"/>
      <c r="T27" s="64"/>
    </row>
    <row r="28" spans="1:20" s="44" customFormat="1" ht="12" customHeight="1" x14ac:dyDescent="0.15">
      <c r="A28" s="24">
        <v>15</v>
      </c>
      <c r="B28" s="60" t="str">
        <f t="shared" si="0"/>
        <v/>
      </c>
      <c r="C28" s="60" t="str">
        <f>IF(可燃!K26+不燃・木くず・海岸清掃!F26+ビン類!K26+缶類!K26+ペットボトル!K26+粗大!P26+紙類!Q26=0,"",可燃!K26+不燃・木くず・海岸清掃!F26+ビン類!K26+缶類!K26+ペットボトル!K26+粗大!P26+紙類!Q26)</f>
        <v/>
      </c>
      <c r="D28" s="60" t="str">
        <f>IF(不燃・木くず・海岸清掃!K26+不燃・木くず・海岸清掃!P26+不燃・木くず・海岸清掃!Z26+可燃!V26+ビン類!V26+缶類!V26+ペットボトル!V26+粗大!Z26=0,"",不燃・木くず・海岸清掃!K26+不燃・木くず・海岸清掃!P26+不燃・木くず・海岸清掃!Z26+可燃!V26+ビン類!V26+缶類!V26+ペットボトル!V26+粗大!Z26)</f>
        <v/>
      </c>
      <c r="E28" s="60" t="str">
        <f>IF(産廃水産・医療・汚泥!X26=0,"",産廃水産・医療・汚泥!X26)</f>
        <v/>
      </c>
      <c r="F28" s="60" t="str">
        <f>IF(産廃水産・医療・汚泥!P26=0,"",産廃水産・医療・汚泥!P26)</f>
        <v/>
      </c>
      <c r="G28" s="60" t="str">
        <f>IF(産廃水産・医療・汚泥!K26=0,"",産廃水産・医療・汚泥!K26)</f>
        <v/>
      </c>
      <c r="H28" s="60" t="str">
        <f>IF('A-1'!D27+'A-1'!E27=0,"",'A-1'!D27+'A-1'!E27)</f>
        <v/>
      </c>
      <c r="I28" s="60" t="str">
        <f t="shared" si="1"/>
        <v/>
      </c>
      <c r="J28" s="61"/>
      <c r="K28" s="66"/>
      <c r="L28" s="67"/>
      <c r="M28" s="61"/>
      <c r="N28" s="61"/>
      <c r="O28" s="61"/>
      <c r="P28" s="67"/>
      <c r="Q28" s="61"/>
      <c r="R28" s="61"/>
      <c r="S28" s="61"/>
      <c r="T28" s="68"/>
    </row>
    <row r="29" spans="1:20" s="44" customFormat="1" ht="12" customHeight="1" x14ac:dyDescent="0.15">
      <c r="A29" s="24">
        <v>16</v>
      </c>
      <c r="B29" s="60" t="str">
        <f t="shared" si="0"/>
        <v/>
      </c>
      <c r="C29" s="60" t="str">
        <f>IF(可燃!K27+不燃・木くず・海岸清掃!F27+ビン類!K27+缶類!K27+ペットボトル!K27+粗大!P27+紙類!Q27=0,"",可燃!K27+不燃・木くず・海岸清掃!F27+ビン類!K27+缶類!K27+ペットボトル!K27+粗大!P27+紙類!Q27)</f>
        <v/>
      </c>
      <c r="D29" s="60" t="str">
        <f>IF(不燃・木くず・海岸清掃!K27+不燃・木くず・海岸清掃!P27+不燃・木くず・海岸清掃!Z27+可燃!V27+ビン類!V27+缶類!V27+ペットボトル!V27+粗大!Z27=0,"",不燃・木くず・海岸清掃!K27+不燃・木くず・海岸清掃!P27+不燃・木くず・海岸清掃!Z27+可燃!V27+ビン類!V27+缶類!V27+ペットボトル!V27+粗大!Z27)</f>
        <v/>
      </c>
      <c r="E29" s="60" t="str">
        <f>IF(産廃水産・医療・汚泥!X27=0,"",産廃水産・医療・汚泥!X27)</f>
        <v/>
      </c>
      <c r="F29" s="60" t="str">
        <f>IF(産廃水産・医療・汚泥!P27=0,"",産廃水産・医療・汚泥!P27)</f>
        <v/>
      </c>
      <c r="G29" s="60" t="str">
        <f>IF(産廃水産・医療・汚泥!K27=0,"",産廃水産・医療・汚泥!K27)</f>
        <v/>
      </c>
      <c r="H29" s="60" t="str">
        <f>IF('A-1'!D28+'A-1'!E28=0,"",'A-1'!D28+'A-1'!E28)</f>
        <v/>
      </c>
      <c r="I29" s="60" t="str">
        <f t="shared" si="1"/>
        <v/>
      </c>
      <c r="J29" s="61"/>
      <c r="K29" s="66"/>
      <c r="L29" s="67"/>
      <c r="M29" s="61"/>
      <c r="N29" s="61"/>
      <c r="O29" s="61"/>
      <c r="P29" s="67"/>
      <c r="Q29" s="61"/>
      <c r="R29" s="61"/>
      <c r="S29" s="61"/>
      <c r="T29" s="68"/>
    </row>
    <row r="30" spans="1:20" s="44" customFormat="1" ht="12" customHeight="1" x14ac:dyDescent="0.15">
      <c r="A30" s="141">
        <v>17</v>
      </c>
      <c r="B30" s="60" t="str">
        <f t="shared" si="0"/>
        <v/>
      </c>
      <c r="C30" s="60" t="str">
        <f>IF(可燃!K28+不燃・木くず・海岸清掃!F28+ビン類!K28+缶類!K28+ペットボトル!K28+粗大!P28+紙類!Q28=0,"",可燃!K28+不燃・木くず・海岸清掃!F28+ビン類!K28+缶類!K28+ペットボトル!K28+粗大!P28+紙類!Q28)</f>
        <v/>
      </c>
      <c r="D30" s="60" t="str">
        <f>IF(不燃・木くず・海岸清掃!K28+不燃・木くず・海岸清掃!P28+不燃・木くず・海岸清掃!Z28+可燃!V28+ビン類!V28+缶類!V28+ペットボトル!V28+粗大!Z28=0,"",不燃・木くず・海岸清掃!K28+不燃・木くず・海岸清掃!P28+不燃・木くず・海岸清掃!Z28+可燃!V28+ビン類!V28+缶類!V28+ペットボトル!V28+粗大!Z28)</f>
        <v/>
      </c>
      <c r="E30" s="60" t="str">
        <f>IF(産廃水産・医療・汚泥!X28=0,"",産廃水産・医療・汚泥!X28)</f>
        <v/>
      </c>
      <c r="F30" s="60" t="str">
        <f>IF(産廃水産・医療・汚泥!P28=0,"",産廃水産・医療・汚泥!P28)</f>
        <v/>
      </c>
      <c r="G30" s="60" t="str">
        <f>IF(産廃水産・医療・汚泥!K28=0,"",産廃水産・医療・汚泥!K28)</f>
        <v/>
      </c>
      <c r="H30" s="60" t="str">
        <f>IF('A-1'!D29+'A-1'!E29=0,"",'A-1'!D29+'A-1'!E29)</f>
        <v/>
      </c>
      <c r="I30" s="60" t="str">
        <f t="shared" si="1"/>
        <v/>
      </c>
      <c r="J30" s="61"/>
      <c r="K30" s="66"/>
      <c r="L30" s="67"/>
      <c r="M30" s="61"/>
      <c r="N30" s="61"/>
      <c r="O30" s="61"/>
      <c r="P30" s="67"/>
      <c r="Q30" s="61"/>
      <c r="R30" s="61"/>
      <c r="S30" s="61"/>
      <c r="T30" s="64"/>
    </row>
    <row r="31" spans="1:20" s="44" customFormat="1" ht="12" customHeight="1" x14ac:dyDescent="0.15">
      <c r="A31" s="24">
        <v>18</v>
      </c>
      <c r="B31" s="60" t="str">
        <f t="shared" si="0"/>
        <v/>
      </c>
      <c r="C31" s="60" t="str">
        <f>IF(可燃!K29+不燃・木くず・海岸清掃!F29+ビン類!K29+缶類!K29+ペットボトル!K29+粗大!P29+紙類!Q29=0,"",可燃!K29+不燃・木くず・海岸清掃!F29+ビン類!K29+缶類!K29+ペットボトル!K29+粗大!P29+紙類!Q29)</f>
        <v/>
      </c>
      <c r="D31" s="60" t="str">
        <f>IF(不燃・木くず・海岸清掃!K29+不燃・木くず・海岸清掃!P29+不燃・木くず・海岸清掃!Z29+可燃!V29+ビン類!V29+缶類!V29+ペットボトル!V29+粗大!Z29=0,"",不燃・木くず・海岸清掃!K29+不燃・木くず・海岸清掃!P29+不燃・木くず・海岸清掃!Z29+可燃!V29+ビン類!V29+缶類!V29+ペットボトル!V29+粗大!Z29)</f>
        <v/>
      </c>
      <c r="E31" s="60" t="str">
        <f>IF(産廃水産・医療・汚泥!X29=0,"",産廃水産・医療・汚泥!X29)</f>
        <v/>
      </c>
      <c r="F31" s="60" t="str">
        <f>IF(産廃水産・医療・汚泥!P29=0,"",産廃水産・医療・汚泥!P29)</f>
        <v/>
      </c>
      <c r="G31" s="60" t="str">
        <f>IF(産廃水産・医療・汚泥!K29=0,"",産廃水産・医療・汚泥!K29)</f>
        <v/>
      </c>
      <c r="H31" s="60" t="str">
        <f>IF('A-1'!D30+'A-1'!E30=0,"",'A-1'!D30+'A-1'!E30)</f>
        <v/>
      </c>
      <c r="I31" s="60" t="str">
        <f t="shared" si="1"/>
        <v/>
      </c>
      <c r="J31" s="61"/>
      <c r="K31" s="66"/>
      <c r="L31" s="67"/>
      <c r="M31" s="61"/>
      <c r="N31" s="61"/>
      <c r="O31" s="61"/>
      <c r="P31" s="67"/>
      <c r="Q31" s="61"/>
      <c r="R31" s="61"/>
      <c r="S31" s="61"/>
      <c r="T31" s="64"/>
    </row>
    <row r="32" spans="1:20" s="44" customFormat="1" ht="12" customHeight="1" x14ac:dyDescent="0.15">
      <c r="A32" s="24">
        <v>19</v>
      </c>
      <c r="B32" s="60" t="str">
        <f t="shared" si="0"/>
        <v/>
      </c>
      <c r="C32" s="60" t="str">
        <f>IF(可燃!K30+不燃・木くず・海岸清掃!F30+ビン類!K30+缶類!K30+ペットボトル!K30+粗大!P30+紙類!Q30=0,"",可燃!K30+不燃・木くず・海岸清掃!F30+ビン類!K30+缶類!K30+ペットボトル!K30+粗大!P30+紙類!Q30)</f>
        <v/>
      </c>
      <c r="D32" s="60" t="str">
        <f>IF(不燃・木くず・海岸清掃!K30+不燃・木くず・海岸清掃!P30+不燃・木くず・海岸清掃!Z30+可燃!V30+ビン類!V30+缶類!V30+ペットボトル!V30+粗大!Z30=0,"",不燃・木くず・海岸清掃!K30+不燃・木くず・海岸清掃!P30+不燃・木くず・海岸清掃!Z30+可燃!V30+ビン類!V30+缶類!V30+ペットボトル!V30+粗大!Z30)</f>
        <v/>
      </c>
      <c r="E32" s="60" t="str">
        <f>IF(産廃水産・医療・汚泥!X30=0,"",産廃水産・医療・汚泥!X30)</f>
        <v/>
      </c>
      <c r="F32" s="60" t="str">
        <f>IF(産廃水産・医療・汚泥!P30=0,"",産廃水産・医療・汚泥!P30)</f>
        <v/>
      </c>
      <c r="G32" s="60" t="str">
        <f>IF(産廃水産・医療・汚泥!K30=0,"",産廃水産・医療・汚泥!K30)</f>
        <v/>
      </c>
      <c r="H32" s="60" t="str">
        <f>IF('A-1'!D31+'A-1'!E31=0,"",'A-1'!D31+'A-1'!E31)</f>
        <v/>
      </c>
      <c r="I32" s="60" t="str">
        <f t="shared" si="1"/>
        <v/>
      </c>
      <c r="J32" s="61"/>
      <c r="K32" s="66"/>
      <c r="L32" s="67"/>
      <c r="M32" s="61"/>
      <c r="N32" s="61"/>
      <c r="O32" s="61"/>
      <c r="P32" s="67"/>
      <c r="Q32" s="61"/>
      <c r="R32" s="61"/>
      <c r="S32" s="61"/>
      <c r="T32" s="64"/>
    </row>
    <row r="33" spans="1:20" s="44" customFormat="1" ht="12" customHeight="1" x14ac:dyDescent="0.15">
      <c r="A33" s="24">
        <v>20</v>
      </c>
      <c r="B33" s="60" t="str">
        <f t="shared" si="0"/>
        <v/>
      </c>
      <c r="C33" s="60" t="str">
        <f>IF(可燃!K31+不燃・木くず・海岸清掃!F31+ビン類!K31+缶類!K31+ペットボトル!K31+粗大!P31+紙類!Q31=0,"",可燃!K31+不燃・木くず・海岸清掃!F31+ビン類!K31+缶類!K31+ペットボトル!K31+粗大!P31+紙類!Q31)</f>
        <v/>
      </c>
      <c r="D33" s="60" t="str">
        <f>IF(不燃・木くず・海岸清掃!K31+不燃・木くず・海岸清掃!P31+不燃・木くず・海岸清掃!Z31+可燃!V31+ビン類!V31+缶類!V31+ペットボトル!V31+粗大!Z31=0,"",不燃・木くず・海岸清掃!K31+不燃・木くず・海岸清掃!P31+不燃・木くず・海岸清掃!Z31+可燃!V31+ビン類!V31+缶類!V31+ペットボトル!V31+粗大!Z31)</f>
        <v/>
      </c>
      <c r="E33" s="60" t="str">
        <f>IF(産廃水産・医療・汚泥!X31=0,"",産廃水産・医療・汚泥!X31)</f>
        <v/>
      </c>
      <c r="F33" s="60" t="str">
        <f>IF(産廃水産・医療・汚泥!P31=0,"",産廃水産・医療・汚泥!P31)</f>
        <v/>
      </c>
      <c r="G33" s="60" t="str">
        <f>IF(産廃水産・医療・汚泥!K31=0,"",産廃水産・医療・汚泥!K31)</f>
        <v/>
      </c>
      <c r="H33" s="60" t="str">
        <f>IF('A-1'!D32+'A-1'!E32=0,"",'A-1'!D32+'A-1'!E32)</f>
        <v/>
      </c>
      <c r="I33" s="60" t="str">
        <f t="shared" si="1"/>
        <v/>
      </c>
      <c r="J33" s="61"/>
      <c r="K33" s="66"/>
      <c r="L33" s="67"/>
      <c r="M33" s="61"/>
      <c r="N33" s="61"/>
      <c r="O33" s="61"/>
      <c r="P33" s="67"/>
      <c r="Q33" s="61"/>
      <c r="R33" s="61"/>
      <c r="S33" s="61"/>
      <c r="T33" s="64"/>
    </row>
    <row r="34" spans="1:20" s="44" customFormat="1" ht="12" customHeight="1" x14ac:dyDescent="0.15">
      <c r="A34" s="24">
        <v>21</v>
      </c>
      <c r="B34" s="60" t="str">
        <f t="shared" si="0"/>
        <v/>
      </c>
      <c r="C34" s="60" t="str">
        <f>IF(可燃!K32+不燃・木くず・海岸清掃!F32+ビン類!K32+缶類!K32+ペットボトル!K32+粗大!P32+紙類!Q32=0,"",可燃!K32+不燃・木くず・海岸清掃!F32+ビン類!K32+缶類!K32+ペットボトル!K32+粗大!P32+紙類!Q32)</f>
        <v/>
      </c>
      <c r="D34" s="60" t="str">
        <f>IF(不燃・木くず・海岸清掃!K32+不燃・木くず・海岸清掃!P32+不燃・木くず・海岸清掃!Z32+可燃!V32+ビン類!V32+缶類!V32+ペットボトル!V32+粗大!Z32=0,"",不燃・木くず・海岸清掃!K32+不燃・木くず・海岸清掃!P32+不燃・木くず・海岸清掃!Z32+可燃!V32+ビン類!V32+缶類!V32+ペットボトル!V32+粗大!Z32)</f>
        <v/>
      </c>
      <c r="E34" s="60" t="str">
        <f>IF(産廃水産・医療・汚泥!X32=0,"",産廃水産・医療・汚泥!X32)</f>
        <v/>
      </c>
      <c r="F34" s="60" t="str">
        <f>IF(産廃水産・医療・汚泥!P32=0,"",産廃水産・医療・汚泥!P32)</f>
        <v/>
      </c>
      <c r="G34" s="60" t="str">
        <f>IF(産廃水産・医療・汚泥!K32=0,"",産廃水産・医療・汚泥!K32)</f>
        <v/>
      </c>
      <c r="H34" s="60" t="str">
        <f>IF('A-1'!D33+'A-1'!E33=0,"",'A-1'!D33+'A-1'!E33)</f>
        <v/>
      </c>
      <c r="I34" s="60" t="str">
        <f t="shared" si="1"/>
        <v/>
      </c>
      <c r="J34" s="61"/>
      <c r="K34" s="66">
        <v>75</v>
      </c>
      <c r="L34" s="67">
        <v>7.9</v>
      </c>
      <c r="M34" s="61"/>
      <c r="N34" s="61">
        <v>23</v>
      </c>
      <c r="O34" s="61"/>
      <c r="P34" s="67">
        <v>7.4</v>
      </c>
      <c r="Q34" s="61"/>
      <c r="R34" s="61">
        <v>15</v>
      </c>
      <c r="S34" s="61"/>
      <c r="T34" s="64"/>
    </row>
    <row r="35" spans="1:20" s="44" customFormat="1" ht="12" customHeight="1" x14ac:dyDescent="0.15">
      <c r="A35" s="24">
        <v>22</v>
      </c>
      <c r="B35" s="60" t="str">
        <f t="shared" si="0"/>
        <v/>
      </c>
      <c r="C35" s="60" t="str">
        <f>IF(可燃!K33+不燃・木くず・海岸清掃!F33+ビン類!K33+缶類!K33+ペットボトル!K33+粗大!P33+紙類!Q33=0,"",可燃!K33+不燃・木くず・海岸清掃!F33+ビン類!K33+缶類!K33+ペットボトル!K33+粗大!P33+紙類!Q33)</f>
        <v/>
      </c>
      <c r="D35" s="60" t="str">
        <f>IF(不燃・木くず・海岸清掃!K33+不燃・木くず・海岸清掃!P33+不燃・木くず・海岸清掃!Z33+可燃!V33+ビン類!V33+缶類!V33+ペットボトル!V33+粗大!Z33=0,"",不燃・木くず・海岸清掃!K33+不燃・木くず・海岸清掃!P33+不燃・木くず・海岸清掃!Z33+可燃!V33+ビン類!V33+缶類!V33+ペットボトル!V33+粗大!Z33)</f>
        <v/>
      </c>
      <c r="E35" s="60" t="str">
        <f>IF(産廃水産・医療・汚泥!X33=0,"",産廃水産・医療・汚泥!X33)</f>
        <v/>
      </c>
      <c r="F35" s="60" t="str">
        <f>IF(産廃水産・医療・汚泥!P33=0,"",産廃水産・医療・汚泥!P33)</f>
        <v/>
      </c>
      <c r="G35" s="60" t="str">
        <f>IF(産廃水産・医療・汚泥!K33=0,"",産廃水産・医療・汚泥!K33)</f>
        <v/>
      </c>
      <c r="H35" s="60" t="str">
        <f>IF('A-1'!D34+'A-1'!E34=0,"",'A-1'!D34+'A-1'!E34)</f>
        <v/>
      </c>
      <c r="I35" s="60" t="str">
        <f t="shared" si="1"/>
        <v/>
      </c>
      <c r="J35" s="61"/>
      <c r="K35" s="66"/>
      <c r="L35" s="67"/>
      <c r="M35" s="61"/>
      <c r="N35" s="61"/>
      <c r="O35" s="61"/>
      <c r="P35" s="67"/>
      <c r="Q35" s="61"/>
      <c r="R35" s="61"/>
      <c r="S35" s="61"/>
      <c r="T35" s="64"/>
    </row>
    <row r="36" spans="1:20" s="44" customFormat="1" ht="12" customHeight="1" x14ac:dyDescent="0.15">
      <c r="A36" s="24">
        <v>23</v>
      </c>
      <c r="B36" s="60" t="str">
        <f t="shared" si="0"/>
        <v/>
      </c>
      <c r="C36" s="60" t="str">
        <f>IF(可燃!K34+不燃・木くず・海岸清掃!F34+ビン類!K34+缶類!K34+ペットボトル!K34+粗大!P34+紙類!Q34=0,"",可燃!K34+不燃・木くず・海岸清掃!F34+ビン類!K34+缶類!K34+ペットボトル!K34+粗大!P34+紙類!Q34)</f>
        <v/>
      </c>
      <c r="D36" s="60" t="str">
        <f>IF(不燃・木くず・海岸清掃!K34+不燃・木くず・海岸清掃!P34+不燃・木くず・海岸清掃!Z34+可燃!V34+ビン類!V34+缶類!V34+ペットボトル!V34+粗大!Z34=0,"",不燃・木くず・海岸清掃!K34+不燃・木くず・海岸清掃!P34+不燃・木くず・海岸清掃!Z34+可燃!V34+ビン類!V34+缶類!V34+ペットボトル!V34+粗大!Z34)</f>
        <v/>
      </c>
      <c r="E36" s="60" t="str">
        <f>IF(産廃水産・医療・汚泥!X34=0,"",産廃水産・医療・汚泥!X34)</f>
        <v/>
      </c>
      <c r="F36" s="60" t="str">
        <f>IF(産廃水産・医療・汚泥!P34=0,"",産廃水産・医療・汚泥!P34)</f>
        <v/>
      </c>
      <c r="G36" s="60" t="str">
        <f>IF(産廃水産・医療・汚泥!K34=0,"",産廃水産・医療・汚泥!K34)</f>
        <v/>
      </c>
      <c r="H36" s="60" t="str">
        <f>IF('A-1'!D35+'A-1'!E35=0,"",'A-1'!D35+'A-1'!E35)</f>
        <v/>
      </c>
      <c r="I36" s="60" t="str">
        <f t="shared" si="1"/>
        <v/>
      </c>
      <c r="J36" s="61"/>
      <c r="K36" s="66"/>
      <c r="L36" s="67"/>
      <c r="M36" s="61"/>
      <c r="N36" s="61"/>
      <c r="O36" s="61"/>
      <c r="P36" s="67"/>
      <c r="Q36" s="61"/>
      <c r="R36" s="61"/>
      <c r="S36" s="61"/>
      <c r="T36" s="64"/>
    </row>
    <row r="37" spans="1:20" s="44" customFormat="1" ht="12" customHeight="1" x14ac:dyDescent="0.15">
      <c r="A37" s="24">
        <v>24</v>
      </c>
      <c r="B37" s="60" t="str">
        <f t="shared" si="0"/>
        <v/>
      </c>
      <c r="C37" s="60" t="str">
        <f>IF(可燃!K35+不燃・木くず・海岸清掃!F35+ビン類!K35+缶類!K35+ペットボトル!K35+粗大!P35+紙類!Q35=0,"",可燃!K35+不燃・木くず・海岸清掃!F35+ビン類!K35+缶類!K35+ペットボトル!K35+粗大!P35+紙類!Q35)</f>
        <v/>
      </c>
      <c r="D37" s="60" t="str">
        <f>IF(不燃・木くず・海岸清掃!K35+不燃・木くず・海岸清掃!P35+不燃・木くず・海岸清掃!Z35+可燃!V35+ビン類!V35+缶類!V35+ペットボトル!V35+粗大!Z35=0,"",不燃・木くず・海岸清掃!K35+不燃・木くず・海岸清掃!P35+不燃・木くず・海岸清掃!Z35+可燃!V35+ビン類!V35+缶類!V35+ペットボトル!V35+粗大!Z35)</f>
        <v/>
      </c>
      <c r="E37" s="60" t="str">
        <f>IF(産廃水産・医療・汚泥!X35=0,"",産廃水産・医療・汚泥!X35)</f>
        <v/>
      </c>
      <c r="F37" s="60" t="str">
        <f>IF(産廃水産・医療・汚泥!P35=0,"",産廃水産・医療・汚泥!P35)</f>
        <v/>
      </c>
      <c r="G37" s="60" t="str">
        <f>IF(産廃水産・医療・汚泥!K35=0,"",産廃水産・医療・汚泥!K35)</f>
        <v/>
      </c>
      <c r="H37" s="60" t="str">
        <f>IF('A-1'!D36+'A-1'!E36=0,"",'A-1'!D36+'A-1'!E36)</f>
        <v/>
      </c>
      <c r="I37" s="60" t="str">
        <f t="shared" si="1"/>
        <v/>
      </c>
      <c r="J37" s="61"/>
      <c r="K37" s="66"/>
      <c r="L37" s="67"/>
      <c r="M37" s="61"/>
      <c r="N37" s="61"/>
      <c r="O37" s="61"/>
      <c r="P37" s="67"/>
      <c r="Q37" s="61"/>
      <c r="R37" s="61"/>
      <c r="S37" s="61"/>
      <c r="T37" s="64"/>
    </row>
    <row r="38" spans="1:20" s="44" customFormat="1" ht="12" customHeight="1" x14ac:dyDescent="0.15">
      <c r="A38" s="24">
        <v>25</v>
      </c>
      <c r="B38" s="60" t="str">
        <f t="shared" si="0"/>
        <v/>
      </c>
      <c r="C38" s="60" t="str">
        <f>IF(可燃!K36+不燃・木くず・海岸清掃!F36+ビン類!K36+缶類!K36+ペットボトル!K36+粗大!P36+紙類!Q36=0,"",可燃!K36+不燃・木くず・海岸清掃!F36+ビン類!K36+缶類!K36+ペットボトル!K36+粗大!P36+紙類!Q36)</f>
        <v/>
      </c>
      <c r="D38" s="60" t="str">
        <f>IF(不燃・木くず・海岸清掃!K36+不燃・木くず・海岸清掃!P36+不燃・木くず・海岸清掃!Z36+可燃!V36+ビン類!V36+缶類!V36+ペットボトル!V36+粗大!Z36=0,"",不燃・木くず・海岸清掃!K36+不燃・木くず・海岸清掃!P36+不燃・木くず・海岸清掃!Z36+可燃!V36+ビン類!V36+缶類!V36+ペットボトル!V36+粗大!Z36)</f>
        <v/>
      </c>
      <c r="E38" s="60" t="str">
        <f>IF(産廃水産・医療・汚泥!X36=0,"",産廃水産・医療・汚泥!X36)</f>
        <v/>
      </c>
      <c r="F38" s="60" t="str">
        <f>IF(産廃水産・医療・汚泥!P36=0,"",産廃水産・医療・汚泥!P36)</f>
        <v/>
      </c>
      <c r="G38" s="60" t="str">
        <f>IF(産廃水産・医療・汚泥!K36=0,"",産廃水産・医療・汚泥!K36)</f>
        <v/>
      </c>
      <c r="H38" s="60" t="str">
        <f>IF('A-1'!D37+'A-1'!E37=0,"",'A-1'!D37+'A-1'!E37)</f>
        <v/>
      </c>
      <c r="I38" s="60" t="str">
        <f t="shared" si="1"/>
        <v/>
      </c>
      <c r="J38" s="61"/>
      <c r="K38" s="66"/>
      <c r="L38" s="67"/>
      <c r="M38" s="61"/>
      <c r="N38" s="61"/>
      <c r="O38" s="61"/>
      <c r="P38" s="67"/>
      <c r="Q38" s="61"/>
      <c r="R38" s="61"/>
      <c r="S38" s="61"/>
      <c r="T38" s="64"/>
    </row>
    <row r="39" spans="1:20" s="44" customFormat="1" ht="12" customHeight="1" x14ac:dyDescent="0.15">
      <c r="A39" s="24">
        <v>26</v>
      </c>
      <c r="B39" s="60" t="str">
        <f t="shared" si="0"/>
        <v/>
      </c>
      <c r="C39" s="60" t="str">
        <f>IF(可燃!K37+不燃・木くず・海岸清掃!F37+ビン類!K37+缶類!K37+ペットボトル!K37+粗大!P37+紙類!Q37=0,"",可燃!K37+不燃・木くず・海岸清掃!F37+ビン類!K37+缶類!K37+ペットボトル!K37+粗大!P37+紙類!Q37)</f>
        <v/>
      </c>
      <c r="D39" s="60" t="str">
        <f>IF(不燃・木くず・海岸清掃!K37+不燃・木くず・海岸清掃!P37+不燃・木くず・海岸清掃!Z37+可燃!V37+ビン類!V37+缶類!V37+ペットボトル!V37+粗大!Z37=0,"",不燃・木くず・海岸清掃!K37+不燃・木くず・海岸清掃!P37+不燃・木くず・海岸清掃!Z37+可燃!V37+ビン類!V37+缶類!V37+ペットボトル!V37+粗大!Z37)</f>
        <v/>
      </c>
      <c r="E39" s="60" t="str">
        <f>IF(産廃水産・医療・汚泥!X37=0,"",産廃水産・医療・汚泥!X37)</f>
        <v/>
      </c>
      <c r="F39" s="60" t="str">
        <f>IF(産廃水産・医療・汚泥!P37=0,"",産廃水産・医療・汚泥!P37)</f>
        <v/>
      </c>
      <c r="G39" s="60" t="str">
        <f>IF(産廃水産・医療・汚泥!K37=0,"",産廃水産・医療・汚泥!K37)</f>
        <v/>
      </c>
      <c r="H39" s="60" t="str">
        <f>IF('A-1'!D38+'A-1'!E38=0,"",'A-1'!D38+'A-1'!E38)</f>
        <v/>
      </c>
      <c r="I39" s="60" t="str">
        <f t="shared" si="1"/>
        <v/>
      </c>
      <c r="J39" s="61"/>
      <c r="K39" s="66"/>
      <c r="L39" s="67"/>
      <c r="M39" s="61"/>
      <c r="N39" s="61"/>
      <c r="O39" s="61"/>
      <c r="P39" s="67"/>
      <c r="Q39" s="61"/>
      <c r="R39" s="61"/>
      <c r="S39" s="61"/>
      <c r="T39" s="64"/>
    </row>
    <row r="40" spans="1:20" s="44" customFormat="1" ht="12" customHeight="1" x14ac:dyDescent="0.15">
      <c r="A40" s="24">
        <v>27</v>
      </c>
      <c r="B40" s="60" t="str">
        <f t="shared" si="0"/>
        <v/>
      </c>
      <c r="C40" s="60" t="str">
        <f>IF(可燃!K38+不燃・木くず・海岸清掃!F38+ビン類!K38+缶類!K38+ペットボトル!K38+粗大!P38+紙類!Q38=0,"",可燃!K38+不燃・木くず・海岸清掃!F38+ビン類!K38+缶類!K38+ペットボトル!K38+粗大!P38+紙類!Q38)</f>
        <v/>
      </c>
      <c r="D40" s="60" t="str">
        <f>IF(不燃・木くず・海岸清掃!K38+不燃・木くず・海岸清掃!P38+不燃・木くず・海岸清掃!Z38+可燃!V38+ビン類!V38+缶類!V38+ペットボトル!V38+粗大!Z38=0,"",不燃・木くず・海岸清掃!K38+不燃・木くず・海岸清掃!P38+不燃・木くず・海岸清掃!Z38+可燃!V38+ビン類!V38+缶類!V38+ペットボトル!V38+粗大!Z38)</f>
        <v/>
      </c>
      <c r="E40" s="60" t="str">
        <f>IF(産廃水産・医療・汚泥!X38=0,"",産廃水産・医療・汚泥!X38)</f>
        <v/>
      </c>
      <c r="F40" s="60" t="str">
        <f>IF(産廃水産・医療・汚泥!P38=0,"",産廃水産・医療・汚泥!P38)</f>
        <v/>
      </c>
      <c r="G40" s="60" t="str">
        <f>IF(産廃水産・医療・汚泥!K38=0,"",産廃水産・医療・汚泥!K38)</f>
        <v/>
      </c>
      <c r="H40" s="60" t="str">
        <f>IF('A-1'!D39+'A-1'!E39=0,"",'A-1'!D39+'A-1'!E39)</f>
        <v/>
      </c>
      <c r="I40" s="60" t="str">
        <f t="shared" si="1"/>
        <v/>
      </c>
      <c r="J40" s="61"/>
      <c r="K40" s="66"/>
      <c r="L40" s="67"/>
      <c r="M40" s="61"/>
      <c r="N40" s="61"/>
      <c r="O40" s="61"/>
      <c r="P40" s="67"/>
      <c r="Q40" s="61"/>
      <c r="R40" s="61"/>
      <c r="S40" s="61"/>
      <c r="T40" s="64"/>
    </row>
    <row r="41" spans="1:20" s="44" customFormat="1" ht="12" customHeight="1" x14ac:dyDescent="0.15">
      <c r="A41" s="24">
        <v>28</v>
      </c>
      <c r="B41" s="60" t="str">
        <f t="shared" si="0"/>
        <v/>
      </c>
      <c r="C41" s="60" t="str">
        <f>IF(可燃!K39+不燃・木くず・海岸清掃!F39+ビン類!K39+缶類!K39+ペットボトル!K39+粗大!P39+紙類!Q39=0,"",可燃!K39+不燃・木くず・海岸清掃!F39+ビン類!K39+缶類!K39+ペットボトル!K39+粗大!P39+紙類!Q39)</f>
        <v/>
      </c>
      <c r="D41" s="60" t="str">
        <f>IF(不燃・木くず・海岸清掃!K39+不燃・木くず・海岸清掃!P39+不燃・木くず・海岸清掃!Z39+可燃!V39+ビン類!V39+缶類!V39+ペットボトル!V39+粗大!Z39=0,"",不燃・木くず・海岸清掃!K39+不燃・木くず・海岸清掃!P39+不燃・木くず・海岸清掃!Z39+可燃!V39+ビン類!V39+缶類!V39+ペットボトル!V39+粗大!Z39)</f>
        <v/>
      </c>
      <c r="E41" s="60" t="str">
        <f>IF(産廃水産・医療・汚泥!X39=0,"",産廃水産・医療・汚泥!X39)</f>
        <v/>
      </c>
      <c r="F41" s="60" t="str">
        <f>IF(産廃水産・医療・汚泥!P39=0,"",産廃水産・医療・汚泥!P39)</f>
        <v/>
      </c>
      <c r="G41" s="60" t="str">
        <f>IF(産廃水産・医療・汚泥!K39=0,"",産廃水産・医療・汚泥!K39)</f>
        <v/>
      </c>
      <c r="H41" s="60" t="str">
        <f>IF('A-1'!D40+'A-1'!E40=0,"",'A-1'!D40+'A-1'!E40)</f>
        <v/>
      </c>
      <c r="I41" s="60" t="str">
        <f t="shared" si="1"/>
        <v/>
      </c>
      <c r="J41" s="61"/>
      <c r="K41" s="66">
        <v>75</v>
      </c>
      <c r="L41" s="67">
        <v>7.7</v>
      </c>
      <c r="M41" s="61"/>
      <c r="N41" s="61">
        <v>20</v>
      </c>
      <c r="O41" s="61"/>
      <c r="P41" s="67">
        <v>7.4</v>
      </c>
      <c r="Q41" s="61"/>
      <c r="R41" s="61">
        <v>30</v>
      </c>
      <c r="S41" s="61"/>
      <c r="T41" s="64"/>
    </row>
    <row r="42" spans="1:20" s="44" customFormat="1" ht="12" customHeight="1" x14ac:dyDescent="0.15">
      <c r="A42" s="24">
        <v>29</v>
      </c>
      <c r="B42" s="60" t="str">
        <f t="shared" si="0"/>
        <v/>
      </c>
      <c r="C42" s="60" t="str">
        <f>IF(可燃!K40+不燃・木くず・海岸清掃!F40+ビン類!K40+缶類!K40+ペットボトル!K40+粗大!P40+紙類!Q40=0,"",可燃!K40+不燃・木くず・海岸清掃!F40+ビン類!K40+缶類!K40+ペットボトル!K40+粗大!P40+紙類!Q40)</f>
        <v/>
      </c>
      <c r="D42" s="60" t="str">
        <f>IF(不燃・木くず・海岸清掃!K40+不燃・木くず・海岸清掃!P40+不燃・木くず・海岸清掃!Z40+可燃!V40+ビン類!V40+缶類!V40+ペットボトル!V40+粗大!Z40=0,"",不燃・木くず・海岸清掃!K40+不燃・木くず・海岸清掃!P40+不燃・木くず・海岸清掃!Z40+可燃!V40+ビン類!V40+缶類!V40+ペットボトル!V40+粗大!Z40)</f>
        <v/>
      </c>
      <c r="E42" s="60" t="str">
        <f>IF(産廃水産・医療・汚泥!X40=0,"",産廃水産・医療・汚泥!X40)</f>
        <v/>
      </c>
      <c r="F42" s="60" t="str">
        <f>IF(産廃水産・医療・汚泥!P40=0,"",産廃水産・医療・汚泥!P40)</f>
        <v/>
      </c>
      <c r="G42" s="60" t="str">
        <f>IF(産廃水産・医療・汚泥!K40=0,"",産廃水産・医療・汚泥!K40)</f>
        <v/>
      </c>
      <c r="H42" s="60" t="str">
        <f>IF('A-1'!D41+'A-1'!E41=0,"",'A-1'!D41+'A-1'!E41)</f>
        <v/>
      </c>
      <c r="I42" s="60" t="str">
        <f t="shared" si="1"/>
        <v/>
      </c>
      <c r="J42" s="61"/>
      <c r="K42" s="66"/>
      <c r="L42" s="67"/>
      <c r="M42" s="61"/>
      <c r="N42" s="61"/>
      <c r="O42" s="61"/>
      <c r="P42" s="67"/>
      <c r="Q42" s="61"/>
      <c r="R42" s="61"/>
      <c r="S42" s="61"/>
      <c r="T42" s="64"/>
    </row>
    <row r="43" spans="1:20" s="44" customFormat="1" ht="12" customHeight="1" x14ac:dyDescent="0.15">
      <c r="A43" s="24">
        <v>30</v>
      </c>
      <c r="B43" s="60" t="str">
        <f t="shared" si="0"/>
        <v/>
      </c>
      <c r="C43" s="60" t="str">
        <f>IF(可燃!K41+不燃・木くず・海岸清掃!F41+ビン類!K41+缶類!K41+ペットボトル!K41+粗大!P41+紙類!Q41=0,"",可燃!K41+不燃・木くず・海岸清掃!F41+ビン類!K41+缶類!K41+ペットボトル!K41+粗大!P41+紙類!Q41)</f>
        <v/>
      </c>
      <c r="D43" s="60" t="str">
        <f>IF(不燃・木くず・海岸清掃!K41+不燃・木くず・海岸清掃!P41+不燃・木くず・海岸清掃!Z41+可燃!V41+ビン類!V41+缶類!V41+ペットボトル!V41+粗大!Z41=0,"",不燃・木くず・海岸清掃!K41+不燃・木くず・海岸清掃!P41+不燃・木くず・海岸清掃!Z41+可燃!V41+ビン類!V41+缶類!V41+ペットボトル!V41+粗大!Z41)</f>
        <v/>
      </c>
      <c r="E43" s="60" t="str">
        <f>IF(産廃水産・医療・汚泥!X41=0,"",産廃水産・医療・汚泥!X41)</f>
        <v/>
      </c>
      <c r="F43" s="60" t="str">
        <f>IF(産廃水産・医療・汚泥!P41=0,"",産廃水産・医療・汚泥!P41)</f>
        <v/>
      </c>
      <c r="G43" s="60" t="str">
        <f>IF(産廃水産・医療・汚泥!K41=0,"",産廃水産・医療・汚泥!K41)</f>
        <v/>
      </c>
      <c r="H43" s="60" t="str">
        <f>IF('A-1'!D42+'A-1'!E42=0,"",'A-1'!D42+'A-1'!E42)</f>
        <v/>
      </c>
      <c r="I43" s="60" t="str">
        <f t="shared" si="1"/>
        <v/>
      </c>
      <c r="J43" s="61"/>
      <c r="K43" s="66"/>
      <c r="L43" s="67"/>
      <c r="M43" s="61"/>
      <c r="N43" s="61"/>
      <c r="O43" s="61"/>
      <c r="P43" s="67"/>
      <c r="Q43" s="61"/>
      <c r="R43" s="61"/>
      <c r="S43" s="61"/>
      <c r="T43" s="64"/>
    </row>
    <row r="44" spans="1:20" s="44" customFormat="1" ht="12" customHeight="1" thickBot="1" x14ac:dyDescent="0.2">
      <c r="A44" s="107">
        <v>31</v>
      </c>
      <c r="B44" s="69" t="str">
        <f t="shared" si="0"/>
        <v/>
      </c>
      <c r="C44" s="69" t="str">
        <f>IF(可燃!K42+不燃・木くず・海岸清掃!F42+ビン類!K42+缶類!K42+ペットボトル!K42+粗大!P42+紙類!Q42=0,"",可燃!K42+不燃・木くず・海岸清掃!F42+ビン類!K42+缶類!K42+ペットボトル!K42+粗大!P42+紙類!Q42)</f>
        <v/>
      </c>
      <c r="D44" s="69" t="str">
        <f>IF(不燃・木くず・海岸清掃!K42+不燃・木くず・海岸清掃!P42+不燃・木くず・海岸清掃!Z42+可燃!V42+ビン類!V42+缶類!V42+ペットボトル!V42+粗大!Z42=0,"",不燃・木くず・海岸清掃!K42+不燃・木くず・海岸清掃!P42+不燃・木くず・海岸清掃!Z42+可燃!V42+ビン類!V42+缶類!V42+ペットボトル!V42+粗大!Z42)</f>
        <v/>
      </c>
      <c r="E44" s="69" t="str">
        <f>IF(産廃水産・医療・汚泥!X42=0,"",産廃水産・医療・汚泥!X42)</f>
        <v/>
      </c>
      <c r="F44" s="69" t="str">
        <f>IF(産廃水産・医療・汚泥!P42=0,"",産廃水産・医療・汚泥!P42)</f>
        <v/>
      </c>
      <c r="G44" s="69" t="str">
        <f>IF(産廃水産・医療・汚泥!K42=0,"",産廃水産・医療・汚泥!K42)</f>
        <v/>
      </c>
      <c r="H44" s="69" t="str">
        <f>IF('A-1'!D43+'A-1'!E43=0,"",'A-1'!D43+'A-1'!E43)</f>
        <v/>
      </c>
      <c r="I44" s="69" t="str">
        <f t="shared" si="1"/>
        <v/>
      </c>
      <c r="J44" s="69"/>
      <c r="K44" s="70"/>
      <c r="L44" s="71"/>
      <c r="M44" s="69"/>
      <c r="N44" s="69"/>
      <c r="O44" s="69"/>
      <c r="P44" s="71"/>
      <c r="Q44" s="69"/>
      <c r="R44" s="69"/>
      <c r="S44" s="69"/>
      <c r="T44" s="72"/>
    </row>
    <row r="45" spans="1:20" s="44" customFormat="1" ht="12" customHeight="1" thickTop="1" x14ac:dyDescent="0.15">
      <c r="A45" s="58" t="s">
        <v>2</v>
      </c>
      <c r="B45" s="60">
        <f t="shared" ref="B45:I45" si="2">ROUND(SUM(B14:B44),1)</f>
        <v>0</v>
      </c>
      <c r="C45" s="60">
        <f t="shared" si="2"/>
        <v>0</v>
      </c>
      <c r="D45" s="60">
        <f t="shared" si="2"/>
        <v>0</v>
      </c>
      <c r="E45" s="60">
        <f>ROUND(SUM(E14:E44),1)</f>
        <v>0</v>
      </c>
      <c r="F45" s="60">
        <f>ROUND(SUM(F14:F44),1)</f>
        <v>0</v>
      </c>
      <c r="G45" s="60">
        <f>ROUND(SUM(G14:G44),1)</f>
        <v>0</v>
      </c>
      <c r="H45" s="60">
        <f t="shared" si="2"/>
        <v>0</v>
      </c>
      <c r="I45" s="60">
        <f t="shared" si="2"/>
        <v>0</v>
      </c>
      <c r="J45" s="60">
        <f>SUM(J14:J44)</f>
        <v>0</v>
      </c>
      <c r="K45" s="62">
        <f>SUM(K14:K44)</f>
        <v>300</v>
      </c>
      <c r="L45" s="63"/>
      <c r="M45" s="60"/>
      <c r="N45" s="60"/>
      <c r="O45" s="60"/>
      <c r="P45" s="63"/>
      <c r="Q45" s="60"/>
      <c r="R45" s="60"/>
      <c r="S45" s="60"/>
      <c r="T45" s="65"/>
    </row>
    <row r="46" spans="1:20" s="44" customFormat="1" ht="12" customHeight="1" x14ac:dyDescent="0.15">
      <c r="A46" s="73" t="s">
        <v>3</v>
      </c>
      <c r="B46" s="84" t="str">
        <f t="shared" ref="B46:I46" si="3">IF(COUNTIF(B14:B44,"&gt;0")=0,"",ROUND(B45/COUNTIF(B14:B44,"&gt;0"),1))</f>
        <v/>
      </c>
      <c r="C46" s="84" t="str">
        <f t="shared" si="3"/>
        <v/>
      </c>
      <c r="D46" s="84" t="str">
        <f t="shared" si="3"/>
        <v/>
      </c>
      <c r="E46" s="84" t="str">
        <f>IF(COUNTIF(E14:E44,"&gt;0")=0,"",ROUND(E45/COUNTIF(E14:E44,"&gt;0"),1))</f>
        <v/>
      </c>
      <c r="F46" s="84" t="str">
        <f>IF(COUNTIF(F14:F44,"&gt;0")=0,"",ROUND(F45/COUNTIF(F14:F44,"&gt;0"),1))</f>
        <v/>
      </c>
      <c r="G46" s="84" t="str">
        <f>IF(COUNTIF(G14:G44,"&gt;0")=0,"",ROUND(G45/COUNTIF(G14:G44,"&gt;0"),1))</f>
        <v/>
      </c>
      <c r="H46" s="84" t="str">
        <f>IF(COUNTIF(H14:H44,"&gt;0")=0,"",ROUND(H45/COUNTIF(H14:H44,"&gt;0"),1))</f>
        <v/>
      </c>
      <c r="I46" s="84" t="str">
        <f t="shared" si="3"/>
        <v/>
      </c>
      <c r="J46" s="61" t="str">
        <f>IF(SUM(J14:J44)=0,"",SUM(J14:J44)/COUNTIF(J14:J44,"&gt;0"))</f>
        <v/>
      </c>
      <c r="K46" s="66">
        <f>IF(SUM(K14:K44)=0,"",SUM(K14:K44)/COUNTIF(K14:K44,"&gt;0"))</f>
        <v>75</v>
      </c>
      <c r="L46" s="67">
        <f t="shared" ref="L46:T46" si="4">IF(SUM(L14:L44)=0,"",SUM(L14:L44)/COUNTIF(L14:L44,"&gt;0"))</f>
        <v>7.74</v>
      </c>
      <c r="M46" s="61">
        <f t="shared" si="4"/>
        <v>9.8000000000000007</v>
      </c>
      <c r="N46" s="61">
        <f t="shared" si="4"/>
        <v>20.86</v>
      </c>
      <c r="O46" s="61">
        <f t="shared" si="4"/>
        <v>6</v>
      </c>
      <c r="P46" s="67">
        <f t="shared" si="4"/>
        <v>7.3400000000000007</v>
      </c>
      <c r="Q46" s="61">
        <f t="shared" si="4"/>
        <v>1.9</v>
      </c>
      <c r="R46" s="61">
        <f t="shared" si="4"/>
        <v>17.940000000000001</v>
      </c>
      <c r="S46" s="61">
        <f t="shared" si="4"/>
        <v>1.6</v>
      </c>
      <c r="T46" s="140" t="str">
        <f t="shared" si="4"/>
        <v/>
      </c>
    </row>
    <row r="47" spans="1:20" s="44" customFormat="1" ht="12" customHeight="1" x14ac:dyDescent="0.15">
      <c r="A47" s="73" t="s">
        <v>4</v>
      </c>
      <c r="B47" s="61">
        <f t="shared" ref="B47:I47" si="5">ROUND(MAX(B14:B44),1)</f>
        <v>0</v>
      </c>
      <c r="C47" s="61">
        <f t="shared" si="5"/>
        <v>0</v>
      </c>
      <c r="D47" s="61">
        <f t="shared" si="5"/>
        <v>0</v>
      </c>
      <c r="E47" s="61">
        <f t="shared" si="5"/>
        <v>0</v>
      </c>
      <c r="F47" s="61">
        <f t="shared" si="5"/>
        <v>0</v>
      </c>
      <c r="G47" s="61">
        <f t="shared" si="5"/>
        <v>0</v>
      </c>
      <c r="H47" s="61">
        <f t="shared" si="5"/>
        <v>0</v>
      </c>
      <c r="I47" s="61">
        <f t="shared" si="5"/>
        <v>0</v>
      </c>
      <c r="J47" s="61">
        <f t="shared" ref="J47:S47" si="6">MAX(J14:J44)</f>
        <v>0</v>
      </c>
      <c r="K47" s="66">
        <f t="shared" si="6"/>
        <v>75</v>
      </c>
      <c r="L47" s="67">
        <f t="shared" si="6"/>
        <v>7.9</v>
      </c>
      <c r="M47" s="61">
        <f t="shared" si="6"/>
        <v>9.8000000000000007</v>
      </c>
      <c r="N47" s="61">
        <f t="shared" si="6"/>
        <v>23</v>
      </c>
      <c r="O47" s="61">
        <f t="shared" si="6"/>
        <v>6</v>
      </c>
      <c r="P47" s="67">
        <f t="shared" si="6"/>
        <v>7.4</v>
      </c>
      <c r="Q47" s="61">
        <f t="shared" si="6"/>
        <v>1.9</v>
      </c>
      <c r="R47" s="61">
        <f t="shared" si="6"/>
        <v>30</v>
      </c>
      <c r="S47" s="61">
        <f t="shared" si="6"/>
        <v>1.6</v>
      </c>
      <c r="T47" s="140">
        <f>MAX(T14:T44)</f>
        <v>0</v>
      </c>
    </row>
    <row r="48" spans="1:20" s="44" customFormat="1" ht="12" customHeight="1" x14ac:dyDescent="0.15">
      <c r="A48" s="73" t="s">
        <v>5</v>
      </c>
      <c r="B48" s="84" t="str">
        <f t="shared" ref="B48:I48" si="7">IF(COUNTIF(B14:B44,"&gt;0")=0,"",ROUND(LARGE(B14:B44,COUNTIF(B14:B44,"&gt;0")),1))</f>
        <v/>
      </c>
      <c r="C48" s="84" t="str">
        <f t="shared" si="7"/>
        <v/>
      </c>
      <c r="D48" s="84" t="str">
        <f t="shared" si="7"/>
        <v/>
      </c>
      <c r="E48" s="84" t="str">
        <f t="shared" si="7"/>
        <v/>
      </c>
      <c r="F48" s="84" t="str">
        <f t="shared" si="7"/>
        <v/>
      </c>
      <c r="G48" s="84" t="str">
        <f t="shared" si="7"/>
        <v/>
      </c>
      <c r="H48" s="84" t="str">
        <f t="shared" si="7"/>
        <v/>
      </c>
      <c r="I48" s="84" t="str">
        <f t="shared" si="7"/>
        <v/>
      </c>
      <c r="J48" s="61" t="str">
        <f t="shared" ref="J48:S48" si="8">IF(SUM(J14:J44)=0,"",LARGE(J14:J44,COUNTIF(J14:J44,"&gt;0")))</f>
        <v/>
      </c>
      <c r="K48" s="66">
        <f t="shared" si="8"/>
        <v>75</v>
      </c>
      <c r="L48" s="67">
        <f t="shared" si="8"/>
        <v>7.3</v>
      </c>
      <c r="M48" s="61">
        <f t="shared" si="8"/>
        <v>9.8000000000000007</v>
      </c>
      <c r="N48" s="61">
        <f t="shared" si="8"/>
        <v>20</v>
      </c>
      <c r="O48" s="61">
        <f t="shared" si="8"/>
        <v>6</v>
      </c>
      <c r="P48" s="67">
        <f t="shared" si="8"/>
        <v>7.2</v>
      </c>
      <c r="Q48" s="61">
        <f t="shared" si="8"/>
        <v>1.9</v>
      </c>
      <c r="R48" s="61">
        <f t="shared" si="8"/>
        <v>14.7</v>
      </c>
      <c r="S48" s="61">
        <f t="shared" si="8"/>
        <v>1.6</v>
      </c>
      <c r="T48" s="140" t="str">
        <f>IF(SUM(T14:T44)=0,"",LARGE(T14:T44,COUNTIF(T14:T44,"&gt;0")))</f>
        <v/>
      </c>
    </row>
  </sheetData>
  <mergeCells count="26">
    <mergeCell ref="A1:V1"/>
    <mergeCell ref="C10:H10"/>
    <mergeCell ref="B9:D9"/>
    <mergeCell ref="L11:O11"/>
    <mergeCell ref="P11:T11"/>
    <mergeCell ref="J10:T10"/>
    <mergeCell ref="H2:I2"/>
    <mergeCell ref="J2:L2"/>
    <mergeCell ref="J3:L3"/>
    <mergeCell ref="J4:L4"/>
    <mergeCell ref="P5:T5"/>
    <mergeCell ref="P6:T6"/>
    <mergeCell ref="M2:O2"/>
    <mergeCell ref="M3:O3"/>
    <mergeCell ref="M4:O4"/>
    <mergeCell ref="M5:N5"/>
    <mergeCell ref="P2:T2"/>
    <mergeCell ref="P3:T3"/>
    <mergeCell ref="P4:T4"/>
    <mergeCell ref="J5:L5"/>
    <mergeCell ref="J6:L6"/>
    <mergeCell ref="H3:I3"/>
    <mergeCell ref="H4:I4"/>
    <mergeCell ref="H5:I5"/>
    <mergeCell ref="H6:I6"/>
    <mergeCell ref="M6:N6"/>
  </mergeCells>
  <phoneticPr fontId="3"/>
  <conditionalFormatting sqref="A14:A44">
    <cfRule type="expression" dxfId="19" priority="1" stopIfTrue="1">
      <formula>WEEKDAY(DATE(VALUE(MID($B$9,4,2))+1988,VALUE(MID($B$9,7,2)),A14))=7</formula>
    </cfRule>
    <cfRule type="expression" dxfId="18" priority="2" stopIfTrue="1">
      <formula>WEEKDAY(DATE(VALUE(MID($B$9,4,2))+1988,VALUE(MID($B$9,7,2)),A14))=1</formula>
    </cfRule>
  </conditionalFormatting>
  <dataValidations count="1">
    <dataValidation imeMode="off" allowBlank="1" showInputMessage="1" showErrorMessage="1" sqref="T39:T44 T14:T21 T23:T37 B14:S44" xr:uid="{4D13ECDC-1124-4BF5-B5F9-0FF4E55F1932}"/>
  </dataValidations>
  <printOptions horizontalCentered="1" verticalCentered="1"/>
  <pageMargins left="0.59055118110236227" right="0.59055118110236227" top="0.59055118110236227" bottom="0.59055118110236227" header="0" footer="0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54BA-8240-4481-ACC3-EBD9218ED871}">
  <sheetPr codeName="Sheet1"/>
  <dimension ref="A1:AE44"/>
  <sheetViews>
    <sheetView showZeros="0" zoomScaleNormal="100" workbookViewId="0">
      <pane ySplit="12" topLeftCell="A13" activePane="bottomLeft" state="frozen"/>
      <selection pane="bottomLeft" activeCell="AI20" sqref="AI20"/>
    </sheetView>
  </sheetViews>
  <sheetFormatPr defaultRowHeight="13.5" x14ac:dyDescent="0.15"/>
  <cols>
    <col min="1" max="1" width="3.375" style="108" customWidth="1"/>
    <col min="2" max="31" width="4.375" style="109" customWidth="1"/>
    <col min="32" max="16384" width="9" style="109"/>
  </cols>
  <sheetData>
    <row r="1" spans="1:31" s="108" customFormat="1" ht="18.75" x14ac:dyDescent="0.15">
      <c r="A1" s="174" t="s">
        <v>138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</row>
    <row r="2" spans="1:31" ht="13.5" hidden="1" customHeight="1" x14ac:dyDescent="0.15"/>
    <row r="3" spans="1:31" ht="13.5" hidden="1" customHeight="1" x14ac:dyDescent="0.15"/>
    <row r="4" spans="1:31" ht="13.5" hidden="1" customHeight="1" x14ac:dyDescent="0.15"/>
    <row r="5" spans="1:31" ht="13.5" hidden="1" customHeight="1" x14ac:dyDescent="0.15"/>
    <row r="6" spans="1:31" ht="13.5" hidden="1" customHeight="1" x14ac:dyDescent="0.15"/>
    <row r="7" spans="1:31" ht="13.5" hidden="1" customHeight="1" x14ac:dyDescent="0.15"/>
    <row r="8" spans="1:31" ht="13.5" hidden="1" customHeight="1" x14ac:dyDescent="0.15"/>
    <row r="9" spans="1:31" s="108" customFormat="1" ht="15" customHeight="1" x14ac:dyDescent="0.15">
      <c r="B9" s="175" t="str">
        <f>'A-1'!B9:D9</f>
        <v>(令和9年07月)</v>
      </c>
      <c r="C9" s="175"/>
      <c r="D9" s="176"/>
    </row>
    <row r="10" spans="1:31" s="108" customFormat="1" ht="15" customHeight="1" x14ac:dyDescent="0.15">
      <c r="A10" s="110"/>
      <c r="B10" s="171" t="s">
        <v>82</v>
      </c>
      <c r="C10" s="172"/>
      <c r="D10" s="172"/>
      <c r="E10" s="172"/>
      <c r="F10" s="173"/>
      <c r="G10" s="171" t="s">
        <v>82</v>
      </c>
      <c r="H10" s="172"/>
      <c r="I10" s="172"/>
      <c r="J10" s="172"/>
      <c r="K10" s="173"/>
      <c r="L10" s="171" t="s">
        <v>82</v>
      </c>
      <c r="M10" s="172"/>
      <c r="N10" s="172"/>
      <c r="O10" s="172"/>
      <c r="P10" s="173"/>
      <c r="Q10" s="171" t="s">
        <v>82</v>
      </c>
      <c r="R10" s="172"/>
      <c r="S10" s="172"/>
      <c r="T10" s="172"/>
      <c r="U10" s="173"/>
      <c r="V10" s="171" t="s">
        <v>82</v>
      </c>
      <c r="W10" s="172"/>
      <c r="X10" s="172"/>
      <c r="Y10" s="172"/>
      <c r="Z10" s="173"/>
      <c r="AA10" s="171" t="s">
        <v>82</v>
      </c>
      <c r="AB10" s="172"/>
      <c r="AC10" s="172"/>
      <c r="AD10" s="172"/>
      <c r="AE10" s="173"/>
    </row>
    <row r="11" spans="1:31" s="108" customFormat="1" ht="15" customHeight="1" x14ac:dyDescent="0.15">
      <c r="A11" s="111" t="s">
        <v>83</v>
      </c>
      <c r="B11" s="171" t="s">
        <v>94</v>
      </c>
      <c r="C11" s="172"/>
      <c r="D11" s="172"/>
      <c r="E11" s="172"/>
      <c r="F11" s="173"/>
      <c r="G11" s="171" t="s">
        <v>99</v>
      </c>
      <c r="H11" s="172"/>
      <c r="I11" s="172"/>
      <c r="J11" s="172"/>
      <c r="K11" s="173"/>
      <c r="L11" s="171" t="s">
        <v>137</v>
      </c>
      <c r="M11" s="172"/>
      <c r="N11" s="172"/>
      <c r="O11" s="172"/>
      <c r="P11" s="173"/>
      <c r="Q11" s="171" t="s">
        <v>128</v>
      </c>
      <c r="R11" s="172"/>
      <c r="S11" s="172"/>
      <c r="T11" s="172"/>
      <c r="U11" s="173"/>
      <c r="V11" s="171" t="s">
        <v>190</v>
      </c>
      <c r="W11" s="172"/>
      <c r="X11" s="172"/>
      <c r="Y11" s="172"/>
      <c r="Z11" s="173"/>
      <c r="AA11" s="171" t="s">
        <v>136</v>
      </c>
      <c r="AB11" s="172"/>
      <c r="AC11" s="172"/>
      <c r="AD11" s="172"/>
      <c r="AE11" s="173"/>
    </row>
    <row r="12" spans="1:31" s="114" customFormat="1" ht="15" customHeight="1" x14ac:dyDescent="0.15">
      <c r="A12" s="112"/>
      <c r="B12" s="113" t="s">
        <v>84</v>
      </c>
      <c r="C12" s="113" t="s">
        <v>85</v>
      </c>
      <c r="D12" s="113" t="s">
        <v>87</v>
      </c>
      <c r="E12" s="113" t="s">
        <v>88</v>
      </c>
      <c r="F12" s="113" t="s">
        <v>2</v>
      </c>
      <c r="G12" s="113" t="s">
        <v>84</v>
      </c>
      <c r="H12" s="113" t="s">
        <v>85</v>
      </c>
      <c r="I12" s="113" t="s">
        <v>87</v>
      </c>
      <c r="J12" s="113" t="s">
        <v>88</v>
      </c>
      <c r="K12" s="113" t="s">
        <v>2</v>
      </c>
      <c r="L12" s="113" t="s">
        <v>84</v>
      </c>
      <c r="M12" s="113" t="s">
        <v>85</v>
      </c>
      <c r="N12" s="113" t="s">
        <v>87</v>
      </c>
      <c r="O12" s="113" t="s">
        <v>88</v>
      </c>
      <c r="P12" s="113" t="s">
        <v>2</v>
      </c>
      <c r="Q12" s="113" t="s">
        <v>84</v>
      </c>
      <c r="R12" s="113" t="s">
        <v>85</v>
      </c>
      <c r="S12" s="113" t="s">
        <v>87</v>
      </c>
      <c r="T12" s="113" t="s">
        <v>88</v>
      </c>
      <c r="U12" s="113" t="s">
        <v>2</v>
      </c>
      <c r="V12" s="113" t="s">
        <v>84</v>
      </c>
      <c r="W12" s="113" t="s">
        <v>85</v>
      </c>
      <c r="X12" s="113" t="s">
        <v>87</v>
      </c>
      <c r="Y12" s="113" t="s">
        <v>88</v>
      </c>
      <c r="Z12" s="113" t="s">
        <v>2</v>
      </c>
      <c r="AA12" s="113" t="s">
        <v>84</v>
      </c>
      <c r="AB12" s="113" t="s">
        <v>85</v>
      </c>
      <c r="AC12" s="113" t="s">
        <v>87</v>
      </c>
      <c r="AD12" s="113" t="s">
        <v>88</v>
      </c>
      <c r="AE12" s="113" t="s">
        <v>2</v>
      </c>
    </row>
    <row r="13" spans="1:31" ht="15" customHeight="1" x14ac:dyDescent="0.15">
      <c r="A13" s="24">
        <v>1</v>
      </c>
      <c r="B13" s="135"/>
      <c r="C13" s="135"/>
      <c r="D13" s="135"/>
      <c r="E13" s="135"/>
      <c r="F13" s="124">
        <f>SUM(B13:E13)</f>
        <v>0</v>
      </c>
      <c r="G13" s="135"/>
      <c r="H13" s="135"/>
      <c r="I13" s="135"/>
      <c r="J13" s="135"/>
      <c r="K13" s="124">
        <f>SUM(G13:J13)</f>
        <v>0</v>
      </c>
      <c r="L13" s="135"/>
      <c r="M13" s="135"/>
      <c r="N13" s="135"/>
      <c r="O13" s="135"/>
      <c r="P13" s="124">
        <f>SUM(L13:O13)</f>
        <v>0</v>
      </c>
      <c r="Q13" s="135"/>
      <c r="R13" s="135"/>
      <c r="S13" s="135"/>
      <c r="T13" s="135"/>
      <c r="U13" s="124">
        <f>SUM(Q13:T13)</f>
        <v>0</v>
      </c>
      <c r="V13" s="135"/>
      <c r="W13" s="135"/>
      <c r="X13" s="135"/>
      <c r="Y13" s="135"/>
      <c r="Z13" s="124">
        <f>SUM(V13:Y13)</f>
        <v>0</v>
      </c>
      <c r="AA13" s="135"/>
      <c r="AB13" s="135"/>
      <c r="AC13" s="135"/>
      <c r="AD13" s="135"/>
      <c r="AE13" s="124">
        <f>SUM(AA13:AD13)</f>
        <v>0</v>
      </c>
    </row>
    <row r="14" spans="1:31" ht="15" customHeight="1" x14ac:dyDescent="0.15">
      <c r="A14" s="24">
        <v>2</v>
      </c>
      <c r="B14" s="135"/>
      <c r="C14" s="135"/>
      <c r="D14" s="135"/>
      <c r="E14" s="135"/>
      <c r="F14" s="124">
        <f t="shared" ref="F14:F43" si="0">SUM(B14:E14)</f>
        <v>0</v>
      </c>
      <c r="G14" s="135"/>
      <c r="H14" s="135"/>
      <c r="I14" s="135"/>
      <c r="J14" s="135"/>
      <c r="K14" s="124">
        <f t="shared" ref="K14:K42" si="1">SUM(G14:J14)</f>
        <v>0</v>
      </c>
      <c r="L14" s="135"/>
      <c r="M14" s="135"/>
      <c r="N14" s="135"/>
      <c r="O14" s="135"/>
      <c r="P14" s="124">
        <f t="shared" ref="P14:P42" si="2">SUM(L14:O14)</f>
        <v>0</v>
      </c>
      <c r="Q14" s="135"/>
      <c r="R14" s="135"/>
      <c r="S14" s="135"/>
      <c r="T14" s="135"/>
      <c r="U14" s="124">
        <f t="shared" ref="U14:U42" si="3">SUM(Q14:T14)</f>
        <v>0</v>
      </c>
      <c r="V14" s="135"/>
      <c r="W14" s="135"/>
      <c r="X14" s="135"/>
      <c r="Y14" s="135"/>
      <c r="Z14" s="124">
        <f t="shared" ref="Z14:Z42" si="4">SUM(V14:Y14)</f>
        <v>0</v>
      </c>
      <c r="AA14" s="135"/>
      <c r="AB14" s="135"/>
      <c r="AC14" s="135"/>
      <c r="AD14" s="135"/>
      <c r="AE14" s="124">
        <f t="shared" ref="AE14:AE42" si="5">SUM(AA14:AD14)</f>
        <v>0</v>
      </c>
    </row>
    <row r="15" spans="1:31" ht="15" customHeight="1" x14ac:dyDescent="0.15">
      <c r="A15" s="24">
        <v>3</v>
      </c>
      <c r="B15" s="135"/>
      <c r="C15" s="135"/>
      <c r="D15" s="135"/>
      <c r="E15" s="135"/>
      <c r="F15" s="124">
        <f t="shared" si="0"/>
        <v>0</v>
      </c>
      <c r="G15" s="135"/>
      <c r="H15" s="135"/>
      <c r="I15" s="135"/>
      <c r="J15" s="135"/>
      <c r="K15" s="124">
        <f t="shared" si="1"/>
        <v>0</v>
      </c>
      <c r="L15" s="135"/>
      <c r="M15" s="135"/>
      <c r="N15" s="135"/>
      <c r="O15" s="135"/>
      <c r="P15" s="124">
        <f t="shared" si="2"/>
        <v>0</v>
      </c>
      <c r="Q15" s="135"/>
      <c r="R15" s="135"/>
      <c r="S15" s="135"/>
      <c r="T15" s="135"/>
      <c r="U15" s="124">
        <f t="shared" si="3"/>
        <v>0</v>
      </c>
      <c r="V15" s="135"/>
      <c r="W15" s="135"/>
      <c r="X15" s="135"/>
      <c r="Y15" s="135"/>
      <c r="Z15" s="124">
        <f t="shared" si="4"/>
        <v>0</v>
      </c>
      <c r="AA15" s="135"/>
      <c r="AB15" s="135"/>
      <c r="AC15" s="135"/>
      <c r="AD15" s="135"/>
      <c r="AE15" s="124">
        <f t="shared" si="5"/>
        <v>0</v>
      </c>
    </row>
    <row r="16" spans="1:31" ht="15" customHeight="1" x14ac:dyDescent="0.15">
      <c r="A16" s="24">
        <v>4</v>
      </c>
      <c r="B16" s="135"/>
      <c r="C16" s="135"/>
      <c r="D16" s="135"/>
      <c r="E16" s="135"/>
      <c r="F16" s="124">
        <f t="shared" si="0"/>
        <v>0</v>
      </c>
      <c r="G16" s="135"/>
      <c r="H16" s="135"/>
      <c r="I16" s="135"/>
      <c r="J16" s="135"/>
      <c r="K16" s="124">
        <f t="shared" si="1"/>
        <v>0</v>
      </c>
      <c r="L16" s="135"/>
      <c r="M16" s="135"/>
      <c r="N16" s="135"/>
      <c r="O16" s="135"/>
      <c r="P16" s="124">
        <f t="shared" si="2"/>
        <v>0</v>
      </c>
      <c r="Q16" s="135"/>
      <c r="R16" s="135"/>
      <c r="S16" s="135"/>
      <c r="T16" s="135"/>
      <c r="U16" s="124">
        <f t="shared" si="3"/>
        <v>0</v>
      </c>
      <c r="V16" s="135"/>
      <c r="W16" s="135"/>
      <c r="X16" s="135"/>
      <c r="Y16" s="135"/>
      <c r="Z16" s="124">
        <f t="shared" si="4"/>
        <v>0</v>
      </c>
      <c r="AA16" s="135"/>
      <c r="AB16" s="135"/>
      <c r="AC16" s="135"/>
      <c r="AD16" s="135"/>
      <c r="AE16" s="124">
        <f t="shared" si="5"/>
        <v>0</v>
      </c>
    </row>
    <row r="17" spans="1:31" ht="15" customHeight="1" x14ac:dyDescent="0.15">
      <c r="A17" s="24">
        <v>5</v>
      </c>
      <c r="B17" s="135"/>
      <c r="C17" s="135"/>
      <c r="D17" s="135"/>
      <c r="E17" s="135"/>
      <c r="F17" s="124">
        <f t="shared" si="0"/>
        <v>0</v>
      </c>
      <c r="G17" s="135"/>
      <c r="H17" s="135"/>
      <c r="I17" s="135"/>
      <c r="J17" s="135"/>
      <c r="K17" s="124">
        <f t="shared" si="1"/>
        <v>0</v>
      </c>
      <c r="L17" s="135"/>
      <c r="M17" s="135"/>
      <c r="N17" s="135"/>
      <c r="O17" s="135"/>
      <c r="P17" s="124">
        <f t="shared" si="2"/>
        <v>0</v>
      </c>
      <c r="Q17" s="135"/>
      <c r="R17" s="135"/>
      <c r="S17" s="135"/>
      <c r="T17" s="135"/>
      <c r="U17" s="124">
        <f t="shared" si="3"/>
        <v>0</v>
      </c>
      <c r="V17" s="135"/>
      <c r="W17" s="135"/>
      <c r="X17" s="135"/>
      <c r="Y17" s="135"/>
      <c r="Z17" s="124">
        <f t="shared" si="4"/>
        <v>0</v>
      </c>
      <c r="AA17" s="135"/>
      <c r="AB17" s="135"/>
      <c r="AC17" s="135"/>
      <c r="AD17" s="135"/>
      <c r="AE17" s="124">
        <f t="shared" si="5"/>
        <v>0</v>
      </c>
    </row>
    <row r="18" spans="1:31" ht="15" customHeight="1" x14ac:dyDescent="0.15">
      <c r="A18" s="24">
        <v>6</v>
      </c>
      <c r="B18" s="135"/>
      <c r="C18" s="135"/>
      <c r="D18" s="135"/>
      <c r="E18" s="135"/>
      <c r="F18" s="124">
        <f t="shared" si="0"/>
        <v>0</v>
      </c>
      <c r="G18" s="135"/>
      <c r="H18" s="135"/>
      <c r="I18" s="135"/>
      <c r="J18" s="135"/>
      <c r="K18" s="124">
        <f t="shared" si="1"/>
        <v>0</v>
      </c>
      <c r="L18" s="135"/>
      <c r="M18" s="135"/>
      <c r="N18" s="135"/>
      <c r="O18" s="135"/>
      <c r="P18" s="124">
        <f t="shared" si="2"/>
        <v>0</v>
      </c>
      <c r="Q18" s="135"/>
      <c r="R18" s="135"/>
      <c r="S18" s="135"/>
      <c r="T18" s="135"/>
      <c r="U18" s="124">
        <f t="shared" si="3"/>
        <v>0</v>
      </c>
      <c r="V18" s="135"/>
      <c r="W18" s="135"/>
      <c r="X18" s="135"/>
      <c r="Y18" s="135"/>
      <c r="Z18" s="124">
        <f t="shared" si="4"/>
        <v>0</v>
      </c>
      <c r="AA18" s="135"/>
      <c r="AB18" s="135"/>
      <c r="AC18" s="135"/>
      <c r="AD18" s="135"/>
      <c r="AE18" s="124">
        <f t="shared" si="5"/>
        <v>0</v>
      </c>
    </row>
    <row r="19" spans="1:31" ht="15" customHeight="1" x14ac:dyDescent="0.15">
      <c r="A19" s="24">
        <v>7</v>
      </c>
      <c r="B19" s="135"/>
      <c r="C19" s="135"/>
      <c r="D19" s="135"/>
      <c r="E19" s="135"/>
      <c r="F19" s="124">
        <f t="shared" si="0"/>
        <v>0</v>
      </c>
      <c r="G19" s="135"/>
      <c r="H19" s="135"/>
      <c r="I19" s="135"/>
      <c r="J19" s="135"/>
      <c r="K19" s="124">
        <f t="shared" si="1"/>
        <v>0</v>
      </c>
      <c r="L19" s="135"/>
      <c r="M19" s="135"/>
      <c r="N19" s="135"/>
      <c r="O19" s="135"/>
      <c r="P19" s="124">
        <f t="shared" si="2"/>
        <v>0</v>
      </c>
      <c r="Q19" s="135"/>
      <c r="R19" s="135"/>
      <c r="S19" s="135"/>
      <c r="T19" s="135"/>
      <c r="U19" s="124">
        <f t="shared" si="3"/>
        <v>0</v>
      </c>
      <c r="V19" s="135"/>
      <c r="W19" s="135"/>
      <c r="X19" s="135"/>
      <c r="Y19" s="135"/>
      <c r="Z19" s="124">
        <f t="shared" si="4"/>
        <v>0</v>
      </c>
      <c r="AA19" s="135"/>
      <c r="AB19" s="135"/>
      <c r="AC19" s="135"/>
      <c r="AD19" s="135"/>
      <c r="AE19" s="124">
        <f t="shared" si="5"/>
        <v>0</v>
      </c>
    </row>
    <row r="20" spans="1:31" ht="15" customHeight="1" x14ac:dyDescent="0.15">
      <c r="A20" s="24">
        <v>8</v>
      </c>
      <c r="B20" s="135"/>
      <c r="C20" s="135"/>
      <c r="D20" s="135"/>
      <c r="E20" s="135"/>
      <c r="F20" s="124">
        <f t="shared" si="0"/>
        <v>0</v>
      </c>
      <c r="G20" s="135"/>
      <c r="H20" s="135"/>
      <c r="I20" s="135"/>
      <c r="J20" s="135"/>
      <c r="K20" s="124">
        <f t="shared" si="1"/>
        <v>0</v>
      </c>
      <c r="L20" s="135"/>
      <c r="M20" s="135"/>
      <c r="N20" s="135"/>
      <c r="O20" s="135"/>
      <c r="P20" s="124">
        <f t="shared" si="2"/>
        <v>0</v>
      </c>
      <c r="Q20" s="135"/>
      <c r="R20" s="135"/>
      <c r="S20" s="135"/>
      <c r="T20" s="135"/>
      <c r="U20" s="124">
        <f t="shared" si="3"/>
        <v>0</v>
      </c>
      <c r="V20" s="135"/>
      <c r="W20" s="135"/>
      <c r="X20" s="135"/>
      <c r="Y20" s="135"/>
      <c r="Z20" s="124">
        <f t="shared" si="4"/>
        <v>0</v>
      </c>
      <c r="AA20" s="135"/>
      <c r="AB20" s="135"/>
      <c r="AC20" s="135"/>
      <c r="AD20" s="135"/>
      <c r="AE20" s="124">
        <f t="shared" si="5"/>
        <v>0</v>
      </c>
    </row>
    <row r="21" spans="1:31" ht="15" customHeight="1" x14ac:dyDescent="0.15">
      <c r="A21" s="24">
        <v>9</v>
      </c>
      <c r="B21" s="135"/>
      <c r="C21" s="135"/>
      <c r="D21" s="135"/>
      <c r="E21" s="135"/>
      <c r="F21" s="124">
        <f t="shared" si="0"/>
        <v>0</v>
      </c>
      <c r="G21" s="135"/>
      <c r="H21" s="135"/>
      <c r="I21" s="135"/>
      <c r="J21" s="135"/>
      <c r="K21" s="124">
        <f t="shared" si="1"/>
        <v>0</v>
      </c>
      <c r="L21" s="135"/>
      <c r="M21" s="135"/>
      <c r="N21" s="135"/>
      <c r="O21" s="135"/>
      <c r="P21" s="124">
        <f t="shared" si="2"/>
        <v>0</v>
      </c>
      <c r="Q21" s="135"/>
      <c r="R21" s="135"/>
      <c r="S21" s="135"/>
      <c r="T21" s="135"/>
      <c r="U21" s="124">
        <f t="shared" si="3"/>
        <v>0</v>
      </c>
      <c r="V21" s="135"/>
      <c r="W21" s="135"/>
      <c r="X21" s="135"/>
      <c r="Y21" s="135"/>
      <c r="Z21" s="124">
        <f t="shared" si="4"/>
        <v>0</v>
      </c>
      <c r="AA21" s="135"/>
      <c r="AB21" s="135"/>
      <c r="AC21" s="135"/>
      <c r="AD21" s="135"/>
      <c r="AE21" s="124">
        <f t="shared" si="5"/>
        <v>0</v>
      </c>
    </row>
    <row r="22" spans="1:31" ht="15" customHeight="1" x14ac:dyDescent="0.15">
      <c r="A22" s="24">
        <v>10</v>
      </c>
      <c r="B22" s="135"/>
      <c r="C22" s="135"/>
      <c r="D22" s="135"/>
      <c r="E22" s="135"/>
      <c r="F22" s="124">
        <f t="shared" si="0"/>
        <v>0</v>
      </c>
      <c r="G22" s="135"/>
      <c r="H22" s="135"/>
      <c r="I22" s="135"/>
      <c r="J22" s="135"/>
      <c r="K22" s="124">
        <f t="shared" si="1"/>
        <v>0</v>
      </c>
      <c r="L22" s="135"/>
      <c r="M22" s="135"/>
      <c r="N22" s="135"/>
      <c r="O22" s="135"/>
      <c r="P22" s="124">
        <f t="shared" si="2"/>
        <v>0</v>
      </c>
      <c r="Q22" s="135"/>
      <c r="R22" s="135"/>
      <c r="S22" s="135"/>
      <c r="T22" s="135"/>
      <c r="U22" s="124">
        <f t="shared" si="3"/>
        <v>0</v>
      </c>
      <c r="V22" s="135"/>
      <c r="W22" s="135"/>
      <c r="X22" s="135"/>
      <c r="Y22" s="135"/>
      <c r="Z22" s="124">
        <f t="shared" si="4"/>
        <v>0</v>
      </c>
      <c r="AA22" s="135"/>
      <c r="AB22" s="135"/>
      <c r="AC22" s="135"/>
      <c r="AD22" s="135"/>
      <c r="AE22" s="124">
        <f t="shared" si="5"/>
        <v>0</v>
      </c>
    </row>
    <row r="23" spans="1:31" ht="15" customHeight="1" x14ac:dyDescent="0.15">
      <c r="A23" s="24">
        <v>11</v>
      </c>
      <c r="B23" s="135"/>
      <c r="C23" s="135"/>
      <c r="D23" s="135"/>
      <c r="E23" s="135"/>
      <c r="F23" s="124">
        <f t="shared" si="0"/>
        <v>0</v>
      </c>
      <c r="G23" s="135"/>
      <c r="H23" s="135"/>
      <c r="I23" s="135"/>
      <c r="J23" s="135"/>
      <c r="K23" s="124">
        <f t="shared" si="1"/>
        <v>0</v>
      </c>
      <c r="L23" s="135"/>
      <c r="M23" s="135"/>
      <c r="N23" s="135"/>
      <c r="O23" s="135"/>
      <c r="P23" s="124">
        <f t="shared" si="2"/>
        <v>0</v>
      </c>
      <c r="Q23" s="135"/>
      <c r="R23" s="135"/>
      <c r="S23" s="135"/>
      <c r="T23" s="135"/>
      <c r="U23" s="124">
        <f t="shared" si="3"/>
        <v>0</v>
      </c>
      <c r="V23" s="135"/>
      <c r="W23" s="135"/>
      <c r="X23" s="135"/>
      <c r="Y23" s="135"/>
      <c r="Z23" s="124">
        <f t="shared" si="4"/>
        <v>0</v>
      </c>
      <c r="AA23" s="135"/>
      <c r="AB23" s="135"/>
      <c r="AC23" s="135"/>
      <c r="AD23" s="135"/>
      <c r="AE23" s="124">
        <f t="shared" si="5"/>
        <v>0</v>
      </c>
    </row>
    <row r="24" spans="1:31" ht="15" customHeight="1" x14ac:dyDescent="0.15">
      <c r="A24" s="24">
        <v>12</v>
      </c>
      <c r="B24" s="135"/>
      <c r="C24" s="135"/>
      <c r="D24" s="135"/>
      <c r="E24" s="135"/>
      <c r="F24" s="124">
        <f t="shared" si="0"/>
        <v>0</v>
      </c>
      <c r="G24" s="135"/>
      <c r="H24" s="135"/>
      <c r="I24" s="135"/>
      <c r="J24" s="135"/>
      <c r="K24" s="124">
        <f t="shared" si="1"/>
        <v>0</v>
      </c>
      <c r="L24" s="135"/>
      <c r="M24" s="135"/>
      <c r="N24" s="135"/>
      <c r="O24" s="135"/>
      <c r="P24" s="124">
        <f t="shared" si="2"/>
        <v>0</v>
      </c>
      <c r="Q24" s="135"/>
      <c r="R24" s="135"/>
      <c r="S24" s="135"/>
      <c r="T24" s="135"/>
      <c r="U24" s="124">
        <f t="shared" si="3"/>
        <v>0</v>
      </c>
      <c r="V24" s="135"/>
      <c r="W24" s="135"/>
      <c r="X24" s="135"/>
      <c r="Y24" s="135"/>
      <c r="Z24" s="124">
        <f t="shared" si="4"/>
        <v>0</v>
      </c>
      <c r="AA24" s="135"/>
      <c r="AB24" s="135"/>
      <c r="AC24" s="135"/>
      <c r="AD24" s="135"/>
      <c r="AE24" s="124">
        <f t="shared" si="5"/>
        <v>0</v>
      </c>
    </row>
    <row r="25" spans="1:31" ht="15" customHeight="1" x14ac:dyDescent="0.15">
      <c r="A25" s="24">
        <v>13</v>
      </c>
      <c r="B25" s="135"/>
      <c r="C25" s="135"/>
      <c r="D25" s="135"/>
      <c r="E25" s="135"/>
      <c r="F25" s="124">
        <f t="shared" si="0"/>
        <v>0</v>
      </c>
      <c r="G25" s="135"/>
      <c r="H25" s="135"/>
      <c r="I25" s="135"/>
      <c r="J25" s="135"/>
      <c r="K25" s="124">
        <f t="shared" si="1"/>
        <v>0</v>
      </c>
      <c r="L25" s="135"/>
      <c r="M25" s="135"/>
      <c r="N25" s="135"/>
      <c r="O25" s="135"/>
      <c r="P25" s="124">
        <f t="shared" si="2"/>
        <v>0</v>
      </c>
      <c r="Q25" s="135"/>
      <c r="R25" s="135"/>
      <c r="S25" s="135"/>
      <c r="T25" s="135"/>
      <c r="U25" s="124">
        <f t="shared" si="3"/>
        <v>0</v>
      </c>
      <c r="V25" s="135"/>
      <c r="W25" s="135"/>
      <c r="X25" s="135"/>
      <c r="Y25" s="135"/>
      <c r="Z25" s="124">
        <f t="shared" si="4"/>
        <v>0</v>
      </c>
      <c r="AA25" s="135"/>
      <c r="AB25" s="135"/>
      <c r="AC25" s="135"/>
      <c r="AD25" s="135"/>
      <c r="AE25" s="124">
        <f t="shared" si="5"/>
        <v>0</v>
      </c>
    </row>
    <row r="26" spans="1:31" ht="15" customHeight="1" x14ac:dyDescent="0.15">
      <c r="A26" s="24">
        <v>14</v>
      </c>
      <c r="B26" s="135"/>
      <c r="C26" s="135"/>
      <c r="D26" s="135"/>
      <c r="E26" s="135"/>
      <c r="F26" s="124">
        <f t="shared" si="0"/>
        <v>0</v>
      </c>
      <c r="G26" s="135"/>
      <c r="H26" s="135"/>
      <c r="I26" s="135"/>
      <c r="J26" s="135"/>
      <c r="K26" s="124">
        <f t="shared" si="1"/>
        <v>0</v>
      </c>
      <c r="L26" s="135"/>
      <c r="M26" s="135"/>
      <c r="N26" s="135"/>
      <c r="O26" s="135"/>
      <c r="P26" s="124">
        <f t="shared" si="2"/>
        <v>0</v>
      </c>
      <c r="Q26" s="135"/>
      <c r="R26" s="135"/>
      <c r="S26" s="135"/>
      <c r="T26" s="135"/>
      <c r="U26" s="124">
        <f t="shared" si="3"/>
        <v>0</v>
      </c>
      <c r="V26" s="135"/>
      <c r="W26" s="135"/>
      <c r="X26" s="135"/>
      <c r="Y26" s="135"/>
      <c r="Z26" s="124">
        <f t="shared" si="4"/>
        <v>0</v>
      </c>
      <c r="AA26" s="135"/>
      <c r="AB26" s="135"/>
      <c r="AC26" s="135"/>
      <c r="AD26" s="135"/>
      <c r="AE26" s="124">
        <f t="shared" si="5"/>
        <v>0</v>
      </c>
    </row>
    <row r="27" spans="1:31" ht="15" customHeight="1" x14ac:dyDescent="0.15">
      <c r="A27" s="24">
        <v>15</v>
      </c>
      <c r="B27" s="135"/>
      <c r="C27" s="135"/>
      <c r="D27" s="135"/>
      <c r="E27" s="135"/>
      <c r="F27" s="124">
        <f t="shared" si="0"/>
        <v>0</v>
      </c>
      <c r="G27" s="135"/>
      <c r="H27" s="135"/>
      <c r="I27" s="135"/>
      <c r="J27" s="135"/>
      <c r="K27" s="124">
        <f t="shared" si="1"/>
        <v>0</v>
      </c>
      <c r="L27" s="135"/>
      <c r="M27" s="135"/>
      <c r="N27" s="135"/>
      <c r="O27" s="135"/>
      <c r="P27" s="124">
        <f t="shared" si="2"/>
        <v>0</v>
      </c>
      <c r="Q27" s="135"/>
      <c r="R27" s="135"/>
      <c r="S27" s="135"/>
      <c r="T27" s="135"/>
      <c r="U27" s="124">
        <f t="shared" si="3"/>
        <v>0</v>
      </c>
      <c r="V27" s="135"/>
      <c r="W27" s="135"/>
      <c r="X27" s="135"/>
      <c r="Y27" s="135"/>
      <c r="Z27" s="124">
        <f t="shared" si="4"/>
        <v>0</v>
      </c>
      <c r="AA27" s="135"/>
      <c r="AB27" s="135"/>
      <c r="AC27" s="135"/>
      <c r="AD27" s="135"/>
      <c r="AE27" s="124">
        <f t="shared" si="5"/>
        <v>0</v>
      </c>
    </row>
    <row r="28" spans="1:31" ht="15" customHeight="1" x14ac:dyDescent="0.15">
      <c r="A28" s="24">
        <v>16</v>
      </c>
      <c r="B28" s="135"/>
      <c r="C28" s="135"/>
      <c r="D28" s="135"/>
      <c r="E28" s="135"/>
      <c r="F28" s="124">
        <f t="shared" si="0"/>
        <v>0</v>
      </c>
      <c r="G28" s="135"/>
      <c r="H28" s="135"/>
      <c r="I28" s="135"/>
      <c r="J28" s="135"/>
      <c r="K28" s="124">
        <f t="shared" si="1"/>
        <v>0</v>
      </c>
      <c r="L28" s="135"/>
      <c r="M28" s="135"/>
      <c r="N28" s="135"/>
      <c r="O28" s="135"/>
      <c r="P28" s="124">
        <f t="shared" si="2"/>
        <v>0</v>
      </c>
      <c r="Q28" s="135"/>
      <c r="R28" s="135"/>
      <c r="S28" s="135"/>
      <c r="T28" s="135"/>
      <c r="U28" s="124">
        <f t="shared" si="3"/>
        <v>0</v>
      </c>
      <c r="V28" s="135"/>
      <c r="W28" s="135"/>
      <c r="X28" s="135"/>
      <c r="Y28" s="135"/>
      <c r="Z28" s="124">
        <f t="shared" si="4"/>
        <v>0</v>
      </c>
      <c r="AA28" s="135"/>
      <c r="AB28" s="135"/>
      <c r="AC28" s="135"/>
      <c r="AD28" s="135"/>
      <c r="AE28" s="124">
        <f t="shared" si="5"/>
        <v>0</v>
      </c>
    </row>
    <row r="29" spans="1:31" ht="15" customHeight="1" x14ac:dyDescent="0.15">
      <c r="A29" s="141">
        <v>17</v>
      </c>
      <c r="B29" s="135"/>
      <c r="C29" s="135"/>
      <c r="D29" s="135"/>
      <c r="E29" s="135"/>
      <c r="F29" s="124">
        <f t="shared" si="0"/>
        <v>0</v>
      </c>
      <c r="G29" s="135"/>
      <c r="H29" s="135"/>
      <c r="I29" s="135"/>
      <c r="J29" s="135"/>
      <c r="K29" s="124">
        <f t="shared" si="1"/>
        <v>0</v>
      </c>
      <c r="L29" s="135"/>
      <c r="M29" s="135"/>
      <c r="N29" s="135"/>
      <c r="O29" s="135"/>
      <c r="P29" s="124">
        <f t="shared" si="2"/>
        <v>0</v>
      </c>
      <c r="Q29" s="135"/>
      <c r="R29" s="135"/>
      <c r="S29" s="135"/>
      <c r="T29" s="135"/>
      <c r="U29" s="124">
        <f t="shared" si="3"/>
        <v>0</v>
      </c>
      <c r="V29" s="135"/>
      <c r="W29" s="135"/>
      <c r="X29" s="135"/>
      <c r="Y29" s="135"/>
      <c r="Z29" s="124">
        <f t="shared" si="4"/>
        <v>0</v>
      </c>
      <c r="AA29" s="135"/>
      <c r="AB29" s="135"/>
      <c r="AC29" s="135"/>
      <c r="AD29" s="135"/>
      <c r="AE29" s="124">
        <f t="shared" si="5"/>
        <v>0</v>
      </c>
    </row>
    <row r="30" spans="1:31" ht="15" customHeight="1" x14ac:dyDescent="0.15">
      <c r="A30" s="24">
        <v>18</v>
      </c>
      <c r="B30" s="135"/>
      <c r="C30" s="135"/>
      <c r="D30" s="135"/>
      <c r="E30" s="135"/>
      <c r="F30" s="124">
        <f t="shared" si="0"/>
        <v>0</v>
      </c>
      <c r="G30" s="135"/>
      <c r="H30" s="135"/>
      <c r="I30" s="135"/>
      <c r="J30" s="135"/>
      <c r="K30" s="124">
        <f t="shared" si="1"/>
        <v>0</v>
      </c>
      <c r="L30" s="135"/>
      <c r="M30" s="135"/>
      <c r="N30" s="135"/>
      <c r="O30" s="135"/>
      <c r="P30" s="124">
        <f t="shared" si="2"/>
        <v>0</v>
      </c>
      <c r="Q30" s="135"/>
      <c r="R30" s="135"/>
      <c r="S30" s="135"/>
      <c r="T30" s="135"/>
      <c r="U30" s="124">
        <f t="shared" si="3"/>
        <v>0</v>
      </c>
      <c r="V30" s="135"/>
      <c r="W30" s="135"/>
      <c r="X30" s="135"/>
      <c r="Y30" s="135"/>
      <c r="Z30" s="124">
        <f t="shared" si="4"/>
        <v>0</v>
      </c>
      <c r="AA30" s="135"/>
      <c r="AB30" s="135"/>
      <c r="AC30" s="135"/>
      <c r="AD30" s="135"/>
      <c r="AE30" s="124">
        <f t="shared" si="5"/>
        <v>0</v>
      </c>
    </row>
    <row r="31" spans="1:31" ht="15" customHeight="1" x14ac:dyDescent="0.15">
      <c r="A31" s="24">
        <v>19</v>
      </c>
      <c r="B31" s="135"/>
      <c r="C31" s="135"/>
      <c r="D31" s="135"/>
      <c r="E31" s="135"/>
      <c r="F31" s="124">
        <f t="shared" si="0"/>
        <v>0</v>
      </c>
      <c r="G31" s="135"/>
      <c r="H31" s="135"/>
      <c r="I31" s="135"/>
      <c r="J31" s="135"/>
      <c r="K31" s="124">
        <f t="shared" si="1"/>
        <v>0</v>
      </c>
      <c r="L31" s="135"/>
      <c r="M31" s="135"/>
      <c r="N31" s="135"/>
      <c r="O31" s="135"/>
      <c r="P31" s="124">
        <f t="shared" si="2"/>
        <v>0</v>
      </c>
      <c r="Q31" s="135"/>
      <c r="R31" s="135"/>
      <c r="S31" s="135"/>
      <c r="T31" s="135"/>
      <c r="U31" s="124">
        <f t="shared" si="3"/>
        <v>0</v>
      </c>
      <c r="V31" s="135"/>
      <c r="W31" s="135"/>
      <c r="X31" s="135"/>
      <c r="Y31" s="135"/>
      <c r="Z31" s="124">
        <f t="shared" si="4"/>
        <v>0</v>
      </c>
      <c r="AA31" s="135"/>
      <c r="AB31" s="135"/>
      <c r="AC31" s="135"/>
      <c r="AD31" s="135"/>
      <c r="AE31" s="124">
        <f t="shared" si="5"/>
        <v>0</v>
      </c>
    </row>
    <row r="32" spans="1:31" ht="15" customHeight="1" x14ac:dyDescent="0.15">
      <c r="A32" s="24">
        <v>20</v>
      </c>
      <c r="B32" s="135"/>
      <c r="C32" s="135"/>
      <c r="D32" s="135"/>
      <c r="E32" s="135"/>
      <c r="F32" s="124">
        <f t="shared" si="0"/>
        <v>0</v>
      </c>
      <c r="G32" s="135"/>
      <c r="H32" s="135"/>
      <c r="I32" s="135"/>
      <c r="J32" s="135"/>
      <c r="K32" s="124">
        <f t="shared" si="1"/>
        <v>0</v>
      </c>
      <c r="L32" s="135"/>
      <c r="M32" s="135"/>
      <c r="N32" s="135"/>
      <c r="O32" s="135"/>
      <c r="P32" s="124">
        <f t="shared" si="2"/>
        <v>0</v>
      </c>
      <c r="Q32" s="135"/>
      <c r="R32" s="135"/>
      <c r="S32" s="135"/>
      <c r="T32" s="135"/>
      <c r="U32" s="124">
        <f t="shared" si="3"/>
        <v>0</v>
      </c>
      <c r="V32" s="135"/>
      <c r="W32" s="135"/>
      <c r="X32" s="135"/>
      <c r="Y32" s="135"/>
      <c r="Z32" s="124">
        <f t="shared" si="4"/>
        <v>0</v>
      </c>
      <c r="AA32" s="135"/>
      <c r="AB32" s="135"/>
      <c r="AC32" s="135"/>
      <c r="AD32" s="135"/>
      <c r="AE32" s="124">
        <f t="shared" si="5"/>
        <v>0</v>
      </c>
    </row>
    <row r="33" spans="1:31" ht="15" customHeight="1" x14ac:dyDescent="0.15">
      <c r="A33" s="24">
        <v>21</v>
      </c>
      <c r="B33" s="135"/>
      <c r="C33" s="135"/>
      <c r="D33" s="135"/>
      <c r="E33" s="135"/>
      <c r="F33" s="124">
        <f t="shared" si="0"/>
        <v>0</v>
      </c>
      <c r="G33" s="135"/>
      <c r="H33" s="135"/>
      <c r="I33" s="135"/>
      <c r="J33" s="135"/>
      <c r="K33" s="124">
        <f t="shared" si="1"/>
        <v>0</v>
      </c>
      <c r="L33" s="135"/>
      <c r="M33" s="135"/>
      <c r="N33" s="135"/>
      <c r="O33" s="135"/>
      <c r="P33" s="124">
        <f t="shared" si="2"/>
        <v>0</v>
      </c>
      <c r="Q33" s="135"/>
      <c r="R33" s="135"/>
      <c r="S33" s="135"/>
      <c r="T33" s="135"/>
      <c r="U33" s="124">
        <f t="shared" si="3"/>
        <v>0</v>
      </c>
      <c r="V33" s="135"/>
      <c r="W33" s="135"/>
      <c r="X33" s="135"/>
      <c r="Y33" s="135"/>
      <c r="Z33" s="124">
        <f t="shared" si="4"/>
        <v>0</v>
      </c>
      <c r="AA33" s="135"/>
      <c r="AB33" s="135"/>
      <c r="AC33" s="135"/>
      <c r="AD33" s="135"/>
      <c r="AE33" s="124">
        <f t="shared" si="5"/>
        <v>0</v>
      </c>
    </row>
    <row r="34" spans="1:31" ht="15" customHeight="1" x14ac:dyDescent="0.15">
      <c r="A34" s="24">
        <v>22</v>
      </c>
      <c r="B34" s="135"/>
      <c r="C34" s="135"/>
      <c r="D34" s="135"/>
      <c r="E34" s="135"/>
      <c r="F34" s="124">
        <f t="shared" si="0"/>
        <v>0</v>
      </c>
      <c r="G34" s="135"/>
      <c r="H34" s="135"/>
      <c r="I34" s="135"/>
      <c r="J34" s="135"/>
      <c r="K34" s="124">
        <f t="shared" si="1"/>
        <v>0</v>
      </c>
      <c r="L34" s="135"/>
      <c r="M34" s="135"/>
      <c r="N34" s="135"/>
      <c r="O34" s="135"/>
      <c r="P34" s="124">
        <f t="shared" si="2"/>
        <v>0</v>
      </c>
      <c r="Q34" s="135"/>
      <c r="R34" s="135"/>
      <c r="S34" s="135"/>
      <c r="T34" s="135"/>
      <c r="U34" s="124">
        <f t="shared" si="3"/>
        <v>0</v>
      </c>
      <c r="V34" s="135"/>
      <c r="W34" s="135"/>
      <c r="X34" s="135"/>
      <c r="Y34" s="135"/>
      <c r="Z34" s="124">
        <f t="shared" si="4"/>
        <v>0</v>
      </c>
      <c r="AA34" s="135"/>
      <c r="AB34" s="135"/>
      <c r="AC34" s="135"/>
      <c r="AD34" s="135"/>
      <c r="AE34" s="124">
        <f t="shared" si="5"/>
        <v>0</v>
      </c>
    </row>
    <row r="35" spans="1:31" ht="15" customHeight="1" x14ac:dyDescent="0.15">
      <c r="A35" s="24">
        <v>23</v>
      </c>
      <c r="B35" s="135"/>
      <c r="C35" s="135"/>
      <c r="D35" s="135"/>
      <c r="E35" s="135"/>
      <c r="F35" s="124">
        <f t="shared" si="0"/>
        <v>0</v>
      </c>
      <c r="G35" s="135"/>
      <c r="H35" s="135"/>
      <c r="I35" s="135"/>
      <c r="J35" s="135"/>
      <c r="K35" s="124">
        <f t="shared" si="1"/>
        <v>0</v>
      </c>
      <c r="L35" s="135"/>
      <c r="M35" s="135"/>
      <c r="N35" s="135"/>
      <c r="O35" s="135"/>
      <c r="P35" s="124">
        <f t="shared" si="2"/>
        <v>0</v>
      </c>
      <c r="Q35" s="135"/>
      <c r="R35" s="135"/>
      <c r="S35" s="135"/>
      <c r="T35" s="135"/>
      <c r="U35" s="124">
        <f t="shared" si="3"/>
        <v>0</v>
      </c>
      <c r="V35" s="135"/>
      <c r="W35" s="135"/>
      <c r="X35" s="135"/>
      <c r="Y35" s="135"/>
      <c r="Z35" s="124">
        <f t="shared" si="4"/>
        <v>0</v>
      </c>
      <c r="AA35" s="135"/>
      <c r="AB35" s="135"/>
      <c r="AC35" s="135"/>
      <c r="AD35" s="135"/>
      <c r="AE35" s="124">
        <f t="shared" si="5"/>
        <v>0</v>
      </c>
    </row>
    <row r="36" spans="1:31" ht="15" customHeight="1" x14ac:dyDescent="0.15">
      <c r="A36" s="24">
        <v>24</v>
      </c>
      <c r="B36" s="135"/>
      <c r="C36" s="135"/>
      <c r="D36" s="135"/>
      <c r="E36" s="135"/>
      <c r="F36" s="124">
        <f t="shared" si="0"/>
        <v>0</v>
      </c>
      <c r="G36" s="135"/>
      <c r="H36" s="135"/>
      <c r="I36" s="135"/>
      <c r="J36" s="135"/>
      <c r="K36" s="124">
        <f t="shared" si="1"/>
        <v>0</v>
      </c>
      <c r="L36" s="135"/>
      <c r="M36" s="135"/>
      <c r="N36" s="135"/>
      <c r="O36" s="135"/>
      <c r="P36" s="124">
        <f t="shared" si="2"/>
        <v>0</v>
      </c>
      <c r="Q36" s="135"/>
      <c r="R36" s="135"/>
      <c r="S36" s="135"/>
      <c r="T36" s="135"/>
      <c r="U36" s="124">
        <f t="shared" si="3"/>
        <v>0</v>
      </c>
      <c r="V36" s="135"/>
      <c r="W36" s="135"/>
      <c r="X36" s="135"/>
      <c r="Y36" s="135"/>
      <c r="Z36" s="124">
        <f t="shared" si="4"/>
        <v>0</v>
      </c>
      <c r="AA36" s="135"/>
      <c r="AB36" s="135"/>
      <c r="AC36" s="135"/>
      <c r="AD36" s="135"/>
      <c r="AE36" s="124">
        <f t="shared" si="5"/>
        <v>0</v>
      </c>
    </row>
    <row r="37" spans="1:31" ht="15" customHeight="1" x14ac:dyDescent="0.15">
      <c r="A37" s="24">
        <v>25</v>
      </c>
      <c r="B37" s="135"/>
      <c r="C37" s="135"/>
      <c r="D37" s="135"/>
      <c r="E37" s="135"/>
      <c r="F37" s="124">
        <f t="shared" si="0"/>
        <v>0</v>
      </c>
      <c r="G37" s="135"/>
      <c r="H37" s="135"/>
      <c r="I37" s="135"/>
      <c r="J37" s="135"/>
      <c r="K37" s="124">
        <f t="shared" si="1"/>
        <v>0</v>
      </c>
      <c r="L37" s="135"/>
      <c r="M37" s="135"/>
      <c r="N37" s="135"/>
      <c r="O37" s="135"/>
      <c r="P37" s="124">
        <f t="shared" si="2"/>
        <v>0</v>
      </c>
      <c r="Q37" s="135"/>
      <c r="R37" s="135"/>
      <c r="S37" s="135"/>
      <c r="T37" s="135"/>
      <c r="U37" s="124">
        <f t="shared" si="3"/>
        <v>0</v>
      </c>
      <c r="V37" s="135"/>
      <c r="W37" s="135"/>
      <c r="X37" s="135"/>
      <c r="Y37" s="135"/>
      <c r="Z37" s="124">
        <f t="shared" si="4"/>
        <v>0</v>
      </c>
      <c r="AA37" s="135"/>
      <c r="AB37" s="135"/>
      <c r="AC37" s="135"/>
      <c r="AD37" s="135"/>
      <c r="AE37" s="124">
        <f t="shared" si="5"/>
        <v>0</v>
      </c>
    </row>
    <row r="38" spans="1:31" ht="15" customHeight="1" x14ac:dyDescent="0.15">
      <c r="A38" s="24">
        <v>26</v>
      </c>
      <c r="B38" s="135"/>
      <c r="C38" s="135"/>
      <c r="D38" s="135"/>
      <c r="E38" s="135"/>
      <c r="F38" s="124">
        <f t="shared" si="0"/>
        <v>0</v>
      </c>
      <c r="G38" s="135"/>
      <c r="H38" s="135"/>
      <c r="I38" s="135"/>
      <c r="J38" s="135"/>
      <c r="K38" s="124">
        <f t="shared" si="1"/>
        <v>0</v>
      </c>
      <c r="L38" s="135"/>
      <c r="M38" s="135"/>
      <c r="N38" s="135"/>
      <c r="O38" s="135"/>
      <c r="P38" s="124">
        <f t="shared" si="2"/>
        <v>0</v>
      </c>
      <c r="Q38" s="135"/>
      <c r="R38" s="135"/>
      <c r="S38" s="135"/>
      <c r="T38" s="135"/>
      <c r="U38" s="124">
        <f t="shared" si="3"/>
        <v>0</v>
      </c>
      <c r="V38" s="135"/>
      <c r="W38" s="135"/>
      <c r="X38" s="135"/>
      <c r="Y38" s="135"/>
      <c r="Z38" s="124">
        <f t="shared" si="4"/>
        <v>0</v>
      </c>
      <c r="AA38" s="135"/>
      <c r="AB38" s="135"/>
      <c r="AC38" s="135"/>
      <c r="AD38" s="135"/>
      <c r="AE38" s="124">
        <f t="shared" si="5"/>
        <v>0</v>
      </c>
    </row>
    <row r="39" spans="1:31" ht="15" customHeight="1" x14ac:dyDescent="0.15">
      <c r="A39" s="24">
        <v>27</v>
      </c>
      <c r="B39" s="135"/>
      <c r="C39" s="135"/>
      <c r="D39" s="135"/>
      <c r="E39" s="135"/>
      <c r="F39" s="124">
        <f t="shared" si="0"/>
        <v>0</v>
      </c>
      <c r="G39" s="135"/>
      <c r="H39" s="135"/>
      <c r="I39" s="135"/>
      <c r="J39" s="135"/>
      <c r="K39" s="124">
        <f t="shared" si="1"/>
        <v>0</v>
      </c>
      <c r="L39" s="135"/>
      <c r="M39" s="135"/>
      <c r="N39" s="135"/>
      <c r="O39" s="135"/>
      <c r="P39" s="124">
        <f t="shared" si="2"/>
        <v>0</v>
      </c>
      <c r="Q39" s="135"/>
      <c r="R39" s="135"/>
      <c r="S39" s="135"/>
      <c r="T39" s="135"/>
      <c r="U39" s="124">
        <f t="shared" si="3"/>
        <v>0</v>
      </c>
      <c r="V39" s="135"/>
      <c r="W39" s="135"/>
      <c r="X39" s="135"/>
      <c r="Y39" s="135"/>
      <c r="Z39" s="124">
        <f t="shared" si="4"/>
        <v>0</v>
      </c>
      <c r="AA39" s="135"/>
      <c r="AB39" s="135"/>
      <c r="AC39" s="135"/>
      <c r="AD39" s="135"/>
      <c r="AE39" s="124">
        <f t="shared" si="5"/>
        <v>0</v>
      </c>
    </row>
    <row r="40" spans="1:31" ht="15" customHeight="1" x14ac:dyDescent="0.15">
      <c r="A40" s="24">
        <v>28</v>
      </c>
      <c r="B40" s="135"/>
      <c r="C40" s="135"/>
      <c r="D40" s="135"/>
      <c r="E40" s="135"/>
      <c r="F40" s="124">
        <f t="shared" si="0"/>
        <v>0</v>
      </c>
      <c r="G40" s="135"/>
      <c r="H40" s="135"/>
      <c r="I40" s="135"/>
      <c r="J40" s="135"/>
      <c r="K40" s="124">
        <f t="shared" si="1"/>
        <v>0</v>
      </c>
      <c r="L40" s="135"/>
      <c r="M40" s="135"/>
      <c r="N40" s="135"/>
      <c r="O40" s="135"/>
      <c r="P40" s="124">
        <f t="shared" si="2"/>
        <v>0</v>
      </c>
      <c r="Q40" s="135"/>
      <c r="R40" s="135"/>
      <c r="S40" s="135"/>
      <c r="T40" s="135"/>
      <c r="U40" s="124">
        <f t="shared" si="3"/>
        <v>0</v>
      </c>
      <c r="V40" s="135"/>
      <c r="W40" s="135"/>
      <c r="X40" s="135"/>
      <c r="Y40" s="135"/>
      <c r="Z40" s="124">
        <f t="shared" si="4"/>
        <v>0</v>
      </c>
      <c r="AA40" s="135"/>
      <c r="AB40" s="135"/>
      <c r="AC40" s="135"/>
      <c r="AD40" s="135"/>
      <c r="AE40" s="124">
        <f t="shared" si="5"/>
        <v>0</v>
      </c>
    </row>
    <row r="41" spans="1:31" ht="15" customHeight="1" x14ac:dyDescent="0.15">
      <c r="A41" s="24">
        <v>29</v>
      </c>
      <c r="B41" s="135"/>
      <c r="C41" s="135"/>
      <c r="D41" s="135"/>
      <c r="E41" s="135"/>
      <c r="F41" s="124">
        <f t="shared" si="0"/>
        <v>0</v>
      </c>
      <c r="G41" s="135"/>
      <c r="H41" s="135"/>
      <c r="I41" s="135"/>
      <c r="J41" s="135"/>
      <c r="K41" s="124">
        <f t="shared" si="1"/>
        <v>0</v>
      </c>
      <c r="L41" s="135"/>
      <c r="M41" s="135"/>
      <c r="N41" s="135"/>
      <c r="O41" s="135"/>
      <c r="P41" s="124">
        <f t="shared" si="2"/>
        <v>0</v>
      </c>
      <c r="Q41" s="135"/>
      <c r="R41" s="135"/>
      <c r="S41" s="135"/>
      <c r="T41" s="135"/>
      <c r="U41" s="124">
        <f t="shared" si="3"/>
        <v>0</v>
      </c>
      <c r="V41" s="135"/>
      <c r="W41" s="135"/>
      <c r="X41" s="135"/>
      <c r="Y41" s="135"/>
      <c r="Z41" s="124">
        <f t="shared" si="4"/>
        <v>0</v>
      </c>
      <c r="AA41" s="135"/>
      <c r="AB41" s="135"/>
      <c r="AC41" s="135"/>
      <c r="AD41" s="135"/>
      <c r="AE41" s="124">
        <f t="shared" si="5"/>
        <v>0</v>
      </c>
    </row>
    <row r="42" spans="1:31" ht="15" customHeight="1" x14ac:dyDescent="0.15">
      <c r="A42" s="24">
        <v>30</v>
      </c>
      <c r="B42" s="135"/>
      <c r="C42" s="135"/>
      <c r="D42" s="136"/>
      <c r="E42" s="135"/>
      <c r="F42" s="124">
        <f t="shared" si="0"/>
        <v>0</v>
      </c>
      <c r="G42" s="135"/>
      <c r="H42" s="135"/>
      <c r="I42" s="136"/>
      <c r="J42" s="135"/>
      <c r="K42" s="124">
        <f t="shared" si="1"/>
        <v>0</v>
      </c>
      <c r="L42" s="135"/>
      <c r="M42" s="135"/>
      <c r="N42" s="136"/>
      <c r="O42" s="135"/>
      <c r="P42" s="124">
        <f t="shared" si="2"/>
        <v>0</v>
      </c>
      <c r="Q42" s="135"/>
      <c r="R42" s="135"/>
      <c r="S42" s="136"/>
      <c r="T42" s="135"/>
      <c r="U42" s="124">
        <f t="shared" si="3"/>
        <v>0</v>
      </c>
      <c r="V42" s="135"/>
      <c r="W42" s="135"/>
      <c r="X42" s="136"/>
      <c r="Y42" s="135"/>
      <c r="Z42" s="124">
        <f t="shared" si="4"/>
        <v>0</v>
      </c>
      <c r="AA42" s="135"/>
      <c r="AB42" s="135"/>
      <c r="AC42" s="136"/>
      <c r="AD42" s="135"/>
      <c r="AE42" s="124">
        <f t="shared" si="5"/>
        <v>0</v>
      </c>
    </row>
    <row r="43" spans="1:31" ht="15" customHeight="1" x14ac:dyDescent="0.15">
      <c r="A43" s="24">
        <v>31</v>
      </c>
      <c r="B43" s="135"/>
      <c r="C43" s="135"/>
      <c r="D43" s="135"/>
      <c r="E43" s="135"/>
      <c r="F43" s="124">
        <f t="shared" si="0"/>
        <v>0</v>
      </c>
      <c r="G43" s="135"/>
      <c r="H43" s="135"/>
      <c r="I43" s="135"/>
      <c r="J43" s="135"/>
      <c r="K43" s="124">
        <f>SUM(G43:J43)</f>
        <v>0</v>
      </c>
      <c r="L43" s="135"/>
      <c r="M43" s="135"/>
      <c r="N43" s="135"/>
      <c r="O43" s="135"/>
      <c r="P43" s="124">
        <f>SUM(L43:O43)</f>
        <v>0</v>
      </c>
      <c r="Q43" s="135"/>
      <c r="R43" s="135"/>
      <c r="S43" s="135"/>
      <c r="T43" s="135"/>
      <c r="U43" s="124">
        <f>SUM(Q43:T43)</f>
        <v>0</v>
      </c>
      <c r="V43" s="135"/>
      <c r="W43" s="135"/>
      <c r="X43" s="135"/>
      <c r="Y43" s="135"/>
      <c r="Z43" s="124">
        <f>SUM(V43:Y43)</f>
        <v>0</v>
      </c>
      <c r="AA43" s="135"/>
      <c r="AB43" s="135"/>
      <c r="AC43" s="135"/>
      <c r="AD43" s="135"/>
      <c r="AE43" s="124">
        <f>SUM(AA43:AD43)</f>
        <v>0</v>
      </c>
    </row>
    <row r="44" spans="1:31" ht="15" customHeight="1" x14ac:dyDescent="0.15">
      <c r="A44" s="115" t="s">
        <v>2</v>
      </c>
      <c r="B44" s="135">
        <f t="shared" ref="B44:Z44" si="6">SUM(B13:B43)</f>
        <v>0</v>
      </c>
      <c r="C44" s="135">
        <f t="shared" si="6"/>
        <v>0</v>
      </c>
      <c r="D44" s="135">
        <f t="shared" si="6"/>
        <v>0</v>
      </c>
      <c r="E44" s="135">
        <f t="shared" si="6"/>
        <v>0</v>
      </c>
      <c r="F44" s="135">
        <f t="shared" si="6"/>
        <v>0</v>
      </c>
      <c r="G44" s="135">
        <f t="shared" si="6"/>
        <v>0</v>
      </c>
      <c r="H44" s="135">
        <f t="shared" si="6"/>
        <v>0</v>
      </c>
      <c r="I44" s="135">
        <f t="shared" si="6"/>
        <v>0</v>
      </c>
      <c r="J44" s="135">
        <f t="shared" si="6"/>
        <v>0</v>
      </c>
      <c r="K44" s="135">
        <f t="shared" si="6"/>
        <v>0</v>
      </c>
      <c r="L44" s="135">
        <f t="shared" si="6"/>
        <v>0</v>
      </c>
      <c r="M44" s="135">
        <f t="shared" si="6"/>
        <v>0</v>
      </c>
      <c r="N44" s="135">
        <f t="shared" si="6"/>
        <v>0</v>
      </c>
      <c r="O44" s="135">
        <f t="shared" si="6"/>
        <v>0</v>
      </c>
      <c r="P44" s="135">
        <f t="shared" si="6"/>
        <v>0</v>
      </c>
      <c r="Q44" s="135">
        <f t="shared" si="6"/>
        <v>0</v>
      </c>
      <c r="R44" s="135">
        <f t="shared" si="6"/>
        <v>0</v>
      </c>
      <c r="S44" s="135">
        <f t="shared" si="6"/>
        <v>0</v>
      </c>
      <c r="T44" s="135">
        <f t="shared" si="6"/>
        <v>0</v>
      </c>
      <c r="U44" s="135">
        <f t="shared" si="6"/>
        <v>0</v>
      </c>
      <c r="V44" s="135">
        <f t="shared" si="6"/>
        <v>0</v>
      </c>
      <c r="W44" s="135">
        <f t="shared" si="6"/>
        <v>0</v>
      </c>
      <c r="X44" s="135">
        <f t="shared" si="6"/>
        <v>0</v>
      </c>
      <c r="Y44" s="135">
        <f t="shared" si="6"/>
        <v>0</v>
      </c>
      <c r="Z44" s="135">
        <f t="shared" si="6"/>
        <v>0</v>
      </c>
      <c r="AA44" s="135">
        <f>SUM(AA13:AA43)</f>
        <v>0</v>
      </c>
      <c r="AB44" s="135">
        <f>SUM(AB13:AB43)</f>
        <v>0</v>
      </c>
      <c r="AC44" s="135">
        <f>SUM(AC13:AC43)</f>
        <v>0</v>
      </c>
      <c r="AD44" s="135">
        <f>SUM(AD13:AD43)</f>
        <v>0</v>
      </c>
      <c r="AE44" s="135">
        <f>SUM(AE13:AE43)</f>
        <v>0</v>
      </c>
    </row>
  </sheetData>
  <mergeCells count="14">
    <mergeCell ref="A1:AE1"/>
    <mergeCell ref="B10:F10"/>
    <mergeCell ref="L10:P10"/>
    <mergeCell ref="V10:Z10"/>
    <mergeCell ref="AA10:AE10"/>
    <mergeCell ref="Q10:U10"/>
    <mergeCell ref="B9:D9"/>
    <mergeCell ref="G10:K10"/>
    <mergeCell ref="B11:F11"/>
    <mergeCell ref="L11:P11"/>
    <mergeCell ref="V11:Z11"/>
    <mergeCell ref="AA11:AE11"/>
    <mergeCell ref="Q11:U11"/>
    <mergeCell ref="G11:K11"/>
  </mergeCells>
  <phoneticPr fontId="3"/>
  <conditionalFormatting sqref="A13:A43">
    <cfRule type="expression" dxfId="17" priority="5" stopIfTrue="1">
      <formula>WEEKDAY(DATE(VALUE(MID($B$9,4,2))+1988,VALUE(MID($B$9,7,2)),A13))=7</formula>
    </cfRule>
    <cfRule type="expression" dxfId="16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AE44" xr:uid="{D167CE58-C367-4EAC-95A6-17FE6147D05B}"/>
  </dataValidations>
  <printOptions horizontalCentered="1"/>
  <pageMargins left="0.59055118110236227" right="0.59055118110236227" top="0.59055118110236227" bottom="0" header="0" footer="0"/>
  <pageSetup paperSize="9" orientation="landscape" horizontalDpi="4294967293" verticalDpi="0" r:id="rId1"/>
  <headerFooter alignWithMargins="0"/>
  <ignoredErrors>
    <ignoredError sqref="F13:F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0BFC-694D-4CEE-81D5-1D3D934033BC}">
  <sheetPr codeName="Sheet2"/>
  <dimension ref="A1:V43"/>
  <sheetViews>
    <sheetView showZeros="0" workbookViewId="0">
      <pane ySplit="11" topLeftCell="A12" activePane="bottomLeft" state="frozen"/>
      <selection pane="bottomLeft" activeCell="Z20" sqref="Z20:Z21"/>
    </sheetView>
  </sheetViews>
  <sheetFormatPr defaultRowHeight="13.5" x14ac:dyDescent="0.15"/>
  <cols>
    <col min="1" max="1" width="3.75" style="108" customWidth="1"/>
    <col min="2" max="11" width="5.5" style="109" customWidth="1"/>
    <col min="12" max="12" width="3.75" style="108" customWidth="1"/>
    <col min="13" max="22" width="5.5" style="109" customWidth="1"/>
    <col min="23" max="16384" width="9" style="109"/>
  </cols>
  <sheetData>
    <row r="1" spans="1:22" s="108" customFormat="1" ht="18.75" x14ac:dyDescent="0.15">
      <c r="A1" s="174" t="s">
        <v>156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s="108" customFormat="1" ht="15" customHeight="1" x14ac:dyDescent="0.15">
      <c r="B9" s="180" t="str">
        <f>'A-1'!B9:D9</f>
        <v>(令和9年07月)</v>
      </c>
      <c r="C9" s="180"/>
      <c r="D9" s="181"/>
    </row>
    <row r="10" spans="1:22" s="108" customFormat="1" ht="15" customHeight="1" x14ac:dyDescent="0.15">
      <c r="A10" s="116"/>
      <c r="B10" s="182" t="s">
        <v>97</v>
      </c>
      <c r="C10" s="183"/>
      <c r="D10" s="183"/>
      <c r="E10" s="183"/>
      <c r="F10" s="184"/>
      <c r="G10" s="182" t="s">
        <v>98</v>
      </c>
      <c r="H10" s="183"/>
      <c r="I10" s="183"/>
      <c r="J10" s="183"/>
      <c r="K10" s="184"/>
      <c r="L10" s="116"/>
      <c r="M10" s="177" t="s">
        <v>157</v>
      </c>
      <c r="N10" s="178"/>
      <c r="O10" s="178"/>
      <c r="P10" s="178"/>
      <c r="Q10" s="179"/>
      <c r="R10" s="177" t="s">
        <v>158</v>
      </c>
      <c r="S10" s="178"/>
      <c r="T10" s="178"/>
      <c r="U10" s="178"/>
      <c r="V10" s="179"/>
    </row>
    <row r="11" spans="1:22" s="121" customFormat="1" ht="15" customHeight="1" x14ac:dyDescent="0.15">
      <c r="A11" s="119" t="s">
        <v>83</v>
      </c>
      <c r="B11" s="118" t="s">
        <v>84</v>
      </c>
      <c r="C11" s="120" t="s">
        <v>89</v>
      </c>
      <c r="D11" s="120" t="s">
        <v>87</v>
      </c>
      <c r="E11" s="120" t="s">
        <v>88</v>
      </c>
      <c r="F11" s="120" t="s">
        <v>86</v>
      </c>
      <c r="G11" s="120" t="s">
        <v>84</v>
      </c>
      <c r="H11" s="120" t="s">
        <v>89</v>
      </c>
      <c r="I11" s="120" t="s">
        <v>87</v>
      </c>
      <c r="J11" s="120" t="s">
        <v>88</v>
      </c>
      <c r="K11" s="117" t="s">
        <v>86</v>
      </c>
      <c r="L11" s="119" t="s">
        <v>83</v>
      </c>
      <c r="M11" s="118" t="s">
        <v>84</v>
      </c>
      <c r="N11" s="120" t="s">
        <v>89</v>
      </c>
      <c r="O11" s="120" t="s">
        <v>87</v>
      </c>
      <c r="P11" s="120" t="s">
        <v>88</v>
      </c>
      <c r="Q11" s="117" t="s">
        <v>86</v>
      </c>
      <c r="R11" s="120" t="s">
        <v>84</v>
      </c>
      <c r="S11" s="120" t="s">
        <v>89</v>
      </c>
      <c r="T11" s="120" t="s">
        <v>87</v>
      </c>
      <c r="U11" s="120" t="s">
        <v>88</v>
      </c>
      <c r="V11" s="120" t="s">
        <v>86</v>
      </c>
    </row>
    <row r="12" spans="1:22" s="122" customFormat="1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s="122" customFormat="1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s="122" customFormat="1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s="122" customFormat="1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s="122" customFormat="1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s="122" customFormat="1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s="122" customFormat="1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s="122" customFormat="1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s="122" customFormat="1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s="122" customFormat="1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s="122" customFormat="1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s="122" customFormat="1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s="122" customFormat="1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s="122" customFormat="1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s="122" customFormat="1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s="122" customFormat="1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s="122" customFormat="1" ht="15" customHeight="1" x14ac:dyDescent="0.15">
      <c r="A28" s="141">
        <v>17</v>
      </c>
      <c r="B28" s="123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141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s="122" customFormat="1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s="122" customFormat="1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s="122" customFormat="1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s="122" customFormat="1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s="122" customFormat="1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s="122" customFormat="1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s="122" customFormat="1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s="122" customFormat="1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s="122" customFormat="1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s="122" customFormat="1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s="122" customFormat="1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s="122" customFormat="1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s="122" customFormat="1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s="122" customFormat="1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s="122" customFormat="1" ht="15" customHeight="1" x14ac:dyDescent="0.15">
      <c r="A43" s="115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R10:V10"/>
    <mergeCell ref="B9:D9"/>
    <mergeCell ref="B10:F10"/>
    <mergeCell ref="G10:K10"/>
    <mergeCell ref="M10:Q10"/>
  </mergeCells>
  <phoneticPr fontId="3"/>
  <conditionalFormatting sqref="A12:A42 L12:L42">
    <cfRule type="expression" dxfId="15" priority="7" stopIfTrue="1">
      <formula>WEEKDAY(DATE(VALUE(MID($B$9,4,2))+1988,VALUE(MID($B$9,7,2)),A12))=7</formula>
    </cfRule>
    <cfRule type="expression" dxfId="14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FE575E4A-4B7F-45E6-A210-C3B5AE0E50B2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60B9-D281-4A67-BD35-E751F1E08409}">
  <sheetPr codeName="Sheet5"/>
  <dimension ref="A1:Z43"/>
  <sheetViews>
    <sheetView showZeros="0" workbookViewId="0">
      <pane ySplit="11" topLeftCell="A12" activePane="bottomLeft" state="frozen"/>
      <selection pane="bottomLeft" activeCell="W27" sqref="W27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88" t="s">
        <v>155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5" t="str">
        <f>'A-1'!B9:D9</f>
        <v>(令和9年07月)</v>
      </c>
      <c r="C9" s="145"/>
      <c r="D9" s="146"/>
    </row>
    <row r="10" spans="1:26" ht="15" customHeight="1" x14ac:dyDescent="0.15">
      <c r="A10" s="103"/>
      <c r="B10" s="185" t="s">
        <v>95</v>
      </c>
      <c r="C10" s="186"/>
      <c r="D10" s="186"/>
      <c r="E10" s="186"/>
      <c r="F10" s="187"/>
      <c r="G10" s="185" t="s">
        <v>96</v>
      </c>
      <c r="H10" s="186"/>
      <c r="I10" s="186"/>
      <c r="J10" s="186"/>
      <c r="K10" s="187"/>
      <c r="L10" s="185" t="s">
        <v>139</v>
      </c>
      <c r="M10" s="186"/>
      <c r="N10" s="186"/>
      <c r="O10" s="186"/>
      <c r="P10" s="187"/>
      <c r="Q10" s="185" t="s">
        <v>154</v>
      </c>
      <c r="R10" s="186"/>
      <c r="S10" s="186"/>
      <c r="T10" s="186"/>
      <c r="U10" s="187"/>
      <c r="V10" s="185" t="s">
        <v>140</v>
      </c>
      <c r="W10" s="186"/>
      <c r="X10" s="186"/>
      <c r="Y10" s="186"/>
      <c r="Z10" s="187"/>
    </row>
    <row r="11" spans="1:26" s="40" customFormat="1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89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61"/>
      <c r="C12" s="61"/>
      <c r="D12" s="61"/>
      <c r="E12" s="61"/>
      <c r="F12" s="61">
        <f t="shared" ref="F12:F42" si="0">SUM(B12:E12)</f>
        <v>0</v>
      </c>
      <c r="G12" s="61"/>
      <c r="H12" s="61"/>
      <c r="I12" s="61"/>
      <c r="J12" s="61"/>
      <c r="K12" s="61">
        <f t="shared" ref="K12:K42" si="1">SUM(G12:J12)</f>
        <v>0</v>
      </c>
      <c r="L12" s="61"/>
      <c r="M12" s="61"/>
      <c r="N12" s="61"/>
      <c r="O12" s="61"/>
      <c r="P12" s="61">
        <f t="shared" ref="P12:P42" si="2">SUM(L12:O12)</f>
        <v>0</v>
      </c>
      <c r="Q12" s="61"/>
      <c r="R12" s="61"/>
      <c r="S12" s="61"/>
      <c r="T12" s="61"/>
      <c r="U12" s="61">
        <f t="shared" ref="U12:U42" si="3">SUM(Q12:T12)</f>
        <v>0</v>
      </c>
      <c r="V12" s="61"/>
      <c r="W12" s="61"/>
      <c r="X12" s="61"/>
      <c r="Y12" s="61"/>
      <c r="Z12" s="61">
        <f t="shared" ref="Z12:Z42" si="4">SUM(V12:Y12)</f>
        <v>0</v>
      </c>
    </row>
    <row r="13" spans="1:26" ht="15" customHeight="1" x14ac:dyDescent="0.15">
      <c r="A13" s="24">
        <v>2</v>
      </c>
      <c r="B13" s="61"/>
      <c r="C13" s="61"/>
      <c r="D13" s="61"/>
      <c r="E13" s="61"/>
      <c r="F13" s="61">
        <f t="shared" si="0"/>
        <v>0</v>
      </c>
      <c r="G13" s="61"/>
      <c r="H13" s="61"/>
      <c r="I13" s="61"/>
      <c r="J13" s="61"/>
      <c r="K13" s="61">
        <f t="shared" si="1"/>
        <v>0</v>
      </c>
      <c r="L13" s="61"/>
      <c r="M13" s="61"/>
      <c r="N13" s="61"/>
      <c r="O13" s="61"/>
      <c r="P13" s="61">
        <f t="shared" si="2"/>
        <v>0</v>
      </c>
      <c r="Q13" s="61"/>
      <c r="R13" s="61"/>
      <c r="S13" s="61"/>
      <c r="T13" s="61"/>
      <c r="U13" s="61">
        <f t="shared" si="3"/>
        <v>0</v>
      </c>
      <c r="V13" s="61"/>
      <c r="W13" s="61"/>
      <c r="X13" s="61"/>
      <c r="Y13" s="61"/>
      <c r="Z13" s="61">
        <f t="shared" si="4"/>
        <v>0</v>
      </c>
    </row>
    <row r="14" spans="1:26" ht="15" customHeight="1" x14ac:dyDescent="0.15">
      <c r="A14" s="24">
        <v>3</v>
      </c>
      <c r="B14" s="61"/>
      <c r="C14" s="61"/>
      <c r="D14" s="61"/>
      <c r="E14" s="61"/>
      <c r="F14" s="61">
        <f t="shared" si="0"/>
        <v>0</v>
      </c>
      <c r="G14" s="61"/>
      <c r="H14" s="61"/>
      <c r="I14" s="61"/>
      <c r="J14" s="61"/>
      <c r="K14" s="61">
        <f t="shared" si="1"/>
        <v>0</v>
      </c>
      <c r="L14" s="61"/>
      <c r="M14" s="61"/>
      <c r="N14" s="61"/>
      <c r="O14" s="61"/>
      <c r="P14" s="61">
        <f t="shared" si="2"/>
        <v>0</v>
      </c>
      <c r="Q14" s="61"/>
      <c r="R14" s="61"/>
      <c r="S14" s="61"/>
      <c r="T14" s="61"/>
      <c r="U14" s="61">
        <f t="shared" si="3"/>
        <v>0</v>
      </c>
      <c r="V14" s="61"/>
      <c r="W14" s="61"/>
      <c r="X14" s="61"/>
      <c r="Y14" s="61"/>
      <c r="Z14" s="61">
        <f t="shared" si="4"/>
        <v>0</v>
      </c>
    </row>
    <row r="15" spans="1:26" ht="15" customHeight="1" x14ac:dyDescent="0.15">
      <c r="A15" s="24">
        <v>4</v>
      </c>
      <c r="B15" s="61"/>
      <c r="C15" s="61"/>
      <c r="D15" s="61"/>
      <c r="E15" s="61"/>
      <c r="F15" s="61">
        <f t="shared" si="0"/>
        <v>0</v>
      </c>
      <c r="G15" s="61"/>
      <c r="H15" s="61"/>
      <c r="I15" s="61"/>
      <c r="J15" s="61"/>
      <c r="K15" s="61">
        <f t="shared" si="1"/>
        <v>0</v>
      </c>
      <c r="L15" s="61"/>
      <c r="M15" s="61"/>
      <c r="N15" s="61"/>
      <c r="O15" s="61"/>
      <c r="P15" s="61">
        <f t="shared" si="2"/>
        <v>0</v>
      </c>
      <c r="Q15" s="61"/>
      <c r="R15" s="61"/>
      <c r="S15" s="61"/>
      <c r="T15" s="61"/>
      <c r="U15" s="61">
        <f t="shared" si="3"/>
        <v>0</v>
      </c>
      <c r="V15" s="61"/>
      <c r="W15" s="61"/>
      <c r="X15" s="61"/>
      <c r="Y15" s="61"/>
      <c r="Z15" s="61">
        <f t="shared" si="4"/>
        <v>0</v>
      </c>
    </row>
    <row r="16" spans="1:26" ht="15" customHeight="1" x14ac:dyDescent="0.15">
      <c r="A16" s="24">
        <v>5</v>
      </c>
      <c r="B16" s="61"/>
      <c r="C16" s="61"/>
      <c r="D16" s="61"/>
      <c r="E16" s="61"/>
      <c r="F16" s="61">
        <f t="shared" si="0"/>
        <v>0</v>
      </c>
      <c r="G16" s="61"/>
      <c r="H16" s="61"/>
      <c r="I16" s="61"/>
      <c r="J16" s="61"/>
      <c r="K16" s="61">
        <f t="shared" si="1"/>
        <v>0</v>
      </c>
      <c r="L16" s="61"/>
      <c r="M16" s="61"/>
      <c r="N16" s="61"/>
      <c r="O16" s="61"/>
      <c r="P16" s="61">
        <f t="shared" si="2"/>
        <v>0</v>
      </c>
      <c r="Q16" s="61"/>
      <c r="R16" s="61"/>
      <c r="S16" s="61"/>
      <c r="T16" s="61"/>
      <c r="U16" s="61">
        <f t="shared" si="3"/>
        <v>0</v>
      </c>
      <c r="V16" s="61"/>
      <c r="W16" s="61"/>
      <c r="X16" s="61"/>
      <c r="Y16" s="61"/>
      <c r="Z16" s="61">
        <f t="shared" si="4"/>
        <v>0</v>
      </c>
    </row>
    <row r="17" spans="1:26" ht="15" customHeight="1" x14ac:dyDescent="0.15">
      <c r="A17" s="24">
        <v>6</v>
      </c>
      <c r="B17" s="61"/>
      <c r="C17" s="61"/>
      <c r="D17" s="61"/>
      <c r="E17" s="61"/>
      <c r="F17" s="61">
        <f t="shared" si="0"/>
        <v>0</v>
      </c>
      <c r="G17" s="61"/>
      <c r="H17" s="61"/>
      <c r="I17" s="61"/>
      <c r="J17" s="61"/>
      <c r="K17" s="61">
        <f t="shared" si="1"/>
        <v>0</v>
      </c>
      <c r="L17" s="61"/>
      <c r="M17" s="61"/>
      <c r="N17" s="61"/>
      <c r="O17" s="61"/>
      <c r="P17" s="61">
        <f t="shared" si="2"/>
        <v>0</v>
      </c>
      <c r="Q17" s="61"/>
      <c r="R17" s="61"/>
      <c r="S17" s="61"/>
      <c r="T17" s="61"/>
      <c r="U17" s="61">
        <f t="shared" si="3"/>
        <v>0</v>
      </c>
      <c r="V17" s="61"/>
      <c r="W17" s="61"/>
      <c r="X17" s="61"/>
      <c r="Y17" s="61"/>
      <c r="Z17" s="61">
        <f t="shared" si="4"/>
        <v>0</v>
      </c>
    </row>
    <row r="18" spans="1:26" ht="15" customHeight="1" x14ac:dyDescent="0.15">
      <c r="A18" s="24">
        <v>7</v>
      </c>
      <c r="B18" s="61"/>
      <c r="C18" s="61"/>
      <c r="D18" s="61"/>
      <c r="E18" s="61"/>
      <c r="F18" s="61">
        <f t="shared" si="0"/>
        <v>0</v>
      </c>
      <c r="G18" s="61"/>
      <c r="H18" s="61"/>
      <c r="I18" s="61"/>
      <c r="J18" s="61"/>
      <c r="K18" s="61">
        <f t="shared" si="1"/>
        <v>0</v>
      </c>
      <c r="L18" s="61"/>
      <c r="M18" s="61"/>
      <c r="N18" s="61"/>
      <c r="O18" s="61"/>
      <c r="P18" s="61">
        <f t="shared" si="2"/>
        <v>0</v>
      </c>
      <c r="Q18" s="61"/>
      <c r="R18" s="61"/>
      <c r="S18" s="61"/>
      <c r="T18" s="61"/>
      <c r="U18" s="61">
        <f t="shared" si="3"/>
        <v>0</v>
      </c>
      <c r="V18" s="61"/>
      <c r="W18" s="61"/>
      <c r="X18" s="61"/>
      <c r="Y18" s="61"/>
      <c r="Z18" s="61">
        <f t="shared" si="4"/>
        <v>0</v>
      </c>
    </row>
    <row r="19" spans="1:26" ht="15" customHeight="1" x14ac:dyDescent="0.15">
      <c r="A19" s="24">
        <v>8</v>
      </c>
      <c r="B19" s="61"/>
      <c r="C19" s="61"/>
      <c r="D19" s="61"/>
      <c r="E19" s="61"/>
      <c r="F19" s="61">
        <f t="shared" si="0"/>
        <v>0</v>
      </c>
      <c r="G19" s="61"/>
      <c r="H19" s="61"/>
      <c r="I19" s="61"/>
      <c r="J19" s="61"/>
      <c r="K19" s="61">
        <f t="shared" si="1"/>
        <v>0</v>
      </c>
      <c r="L19" s="61"/>
      <c r="M19" s="61"/>
      <c r="N19" s="61"/>
      <c r="O19" s="61"/>
      <c r="P19" s="61">
        <f t="shared" si="2"/>
        <v>0</v>
      </c>
      <c r="Q19" s="61"/>
      <c r="R19" s="61"/>
      <c r="S19" s="61"/>
      <c r="T19" s="61"/>
      <c r="U19" s="61">
        <f t="shared" si="3"/>
        <v>0</v>
      </c>
      <c r="V19" s="61"/>
      <c r="W19" s="61"/>
      <c r="X19" s="61"/>
      <c r="Y19" s="61"/>
      <c r="Z19" s="61">
        <f t="shared" si="4"/>
        <v>0</v>
      </c>
    </row>
    <row r="20" spans="1:26" ht="15" customHeight="1" x14ac:dyDescent="0.15">
      <c r="A20" s="24">
        <v>9</v>
      </c>
      <c r="B20" s="61"/>
      <c r="C20" s="61"/>
      <c r="D20" s="61"/>
      <c r="E20" s="61"/>
      <c r="F20" s="61">
        <f t="shared" si="0"/>
        <v>0</v>
      </c>
      <c r="G20" s="61"/>
      <c r="H20" s="61"/>
      <c r="I20" s="61"/>
      <c r="J20" s="61"/>
      <c r="K20" s="61">
        <f t="shared" si="1"/>
        <v>0</v>
      </c>
      <c r="L20" s="61"/>
      <c r="M20" s="61"/>
      <c r="N20" s="61"/>
      <c r="O20" s="61"/>
      <c r="P20" s="61">
        <f t="shared" si="2"/>
        <v>0</v>
      </c>
      <c r="Q20" s="61"/>
      <c r="R20" s="61"/>
      <c r="S20" s="61"/>
      <c r="T20" s="61"/>
      <c r="U20" s="61">
        <f t="shared" si="3"/>
        <v>0</v>
      </c>
      <c r="V20" s="61"/>
      <c r="W20" s="61"/>
      <c r="X20" s="61"/>
      <c r="Y20" s="61"/>
      <c r="Z20" s="61">
        <f t="shared" si="4"/>
        <v>0</v>
      </c>
    </row>
    <row r="21" spans="1:26" ht="15" customHeight="1" x14ac:dyDescent="0.15">
      <c r="A21" s="24">
        <v>10</v>
      </c>
      <c r="B21" s="61"/>
      <c r="C21" s="61"/>
      <c r="D21" s="61"/>
      <c r="E21" s="61"/>
      <c r="F21" s="61">
        <f t="shared" si="0"/>
        <v>0</v>
      </c>
      <c r="G21" s="61"/>
      <c r="H21" s="61"/>
      <c r="I21" s="61"/>
      <c r="J21" s="61"/>
      <c r="K21" s="61">
        <f t="shared" si="1"/>
        <v>0</v>
      </c>
      <c r="L21" s="61"/>
      <c r="M21" s="61"/>
      <c r="N21" s="61"/>
      <c r="O21" s="61"/>
      <c r="P21" s="61">
        <f t="shared" si="2"/>
        <v>0</v>
      </c>
      <c r="Q21" s="61"/>
      <c r="R21" s="61"/>
      <c r="S21" s="61"/>
      <c r="T21" s="61"/>
      <c r="U21" s="61">
        <f t="shared" si="3"/>
        <v>0</v>
      </c>
      <c r="V21" s="61"/>
      <c r="W21" s="61"/>
      <c r="X21" s="61"/>
      <c r="Y21" s="61"/>
      <c r="Z21" s="61">
        <f t="shared" si="4"/>
        <v>0</v>
      </c>
    </row>
    <row r="22" spans="1:26" ht="15" customHeight="1" x14ac:dyDescent="0.15">
      <c r="A22" s="24">
        <v>11</v>
      </c>
      <c r="B22" s="61"/>
      <c r="C22" s="61"/>
      <c r="D22" s="61"/>
      <c r="E22" s="61"/>
      <c r="F22" s="61">
        <f t="shared" si="0"/>
        <v>0</v>
      </c>
      <c r="G22" s="61"/>
      <c r="H22" s="61"/>
      <c r="I22" s="61"/>
      <c r="J22" s="61"/>
      <c r="K22" s="61">
        <f t="shared" si="1"/>
        <v>0</v>
      </c>
      <c r="L22" s="61"/>
      <c r="M22" s="61"/>
      <c r="N22" s="61"/>
      <c r="O22" s="61"/>
      <c r="P22" s="61">
        <f t="shared" si="2"/>
        <v>0</v>
      </c>
      <c r="Q22" s="61"/>
      <c r="R22" s="61"/>
      <c r="S22" s="61"/>
      <c r="T22" s="61"/>
      <c r="U22" s="61">
        <f t="shared" si="3"/>
        <v>0</v>
      </c>
      <c r="V22" s="61"/>
      <c r="W22" s="61"/>
      <c r="X22" s="61"/>
      <c r="Y22" s="61"/>
      <c r="Z22" s="61">
        <f t="shared" si="4"/>
        <v>0</v>
      </c>
    </row>
    <row r="23" spans="1:26" ht="15" customHeight="1" x14ac:dyDescent="0.15">
      <c r="A23" s="24">
        <v>12</v>
      </c>
      <c r="B23" s="61"/>
      <c r="C23" s="61"/>
      <c r="D23" s="61"/>
      <c r="E23" s="61"/>
      <c r="F23" s="61">
        <f t="shared" si="0"/>
        <v>0</v>
      </c>
      <c r="G23" s="61"/>
      <c r="H23" s="61"/>
      <c r="I23" s="61"/>
      <c r="J23" s="61"/>
      <c r="K23" s="61">
        <f t="shared" si="1"/>
        <v>0</v>
      </c>
      <c r="L23" s="61"/>
      <c r="M23" s="61"/>
      <c r="N23" s="61"/>
      <c r="O23" s="61"/>
      <c r="P23" s="61">
        <f t="shared" si="2"/>
        <v>0</v>
      </c>
      <c r="Q23" s="61"/>
      <c r="R23" s="61"/>
      <c r="S23" s="61"/>
      <c r="T23" s="61"/>
      <c r="U23" s="61">
        <f t="shared" si="3"/>
        <v>0</v>
      </c>
      <c r="V23" s="61"/>
      <c r="W23" s="61"/>
      <c r="X23" s="61"/>
      <c r="Y23" s="61"/>
      <c r="Z23" s="61">
        <f t="shared" si="4"/>
        <v>0</v>
      </c>
    </row>
    <row r="24" spans="1:26" ht="15" customHeight="1" x14ac:dyDescent="0.15">
      <c r="A24" s="24">
        <v>13</v>
      </c>
      <c r="B24" s="61"/>
      <c r="C24" s="61"/>
      <c r="D24" s="61"/>
      <c r="E24" s="61"/>
      <c r="F24" s="61">
        <f t="shared" si="0"/>
        <v>0</v>
      </c>
      <c r="G24" s="61"/>
      <c r="H24" s="61"/>
      <c r="I24" s="61"/>
      <c r="J24" s="61"/>
      <c r="K24" s="61">
        <f t="shared" si="1"/>
        <v>0</v>
      </c>
      <c r="L24" s="61"/>
      <c r="M24" s="61"/>
      <c r="N24" s="61"/>
      <c r="O24" s="61"/>
      <c r="P24" s="61">
        <f t="shared" si="2"/>
        <v>0</v>
      </c>
      <c r="Q24" s="61"/>
      <c r="R24" s="61"/>
      <c r="S24" s="61"/>
      <c r="T24" s="61"/>
      <c r="U24" s="61">
        <f t="shared" si="3"/>
        <v>0</v>
      </c>
      <c r="V24" s="61"/>
      <c r="W24" s="61"/>
      <c r="X24" s="61"/>
      <c r="Y24" s="61"/>
      <c r="Z24" s="61">
        <f t="shared" si="4"/>
        <v>0</v>
      </c>
    </row>
    <row r="25" spans="1:26" ht="15" customHeight="1" x14ac:dyDescent="0.15">
      <c r="A25" s="24">
        <v>14</v>
      </c>
      <c r="B25" s="61"/>
      <c r="C25" s="61"/>
      <c r="D25" s="61"/>
      <c r="E25" s="61"/>
      <c r="F25" s="61">
        <f t="shared" si="0"/>
        <v>0</v>
      </c>
      <c r="G25" s="61"/>
      <c r="H25" s="61"/>
      <c r="I25" s="61"/>
      <c r="J25" s="61"/>
      <c r="K25" s="61">
        <f t="shared" si="1"/>
        <v>0</v>
      </c>
      <c r="L25" s="61"/>
      <c r="M25" s="61"/>
      <c r="N25" s="61"/>
      <c r="O25" s="61"/>
      <c r="P25" s="61">
        <f t="shared" si="2"/>
        <v>0</v>
      </c>
      <c r="Q25" s="61"/>
      <c r="R25" s="61"/>
      <c r="S25" s="61"/>
      <c r="T25" s="61"/>
      <c r="U25" s="61">
        <f t="shared" si="3"/>
        <v>0</v>
      </c>
      <c r="V25" s="61"/>
      <c r="W25" s="61"/>
      <c r="X25" s="61"/>
      <c r="Y25" s="61"/>
      <c r="Z25" s="61">
        <f t="shared" si="4"/>
        <v>0</v>
      </c>
    </row>
    <row r="26" spans="1:26" ht="15" customHeight="1" x14ac:dyDescent="0.15">
      <c r="A26" s="24">
        <v>15</v>
      </c>
      <c r="B26" s="61"/>
      <c r="C26" s="61"/>
      <c r="D26" s="61"/>
      <c r="E26" s="61"/>
      <c r="F26" s="61">
        <f t="shared" si="0"/>
        <v>0</v>
      </c>
      <c r="G26" s="61"/>
      <c r="H26" s="61"/>
      <c r="I26" s="61"/>
      <c r="J26" s="61"/>
      <c r="K26" s="61">
        <f t="shared" si="1"/>
        <v>0</v>
      </c>
      <c r="L26" s="61"/>
      <c r="M26" s="61"/>
      <c r="N26" s="61"/>
      <c r="O26" s="61"/>
      <c r="P26" s="61">
        <f t="shared" si="2"/>
        <v>0</v>
      </c>
      <c r="Q26" s="61"/>
      <c r="R26" s="61"/>
      <c r="S26" s="61"/>
      <c r="T26" s="61"/>
      <c r="U26" s="61">
        <f t="shared" si="3"/>
        <v>0</v>
      </c>
      <c r="V26" s="61"/>
      <c r="W26" s="61"/>
      <c r="X26" s="61"/>
      <c r="Y26" s="61"/>
      <c r="Z26" s="61">
        <f t="shared" si="4"/>
        <v>0</v>
      </c>
    </row>
    <row r="27" spans="1:26" ht="15" customHeight="1" x14ac:dyDescent="0.15">
      <c r="A27" s="24">
        <v>16</v>
      </c>
      <c r="B27" s="61"/>
      <c r="C27" s="61"/>
      <c r="D27" s="61"/>
      <c r="E27" s="61"/>
      <c r="F27" s="61">
        <f t="shared" si="0"/>
        <v>0</v>
      </c>
      <c r="G27" s="61"/>
      <c r="H27" s="61"/>
      <c r="I27" s="61"/>
      <c r="J27" s="61"/>
      <c r="K27" s="61">
        <f t="shared" si="1"/>
        <v>0</v>
      </c>
      <c r="L27" s="61"/>
      <c r="M27" s="61"/>
      <c r="N27" s="61"/>
      <c r="O27" s="61"/>
      <c r="P27" s="61">
        <f t="shared" si="2"/>
        <v>0</v>
      </c>
      <c r="Q27" s="61"/>
      <c r="R27" s="61"/>
      <c r="S27" s="61"/>
      <c r="T27" s="61"/>
      <c r="U27" s="61">
        <f t="shared" si="3"/>
        <v>0</v>
      </c>
      <c r="V27" s="61"/>
      <c r="W27" s="61"/>
      <c r="X27" s="61"/>
      <c r="Y27" s="61"/>
      <c r="Z27" s="61">
        <f t="shared" si="4"/>
        <v>0</v>
      </c>
    </row>
    <row r="28" spans="1:26" ht="15" customHeight="1" x14ac:dyDescent="0.15">
      <c r="A28" s="141">
        <v>17</v>
      </c>
      <c r="B28" s="61"/>
      <c r="C28" s="61"/>
      <c r="D28" s="61"/>
      <c r="E28" s="61"/>
      <c r="F28" s="61">
        <f t="shared" si="0"/>
        <v>0</v>
      </c>
      <c r="G28" s="61"/>
      <c r="H28" s="61"/>
      <c r="I28" s="61"/>
      <c r="J28" s="61"/>
      <c r="K28" s="61">
        <f t="shared" si="1"/>
        <v>0</v>
      </c>
      <c r="L28" s="61"/>
      <c r="M28" s="61"/>
      <c r="N28" s="61"/>
      <c r="O28" s="61"/>
      <c r="P28" s="61">
        <f t="shared" si="2"/>
        <v>0</v>
      </c>
      <c r="Q28" s="61"/>
      <c r="R28" s="61"/>
      <c r="S28" s="61"/>
      <c r="T28" s="61"/>
      <c r="U28" s="61">
        <f t="shared" si="3"/>
        <v>0</v>
      </c>
      <c r="V28" s="61"/>
      <c r="W28" s="61"/>
      <c r="X28" s="61"/>
      <c r="Y28" s="61"/>
      <c r="Z28" s="61">
        <f t="shared" si="4"/>
        <v>0</v>
      </c>
    </row>
    <row r="29" spans="1:26" ht="15" customHeight="1" x14ac:dyDescent="0.15">
      <c r="A29" s="24">
        <v>18</v>
      </c>
      <c r="B29" s="61"/>
      <c r="C29" s="61"/>
      <c r="D29" s="61"/>
      <c r="E29" s="61"/>
      <c r="F29" s="61">
        <f t="shared" si="0"/>
        <v>0</v>
      </c>
      <c r="G29" s="61"/>
      <c r="H29" s="61"/>
      <c r="I29" s="61"/>
      <c r="J29" s="61"/>
      <c r="K29" s="61">
        <f t="shared" si="1"/>
        <v>0</v>
      </c>
      <c r="L29" s="61"/>
      <c r="M29" s="61"/>
      <c r="N29" s="61"/>
      <c r="O29" s="61"/>
      <c r="P29" s="61">
        <f t="shared" si="2"/>
        <v>0</v>
      </c>
      <c r="Q29" s="61"/>
      <c r="R29" s="61"/>
      <c r="S29" s="61"/>
      <c r="T29" s="61"/>
      <c r="U29" s="61">
        <f t="shared" si="3"/>
        <v>0</v>
      </c>
      <c r="V29" s="61"/>
      <c r="W29" s="61"/>
      <c r="X29" s="61"/>
      <c r="Y29" s="61"/>
      <c r="Z29" s="61">
        <f t="shared" si="4"/>
        <v>0</v>
      </c>
    </row>
    <row r="30" spans="1:26" ht="15" customHeight="1" x14ac:dyDescent="0.15">
      <c r="A30" s="24">
        <v>19</v>
      </c>
      <c r="B30" s="61"/>
      <c r="C30" s="61"/>
      <c r="D30" s="61"/>
      <c r="E30" s="61"/>
      <c r="F30" s="61">
        <f t="shared" si="0"/>
        <v>0</v>
      </c>
      <c r="G30" s="61"/>
      <c r="H30" s="61"/>
      <c r="I30" s="61"/>
      <c r="J30" s="61"/>
      <c r="K30" s="61">
        <f t="shared" si="1"/>
        <v>0</v>
      </c>
      <c r="L30" s="61"/>
      <c r="M30" s="61"/>
      <c r="N30" s="61"/>
      <c r="O30" s="61"/>
      <c r="P30" s="61">
        <f t="shared" si="2"/>
        <v>0</v>
      </c>
      <c r="Q30" s="61"/>
      <c r="R30" s="61"/>
      <c r="S30" s="61"/>
      <c r="T30" s="61"/>
      <c r="U30" s="61">
        <f t="shared" si="3"/>
        <v>0</v>
      </c>
      <c r="V30" s="61"/>
      <c r="W30" s="61"/>
      <c r="X30" s="61"/>
      <c r="Y30" s="61"/>
      <c r="Z30" s="61">
        <f t="shared" si="4"/>
        <v>0</v>
      </c>
    </row>
    <row r="31" spans="1:26" ht="15" customHeight="1" x14ac:dyDescent="0.15">
      <c r="A31" s="24">
        <v>20</v>
      </c>
      <c r="B31" s="61"/>
      <c r="C31" s="61"/>
      <c r="D31" s="61"/>
      <c r="E31" s="61"/>
      <c r="F31" s="61">
        <f t="shared" si="0"/>
        <v>0</v>
      </c>
      <c r="G31" s="61"/>
      <c r="H31" s="61"/>
      <c r="I31" s="61"/>
      <c r="J31" s="61"/>
      <c r="K31" s="61">
        <f t="shared" si="1"/>
        <v>0</v>
      </c>
      <c r="L31" s="61"/>
      <c r="M31" s="61"/>
      <c r="N31" s="61"/>
      <c r="O31" s="61"/>
      <c r="P31" s="61">
        <f t="shared" si="2"/>
        <v>0</v>
      </c>
      <c r="Q31" s="61"/>
      <c r="R31" s="61"/>
      <c r="S31" s="61"/>
      <c r="T31" s="61"/>
      <c r="U31" s="61">
        <f t="shared" si="3"/>
        <v>0</v>
      </c>
      <c r="V31" s="61"/>
      <c r="W31" s="61"/>
      <c r="X31" s="61"/>
      <c r="Y31" s="61"/>
      <c r="Z31" s="61">
        <f t="shared" si="4"/>
        <v>0</v>
      </c>
    </row>
    <row r="32" spans="1:26" ht="15" customHeight="1" x14ac:dyDescent="0.15">
      <c r="A32" s="24">
        <v>21</v>
      </c>
      <c r="B32" s="61"/>
      <c r="C32" s="61"/>
      <c r="D32" s="61"/>
      <c r="E32" s="61"/>
      <c r="F32" s="61">
        <f t="shared" si="0"/>
        <v>0</v>
      </c>
      <c r="G32" s="61"/>
      <c r="H32" s="61"/>
      <c r="I32" s="61"/>
      <c r="J32" s="61"/>
      <c r="K32" s="61">
        <f t="shared" si="1"/>
        <v>0</v>
      </c>
      <c r="L32" s="61"/>
      <c r="M32" s="61"/>
      <c r="N32" s="61"/>
      <c r="O32" s="61"/>
      <c r="P32" s="61">
        <f t="shared" si="2"/>
        <v>0</v>
      </c>
      <c r="Q32" s="61"/>
      <c r="R32" s="61"/>
      <c r="S32" s="61"/>
      <c r="T32" s="61"/>
      <c r="U32" s="61">
        <f t="shared" si="3"/>
        <v>0</v>
      </c>
      <c r="V32" s="61"/>
      <c r="W32" s="61"/>
      <c r="X32" s="61"/>
      <c r="Y32" s="61"/>
      <c r="Z32" s="61">
        <f t="shared" si="4"/>
        <v>0</v>
      </c>
    </row>
    <row r="33" spans="1:26" ht="15" customHeight="1" x14ac:dyDescent="0.15">
      <c r="A33" s="24">
        <v>22</v>
      </c>
      <c r="B33" s="61"/>
      <c r="C33" s="61"/>
      <c r="D33" s="61"/>
      <c r="E33" s="61"/>
      <c r="F33" s="61">
        <f t="shared" si="0"/>
        <v>0</v>
      </c>
      <c r="G33" s="61"/>
      <c r="H33" s="61"/>
      <c r="I33" s="61"/>
      <c r="J33" s="61"/>
      <c r="K33" s="61">
        <f t="shared" si="1"/>
        <v>0</v>
      </c>
      <c r="L33" s="61"/>
      <c r="M33" s="61"/>
      <c r="N33" s="61"/>
      <c r="O33" s="61"/>
      <c r="P33" s="61">
        <f t="shared" si="2"/>
        <v>0</v>
      </c>
      <c r="Q33" s="61"/>
      <c r="R33" s="61"/>
      <c r="S33" s="61"/>
      <c r="T33" s="61"/>
      <c r="U33" s="61">
        <f t="shared" si="3"/>
        <v>0</v>
      </c>
      <c r="V33" s="61"/>
      <c r="W33" s="61"/>
      <c r="X33" s="61"/>
      <c r="Y33" s="61"/>
      <c r="Z33" s="61">
        <f t="shared" si="4"/>
        <v>0</v>
      </c>
    </row>
    <row r="34" spans="1:26" ht="15" customHeight="1" x14ac:dyDescent="0.15">
      <c r="A34" s="24">
        <v>23</v>
      </c>
      <c r="B34" s="61"/>
      <c r="C34" s="61"/>
      <c r="D34" s="61"/>
      <c r="E34" s="61"/>
      <c r="F34" s="61">
        <f t="shared" si="0"/>
        <v>0</v>
      </c>
      <c r="G34" s="61"/>
      <c r="H34" s="61"/>
      <c r="I34" s="61"/>
      <c r="J34" s="61"/>
      <c r="K34" s="61">
        <f t="shared" si="1"/>
        <v>0</v>
      </c>
      <c r="L34" s="61"/>
      <c r="M34" s="61"/>
      <c r="N34" s="61"/>
      <c r="O34" s="61"/>
      <c r="P34" s="61">
        <f t="shared" si="2"/>
        <v>0</v>
      </c>
      <c r="Q34" s="61"/>
      <c r="R34" s="61"/>
      <c r="S34" s="61"/>
      <c r="T34" s="61"/>
      <c r="U34" s="61">
        <f t="shared" si="3"/>
        <v>0</v>
      </c>
      <c r="V34" s="61"/>
      <c r="W34" s="61"/>
      <c r="X34" s="61"/>
      <c r="Y34" s="61"/>
      <c r="Z34" s="61">
        <f t="shared" si="4"/>
        <v>0</v>
      </c>
    </row>
    <row r="35" spans="1:26" ht="15" customHeight="1" x14ac:dyDescent="0.15">
      <c r="A35" s="24">
        <v>24</v>
      </c>
      <c r="B35" s="61"/>
      <c r="C35" s="61"/>
      <c r="D35" s="61"/>
      <c r="E35" s="61"/>
      <c r="F35" s="61">
        <f t="shared" si="0"/>
        <v>0</v>
      </c>
      <c r="G35" s="61"/>
      <c r="H35" s="61"/>
      <c r="I35" s="61"/>
      <c r="J35" s="61"/>
      <c r="K35" s="61">
        <f t="shared" si="1"/>
        <v>0</v>
      </c>
      <c r="L35" s="61"/>
      <c r="M35" s="61"/>
      <c r="N35" s="61"/>
      <c r="O35" s="61"/>
      <c r="P35" s="61">
        <f t="shared" si="2"/>
        <v>0</v>
      </c>
      <c r="Q35" s="61"/>
      <c r="R35" s="61"/>
      <c r="S35" s="61"/>
      <c r="T35" s="61"/>
      <c r="U35" s="61">
        <f t="shared" si="3"/>
        <v>0</v>
      </c>
      <c r="V35" s="61"/>
      <c r="W35" s="61"/>
      <c r="X35" s="61"/>
      <c r="Y35" s="61"/>
      <c r="Z35" s="61">
        <f t="shared" si="4"/>
        <v>0</v>
      </c>
    </row>
    <row r="36" spans="1:26" ht="15" customHeight="1" x14ac:dyDescent="0.15">
      <c r="A36" s="24">
        <v>25</v>
      </c>
      <c r="B36" s="61"/>
      <c r="C36" s="61"/>
      <c r="D36" s="61"/>
      <c r="E36" s="61"/>
      <c r="F36" s="61">
        <f t="shared" si="0"/>
        <v>0</v>
      </c>
      <c r="G36" s="61"/>
      <c r="H36" s="61"/>
      <c r="I36" s="61"/>
      <c r="J36" s="61"/>
      <c r="K36" s="61">
        <f t="shared" si="1"/>
        <v>0</v>
      </c>
      <c r="L36" s="61"/>
      <c r="M36" s="61"/>
      <c r="N36" s="61"/>
      <c r="O36" s="61"/>
      <c r="P36" s="61">
        <f t="shared" si="2"/>
        <v>0</v>
      </c>
      <c r="Q36" s="61"/>
      <c r="R36" s="61"/>
      <c r="S36" s="61"/>
      <c r="T36" s="61"/>
      <c r="U36" s="61">
        <f t="shared" si="3"/>
        <v>0</v>
      </c>
      <c r="V36" s="61"/>
      <c r="W36" s="61"/>
      <c r="X36" s="61"/>
      <c r="Y36" s="61"/>
      <c r="Z36" s="61">
        <f t="shared" si="4"/>
        <v>0</v>
      </c>
    </row>
    <row r="37" spans="1:26" ht="15" customHeight="1" x14ac:dyDescent="0.15">
      <c r="A37" s="24">
        <v>26</v>
      </c>
      <c r="B37" s="61"/>
      <c r="C37" s="61"/>
      <c r="D37" s="61"/>
      <c r="E37" s="61"/>
      <c r="F37" s="61">
        <f t="shared" si="0"/>
        <v>0</v>
      </c>
      <c r="G37" s="61"/>
      <c r="H37" s="61"/>
      <c r="I37" s="61"/>
      <c r="J37" s="61"/>
      <c r="K37" s="61">
        <f t="shared" si="1"/>
        <v>0</v>
      </c>
      <c r="L37" s="61"/>
      <c r="M37" s="61"/>
      <c r="N37" s="61"/>
      <c r="O37" s="61"/>
      <c r="P37" s="61">
        <f t="shared" si="2"/>
        <v>0</v>
      </c>
      <c r="Q37" s="61"/>
      <c r="R37" s="61"/>
      <c r="S37" s="61"/>
      <c r="T37" s="61"/>
      <c r="U37" s="61">
        <f t="shared" si="3"/>
        <v>0</v>
      </c>
      <c r="V37" s="61"/>
      <c r="W37" s="61"/>
      <c r="X37" s="61"/>
      <c r="Y37" s="61"/>
      <c r="Z37" s="61">
        <f t="shared" si="4"/>
        <v>0</v>
      </c>
    </row>
    <row r="38" spans="1:26" ht="15" customHeight="1" x14ac:dyDescent="0.15">
      <c r="A38" s="24">
        <v>27</v>
      </c>
      <c r="B38" s="61"/>
      <c r="C38" s="61"/>
      <c r="D38" s="61"/>
      <c r="E38" s="61"/>
      <c r="F38" s="61">
        <f t="shared" si="0"/>
        <v>0</v>
      </c>
      <c r="G38" s="61"/>
      <c r="H38" s="61"/>
      <c r="I38" s="61"/>
      <c r="J38" s="61"/>
      <c r="K38" s="61">
        <f t="shared" si="1"/>
        <v>0</v>
      </c>
      <c r="L38" s="61"/>
      <c r="M38" s="61"/>
      <c r="N38" s="61"/>
      <c r="O38" s="61"/>
      <c r="P38" s="61">
        <f t="shared" si="2"/>
        <v>0</v>
      </c>
      <c r="Q38" s="61"/>
      <c r="R38" s="61"/>
      <c r="S38" s="61"/>
      <c r="T38" s="61"/>
      <c r="U38" s="61"/>
      <c r="V38" s="61"/>
      <c r="W38" s="61"/>
      <c r="X38" s="61"/>
      <c r="Y38" s="61"/>
      <c r="Z38" s="61">
        <f t="shared" si="4"/>
        <v>0</v>
      </c>
    </row>
    <row r="39" spans="1:26" ht="15" customHeight="1" x14ac:dyDescent="0.15">
      <c r="A39" s="24">
        <v>28</v>
      </c>
      <c r="B39" s="61"/>
      <c r="C39" s="61"/>
      <c r="D39" s="61"/>
      <c r="E39" s="61"/>
      <c r="F39" s="61">
        <f t="shared" si="0"/>
        <v>0</v>
      </c>
      <c r="G39" s="61"/>
      <c r="H39" s="61"/>
      <c r="I39" s="61"/>
      <c r="J39" s="61"/>
      <c r="K39" s="61">
        <f t="shared" si="1"/>
        <v>0</v>
      </c>
      <c r="L39" s="61"/>
      <c r="M39" s="61"/>
      <c r="N39" s="61"/>
      <c r="O39" s="61"/>
      <c r="P39" s="61">
        <f t="shared" si="2"/>
        <v>0</v>
      </c>
      <c r="Q39" s="61"/>
      <c r="R39" s="61"/>
      <c r="S39" s="61"/>
      <c r="T39" s="61"/>
      <c r="U39" s="61"/>
      <c r="V39" s="61"/>
      <c r="W39" s="61"/>
      <c r="X39" s="61"/>
      <c r="Y39" s="61"/>
      <c r="Z39" s="61">
        <f t="shared" si="4"/>
        <v>0</v>
      </c>
    </row>
    <row r="40" spans="1:26" ht="15" customHeight="1" x14ac:dyDescent="0.15">
      <c r="A40" s="24">
        <v>29</v>
      </c>
      <c r="B40" s="61"/>
      <c r="C40" s="61"/>
      <c r="D40" s="61"/>
      <c r="E40" s="61"/>
      <c r="F40" s="61">
        <f t="shared" si="0"/>
        <v>0</v>
      </c>
      <c r="G40" s="61"/>
      <c r="H40" s="61"/>
      <c r="I40" s="61"/>
      <c r="J40" s="61"/>
      <c r="K40" s="61">
        <f t="shared" si="1"/>
        <v>0</v>
      </c>
      <c r="L40" s="61"/>
      <c r="M40" s="61"/>
      <c r="N40" s="61"/>
      <c r="O40" s="61"/>
      <c r="P40" s="61">
        <f t="shared" si="2"/>
        <v>0</v>
      </c>
      <c r="Q40" s="61"/>
      <c r="R40" s="61"/>
      <c r="S40" s="61"/>
      <c r="T40" s="61"/>
      <c r="U40" s="61"/>
      <c r="V40" s="61"/>
      <c r="W40" s="61"/>
      <c r="X40" s="61"/>
      <c r="Y40" s="61"/>
      <c r="Z40" s="61">
        <f t="shared" si="4"/>
        <v>0</v>
      </c>
    </row>
    <row r="41" spans="1:26" ht="15" customHeight="1" x14ac:dyDescent="0.15">
      <c r="A41" s="24">
        <v>30</v>
      </c>
      <c r="B41" s="61"/>
      <c r="C41" s="61"/>
      <c r="D41" s="61"/>
      <c r="E41" s="61"/>
      <c r="F41" s="61">
        <f t="shared" si="0"/>
        <v>0</v>
      </c>
      <c r="G41" s="61"/>
      <c r="H41" s="61"/>
      <c r="I41" s="61"/>
      <c r="J41" s="61"/>
      <c r="K41" s="61">
        <f t="shared" si="1"/>
        <v>0</v>
      </c>
      <c r="L41" s="61"/>
      <c r="M41" s="61"/>
      <c r="N41" s="61"/>
      <c r="O41" s="61"/>
      <c r="P41" s="61">
        <f t="shared" si="2"/>
        <v>0</v>
      </c>
      <c r="Q41" s="61"/>
      <c r="R41" s="61"/>
      <c r="S41" s="61"/>
      <c r="T41" s="61"/>
      <c r="U41" s="61"/>
      <c r="V41" s="61"/>
      <c r="W41" s="61"/>
      <c r="X41" s="61"/>
      <c r="Y41" s="61"/>
      <c r="Z41" s="61">
        <f t="shared" si="4"/>
        <v>0</v>
      </c>
    </row>
    <row r="42" spans="1:26" ht="15" customHeight="1" x14ac:dyDescent="0.15">
      <c r="A42" s="24">
        <v>31</v>
      </c>
      <c r="B42" s="61"/>
      <c r="C42" s="61"/>
      <c r="D42" s="61"/>
      <c r="E42" s="61"/>
      <c r="F42" s="61">
        <f t="shared" si="0"/>
        <v>0</v>
      </c>
      <c r="G42" s="61"/>
      <c r="H42" s="61"/>
      <c r="I42" s="61"/>
      <c r="J42" s="61"/>
      <c r="K42" s="61">
        <f t="shared" si="1"/>
        <v>0</v>
      </c>
      <c r="L42" s="61"/>
      <c r="M42" s="61"/>
      <c r="N42" s="61"/>
      <c r="O42" s="61"/>
      <c r="P42" s="61">
        <f t="shared" si="2"/>
        <v>0</v>
      </c>
      <c r="Q42" s="61"/>
      <c r="R42" s="61"/>
      <c r="S42" s="61"/>
      <c r="T42" s="61"/>
      <c r="U42" s="61">
        <f t="shared" si="3"/>
        <v>0</v>
      </c>
      <c r="V42" s="61"/>
      <c r="W42" s="61"/>
      <c r="X42" s="61"/>
      <c r="Y42" s="61"/>
      <c r="Z42" s="61">
        <f t="shared" si="4"/>
        <v>0</v>
      </c>
    </row>
    <row r="43" spans="1:26" ht="15" customHeight="1" x14ac:dyDescent="0.15">
      <c r="A43" s="17" t="s">
        <v>2</v>
      </c>
      <c r="B43" s="61">
        <f>SUM(B12:B42)</f>
        <v>0</v>
      </c>
      <c r="C43" s="61">
        <f>SUM(C12:C42)</f>
        <v>0</v>
      </c>
      <c r="D43" s="61">
        <f>SUM(D12:D42)</f>
        <v>0</v>
      </c>
      <c r="E43" s="61">
        <f>SUM(E12:E42)</f>
        <v>0</v>
      </c>
      <c r="F43" s="61">
        <f>ROUND(SUM(F12:F42),1)</f>
        <v>0</v>
      </c>
      <c r="G43" s="61">
        <f>SUM(G12:G42)</f>
        <v>0</v>
      </c>
      <c r="H43" s="61">
        <f>SUM(H12:H42)</f>
        <v>0</v>
      </c>
      <c r="I43" s="61">
        <f>SUM(I12:I42)</f>
        <v>0</v>
      </c>
      <c r="J43" s="61">
        <f>SUM(J12:J42)</f>
        <v>0</v>
      </c>
      <c r="K43" s="61">
        <f>ROUND(SUM(K12:K42),1)</f>
        <v>0</v>
      </c>
      <c r="L43" s="61">
        <f>SUM(L12:L42)</f>
        <v>0</v>
      </c>
      <c r="M43" s="61">
        <f>SUM(M12:M42)</f>
        <v>0</v>
      </c>
      <c r="N43" s="61">
        <f>SUM(N12:N42)</f>
        <v>0</v>
      </c>
      <c r="O43" s="61">
        <f>SUM(O12:O42)</f>
        <v>0</v>
      </c>
      <c r="P43" s="61">
        <f>ROUND(SUM(P12:P42),1)</f>
        <v>0</v>
      </c>
      <c r="Q43" s="61">
        <f>SUM(Q12:Q42)</f>
        <v>0</v>
      </c>
      <c r="R43" s="61">
        <f>SUM(R12:R42)</f>
        <v>0</v>
      </c>
      <c r="S43" s="61">
        <f>SUM(S12:S42)</f>
        <v>0</v>
      </c>
      <c r="T43" s="61">
        <f>SUM(T12:T42)</f>
        <v>0</v>
      </c>
      <c r="U43" s="61">
        <f>ROUND(SUM(U12:U42),1)</f>
        <v>0</v>
      </c>
      <c r="V43" s="61">
        <f>SUM(V12:V42)</f>
        <v>0</v>
      </c>
      <c r="W43" s="61">
        <f>SUM(W12:W42)</f>
        <v>0</v>
      </c>
      <c r="X43" s="61">
        <f>SUM(X12:X42)</f>
        <v>0</v>
      </c>
      <c r="Y43" s="61">
        <f>SUM(Y12:Y42)</f>
        <v>0</v>
      </c>
      <c r="Z43" s="61">
        <f>ROUND(SUM(Z12:Z42),1)</f>
        <v>0</v>
      </c>
    </row>
  </sheetData>
  <mergeCells count="7">
    <mergeCell ref="V10:Z10"/>
    <mergeCell ref="A1:Z1"/>
    <mergeCell ref="B9:D9"/>
    <mergeCell ref="B10:F10"/>
    <mergeCell ref="G10:K10"/>
    <mergeCell ref="L10:P10"/>
    <mergeCell ref="Q10:U10"/>
  </mergeCells>
  <phoneticPr fontId="3"/>
  <conditionalFormatting sqref="A12:A42">
    <cfRule type="expression" dxfId="13" priority="7" stopIfTrue="1">
      <formula>WEEKDAY(DATE(VALUE(MID($B$9,4,2))+1988,VALUE(MID($B$9,7,2)),A12))=7</formula>
    </cfRule>
    <cfRule type="expression" dxfId="12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27EE2CF7-629C-45E8-957D-F9D04D6729CB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0C92-B679-4EE0-AD0A-06690D02AB1E}">
  <dimension ref="A1:V43"/>
  <sheetViews>
    <sheetView showZeros="0" workbookViewId="0">
      <pane ySplit="11" topLeftCell="A12" activePane="bottomLeft" state="frozen"/>
      <selection pane="bottomLeft" activeCell="Y18" sqref="Y18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5" t="str">
        <f>'A-1'!B9:D9</f>
        <v>(令和9年07月)</v>
      </c>
      <c r="C9" s="145"/>
      <c r="D9" s="146"/>
    </row>
    <row r="10" spans="1:22" ht="15" customHeight="1" x14ac:dyDescent="0.15">
      <c r="A10" s="103"/>
      <c r="B10" s="185" t="s">
        <v>149</v>
      </c>
      <c r="C10" s="186"/>
      <c r="D10" s="186"/>
      <c r="E10" s="186"/>
      <c r="F10" s="187"/>
      <c r="G10" s="185" t="s">
        <v>151</v>
      </c>
      <c r="H10" s="186"/>
      <c r="I10" s="186"/>
      <c r="J10" s="186"/>
      <c r="K10" s="187"/>
      <c r="L10" s="103"/>
      <c r="M10" s="185" t="s">
        <v>152</v>
      </c>
      <c r="N10" s="186"/>
      <c r="O10" s="186"/>
      <c r="P10" s="186"/>
      <c r="Q10" s="187"/>
      <c r="R10" s="185" t="s">
        <v>153</v>
      </c>
      <c r="S10" s="186"/>
      <c r="T10" s="186"/>
      <c r="U10" s="186"/>
      <c r="V10" s="187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9"/>
      <c r="C24" s="129"/>
      <c r="D24" s="123"/>
      <c r="E24" s="123"/>
      <c r="F24" s="123">
        <f t="shared" si="0"/>
        <v>0</v>
      </c>
      <c r="G24" s="129"/>
      <c r="H24" s="129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141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141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11" priority="1" stopIfTrue="1">
      <formula>WEEKDAY(DATE(VALUE(MID($B$9,4,2))+1988,VALUE(MID($B$9,7,2)),A12))=7</formula>
    </cfRule>
    <cfRule type="expression" dxfId="10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CF0E4555-B393-4603-925C-6649F93992AA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AB02-D685-4883-B0E7-29F2A2B07DB7}">
  <sheetPr codeName="Sheet8"/>
  <dimension ref="A1:V43"/>
  <sheetViews>
    <sheetView showZeros="0" workbookViewId="0">
      <pane ySplit="11" topLeftCell="A12" activePane="bottomLeft" state="frozen"/>
      <selection pane="bottomLeft" activeCell="Z23" sqref="Z23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88" t="s">
        <v>144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5" t="str">
        <f>'A-1'!B9:D9</f>
        <v>(令和9年07月)</v>
      </c>
      <c r="C9" s="145"/>
      <c r="D9" s="146"/>
    </row>
    <row r="10" spans="1:22" ht="15" customHeight="1" x14ac:dyDescent="0.15">
      <c r="A10" s="103"/>
      <c r="B10" s="185" t="s">
        <v>112</v>
      </c>
      <c r="C10" s="186"/>
      <c r="D10" s="186"/>
      <c r="E10" s="186"/>
      <c r="F10" s="187"/>
      <c r="G10" s="185" t="s">
        <v>115</v>
      </c>
      <c r="H10" s="186"/>
      <c r="I10" s="186"/>
      <c r="J10" s="186"/>
      <c r="K10" s="187"/>
      <c r="L10" s="103"/>
      <c r="M10" s="185" t="s">
        <v>113</v>
      </c>
      <c r="N10" s="186"/>
      <c r="O10" s="186"/>
      <c r="P10" s="186"/>
      <c r="Q10" s="187"/>
      <c r="R10" s="185" t="s">
        <v>114</v>
      </c>
      <c r="S10" s="186"/>
      <c r="T10" s="186"/>
      <c r="U10" s="186"/>
      <c r="V10" s="187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>SUM(B12:E12)</f>
        <v>0</v>
      </c>
      <c r="G12" s="123"/>
      <c r="H12" s="123"/>
      <c r="I12" s="123"/>
      <c r="J12" s="123"/>
      <c r="K12" s="123">
        <f>SUM(G12:J12)</f>
        <v>0</v>
      </c>
      <c r="L12" s="24">
        <v>1</v>
      </c>
      <c r="M12" s="128"/>
      <c r="N12" s="128"/>
      <c r="O12" s="128"/>
      <c r="P12" s="128"/>
      <c r="Q12" s="128">
        <f>SUM(M12:P12)</f>
        <v>0</v>
      </c>
      <c r="R12" s="128"/>
      <c r="S12" s="128"/>
      <c r="T12" s="128"/>
      <c r="U12" s="128"/>
      <c r="V12" s="128">
        <f t="shared" ref="V12:V42" si="0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>SUM(B13:E13)</f>
        <v>0</v>
      </c>
      <c r="G13" s="123"/>
      <c r="H13" s="123"/>
      <c r="I13" s="123"/>
      <c r="J13" s="123"/>
      <c r="K13" s="123">
        <f>SUM(G13:J13)</f>
        <v>0</v>
      </c>
      <c r="L13" s="24">
        <v>2</v>
      </c>
      <c r="M13" s="128"/>
      <c r="N13" s="128"/>
      <c r="O13" s="128"/>
      <c r="P13" s="128"/>
      <c r="Q13" s="128">
        <f t="shared" ref="Q13:Q42" si="1">SUM(M13:P13)</f>
        <v>0</v>
      </c>
      <c r="R13" s="128"/>
      <c r="S13" s="128"/>
      <c r="T13" s="128"/>
      <c r="U13" s="128"/>
      <c r="V13" s="128">
        <f t="shared" si="0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>SUM(B14:E14)</f>
        <v>0</v>
      </c>
      <c r="G14" s="129"/>
      <c r="H14" s="129"/>
      <c r="I14" s="129"/>
      <c r="J14" s="129"/>
      <c r="K14" s="129"/>
      <c r="L14" s="24">
        <v>3</v>
      </c>
      <c r="M14" s="130"/>
      <c r="N14" s="130"/>
      <c r="O14" s="130"/>
      <c r="P14" s="130"/>
      <c r="Q14" s="130">
        <f t="shared" si="1"/>
        <v>0</v>
      </c>
      <c r="R14" s="130"/>
      <c r="S14" s="130"/>
      <c r="T14" s="130"/>
      <c r="U14" s="130"/>
      <c r="V14" s="130">
        <f t="shared" si="0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ref="F15:F41" si="2">SUM(B15:E15)</f>
        <v>0</v>
      </c>
      <c r="G15" s="123"/>
      <c r="H15" s="123"/>
      <c r="I15" s="123"/>
      <c r="J15" s="123"/>
      <c r="K15" s="123"/>
      <c r="L15" s="24">
        <v>4</v>
      </c>
      <c r="M15" s="128"/>
      <c r="N15" s="128"/>
      <c r="O15" s="128"/>
      <c r="P15" s="128"/>
      <c r="Q15" s="128">
        <f t="shared" si="1"/>
        <v>0</v>
      </c>
      <c r="R15" s="128"/>
      <c r="S15" s="128"/>
      <c r="T15" s="128"/>
      <c r="U15" s="128"/>
      <c r="V15" s="128">
        <f t="shared" si="0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2"/>
        <v>0</v>
      </c>
      <c r="G16" s="123"/>
      <c r="H16" s="123"/>
      <c r="I16" s="123"/>
      <c r="J16" s="123"/>
      <c r="K16" s="123"/>
      <c r="L16" s="24">
        <v>5</v>
      </c>
      <c r="M16" s="128"/>
      <c r="N16" s="128"/>
      <c r="O16" s="128"/>
      <c r="P16" s="128"/>
      <c r="Q16" s="128">
        <f t="shared" si="1"/>
        <v>0</v>
      </c>
      <c r="R16" s="128"/>
      <c r="S16" s="128"/>
      <c r="T16" s="128"/>
      <c r="U16" s="128"/>
      <c r="V16" s="128">
        <f t="shared" si="0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2"/>
        <v>0</v>
      </c>
      <c r="G17" s="123"/>
      <c r="H17" s="123"/>
      <c r="I17" s="123"/>
      <c r="J17" s="123"/>
      <c r="K17" s="123"/>
      <c r="L17" s="24">
        <v>6</v>
      </c>
      <c r="M17" s="128"/>
      <c r="N17" s="128"/>
      <c r="O17" s="128"/>
      <c r="P17" s="128"/>
      <c r="Q17" s="128">
        <f t="shared" si="1"/>
        <v>0</v>
      </c>
      <c r="R17" s="128"/>
      <c r="S17" s="128"/>
      <c r="T17" s="128"/>
      <c r="U17" s="128"/>
      <c r="V17" s="128">
        <f t="shared" si="0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2"/>
        <v>0</v>
      </c>
      <c r="G18" s="123"/>
      <c r="H18" s="123"/>
      <c r="I18" s="123"/>
      <c r="J18" s="123"/>
      <c r="K18" s="123"/>
      <c r="L18" s="24">
        <v>7</v>
      </c>
      <c r="M18" s="128"/>
      <c r="N18" s="128"/>
      <c r="O18" s="128"/>
      <c r="P18" s="128"/>
      <c r="Q18" s="128">
        <f t="shared" si="1"/>
        <v>0</v>
      </c>
      <c r="R18" s="128"/>
      <c r="S18" s="128"/>
      <c r="T18" s="128"/>
      <c r="U18" s="128"/>
      <c r="V18" s="128">
        <f t="shared" si="0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2"/>
        <v>0</v>
      </c>
      <c r="G19" s="123"/>
      <c r="H19" s="123"/>
      <c r="I19" s="123"/>
      <c r="J19" s="123"/>
      <c r="K19" s="123"/>
      <c r="L19" s="24">
        <v>8</v>
      </c>
      <c r="M19" s="128"/>
      <c r="N19" s="128"/>
      <c r="O19" s="128"/>
      <c r="P19" s="128"/>
      <c r="Q19" s="128">
        <f t="shared" si="1"/>
        <v>0</v>
      </c>
      <c r="R19" s="128"/>
      <c r="S19" s="128"/>
      <c r="T19" s="128"/>
      <c r="U19" s="128"/>
      <c r="V19" s="128">
        <f t="shared" si="0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2"/>
        <v>0</v>
      </c>
      <c r="G20" s="123"/>
      <c r="H20" s="123"/>
      <c r="I20" s="129"/>
      <c r="J20" s="129"/>
      <c r="K20" s="123"/>
      <c r="L20" s="24">
        <v>9</v>
      </c>
      <c r="M20" s="128"/>
      <c r="N20" s="128"/>
      <c r="O20" s="130"/>
      <c r="P20" s="130"/>
      <c r="Q20" s="130">
        <f t="shared" si="1"/>
        <v>0</v>
      </c>
      <c r="R20" s="128"/>
      <c r="S20" s="128"/>
      <c r="T20" s="130"/>
      <c r="U20" s="130"/>
      <c r="V20" s="128">
        <f t="shared" si="0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2"/>
        <v>0</v>
      </c>
      <c r="G21" s="129"/>
      <c r="H21" s="129"/>
      <c r="I21" s="129"/>
      <c r="J21" s="129"/>
      <c r="K21" s="123"/>
      <c r="L21" s="24">
        <v>10</v>
      </c>
      <c r="M21" s="130"/>
      <c r="N21" s="130"/>
      <c r="O21" s="130"/>
      <c r="P21" s="130"/>
      <c r="Q21" s="130">
        <f t="shared" si="1"/>
        <v>0</v>
      </c>
      <c r="R21" s="130"/>
      <c r="S21" s="130"/>
      <c r="T21" s="130"/>
      <c r="U21" s="130"/>
      <c r="V21" s="128">
        <f t="shared" si="0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2"/>
        <v>0</v>
      </c>
      <c r="G22" s="123"/>
      <c r="H22" s="123"/>
      <c r="I22" s="123"/>
      <c r="J22" s="123"/>
      <c r="K22" s="123"/>
      <c r="L22" s="24">
        <v>11</v>
      </c>
      <c r="M22" s="128"/>
      <c r="N22" s="128"/>
      <c r="O22" s="128"/>
      <c r="P22" s="128"/>
      <c r="Q22" s="128">
        <f t="shared" si="1"/>
        <v>0</v>
      </c>
      <c r="R22" s="128"/>
      <c r="S22" s="128"/>
      <c r="T22" s="128"/>
      <c r="U22" s="128"/>
      <c r="V22" s="128">
        <f t="shared" si="0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2"/>
        <v>0</v>
      </c>
      <c r="G23" s="123"/>
      <c r="H23" s="123"/>
      <c r="I23" s="123"/>
      <c r="J23" s="123"/>
      <c r="K23" s="123"/>
      <c r="L23" s="24">
        <v>12</v>
      </c>
      <c r="M23" s="128"/>
      <c r="N23" s="128"/>
      <c r="O23" s="128"/>
      <c r="P23" s="128"/>
      <c r="Q23" s="128">
        <f t="shared" si="1"/>
        <v>0</v>
      </c>
      <c r="R23" s="128"/>
      <c r="S23" s="128"/>
      <c r="T23" s="128"/>
      <c r="U23" s="128"/>
      <c r="V23" s="128">
        <f t="shared" si="0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2"/>
        <v>0</v>
      </c>
      <c r="G24" s="123"/>
      <c r="H24" s="123"/>
      <c r="I24" s="123"/>
      <c r="J24" s="123"/>
      <c r="K24" s="123"/>
      <c r="L24" s="24">
        <v>13</v>
      </c>
      <c r="M24" s="128"/>
      <c r="N24" s="128"/>
      <c r="O24" s="128"/>
      <c r="P24" s="128"/>
      <c r="Q24" s="128">
        <f t="shared" si="1"/>
        <v>0</v>
      </c>
      <c r="R24" s="128"/>
      <c r="S24" s="128"/>
      <c r="T24" s="128"/>
      <c r="U24" s="128"/>
      <c r="V24" s="128">
        <f t="shared" si="0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2"/>
        <v>0</v>
      </c>
      <c r="G25" s="123"/>
      <c r="H25" s="123"/>
      <c r="I25" s="123"/>
      <c r="J25" s="123"/>
      <c r="K25" s="123"/>
      <c r="L25" s="24">
        <v>14</v>
      </c>
      <c r="M25" s="128"/>
      <c r="N25" s="128"/>
      <c r="O25" s="128"/>
      <c r="P25" s="128"/>
      <c r="Q25" s="128">
        <f t="shared" si="1"/>
        <v>0</v>
      </c>
      <c r="R25" s="128"/>
      <c r="S25" s="128"/>
      <c r="T25" s="128"/>
      <c r="U25" s="128"/>
      <c r="V25" s="128">
        <f t="shared" si="0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2"/>
        <v>0</v>
      </c>
      <c r="G26" s="123"/>
      <c r="H26" s="123"/>
      <c r="I26" s="123"/>
      <c r="J26" s="123"/>
      <c r="K26" s="123"/>
      <c r="L26" s="24">
        <v>15</v>
      </c>
      <c r="M26" s="128"/>
      <c r="N26" s="128"/>
      <c r="O26" s="128"/>
      <c r="P26" s="128"/>
      <c r="Q26" s="128">
        <f t="shared" si="1"/>
        <v>0</v>
      </c>
      <c r="R26" s="128"/>
      <c r="S26" s="128"/>
      <c r="T26" s="128"/>
      <c r="U26" s="128"/>
      <c r="V26" s="128">
        <f t="shared" si="0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2"/>
        <v>0</v>
      </c>
      <c r="G27" s="129"/>
      <c r="H27" s="129"/>
      <c r="I27" s="129"/>
      <c r="J27" s="129"/>
      <c r="K27" s="131"/>
      <c r="L27" s="24">
        <v>16</v>
      </c>
      <c r="M27" s="130"/>
      <c r="N27" s="130"/>
      <c r="O27" s="130"/>
      <c r="P27" s="130"/>
      <c r="Q27" s="130">
        <f t="shared" si="1"/>
        <v>0</v>
      </c>
      <c r="R27" s="130"/>
      <c r="S27" s="130"/>
      <c r="T27" s="130"/>
      <c r="U27" s="130"/>
      <c r="V27" s="134">
        <f t="shared" si="0"/>
        <v>0</v>
      </c>
    </row>
    <row r="28" spans="1:22" ht="15" customHeight="1" x14ac:dyDescent="0.15">
      <c r="A28" s="141">
        <v>17</v>
      </c>
      <c r="B28" s="132"/>
      <c r="C28" s="129"/>
      <c r="D28" s="129"/>
      <c r="E28" s="129"/>
      <c r="F28" s="129">
        <f t="shared" si="2"/>
        <v>0</v>
      </c>
      <c r="G28" s="129"/>
      <c r="H28" s="129"/>
      <c r="I28" s="129"/>
      <c r="J28" s="129"/>
      <c r="K28" s="129"/>
      <c r="L28" s="141">
        <v>17</v>
      </c>
      <c r="M28" s="133"/>
      <c r="N28" s="130"/>
      <c r="O28" s="130"/>
      <c r="P28" s="130"/>
      <c r="Q28" s="130">
        <f t="shared" si="1"/>
        <v>0</v>
      </c>
      <c r="R28" s="130"/>
      <c r="S28" s="130"/>
      <c r="T28" s="130"/>
      <c r="U28" s="130"/>
      <c r="V28" s="130">
        <f t="shared" si="0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2"/>
        <v>0</v>
      </c>
      <c r="G29" s="123"/>
      <c r="H29" s="123"/>
      <c r="I29" s="123"/>
      <c r="J29" s="123"/>
      <c r="K29" s="123"/>
      <c r="L29" s="24">
        <v>18</v>
      </c>
      <c r="M29" s="128"/>
      <c r="N29" s="128"/>
      <c r="O29" s="128"/>
      <c r="P29" s="128"/>
      <c r="Q29" s="128">
        <f t="shared" si="1"/>
        <v>0</v>
      </c>
      <c r="R29" s="128"/>
      <c r="S29" s="128"/>
      <c r="T29" s="128"/>
      <c r="U29" s="128"/>
      <c r="V29" s="128">
        <f t="shared" si="0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2"/>
        <v>0</v>
      </c>
      <c r="G30" s="123"/>
      <c r="H30" s="123"/>
      <c r="I30" s="123"/>
      <c r="J30" s="123"/>
      <c r="K30" s="123"/>
      <c r="L30" s="24">
        <v>19</v>
      </c>
      <c r="M30" s="128"/>
      <c r="N30" s="128"/>
      <c r="O30" s="128"/>
      <c r="P30" s="128"/>
      <c r="Q30" s="128">
        <f t="shared" si="1"/>
        <v>0</v>
      </c>
      <c r="R30" s="128"/>
      <c r="S30" s="128"/>
      <c r="T30" s="128"/>
      <c r="U30" s="128"/>
      <c r="V30" s="128">
        <f t="shared" si="0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2"/>
        <v>0</v>
      </c>
      <c r="G31" s="123"/>
      <c r="H31" s="123"/>
      <c r="I31" s="123"/>
      <c r="J31" s="123"/>
      <c r="K31" s="123"/>
      <c r="L31" s="24">
        <v>20</v>
      </c>
      <c r="M31" s="128"/>
      <c r="N31" s="128"/>
      <c r="O31" s="128"/>
      <c r="P31" s="128"/>
      <c r="Q31" s="128">
        <f t="shared" si="1"/>
        <v>0</v>
      </c>
      <c r="R31" s="128"/>
      <c r="S31" s="128"/>
      <c r="T31" s="128"/>
      <c r="U31" s="128"/>
      <c r="V31" s="128">
        <f t="shared" si="0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2"/>
        <v>0</v>
      </c>
      <c r="G32" s="123"/>
      <c r="H32" s="123"/>
      <c r="I32" s="123"/>
      <c r="J32" s="123"/>
      <c r="K32" s="123"/>
      <c r="L32" s="24">
        <v>21</v>
      </c>
      <c r="M32" s="128"/>
      <c r="N32" s="128"/>
      <c r="O32" s="128"/>
      <c r="P32" s="128"/>
      <c r="Q32" s="128">
        <f t="shared" si="1"/>
        <v>0</v>
      </c>
      <c r="R32" s="128"/>
      <c r="S32" s="128"/>
      <c r="T32" s="128"/>
      <c r="U32" s="128"/>
      <c r="V32" s="128">
        <f t="shared" si="0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2"/>
        <v>0</v>
      </c>
      <c r="G33" s="123"/>
      <c r="H33" s="123"/>
      <c r="I33" s="123"/>
      <c r="J33" s="123"/>
      <c r="K33" s="123"/>
      <c r="L33" s="24">
        <v>22</v>
      </c>
      <c r="M33" s="128"/>
      <c r="N33" s="128"/>
      <c r="O33" s="128"/>
      <c r="P33" s="128"/>
      <c r="Q33" s="128">
        <f t="shared" si="1"/>
        <v>0</v>
      </c>
      <c r="R33" s="128"/>
      <c r="S33" s="128"/>
      <c r="T33" s="128"/>
      <c r="U33" s="128"/>
      <c r="V33" s="128">
        <f t="shared" si="0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2"/>
        <v>0</v>
      </c>
      <c r="G34" s="129"/>
      <c r="H34" s="129"/>
      <c r="I34" s="129"/>
      <c r="J34" s="129"/>
      <c r="K34" s="131"/>
      <c r="L34" s="24">
        <v>23</v>
      </c>
      <c r="M34" s="130"/>
      <c r="N34" s="130"/>
      <c r="O34" s="130"/>
      <c r="P34" s="130"/>
      <c r="Q34" s="130">
        <f t="shared" si="1"/>
        <v>0</v>
      </c>
      <c r="R34" s="130"/>
      <c r="S34" s="130"/>
      <c r="T34" s="130"/>
      <c r="U34" s="130"/>
      <c r="V34" s="134">
        <f t="shared" si="0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2"/>
        <v>0</v>
      </c>
      <c r="G35" s="132"/>
      <c r="H35" s="132"/>
      <c r="I35" s="129"/>
      <c r="J35" s="129"/>
      <c r="K35" s="132">
        <f t="shared" ref="K35:K42" si="3">SUM(G35:J35)</f>
        <v>0</v>
      </c>
      <c r="L35" s="24">
        <v>24</v>
      </c>
      <c r="M35" s="130"/>
      <c r="N35" s="130"/>
      <c r="O35" s="130"/>
      <c r="P35" s="130"/>
      <c r="Q35" s="130">
        <f t="shared" si="1"/>
        <v>0</v>
      </c>
      <c r="R35" s="133"/>
      <c r="S35" s="133"/>
      <c r="T35" s="130"/>
      <c r="U35" s="130"/>
      <c r="V35" s="133">
        <f t="shared" si="0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2"/>
        <v>0</v>
      </c>
      <c r="G36" s="123"/>
      <c r="H36" s="123"/>
      <c r="I36" s="123"/>
      <c r="J36" s="123"/>
      <c r="K36" s="123">
        <f t="shared" si="3"/>
        <v>0</v>
      </c>
      <c r="L36" s="24">
        <v>25</v>
      </c>
      <c r="M36" s="128"/>
      <c r="N36" s="128"/>
      <c r="O36" s="128"/>
      <c r="P36" s="128"/>
      <c r="Q36" s="128">
        <f t="shared" si="1"/>
        <v>0</v>
      </c>
      <c r="R36" s="128"/>
      <c r="S36" s="128"/>
      <c r="T36" s="128"/>
      <c r="U36" s="128"/>
      <c r="V36" s="128">
        <f t="shared" si="0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2"/>
        <v>0</v>
      </c>
      <c r="G37" s="123"/>
      <c r="H37" s="123"/>
      <c r="I37" s="123"/>
      <c r="J37" s="123"/>
      <c r="K37" s="123">
        <f t="shared" si="3"/>
        <v>0</v>
      </c>
      <c r="L37" s="24">
        <v>26</v>
      </c>
      <c r="M37" s="128"/>
      <c r="N37" s="128"/>
      <c r="O37" s="128"/>
      <c r="P37" s="128"/>
      <c r="Q37" s="128">
        <f t="shared" si="1"/>
        <v>0</v>
      </c>
      <c r="R37" s="128"/>
      <c r="S37" s="128"/>
      <c r="T37" s="128"/>
      <c r="U37" s="128"/>
      <c r="V37" s="128">
        <f t="shared" si="0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2"/>
        <v>0</v>
      </c>
      <c r="G38" s="123"/>
      <c r="H38" s="123"/>
      <c r="I38" s="123"/>
      <c r="J38" s="123"/>
      <c r="K38" s="123">
        <f t="shared" si="3"/>
        <v>0</v>
      </c>
      <c r="L38" s="24">
        <v>27</v>
      </c>
      <c r="M38" s="128"/>
      <c r="N38" s="128"/>
      <c r="O38" s="128"/>
      <c r="P38" s="128"/>
      <c r="Q38" s="128">
        <f t="shared" si="1"/>
        <v>0</v>
      </c>
      <c r="R38" s="128"/>
      <c r="S38" s="128"/>
      <c r="T38" s="128"/>
      <c r="U38" s="128"/>
      <c r="V38" s="128">
        <f t="shared" si="0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2"/>
        <v>0</v>
      </c>
      <c r="G39" s="123"/>
      <c r="H39" s="123"/>
      <c r="I39" s="123"/>
      <c r="J39" s="123"/>
      <c r="K39" s="123">
        <f t="shared" si="3"/>
        <v>0</v>
      </c>
      <c r="L39" s="24">
        <v>28</v>
      </c>
      <c r="M39" s="128"/>
      <c r="N39" s="128"/>
      <c r="O39" s="128"/>
      <c r="P39" s="128"/>
      <c r="Q39" s="128">
        <f t="shared" si="1"/>
        <v>0</v>
      </c>
      <c r="R39" s="128"/>
      <c r="S39" s="128"/>
      <c r="T39" s="128"/>
      <c r="U39" s="128"/>
      <c r="V39" s="128">
        <f t="shared" si="0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2"/>
        <v>0</v>
      </c>
      <c r="G40" s="123"/>
      <c r="H40" s="123"/>
      <c r="I40" s="123"/>
      <c r="J40" s="123"/>
      <c r="K40" s="123">
        <f t="shared" si="3"/>
        <v>0</v>
      </c>
      <c r="L40" s="24">
        <v>29</v>
      </c>
      <c r="M40" s="128"/>
      <c r="N40" s="133"/>
      <c r="O40" s="133"/>
      <c r="P40" s="133"/>
      <c r="Q40" s="133">
        <f t="shared" si="1"/>
        <v>0</v>
      </c>
      <c r="R40" s="133"/>
      <c r="S40" s="133"/>
      <c r="T40" s="133"/>
      <c r="U40" s="133"/>
      <c r="V40" s="133">
        <f t="shared" si="0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2"/>
        <v>0</v>
      </c>
      <c r="G41" s="129"/>
      <c r="H41" s="129"/>
      <c r="I41" s="123"/>
      <c r="J41" s="123"/>
      <c r="K41" s="129">
        <f t="shared" si="3"/>
        <v>0</v>
      </c>
      <c r="L41" s="24">
        <v>30</v>
      </c>
      <c r="M41" s="130"/>
      <c r="N41" s="130"/>
      <c r="O41" s="128"/>
      <c r="P41" s="128"/>
      <c r="Q41" s="128">
        <f t="shared" si="1"/>
        <v>0</v>
      </c>
      <c r="R41" s="130"/>
      <c r="S41" s="130"/>
      <c r="T41" s="128"/>
      <c r="U41" s="128"/>
      <c r="V41" s="130">
        <f t="shared" si="0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>SUM(B42:E42)</f>
        <v>0</v>
      </c>
      <c r="G42" s="123"/>
      <c r="H42" s="123"/>
      <c r="I42" s="123"/>
      <c r="J42" s="123"/>
      <c r="K42" s="123">
        <f t="shared" si="3"/>
        <v>0</v>
      </c>
      <c r="L42" s="24">
        <v>31</v>
      </c>
      <c r="M42" s="128"/>
      <c r="N42" s="128"/>
      <c r="O42" s="128"/>
      <c r="P42" s="128"/>
      <c r="Q42" s="128">
        <f t="shared" si="1"/>
        <v>0</v>
      </c>
      <c r="R42" s="128"/>
      <c r="S42" s="128"/>
      <c r="T42" s="128"/>
      <c r="U42" s="128"/>
      <c r="V42" s="128">
        <f t="shared" si="0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9" priority="7" stopIfTrue="1">
      <formula>WEEKDAY(DATE(VALUE(MID($B$9,4,2))+1988,VALUE(MID($B$9,7,2)),A12))=7</formula>
    </cfRule>
    <cfRule type="expression" dxfId="8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40650198-1FE9-4789-9FEE-9DB49875BBBB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0DE5-4D29-40B3-B697-045ED2BD6200}">
  <sheetPr codeName="Sheet3"/>
  <dimension ref="A1:V43"/>
  <sheetViews>
    <sheetView showZeros="0" workbookViewId="0">
      <pane ySplit="11" topLeftCell="A12" activePane="bottomLeft" state="frozen"/>
      <selection pane="bottomLeft" activeCell="AA30" sqref="AA30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1" customWidth="1"/>
    <col min="13" max="23" width="5.5" style="1" customWidth="1"/>
    <col min="24" max="16384" width="9" style="1"/>
  </cols>
  <sheetData>
    <row r="1" spans="1:22" ht="18.75" x14ac:dyDescent="0.15">
      <c r="A1" s="188" t="s">
        <v>191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</row>
    <row r="2" spans="1:22" hidden="1" x14ac:dyDescent="0.15"/>
    <row r="3" spans="1:22" hidden="1" x14ac:dyDescent="0.15"/>
    <row r="4" spans="1:22" hidden="1" x14ac:dyDescent="0.15"/>
    <row r="5" spans="1:22" hidden="1" x14ac:dyDescent="0.15"/>
    <row r="6" spans="1:22" hidden="1" x14ac:dyDescent="0.15"/>
    <row r="7" spans="1:22" hidden="1" x14ac:dyDescent="0.15"/>
    <row r="8" spans="1:22" hidden="1" x14ac:dyDescent="0.15"/>
    <row r="9" spans="1:22" ht="15" customHeight="1" x14ac:dyDescent="0.15">
      <c r="B9" s="145" t="str">
        <f>'A-1'!B9:D9</f>
        <v>(令和9年07月)</v>
      </c>
      <c r="C9" s="145"/>
      <c r="D9" s="146"/>
    </row>
    <row r="10" spans="1:22" ht="15" customHeight="1" x14ac:dyDescent="0.15">
      <c r="A10" s="103"/>
      <c r="B10" s="185" t="s">
        <v>192</v>
      </c>
      <c r="C10" s="186"/>
      <c r="D10" s="186"/>
      <c r="E10" s="186"/>
      <c r="F10" s="187"/>
      <c r="G10" s="185" t="s">
        <v>193</v>
      </c>
      <c r="H10" s="186"/>
      <c r="I10" s="186"/>
      <c r="J10" s="186"/>
      <c r="K10" s="187"/>
      <c r="L10" s="103"/>
      <c r="M10" s="185" t="s">
        <v>194</v>
      </c>
      <c r="N10" s="186"/>
      <c r="O10" s="186"/>
      <c r="P10" s="186"/>
      <c r="Q10" s="187"/>
      <c r="R10" s="185" t="s">
        <v>195</v>
      </c>
      <c r="S10" s="186"/>
      <c r="T10" s="186"/>
      <c r="U10" s="186"/>
      <c r="V10" s="187"/>
    </row>
    <row r="11" spans="1:22" s="40" customFormat="1" ht="15" customHeight="1" x14ac:dyDescent="0.15">
      <c r="A11" s="4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" t="s">
        <v>53</v>
      </c>
      <c r="M11" s="42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141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141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7" priority="7" stopIfTrue="1">
      <formula>WEEKDAY(DATE(VALUE(MID($B$9,4,2))+1988,VALUE(MID($B$9,7,2)),A12))=7</formula>
    </cfRule>
    <cfRule type="expression" dxfId="6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48C84E16-F5A1-4F0B-9079-615C54CF9D2C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BF911-CDB2-4249-9499-D64077E1ACCC}">
  <dimension ref="A1:V43"/>
  <sheetViews>
    <sheetView showZeros="0" workbookViewId="0">
      <pane ySplit="11" topLeftCell="A12" activePane="bottomLeft" state="frozen"/>
      <selection pane="bottomLeft" activeCell="X16" sqref="X16:X17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88" t="s">
        <v>145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5" t="str">
        <f>'A-1'!B9:D9</f>
        <v>(令和9年07月)</v>
      </c>
      <c r="C9" s="145"/>
      <c r="D9" s="146"/>
    </row>
    <row r="10" spans="1:22" ht="15" customHeight="1" x14ac:dyDescent="0.15">
      <c r="A10" s="103"/>
      <c r="B10" s="185" t="s">
        <v>146</v>
      </c>
      <c r="C10" s="186"/>
      <c r="D10" s="186"/>
      <c r="E10" s="186"/>
      <c r="F10" s="187"/>
      <c r="G10" s="185" t="s">
        <v>147</v>
      </c>
      <c r="H10" s="186"/>
      <c r="I10" s="186"/>
      <c r="J10" s="186"/>
      <c r="K10" s="187"/>
      <c r="L10" s="103"/>
      <c r="M10" s="185" t="s">
        <v>159</v>
      </c>
      <c r="N10" s="186"/>
      <c r="O10" s="186"/>
      <c r="P10" s="186"/>
      <c r="Q10" s="187"/>
      <c r="R10" s="185" t="s">
        <v>148</v>
      </c>
      <c r="S10" s="186"/>
      <c r="T10" s="186"/>
      <c r="U10" s="186"/>
      <c r="V10" s="187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141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141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5" priority="1" stopIfTrue="1">
      <formula>WEEKDAY(DATE(VALUE(MID($B$9,4,2))+1988,VALUE(MID($B$9,7,2)),A12))=7</formula>
    </cfRule>
    <cfRule type="expression" dxfId="4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D13F13D9-F64D-441A-9FF6-7E692A850451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65D17-5399-4E02-AC48-D1FE32057C88}">
  <sheetPr codeName="Sheet4"/>
  <dimension ref="A1:Z43"/>
  <sheetViews>
    <sheetView showZeros="0" workbookViewId="0">
      <pane ySplit="11" topLeftCell="A12" activePane="bottomLeft" state="frozen"/>
      <selection pane="bottomLeft" activeCell="AD24" sqref="AD24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88" t="s">
        <v>90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5" t="str">
        <f>'A-1'!B9:D9</f>
        <v>(令和9年07月)</v>
      </c>
      <c r="C9" s="145"/>
      <c r="D9" s="146"/>
      <c r="G9" s="145"/>
      <c r="H9" s="145"/>
      <c r="I9" s="146"/>
    </row>
    <row r="10" spans="1:26" ht="15" customHeight="1" x14ac:dyDescent="0.15">
      <c r="A10" s="103"/>
      <c r="B10" s="185" t="s">
        <v>143</v>
      </c>
      <c r="C10" s="186"/>
      <c r="D10" s="186"/>
      <c r="E10" s="186"/>
      <c r="F10" s="187"/>
      <c r="G10" s="185" t="s">
        <v>141</v>
      </c>
      <c r="H10" s="186"/>
      <c r="I10" s="186"/>
      <c r="J10" s="186"/>
      <c r="K10" s="187"/>
      <c r="L10" s="185" t="s">
        <v>103</v>
      </c>
      <c r="M10" s="186"/>
      <c r="N10" s="186"/>
      <c r="O10" s="186"/>
      <c r="P10" s="187"/>
      <c r="Q10" s="185" t="s">
        <v>142</v>
      </c>
      <c r="R10" s="186"/>
      <c r="S10" s="186"/>
      <c r="T10" s="186"/>
      <c r="U10" s="187"/>
      <c r="V10" s="185" t="s">
        <v>91</v>
      </c>
      <c r="W10" s="186"/>
      <c r="X10" s="186"/>
      <c r="Y10" s="186"/>
      <c r="Z10" s="187"/>
    </row>
    <row r="11" spans="1:26" s="3" customFormat="1" ht="15" customHeight="1" x14ac:dyDescent="0.15">
      <c r="A11" s="47" t="s">
        <v>83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89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28"/>
      <c r="C12" s="128"/>
      <c r="D12" s="128"/>
      <c r="E12" s="128"/>
      <c r="F12" s="128">
        <f t="shared" ref="F12:F42" si="0">SUM(B12:E12)</f>
        <v>0</v>
      </c>
      <c r="G12" s="128"/>
      <c r="H12" s="128"/>
      <c r="I12" s="128"/>
      <c r="J12" s="128"/>
      <c r="K12" s="128">
        <f t="shared" ref="K12:K42" si="1">SUM(G12:J12)</f>
        <v>0</v>
      </c>
      <c r="L12" s="128"/>
      <c r="M12" s="128"/>
      <c r="N12" s="128"/>
      <c r="O12" s="128"/>
      <c r="P12" s="128">
        <f>SUM(L12:O12)</f>
        <v>0</v>
      </c>
      <c r="Q12" s="128"/>
      <c r="R12" s="128"/>
      <c r="S12" s="128"/>
      <c r="T12" s="128"/>
      <c r="U12" s="128">
        <f t="shared" ref="U12:U42" si="2">SUM(Q12:T12)</f>
        <v>0</v>
      </c>
      <c r="V12" s="128"/>
      <c r="W12" s="128"/>
      <c r="X12" s="128"/>
      <c r="Y12" s="128"/>
      <c r="Z12" s="128">
        <f t="shared" ref="Z12:Z42" si="3">SUM(V12:Y12)</f>
        <v>0</v>
      </c>
    </row>
    <row r="13" spans="1:26" ht="15" customHeight="1" x14ac:dyDescent="0.15">
      <c r="A13" s="24">
        <v>2</v>
      </c>
      <c r="B13" s="130"/>
      <c r="C13" s="130"/>
      <c r="D13" s="134"/>
      <c r="E13" s="134"/>
      <c r="F13" s="130">
        <f t="shared" si="0"/>
        <v>0</v>
      </c>
      <c r="G13" s="130"/>
      <c r="H13" s="130"/>
      <c r="I13" s="134"/>
      <c r="J13" s="134"/>
      <c r="K13" s="130">
        <f t="shared" si="1"/>
        <v>0</v>
      </c>
      <c r="L13" s="130"/>
      <c r="M13" s="130"/>
      <c r="N13" s="134"/>
      <c r="O13" s="134"/>
      <c r="P13" s="128">
        <f t="shared" ref="P13:P42" si="4">SUM(L13:O13)</f>
        <v>0</v>
      </c>
      <c r="Q13" s="130"/>
      <c r="R13" s="130"/>
      <c r="S13" s="134"/>
      <c r="T13" s="134"/>
      <c r="U13" s="130">
        <f t="shared" si="2"/>
        <v>0</v>
      </c>
      <c r="V13" s="130"/>
      <c r="W13" s="130"/>
      <c r="X13" s="134"/>
      <c r="Y13" s="134"/>
      <c r="Z13" s="128">
        <f t="shared" si="3"/>
        <v>0</v>
      </c>
    </row>
    <row r="14" spans="1:26" ht="15" customHeight="1" x14ac:dyDescent="0.15">
      <c r="A14" s="24">
        <v>3</v>
      </c>
      <c r="B14" s="128"/>
      <c r="C14" s="130"/>
      <c r="D14" s="133"/>
      <c r="E14" s="133"/>
      <c r="F14" s="130">
        <f t="shared" si="0"/>
        <v>0</v>
      </c>
      <c r="G14" s="128"/>
      <c r="H14" s="130"/>
      <c r="I14" s="133"/>
      <c r="J14" s="133"/>
      <c r="K14" s="130">
        <f t="shared" si="1"/>
        <v>0</v>
      </c>
      <c r="L14" s="128"/>
      <c r="M14" s="130"/>
      <c r="N14" s="133"/>
      <c r="O14" s="133"/>
      <c r="P14" s="128">
        <f t="shared" si="4"/>
        <v>0</v>
      </c>
      <c r="Q14" s="128"/>
      <c r="R14" s="130"/>
      <c r="S14" s="133"/>
      <c r="T14" s="133"/>
      <c r="U14" s="130">
        <f t="shared" si="2"/>
        <v>0</v>
      </c>
      <c r="V14" s="128"/>
      <c r="W14" s="130"/>
      <c r="X14" s="133"/>
      <c r="Y14" s="133"/>
      <c r="Z14" s="128">
        <f t="shared" si="3"/>
        <v>0</v>
      </c>
    </row>
    <row r="15" spans="1:26" ht="15" customHeight="1" x14ac:dyDescent="0.15">
      <c r="A15" s="24">
        <v>4</v>
      </c>
      <c r="B15" s="128"/>
      <c r="C15" s="128"/>
      <c r="D15" s="128"/>
      <c r="E15" s="128"/>
      <c r="F15" s="128">
        <f t="shared" si="0"/>
        <v>0</v>
      </c>
      <c r="G15" s="128"/>
      <c r="H15" s="128"/>
      <c r="I15" s="128"/>
      <c r="J15" s="128"/>
      <c r="K15" s="128">
        <f t="shared" si="1"/>
        <v>0</v>
      </c>
      <c r="L15" s="128"/>
      <c r="M15" s="128"/>
      <c r="N15" s="128"/>
      <c r="O15" s="128"/>
      <c r="P15" s="128">
        <f t="shared" si="4"/>
        <v>0</v>
      </c>
      <c r="Q15" s="128"/>
      <c r="R15" s="128"/>
      <c r="S15" s="128"/>
      <c r="T15" s="128"/>
      <c r="U15" s="128">
        <f t="shared" si="2"/>
        <v>0</v>
      </c>
      <c r="V15" s="128"/>
      <c r="W15" s="128"/>
      <c r="X15" s="128"/>
      <c r="Y15" s="128"/>
      <c r="Z15" s="128">
        <f t="shared" si="3"/>
        <v>0</v>
      </c>
    </row>
    <row r="16" spans="1:26" ht="15" customHeight="1" x14ac:dyDescent="0.15">
      <c r="A16" s="24">
        <v>5</v>
      </c>
      <c r="B16" s="128"/>
      <c r="C16" s="128"/>
      <c r="D16" s="128"/>
      <c r="E16" s="128"/>
      <c r="F16" s="128">
        <f t="shared" si="0"/>
        <v>0</v>
      </c>
      <c r="G16" s="128"/>
      <c r="H16" s="128"/>
      <c r="I16" s="128"/>
      <c r="J16" s="128"/>
      <c r="K16" s="128">
        <f t="shared" si="1"/>
        <v>0</v>
      </c>
      <c r="L16" s="128"/>
      <c r="M16" s="128"/>
      <c r="N16" s="128"/>
      <c r="O16" s="128"/>
      <c r="P16" s="128">
        <f t="shared" si="4"/>
        <v>0</v>
      </c>
      <c r="Q16" s="128"/>
      <c r="R16" s="128"/>
      <c r="S16" s="128"/>
      <c r="T16" s="128"/>
      <c r="U16" s="128">
        <f t="shared" si="2"/>
        <v>0</v>
      </c>
      <c r="V16" s="128"/>
      <c r="W16" s="128"/>
      <c r="X16" s="128"/>
      <c r="Y16" s="128"/>
      <c r="Z16" s="128">
        <f t="shared" si="3"/>
        <v>0</v>
      </c>
    </row>
    <row r="17" spans="1:26" ht="15" customHeight="1" x14ac:dyDescent="0.15">
      <c r="A17" s="24">
        <v>6</v>
      </c>
      <c r="B17" s="128"/>
      <c r="C17" s="128"/>
      <c r="D17" s="128"/>
      <c r="E17" s="128"/>
      <c r="F17" s="128">
        <f t="shared" si="0"/>
        <v>0</v>
      </c>
      <c r="G17" s="128"/>
      <c r="H17" s="128"/>
      <c r="I17" s="128"/>
      <c r="J17" s="128"/>
      <c r="K17" s="128">
        <f t="shared" si="1"/>
        <v>0</v>
      </c>
      <c r="L17" s="128"/>
      <c r="M17" s="128"/>
      <c r="N17" s="128"/>
      <c r="O17" s="128"/>
      <c r="P17" s="128">
        <f t="shared" si="4"/>
        <v>0</v>
      </c>
      <c r="Q17" s="128"/>
      <c r="R17" s="128"/>
      <c r="S17" s="128"/>
      <c r="T17" s="128"/>
      <c r="U17" s="128">
        <f t="shared" si="2"/>
        <v>0</v>
      </c>
      <c r="V17" s="128"/>
      <c r="W17" s="128"/>
      <c r="X17" s="128"/>
      <c r="Y17" s="128"/>
      <c r="Z17" s="128">
        <f t="shared" si="3"/>
        <v>0</v>
      </c>
    </row>
    <row r="18" spans="1:26" ht="15" customHeight="1" x14ac:dyDescent="0.15">
      <c r="A18" s="24">
        <v>7</v>
      </c>
      <c r="B18" s="128"/>
      <c r="C18" s="128"/>
      <c r="D18" s="128"/>
      <c r="E18" s="128"/>
      <c r="F18" s="128">
        <f t="shared" si="0"/>
        <v>0</v>
      </c>
      <c r="G18" s="128"/>
      <c r="H18" s="128"/>
      <c r="I18" s="128"/>
      <c r="J18" s="128"/>
      <c r="K18" s="128">
        <f t="shared" si="1"/>
        <v>0</v>
      </c>
      <c r="L18" s="128"/>
      <c r="M18" s="128"/>
      <c r="N18" s="128"/>
      <c r="O18" s="128"/>
      <c r="P18" s="128">
        <f t="shared" si="4"/>
        <v>0</v>
      </c>
      <c r="Q18" s="128"/>
      <c r="R18" s="128"/>
      <c r="S18" s="128"/>
      <c r="T18" s="128"/>
      <c r="U18" s="128">
        <f t="shared" si="2"/>
        <v>0</v>
      </c>
      <c r="V18" s="128"/>
      <c r="W18" s="128"/>
      <c r="X18" s="128"/>
      <c r="Y18" s="128"/>
      <c r="Z18" s="128">
        <f t="shared" si="3"/>
        <v>0</v>
      </c>
    </row>
    <row r="19" spans="1:26" ht="15" customHeight="1" x14ac:dyDescent="0.15">
      <c r="A19" s="24">
        <v>8</v>
      </c>
      <c r="B19" s="128"/>
      <c r="C19" s="128"/>
      <c r="D19" s="128"/>
      <c r="E19" s="128"/>
      <c r="F19" s="128">
        <f t="shared" si="0"/>
        <v>0</v>
      </c>
      <c r="G19" s="128"/>
      <c r="H19" s="128"/>
      <c r="I19" s="128"/>
      <c r="J19" s="128"/>
      <c r="K19" s="128">
        <f t="shared" si="1"/>
        <v>0</v>
      </c>
      <c r="L19" s="128"/>
      <c r="M19" s="128"/>
      <c r="N19" s="128"/>
      <c r="O19" s="128"/>
      <c r="P19" s="128">
        <f t="shared" si="4"/>
        <v>0</v>
      </c>
      <c r="Q19" s="128"/>
      <c r="R19" s="128"/>
      <c r="S19" s="128"/>
      <c r="T19" s="128"/>
      <c r="U19" s="128">
        <f t="shared" si="2"/>
        <v>0</v>
      </c>
      <c r="V19" s="128"/>
      <c r="W19" s="128"/>
      <c r="X19" s="128"/>
      <c r="Y19" s="128"/>
      <c r="Z19" s="128">
        <f t="shared" si="3"/>
        <v>0</v>
      </c>
    </row>
    <row r="20" spans="1:26" ht="15" customHeight="1" x14ac:dyDescent="0.15">
      <c r="A20" s="24">
        <v>9</v>
      </c>
      <c r="B20" s="134"/>
      <c r="C20" s="130"/>
      <c r="D20" s="130"/>
      <c r="E20" s="130"/>
      <c r="F20" s="130">
        <f t="shared" si="0"/>
        <v>0</v>
      </c>
      <c r="G20" s="134"/>
      <c r="H20" s="130"/>
      <c r="I20" s="130"/>
      <c r="J20" s="130"/>
      <c r="K20" s="130">
        <f t="shared" si="1"/>
        <v>0</v>
      </c>
      <c r="L20" s="134"/>
      <c r="M20" s="130"/>
      <c r="N20" s="130"/>
      <c r="O20" s="130"/>
      <c r="P20" s="130">
        <f t="shared" si="4"/>
        <v>0</v>
      </c>
      <c r="Q20" s="134"/>
      <c r="R20" s="130"/>
      <c r="S20" s="130"/>
      <c r="T20" s="130"/>
      <c r="U20" s="130">
        <f t="shared" si="2"/>
        <v>0</v>
      </c>
      <c r="V20" s="134"/>
      <c r="W20" s="130"/>
      <c r="X20" s="130"/>
      <c r="Y20" s="130"/>
      <c r="Z20" s="130">
        <f t="shared" si="3"/>
        <v>0</v>
      </c>
    </row>
    <row r="21" spans="1:26" ht="15" customHeight="1" x14ac:dyDescent="0.15">
      <c r="A21" s="24">
        <v>10</v>
      </c>
      <c r="B21" s="133"/>
      <c r="C21" s="130"/>
      <c r="D21" s="130"/>
      <c r="E21" s="130"/>
      <c r="F21" s="130">
        <f t="shared" si="0"/>
        <v>0</v>
      </c>
      <c r="G21" s="133"/>
      <c r="H21" s="130"/>
      <c r="I21" s="130"/>
      <c r="J21" s="130"/>
      <c r="K21" s="130">
        <f t="shared" si="1"/>
        <v>0</v>
      </c>
      <c r="L21" s="133"/>
      <c r="M21" s="130"/>
      <c r="N21" s="130"/>
      <c r="O21" s="130"/>
      <c r="P21" s="133">
        <f t="shared" si="4"/>
        <v>0</v>
      </c>
      <c r="Q21" s="128"/>
      <c r="R21" s="130"/>
      <c r="S21" s="130"/>
      <c r="T21" s="130"/>
      <c r="U21" s="130">
        <f t="shared" si="2"/>
        <v>0</v>
      </c>
      <c r="V21" s="133"/>
      <c r="W21" s="130"/>
      <c r="X21" s="130"/>
      <c r="Y21" s="130"/>
      <c r="Z21" s="128">
        <f t="shared" si="3"/>
        <v>0</v>
      </c>
    </row>
    <row r="22" spans="1:26" ht="15" customHeight="1" x14ac:dyDescent="0.15">
      <c r="A22" s="24">
        <v>11</v>
      </c>
      <c r="B22" s="128"/>
      <c r="C22" s="128"/>
      <c r="D22" s="128"/>
      <c r="E22" s="128"/>
      <c r="F22" s="128">
        <f t="shared" si="0"/>
        <v>0</v>
      </c>
      <c r="G22" s="128"/>
      <c r="H22" s="128"/>
      <c r="I22" s="128"/>
      <c r="J22" s="128"/>
      <c r="K22" s="128">
        <f t="shared" si="1"/>
        <v>0</v>
      </c>
      <c r="L22" s="128"/>
      <c r="M22" s="128"/>
      <c r="N22" s="128"/>
      <c r="O22" s="128"/>
      <c r="P22" s="128">
        <f t="shared" si="4"/>
        <v>0</v>
      </c>
      <c r="Q22" s="128"/>
      <c r="R22" s="128"/>
      <c r="S22" s="128"/>
      <c r="T22" s="128"/>
      <c r="U22" s="128">
        <f t="shared" si="2"/>
        <v>0</v>
      </c>
      <c r="V22" s="128"/>
      <c r="W22" s="128"/>
      <c r="X22" s="128"/>
      <c r="Y22" s="128"/>
      <c r="Z22" s="128">
        <f t="shared" si="3"/>
        <v>0</v>
      </c>
    </row>
    <row r="23" spans="1:26" ht="15" customHeight="1" x14ac:dyDescent="0.15">
      <c r="A23" s="24">
        <v>12</v>
      </c>
      <c r="B23" s="128"/>
      <c r="C23" s="128"/>
      <c r="D23" s="128"/>
      <c r="E23" s="128"/>
      <c r="F23" s="128">
        <f t="shared" si="0"/>
        <v>0</v>
      </c>
      <c r="G23" s="128"/>
      <c r="H23" s="128"/>
      <c r="I23" s="128"/>
      <c r="J23" s="128"/>
      <c r="K23" s="128">
        <f t="shared" si="1"/>
        <v>0</v>
      </c>
      <c r="L23" s="128"/>
      <c r="M23" s="128"/>
      <c r="N23" s="128"/>
      <c r="O23" s="128"/>
      <c r="P23" s="128">
        <f t="shared" si="4"/>
        <v>0</v>
      </c>
      <c r="Q23" s="128"/>
      <c r="R23" s="128"/>
      <c r="S23" s="128"/>
      <c r="T23" s="128"/>
      <c r="U23" s="128">
        <f t="shared" si="2"/>
        <v>0</v>
      </c>
      <c r="V23" s="128"/>
      <c r="W23" s="128"/>
      <c r="X23" s="128"/>
      <c r="Y23" s="128"/>
      <c r="Z23" s="128">
        <f t="shared" si="3"/>
        <v>0</v>
      </c>
    </row>
    <row r="24" spans="1:26" ht="15" customHeight="1" x14ac:dyDescent="0.15">
      <c r="A24" s="24">
        <v>13</v>
      </c>
      <c r="B24" s="128"/>
      <c r="C24" s="128"/>
      <c r="D24" s="128"/>
      <c r="E24" s="128"/>
      <c r="F24" s="128">
        <f t="shared" si="0"/>
        <v>0</v>
      </c>
      <c r="G24" s="128"/>
      <c r="H24" s="128"/>
      <c r="I24" s="128"/>
      <c r="J24" s="128"/>
      <c r="K24" s="128">
        <f t="shared" si="1"/>
        <v>0</v>
      </c>
      <c r="L24" s="128"/>
      <c r="M24" s="128"/>
      <c r="N24" s="128"/>
      <c r="O24" s="128"/>
      <c r="P24" s="128">
        <f t="shared" si="4"/>
        <v>0</v>
      </c>
      <c r="Q24" s="128"/>
      <c r="R24" s="128"/>
      <c r="S24" s="128"/>
      <c r="T24" s="128"/>
      <c r="U24" s="128">
        <f t="shared" si="2"/>
        <v>0</v>
      </c>
      <c r="V24" s="128"/>
      <c r="W24" s="128"/>
      <c r="X24" s="128"/>
      <c r="Y24" s="128"/>
      <c r="Z24" s="128">
        <f t="shared" si="3"/>
        <v>0</v>
      </c>
    </row>
    <row r="25" spans="1:26" ht="15" customHeight="1" x14ac:dyDescent="0.15">
      <c r="A25" s="24">
        <v>14</v>
      </c>
      <c r="B25" s="128"/>
      <c r="C25" s="128"/>
      <c r="D25" s="128"/>
      <c r="E25" s="128"/>
      <c r="F25" s="128">
        <f t="shared" si="0"/>
        <v>0</v>
      </c>
      <c r="G25" s="128"/>
      <c r="H25" s="128"/>
      <c r="I25" s="128"/>
      <c r="J25" s="128"/>
      <c r="K25" s="128">
        <f t="shared" si="1"/>
        <v>0</v>
      </c>
      <c r="L25" s="128"/>
      <c r="M25" s="128"/>
      <c r="N25" s="128"/>
      <c r="O25" s="128"/>
      <c r="P25" s="128">
        <f t="shared" si="4"/>
        <v>0</v>
      </c>
      <c r="Q25" s="128"/>
      <c r="R25" s="128"/>
      <c r="S25" s="128"/>
      <c r="T25" s="128"/>
      <c r="U25" s="128">
        <f t="shared" si="2"/>
        <v>0</v>
      </c>
      <c r="V25" s="128"/>
      <c r="W25" s="128"/>
      <c r="X25" s="128"/>
      <c r="Y25" s="128"/>
      <c r="Z25" s="128">
        <f t="shared" si="3"/>
        <v>0</v>
      </c>
    </row>
    <row r="26" spans="1:26" ht="15" customHeight="1" x14ac:dyDescent="0.15">
      <c r="A26" s="24">
        <v>15</v>
      </c>
      <c r="B26" s="128"/>
      <c r="C26" s="128"/>
      <c r="D26" s="128"/>
      <c r="E26" s="128"/>
      <c r="F26" s="128">
        <f t="shared" si="0"/>
        <v>0</v>
      </c>
      <c r="G26" s="128"/>
      <c r="H26" s="128"/>
      <c r="I26" s="128"/>
      <c r="J26" s="128"/>
      <c r="K26" s="128">
        <f t="shared" si="1"/>
        <v>0</v>
      </c>
      <c r="L26" s="128"/>
      <c r="M26" s="128"/>
      <c r="N26" s="128"/>
      <c r="O26" s="128"/>
      <c r="P26" s="128">
        <f t="shared" si="4"/>
        <v>0</v>
      </c>
      <c r="Q26" s="128"/>
      <c r="R26" s="128"/>
      <c r="S26" s="128"/>
      <c r="T26" s="128"/>
      <c r="U26" s="128">
        <f t="shared" si="2"/>
        <v>0</v>
      </c>
      <c r="V26" s="128"/>
      <c r="W26" s="128"/>
      <c r="X26" s="128"/>
      <c r="Y26" s="128"/>
      <c r="Z26" s="128">
        <f t="shared" si="3"/>
        <v>0</v>
      </c>
    </row>
    <row r="27" spans="1:26" ht="15" customHeight="1" x14ac:dyDescent="0.15">
      <c r="A27" s="24">
        <v>16</v>
      </c>
      <c r="B27" s="134"/>
      <c r="C27" s="128"/>
      <c r="D27" s="134"/>
      <c r="E27" s="134"/>
      <c r="F27" s="128">
        <f t="shared" si="0"/>
        <v>0</v>
      </c>
      <c r="G27" s="134"/>
      <c r="H27" s="128"/>
      <c r="I27" s="134"/>
      <c r="J27" s="134"/>
      <c r="K27" s="128">
        <f t="shared" si="1"/>
        <v>0</v>
      </c>
      <c r="L27" s="134"/>
      <c r="M27" s="128"/>
      <c r="N27" s="134"/>
      <c r="O27" s="134"/>
      <c r="P27" s="128">
        <f t="shared" si="4"/>
        <v>0</v>
      </c>
      <c r="Q27" s="134"/>
      <c r="R27" s="128"/>
      <c r="S27" s="134"/>
      <c r="T27" s="134"/>
      <c r="U27" s="128">
        <f t="shared" si="2"/>
        <v>0</v>
      </c>
      <c r="V27" s="134"/>
      <c r="W27" s="128"/>
      <c r="X27" s="134"/>
      <c r="Y27" s="134"/>
      <c r="Z27" s="128">
        <f t="shared" si="3"/>
        <v>0</v>
      </c>
    </row>
    <row r="28" spans="1:26" ht="15" customHeight="1" x14ac:dyDescent="0.15">
      <c r="A28" s="141">
        <v>17</v>
      </c>
      <c r="B28" s="128"/>
      <c r="C28" s="128"/>
      <c r="D28" s="128"/>
      <c r="E28" s="128"/>
      <c r="F28" s="128">
        <f t="shared" si="0"/>
        <v>0</v>
      </c>
      <c r="G28" s="128"/>
      <c r="H28" s="128"/>
      <c r="I28" s="128"/>
      <c r="J28" s="128"/>
      <c r="K28" s="133">
        <f t="shared" si="1"/>
        <v>0</v>
      </c>
      <c r="L28" s="128"/>
      <c r="M28" s="128"/>
      <c r="N28" s="128"/>
      <c r="O28" s="128"/>
      <c r="P28" s="128">
        <f t="shared" si="4"/>
        <v>0</v>
      </c>
      <c r="Q28" s="128"/>
      <c r="R28" s="128"/>
      <c r="S28" s="128"/>
      <c r="T28" s="128"/>
      <c r="U28" s="128">
        <f t="shared" si="2"/>
        <v>0</v>
      </c>
      <c r="V28" s="128"/>
      <c r="W28" s="128"/>
      <c r="X28" s="128"/>
      <c r="Y28" s="128"/>
      <c r="Z28" s="128">
        <f t="shared" si="3"/>
        <v>0</v>
      </c>
    </row>
    <row r="29" spans="1:26" ht="15" customHeight="1" x14ac:dyDescent="0.15">
      <c r="A29" s="24">
        <v>18</v>
      </c>
      <c r="B29" s="128"/>
      <c r="C29" s="128"/>
      <c r="D29" s="128"/>
      <c r="E29" s="128"/>
      <c r="F29" s="128">
        <f t="shared" si="0"/>
        <v>0</v>
      </c>
      <c r="G29" s="128"/>
      <c r="H29" s="128"/>
      <c r="I29" s="128"/>
      <c r="J29" s="128"/>
      <c r="K29" s="128">
        <f t="shared" si="1"/>
        <v>0</v>
      </c>
      <c r="L29" s="128"/>
      <c r="M29" s="128"/>
      <c r="N29" s="128"/>
      <c r="O29" s="128"/>
      <c r="P29" s="128">
        <f t="shared" si="4"/>
        <v>0</v>
      </c>
      <c r="Q29" s="128"/>
      <c r="R29" s="128"/>
      <c r="S29" s="128"/>
      <c r="T29" s="128"/>
      <c r="U29" s="128">
        <f t="shared" si="2"/>
        <v>0</v>
      </c>
      <c r="V29" s="128"/>
      <c r="W29" s="128"/>
      <c r="X29" s="128"/>
      <c r="Y29" s="128"/>
      <c r="Z29" s="128">
        <f t="shared" si="3"/>
        <v>0</v>
      </c>
    </row>
    <row r="30" spans="1:26" ht="15" customHeight="1" x14ac:dyDescent="0.15">
      <c r="A30" s="24">
        <v>19</v>
      </c>
      <c r="B30" s="128"/>
      <c r="C30" s="128"/>
      <c r="D30" s="128"/>
      <c r="E30" s="128"/>
      <c r="F30" s="128">
        <f t="shared" si="0"/>
        <v>0</v>
      </c>
      <c r="G30" s="128"/>
      <c r="H30" s="128"/>
      <c r="I30" s="128"/>
      <c r="J30" s="128"/>
      <c r="K30" s="128">
        <f t="shared" si="1"/>
        <v>0</v>
      </c>
      <c r="L30" s="128"/>
      <c r="M30" s="128"/>
      <c r="N30" s="128"/>
      <c r="O30" s="128"/>
      <c r="P30" s="128">
        <f t="shared" si="4"/>
        <v>0</v>
      </c>
      <c r="Q30" s="128"/>
      <c r="R30" s="128"/>
      <c r="S30" s="128"/>
      <c r="T30" s="128"/>
      <c r="U30" s="128">
        <f t="shared" si="2"/>
        <v>0</v>
      </c>
      <c r="V30" s="128"/>
      <c r="W30" s="128"/>
      <c r="X30" s="128"/>
      <c r="Y30" s="128"/>
      <c r="Z30" s="128">
        <f t="shared" si="3"/>
        <v>0</v>
      </c>
    </row>
    <row r="31" spans="1:26" ht="15" customHeight="1" x14ac:dyDescent="0.15">
      <c r="A31" s="24">
        <v>20</v>
      </c>
      <c r="B31" s="128"/>
      <c r="C31" s="128"/>
      <c r="D31" s="128"/>
      <c r="E31" s="128"/>
      <c r="F31" s="128">
        <f t="shared" si="0"/>
        <v>0</v>
      </c>
      <c r="G31" s="128"/>
      <c r="H31" s="128"/>
      <c r="I31" s="128"/>
      <c r="J31" s="128"/>
      <c r="K31" s="128">
        <f t="shared" si="1"/>
        <v>0</v>
      </c>
      <c r="L31" s="128"/>
      <c r="M31" s="128"/>
      <c r="N31" s="128"/>
      <c r="O31" s="128"/>
      <c r="P31" s="128">
        <f t="shared" si="4"/>
        <v>0</v>
      </c>
      <c r="Q31" s="128"/>
      <c r="R31" s="128"/>
      <c r="S31" s="128"/>
      <c r="T31" s="128"/>
      <c r="U31" s="128">
        <f t="shared" si="2"/>
        <v>0</v>
      </c>
      <c r="V31" s="128"/>
      <c r="W31" s="128"/>
      <c r="X31" s="128"/>
      <c r="Y31" s="128"/>
      <c r="Z31" s="128">
        <f t="shared" si="3"/>
        <v>0</v>
      </c>
    </row>
    <row r="32" spans="1:26" ht="15" customHeight="1" x14ac:dyDescent="0.15">
      <c r="A32" s="24">
        <v>21</v>
      </c>
      <c r="B32" s="128"/>
      <c r="C32" s="128"/>
      <c r="D32" s="128"/>
      <c r="E32" s="128"/>
      <c r="F32" s="128">
        <f t="shared" si="0"/>
        <v>0</v>
      </c>
      <c r="G32" s="128"/>
      <c r="H32" s="128"/>
      <c r="I32" s="128"/>
      <c r="J32" s="128"/>
      <c r="K32" s="128">
        <f t="shared" si="1"/>
        <v>0</v>
      </c>
      <c r="L32" s="128"/>
      <c r="M32" s="128"/>
      <c r="N32" s="128"/>
      <c r="O32" s="128"/>
      <c r="P32" s="128">
        <f t="shared" si="4"/>
        <v>0</v>
      </c>
      <c r="Q32" s="128"/>
      <c r="R32" s="128"/>
      <c r="S32" s="128"/>
      <c r="T32" s="128"/>
      <c r="U32" s="128">
        <f t="shared" si="2"/>
        <v>0</v>
      </c>
      <c r="V32" s="128"/>
      <c r="W32" s="128"/>
      <c r="X32" s="128"/>
      <c r="Y32" s="128"/>
      <c r="Z32" s="128">
        <f t="shared" si="3"/>
        <v>0</v>
      </c>
    </row>
    <row r="33" spans="1:26" ht="15" customHeight="1" x14ac:dyDescent="0.15">
      <c r="A33" s="24">
        <v>22</v>
      </c>
      <c r="B33" s="128"/>
      <c r="C33" s="128"/>
      <c r="D33" s="128"/>
      <c r="E33" s="128"/>
      <c r="F33" s="128">
        <f t="shared" si="0"/>
        <v>0</v>
      </c>
      <c r="G33" s="128"/>
      <c r="H33" s="128"/>
      <c r="I33" s="128"/>
      <c r="J33" s="128"/>
      <c r="K33" s="128">
        <f t="shared" si="1"/>
        <v>0</v>
      </c>
      <c r="L33" s="128"/>
      <c r="M33" s="128"/>
      <c r="N33" s="128"/>
      <c r="O33" s="128"/>
      <c r="P33" s="128">
        <f t="shared" si="4"/>
        <v>0</v>
      </c>
      <c r="Q33" s="128"/>
      <c r="R33" s="128"/>
      <c r="S33" s="128"/>
      <c r="T33" s="128"/>
      <c r="U33" s="128">
        <f t="shared" si="2"/>
        <v>0</v>
      </c>
      <c r="V33" s="128"/>
      <c r="W33" s="128"/>
      <c r="X33" s="128"/>
      <c r="Y33" s="128"/>
      <c r="Z33" s="128">
        <f t="shared" si="3"/>
        <v>0</v>
      </c>
    </row>
    <row r="34" spans="1:26" ht="15" customHeight="1" x14ac:dyDescent="0.15">
      <c r="A34" s="24">
        <v>23</v>
      </c>
      <c r="B34" s="128"/>
      <c r="C34" s="128"/>
      <c r="D34" s="128"/>
      <c r="E34" s="128"/>
      <c r="F34" s="128">
        <f t="shared" si="0"/>
        <v>0</v>
      </c>
      <c r="G34" s="128"/>
      <c r="H34" s="128"/>
      <c r="I34" s="128"/>
      <c r="J34" s="128"/>
      <c r="K34" s="128">
        <f t="shared" si="1"/>
        <v>0</v>
      </c>
      <c r="L34" s="128"/>
      <c r="M34" s="128"/>
      <c r="N34" s="128"/>
      <c r="O34" s="128"/>
      <c r="P34" s="128">
        <f t="shared" si="4"/>
        <v>0</v>
      </c>
      <c r="Q34" s="128"/>
      <c r="R34" s="128"/>
      <c r="S34" s="128"/>
      <c r="T34" s="128"/>
      <c r="U34" s="128">
        <f t="shared" si="2"/>
        <v>0</v>
      </c>
      <c r="V34" s="128"/>
      <c r="W34" s="128"/>
      <c r="X34" s="128"/>
      <c r="Y34" s="128"/>
      <c r="Z34" s="128">
        <f t="shared" si="3"/>
        <v>0</v>
      </c>
    </row>
    <row r="35" spans="1:26" ht="15" customHeight="1" x14ac:dyDescent="0.15">
      <c r="A35" s="24">
        <v>24</v>
      </c>
      <c r="B35" s="133"/>
      <c r="C35" s="133"/>
      <c r="D35" s="128"/>
      <c r="E35" s="128"/>
      <c r="F35" s="128">
        <f t="shared" si="0"/>
        <v>0</v>
      </c>
      <c r="G35" s="133"/>
      <c r="H35" s="133"/>
      <c r="I35" s="128"/>
      <c r="J35" s="128"/>
      <c r="K35" s="128">
        <f t="shared" si="1"/>
        <v>0</v>
      </c>
      <c r="L35" s="133"/>
      <c r="M35" s="133"/>
      <c r="N35" s="128"/>
      <c r="O35" s="128"/>
      <c r="P35" s="128">
        <f t="shared" si="4"/>
        <v>0</v>
      </c>
      <c r="Q35" s="133"/>
      <c r="R35" s="133"/>
      <c r="S35" s="128"/>
      <c r="T35" s="128"/>
      <c r="U35" s="128">
        <f t="shared" si="2"/>
        <v>0</v>
      </c>
      <c r="V35" s="133"/>
      <c r="W35" s="133"/>
      <c r="X35" s="128"/>
      <c r="Y35" s="128"/>
      <c r="Z35" s="128">
        <f t="shared" si="3"/>
        <v>0</v>
      </c>
    </row>
    <row r="36" spans="1:26" ht="15" customHeight="1" x14ac:dyDescent="0.15">
      <c r="A36" s="24">
        <v>25</v>
      </c>
      <c r="B36" s="128"/>
      <c r="C36" s="128"/>
      <c r="D36" s="128"/>
      <c r="E36" s="128"/>
      <c r="F36" s="128">
        <f t="shared" si="0"/>
        <v>0</v>
      </c>
      <c r="G36" s="128"/>
      <c r="H36" s="128"/>
      <c r="I36" s="128"/>
      <c r="J36" s="128"/>
      <c r="K36" s="128">
        <f t="shared" si="1"/>
        <v>0</v>
      </c>
      <c r="L36" s="128"/>
      <c r="M36" s="128"/>
      <c r="N36" s="128"/>
      <c r="O36" s="128"/>
      <c r="P36" s="128">
        <f t="shared" si="4"/>
        <v>0</v>
      </c>
      <c r="Q36" s="128"/>
      <c r="R36" s="128"/>
      <c r="S36" s="128"/>
      <c r="T36" s="128"/>
      <c r="U36" s="128">
        <f t="shared" si="2"/>
        <v>0</v>
      </c>
      <c r="V36" s="128"/>
      <c r="W36" s="128"/>
      <c r="X36" s="128"/>
      <c r="Y36" s="128"/>
      <c r="Z36" s="128">
        <f t="shared" si="3"/>
        <v>0</v>
      </c>
    </row>
    <row r="37" spans="1:26" ht="15" customHeight="1" x14ac:dyDescent="0.15">
      <c r="A37" s="24">
        <v>26</v>
      </c>
      <c r="B37" s="128"/>
      <c r="C37" s="128"/>
      <c r="D37" s="128"/>
      <c r="E37" s="128"/>
      <c r="F37" s="128">
        <f t="shared" si="0"/>
        <v>0</v>
      </c>
      <c r="G37" s="128"/>
      <c r="H37" s="128"/>
      <c r="I37" s="128"/>
      <c r="J37" s="128"/>
      <c r="K37" s="128">
        <f t="shared" si="1"/>
        <v>0</v>
      </c>
      <c r="L37" s="128"/>
      <c r="M37" s="128"/>
      <c r="N37" s="128"/>
      <c r="O37" s="128"/>
      <c r="P37" s="128">
        <f t="shared" si="4"/>
        <v>0</v>
      </c>
      <c r="Q37" s="128"/>
      <c r="R37" s="128"/>
      <c r="S37" s="128"/>
      <c r="T37" s="128"/>
      <c r="U37" s="128">
        <f t="shared" si="2"/>
        <v>0</v>
      </c>
      <c r="V37" s="128"/>
      <c r="W37" s="128"/>
      <c r="X37" s="128"/>
      <c r="Y37" s="128"/>
      <c r="Z37" s="128">
        <f t="shared" si="3"/>
        <v>0</v>
      </c>
    </row>
    <row r="38" spans="1:26" ht="15" customHeight="1" x14ac:dyDescent="0.15">
      <c r="A38" s="24">
        <v>27</v>
      </c>
      <c r="B38" s="128"/>
      <c r="C38" s="128"/>
      <c r="D38" s="128"/>
      <c r="E38" s="128"/>
      <c r="F38" s="128">
        <f t="shared" si="0"/>
        <v>0</v>
      </c>
      <c r="G38" s="128"/>
      <c r="H38" s="128"/>
      <c r="I38" s="128"/>
      <c r="J38" s="128"/>
      <c r="K38" s="128">
        <f t="shared" si="1"/>
        <v>0</v>
      </c>
      <c r="L38" s="128"/>
      <c r="M38" s="128"/>
      <c r="N38" s="128"/>
      <c r="O38" s="128"/>
      <c r="P38" s="128">
        <f t="shared" si="4"/>
        <v>0</v>
      </c>
      <c r="Q38" s="128"/>
      <c r="R38" s="128"/>
      <c r="S38" s="128"/>
      <c r="T38" s="128"/>
      <c r="U38" s="128">
        <f t="shared" si="2"/>
        <v>0</v>
      </c>
      <c r="V38" s="128"/>
      <c r="W38" s="128"/>
      <c r="X38" s="128"/>
      <c r="Y38" s="128"/>
      <c r="Z38" s="128">
        <f t="shared" si="3"/>
        <v>0</v>
      </c>
    </row>
    <row r="39" spans="1:26" ht="15" customHeight="1" x14ac:dyDescent="0.15">
      <c r="A39" s="24">
        <v>28</v>
      </c>
      <c r="B39" s="128"/>
      <c r="C39" s="128"/>
      <c r="D39" s="128"/>
      <c r="E39" s="128"/>
      <c r="F39" s="128">
        <f t="shared" si="0"/>
        <v>0</v>
      </c>
      <c r="G39" s="128"/>
      <c r="H39" s="128"/>
      <c r="I39" s="128"/>
      <c r="J39" s="128"/>
      <c r="K39" s="128">
        <f t="shared" si="1"/>
        <v>0</v>
      </c>
      <c r="L39" s="128"/>
      <c r="M39" s="128"/>
      <c r="N39" s="128"/>
      <c r="O39" s="128"/>
      <c r="P39" s="128">
        <f t="shared" si="4"/>
        <v>0</v>
      </c>
      <c r="Q39" s="128"/>
      <c r="R39" s="128"/>
      <c r="S39" s="128"/>
      <c r="T39" s="128"/>
      <c r="U39" s="128">
        <f t="shared" si="2"/>
        <v>0</v>
      </c>
      <c r="V39" s="128"/>
      <c r="W39" s="128"/>
      <c r="X39" s="128"/>
      <c r="Y39" s="128"/>
      <c r="Z39" s="128">
        <f t="shared" si="3"/>
        <v>0</v>
      </c>
    </row>
    <row r="40" spans="1:26" ht="15" customHeight="1" x14ac:dyDescent="0.15">
      <c r="A40" s="24">
        <v>29</v>
      </c>
      <c r="B40" s="128"/>
      <c r="C40" s="128"/>
      <c r="D40" s="128"/>
      <c r="E40" s="128"/>
      <c r="F40" s="128">
        <f t="shared" si="0"/>
        <v>0</v>
      </c>
      <c r="G40" s="128"/>
      <c r="H40" s="128"/>
      <c r="I40" s="128"/>
      <c r="J40" s="128"/>
      <c r="K40" s="128">
        <f t="shared" si="1"/>
        <v>0</v>
      </c>
      <c r="L40" s="128"/>
      <c r="M40" s="128"/>
      <c r="N40" s="128"/>
      <c r="O40" s="128"/>
      <c r="P40" s="128">
        <f t="shared" si="4"/>
        <v>0</v>
      </c>
      <c r="Q40" s="128"/>
      <c r="R40" s="128"/>
      <c r="S40" s="128"/>
      <c r="T40" s="128"/>
      <c r="U40" s="133">
        <f t="shared" si="2"/>
        <v>0</v>
      </c>
      <c r="V40" s="128"/>
      <c r="W40" s="128"/>
      <c r="X40" s="128"/>
      <c r="Y40" s="128"/>
      <c r="Z40" s="128">
        <f t="shared" si="3"/>
        <v>0</v>
      </c>
    </row>
    <row r="41" spans="1:26" ht="15" customHeight="1" x14ac:dyDescent="0.15">
      <c r="A41" s="24">
        <v>30</v>
      </c>
      <c r="B41" s="134"/>
      <c r="C41" s="134"/>
      <c r="D41" s="134"/>
      <c r="E41" s="134"/>
      <c r="F41" s="134">
        <f t="shared" si="0"/>
        <v>0</v>
      </c>
      <c r="G41" s="134"/>
      <c r="H41" s="134"/>
      <c r="I41" s="134"/>
      <c r="J41" s="134"/>
      <c r="K41" s="134">
        <f t="shared" si="1"/>
        <v>0</v>
      </c>
      <c r="L41" s="134"/>
      <c r="M41" s="134"/>
      <c r="N41" s="134"/>
      <c r="O41" s="134"/>
      <c r="P41" s="134">
        <f t="shared" si="4"/>
        <v>0</v>
      </c>
      <c r="Q41" s="134"/>
      <c r="R41" s="134"/>
      <c r="S41" s="134"/>
      <c r="T41" s="134"/>
      <c r="U41" s="128">
        <f t="shared" si="2"/>
        <v>0</v>
      </c>
      <c r="V41" s="134"/>
      <c r="W41" s="134"/>
      <c r="X41" s="134"/>
      <c r="Y41" s="134"/>
      <c r="Z41" s="128">
        <f t="shared" si="3"/>
        <v>0</v>
      </c>
    </row>
    <row r="42" spans="1:26" ht="15" customHeight="1" x14ac:dyDescent="0.15">
      <c r="A42" s="24">
        <v>31</v>
      </c>
      <c r="B42" s="128"/>
      <c r="C42" s="128"/>
      <c r="D42" s="128"/>
      <c r="E42" s="128"/>
      <c r="F42" s="128">
        <f t="shared" si="0"/>
        <v>0</v>
      </c>
      <c r="G42" s="128"/>
      <c r="H42" s="128"/>
      <c r="I42" s="128"/>
      <c r="J42" s="128"/>
      <c r="K42" s="128">
        <f t="shared" si="1"/>
        <v>0</v>
      </c>
      <c r="L42" s="128"/>
      <c r="M42" s="128"/>
      <c r="N42" s="128"/>
      <c r="O42" s="128"/>
      <c r="P42" s="128">
        <f t="shared" si="4"/>
        <v>0</v>
      </c>
      <c r="Q42" s="128"/>
      <c r="R42" s="128"/>
      <c r="S42" s="128"/>
      <c r="T42" s="128"/>
      <c r="U42" s="128">
        <f t="shared" si="2"/>
        <v>0</v>
      </c>
      <c r="V42" s="128"/>
      <c r="W42" s="128"/>
      <c r="X42" s="128"/>
      <c r="Y42" s="128"/>
      <c r="Z42" s="128">
        <f t="shared" si="3"/>
        <v>0</v>
      </c>
    </row>
    <row r="43" spans="1:26" ht="15" customHeight="1" x14ac:dyDescent="0.15">
      <c r="A43" s="115" t="s">
        <v>2</v>
      </c>
      <c r="B43" s="135">
        <f>SUM(B12:B42)</f>
        <v>0</v>
      </c>
      <c r="C43" s="135">
        <f>SUM(C12:C42)</f>
        <v>0</v>
      </c>
      <c r="D43" s="135">
        <f>SUM(D12:D42)</f>
        <v>0</v>
      </c>
      <c r="E43" s="135">
        <f>SUM(E12:E42)</f>
        <v>0</v>
      </c>
      <c r="F43" s="123">
        <f>ROUND(SUM(F12:F42),1)</f>
        <v>0</v>
      </c>
      <c r="G43" s="135">
        <f>SUM(G12:G42)</f>
        <v>0</v>
      </c>
      <c r="H43" s="135">
        <f>SUM(H12:H42)</f>
        <v>0</v>
      </c>
      <c r="I43" s="135">
        <f>SUM(I12:I42)</f>
        <v>0</v>
      </c>
      <c r="J43" s="135">
        <f>SUM(J12:J42)</f>
        <v>0</v>
      </c>
      <c r="K43" s="123">
        <f>ROUND(SUM(K12:K42),1)</f>
        <v>0</v>
      </c>
      <c r="L43" s="135">
        <f>SUM(L12:L42)</f>
        <v>0</v>
      </c>
      <c r="M43" s="135">
        <f>SUM(M12:M42)</f>
        <v>0</v>
      </c>
      <c r="N43" s="135">
        <f>SUM(N12:N42)</f>
        <v>0</v>
      </c>
      <c r="O43" s="135">
        <f>SUM(O12:O42)</f>
        <v>0</v>
      </c>
      <c r="P43" s="123">
        <f>ROUND(SUM(P12:P42),1)</f>
        <v>0</v>
      </c>
      <c r="Q43" s="135">
        <f>SUM(Q12:Q42)</f>
        <v>0</v>
      </c>
      <c r="R43" s="135">
        <f>SUM(R12:R42)</f>
        <v>0</v>
      </c>
      <c r="S43" s="135">
        <f>SUM(S12:S42)</f>
        <v>0</v>
      </c>
      <c r="T43" s="135">
        <f>SUM(T12:T42)</f>
        <v>0</v>
      </c>
      <c r="U43" s="123">
        <f>ROUND(SUM(U12:U42),1)</f>
        <v>0</v>
      </c>
      <c r="V43" s="135">
        <f>SUM(V12:V42)</f>
        <v>0</v>
      </c>
      <c r="W43" s="135">
        <f>SUM(W12:W42)</f>
        <v>0</v>
      </c>
      <c r="X43" s="135">
        <f>SUM(X12:X42)</f>
        <v>0</v>
      </c>
      <c r="Y43" s="135">
        <f>SUM(Y12:Y42)</f>
        <v>0</v>
      </c>
      <c r="Z43" s="123">
        <f>ROUND(SUM(Z12:Z42),1)</f>
        <v>0</v>
      </c>
    </row>
  </sheetData>
  <mergeCells count="8">
    <mergeCell ref="A1:Z1"/>
    <mergeCell ref="G9:I9"/>
    <mergeCell ref="G10:K10"/>
    <mergeCell ref="L10:P10"/>
    <mergeCell ref="Q10:U10"/>
    <mergeCell ref="V10:Z10"/>
    <mergeCell ref="B9:D9"/>
    <mergeCell ref="B10:F10"/>
  </mergeCells>
  <phoneticPr fontId="3"/>
  <conditionalFormatting sqref="A12:A42">
    <cfRule type="expression" dxfId="3" priority="1" stopIfTrue="1">
      <formula>WEEKDAY(DATE(VALUE(MID($B$9,4,2))+1988,VALUE(MID($B$9,7,2)),A12))=7</formula>
    </cfRule>
    <cfRule type="expression" dxfId="2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686A05FB-36AC-4AFD-96B2-4B330C13C488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B153-D5A7-425F-A37B-4647DA60FFE7}">
  <sheetPr codeName="Sheet6"/>
  <dimension ref="A1:X43"/>
  <sheetViews>
    <sheetView showZeros="0" workbookViewId="0">
      <pane ySplit="11" topLeftCell="A12" activePane="bottomLeft" state="frozen"/>
      <selection pane="bottomLeft" activeCell="AB21" sqref="AB21"/>
    </sheetView>
  </sheetViews>
  <sheetFormatPr defaultRowHeight="13.5" x14ac:dyDescent="0.15"/>
  <cols>
    <col min="1" max="1" width="3.75" style="3" customWidth="1"/>
    <col min="2" max="24" width="5.5" style="1" customWidth="1"/>
    <col min="25" max="16384" width="9" style="1"/>
  </cols>
  <sheetData>
    <row r="1" spans="1:24" ht="24" x14ac:dyDescent="0.15">
      <c r="A1" s="189" t="s">
        <v>92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</row>
    <row r="2" spans="1:24" ht="13.5" hidden="1" customHeight="1" x14ac:dyDescent="0.15"/>
    <row r="3" spans="1:24" ht="13.5" hidden="1" customHeight="1" x14ac:dyDescent="0.15"/>
    <row r="4" spans="1:24" ht="13.5" hidden="1" customHeight="1" x14ac:dyDescent="0.15"/>
    <row r="5" spans="1:24" ht="13.5" hidden="1" customHeight="1" x14ac:dyDescent="0.15"/>
    <row r="6" spans="1:24" ht="13.5" hidden="1" customHeight="1" x14ac:dyDescent="0.15"/>
    <row r="7" spans="1:24" ht="13.5" hidden="1" customHeight="1" x14ac:dyDescent="0.15"/>
    <row r="8" spans="1:24" ht="13.5" hidden="1" customHeight="1" x14ac:dyDescent="0.15"/>
    <row r="9" spans="1:24" ht="15" customHeight="1" x14ac:dyDescent="0.15">
      <c r="B9" s="145" t="str">
        <f>'A-1'!B9:D9</f>
        <v>(令和9年07月)</v>
      </c>
      <c r="C9" s="145"/>
      <c r="D9" s="146"/>
    </row>
    <row r="10" spans="1:24" ht="15" customHeight="1" x14ac:dyDescent="0.15">
      <c r="A10" s="103"/>
      <c r="B10" s="185" t="s">
        <v>180</v>
      </c>
      <c r="C10" s="186"/>
      <c r="D10" s="186"/>
      <c r="E10" s="186"/>
      <c r="F10" s="187"/>
      <c r="G10" s="185" t="s">
        <v>181</v>
      </c>
      <c r="H10" s="186"/>
      <c r="I10" s="186"/>
      <c r="J10" s="186"/>
      <c r="K10" s="187"/>
      <c r="L10" s="152" t="s">
        <v>161</v>
      </c>
      <c r="M10" s="152"/>
      <c r="N10" s="152"/>
      <c r="O10" s="152"/>
      <c r="P10" s="152"/>
      <c r="Q10" s="185" t="s">
        <v>182</v>
      </c>
      <c r="R10" s="186"/>
      <c r="S10" s="186"/>
      <c r="T10" s="186"/>
      <c r="U10" s="187"/>
      <c r="V10" s="190" t="s">
        <v>183</v>
      </c>
      <c r="W10" s="191"/>
      <c r="X10" s="192"/>
    </row>
    <row r="11" spans="1:24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162</v>
      </c>
      <c r="W11" s="42" t="s">
        <v>163</v>
      </c>
      <c r="X11" s="42" t="s">
        <v>86</v>
      </c>
    </row>
    <row r="12" spans="1:24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123"/>
      <c r="M12" s="123"/>
      <c r="N12" s="123"/>
      <c r="O12" s="123"/>
      <c r="P12" s="123">
        <f t="shared" ref="P12:P42" si="2">SUM(L12:O12)</f>
        <v>0</v>
      </c>
      <c r="Q12" s="128"/>
      <c r="R12" s="128"/>
      <c r="S12" s="128"/>
      <c r="T12" s="128"/>
      <c r="U12" s="128">
        <f t="shared" ref="U12:U42" si="3">SUM(Q12:T12)</f>
        <v>0</v>
      </c>
      <c r="V12" s="128"/>
      <c r="W12" s="128"/>
      <c r="X12" s="128">
        <f t="shared" ref="X12:X42" si="4">SUM(V12:W12)</f>
        <v>0</v>
      </c>
    </row>
    <row r="13" spans="1:24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123"/>
      <c r="M13" s="123"/>
      <c r="N13" s="123"/>
      <c r="O13" s="123"/>
      <c r="P13" s="123">
        <f t="shared" si="2"/>
        <v>0</v>
      </c>
      <c r="Q13" s="128"/>
      <c r="R13" s="128"/>
      <c r="S13" s="128"/>
      <c r="T13" s="128"/>
      <c r="U13" s="128">
        <f t="shared" si="3"/>
        <v>0</v>
      </c>
      <c r="V13" s="128"/>
      <c r="W13" s="128"/>
      <c r="X13" s="128">
        <f t="shared" si="4"/>
        <v>0</v>
      </c>
    </row>
    <row r="14" spans="1:24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29"/>
      <c r="M14" s="129"/>
      <c r="N14" s="129"/>
      <c r="O14" s="129"/>
      <c r="P14" s="123">
        <f t="shared" si="2"/>
        <v>0</v>
      </c>
      <c r="Q14" s="130"/>
      <c r="R14" s="130"/>
      <c r="S14" s="130"/>
      <c r="T14" s="130"/>
      <c r="U14" s="130">
        <f t="shared" si="3"/>
        <v>0</v>
      </c>
      <c r="V14" s="130"/>
      <c r="W14" s="130"/>
      <c r="X14" s="130">
        <f t="shared" si="4"/>
        <v>0</v>
      </c>
    </row>
    <row r="15" spans="1:24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123"/>
      <c r="M15" s="123"/>
      <c r="N15" s="123"/>
      <c r="O15" s="123"/>
      <c r="P15" s="123">
        <f t="shared" si="2"/>
        <v>0</v>
      </c>
      <c r="Q15" s="128"/>
      <c r="R15" s="128"/>
      <c r="S15" s="128"/>
      <c r="T15" s="128"/>
      <c r="U15" s="128">
        <f t="shared" si="3"/>
        <v>0</v>
      </c>
      <c r="V15" s="128"/>
      <c r="W15" s="128"/>
      <c r="X15" s="128">
        <f t="shared" si="4"/>
        <v>0</v>
      </c>
    </row>
    <row r="16" spans="1:24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123"/>
      <c r="M16" s="123"/>
      <c r="N16" s="123"/>
      <c r="O16" s="123"/>
      <c r="P16" s="123">
        <f t="shared" si="2"/>
        <v>0</v>
      </c>
      <c r="Q16" s="128"/>
      <c r="R16" s="128"/>
      <c r="S16" s="128"/>
      <c r="T16" s="128"/>
      <c r="U16" s="128">
        <f t="shared" si="3"/>
        <v>0</v>
      </c>
      <c r="V16" s="128"/>
      <c r="W16" s="128"/>
      <c r="X16" s="128">
        <f t="shared" si="4"/>
        <v>0</v>
      </c>
    </row>
    <row r="17" spans="1:24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123"/>
      <c r="M17" s="123"/>
      <c r="N17" s="123"/>
      <c r="O17" s="123"/>
      <c r="P17" s="123">
        <f t="shared" si="2"/>
        <v>0</v>
      </c>
      <c r="Q17" s="128"/>
      <c r="R17" s="128"/>
      <c r="S17" s="128"/>
      <c r="T17" s="128"/>
      <c r="U17" s="128">
        <f t="shared" si="3"/>
        <v>0</v>
      </c>
      <c r="V17" s="128"/>
      <c r="W17" s="128"/>
      <c r="X17" s="128">
        <f t="shared" si="4"/>
        <v>0</v>
      </c>
    </row>
    <row r="18" spans="1:24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123"/>
      <c r="M18" s="123"/>
      <c r="N18" s="123"/>
      <c r="O18" s="123"/>
      <c r="P18" s="123">
        <f t="shared" si="2"/>
        <v>0</v>
      </c>
      <c r="Q18" s="128"/>
      <c r="R18" s="128"/>
      <c r="S18" s="128"/>
      <c r="T18" s="128"/>
      <c r="U18" s="128">
        <f t="shared" si="3"/>
        <v>0</v>
      </c>
      <c r="V18" s="128"/>
      <c r="W18" s="128"/>
      <c r="X18" s="128">
        <f t="shared" si="4"/>
        <v>0</v>
      </c>
    </row>
    <row r="19" spans="1:24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123"/>
      <c r="M19" s="123"/>
      <c r="N19" s="123"/>
      <c r="O19" s="123"/>
      <c r="P19" s="123">
        <f t="shared" si="2"/>
        <v>0</v>
      </c>
      <c r="Q19" s="128"/>
      <c r="R19" s="128"/>
      <c r="S19" s="128"/>
      <c r="T19" s="128"/>
      <c r="U19" s="128">
        <f t="shared" si="3"/>
        <v>0</v>
      </c>
      <c r="V19" s="128"/>
      <c r="W19" s="128"/>
      <c r="X19" s="128">
        <f t="shared" si="4"/>
        <v>0</v>
      </c>
    </row>
    <row r="20" spans="1:24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123"/>
      <c r="M20" s="123"/>
      <c r="N20" s="123"/>
      <c r="O20" s="123"/>
      <c r="P20" s="123">
        <f t="shared" si="2"/>
        <v>0</v>
      </c>
      <c r="Q20" s="128"/>
      <c r="R20" s="128"/>
      <c r="S20" s="130"/>
      <c r="T20" s="130"/>
      <c r="U20" s="130">
        <f t="shared" si="3"/>
        <v>0</v>
      </c>
      <c r="V20" s="128"/>
      <c r="W20" s="128"/>
      <c r="X20" s="128">
        <f t="shared" si="4"/>
        <v>0</v>
      </c>
    </row>
    <row r="21" spans="1:24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123"/>
      <c r="M21" s="123"/>
      <c r="N21" s="123"/>
      <c r="O21" s="123"/>
      <c r="P21" s="123">
        <f t="shared" si="2"/>
        <v>0</v>
      </c>
      <c r="Q21" s="130"/>
      <c r="R21" s="130"/>
      <c r="S21" s="130"/>
      <c r="T21" s="130"/>
      <c r="U21" s="130">
        <f t="shared" si="3"/>
        <v>0</v>
      </c>
      <c r="V21" s="130"/>
      <c r="W21" s="130"/>
      <c r="X21" s="128">
        <f t="shared" si="4"/>
        <v>0</v>
      </c>
    </row>
    <row r="22" spans="1:24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123"/>
      <c r="M22" s="123"/>
      <c r="N22" s="123"/>
      <c r="O22" s="123"/>
      <c r="P22" s="123">
        <f t="shared" si="2"/>
        <v>0</v>
      </c>
      <c r="Q22" s="128"/>
      <c r="R22" s="128"/>
      <c r="S22" s="128"/>
      <c r="T22" s="128"/>
      <c r="U22" s="128">
        <f t="shared" si="3"/>
        <v>0</v>
      </c>
      <c r="V22" s="128"/>
      <c r="W22" s="128"/>
      <c r="X22" s="128">
        <f t="shared" si="4"/>
        <v>0</v>
      </c>
    </row>
    <row r="23" spans="1:24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123"/>
      <c r="M23" s="123"/>
      <c r="N23" s="123"/>
      <c r="O23" s="123"/>
      <c r="P23" s="123">
        <f t="shared" si="2"/>
        <v>0</v>
      </c>
      <c r="Q23" s="128"/>
      <c r="R23" s="128"/>
      <c r="S23" s="128"/>
      <c r="T23" s="128"/>
      <c r="U23" s="128">
        <f t="shared" si="3"/>
        <v>0</v>
      </c>
      <c r="V23" s="128"/>
      <c r="W23" s="128"/>
      <c r="X23" s="128">
        <f t="shared" si="4"/>
        <v>0</v>
      </c>
    </row>
    <row r="24" spans="1:24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123"/>
      <c r="M24" s="123"/>
      <c r="N24" s="123"/>
      <c r="O24" s="123"/>
      <c r="P24" s="123">
        <f t="shared" si="2"/>
        <v>0</v>
      </c>
      <c r="Q24" s="128"/>
      <c r="R24" s="128"/>
      <c r="S24" s="128"/>
      <c r="T24" s="128"/>
      <c r="U24" s="128">
        <f t="shared" si="3"/>
        <v>0</v>
      </c>
      <c r="V24" s="128"/>
      <c r="W24" s="128"/>
      <c r="X24" s="128">
        <f t="shared" si="4"/>
        <v>0</v>
      </c>
    </row>
    <row r="25" spans="1:24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123"/>
      <c r="M25" s="123"/>
      <c r="N25" s="123"/>
      <c r="O25" s="123"/>
      <c r="P25" s="123">
        <f t="shared" si="2"/>
        <v>0</v>
      </c>
      <c r="Q25" s="128"/>
      <c r="R25" s="128"/>
      <c r="S25" s="128"/>
      <c r="T25" s="128"/>
      <c r="U25" s="128">
        <f t="shared" si="3"/>
        <v>0</v>
      </c>
      <c r="V25" s="128"/>
      <c r="W25" s="128"/>
      <c r="X25" s="128">
        <f t="shared" si="4"/>
        <v>0</v>
      </c>
    </row>
    <row r="26" spans="1:24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123"/>
      <c r="M26" s="123"/>
      <c r="N26" s="123"/>
      <c r="O26" s="123"/>
      <c r="P26" s="123">
        <f t="shared" si="2"/>
        <v>0</v>
      </c>
      <c r="Q26" s="128"/>
      <c r="R26" s="128"/>
      <c r="S26" s="128"/>
      <c r="T26" s="128"/>
      <c r="U26" s="128">
        <f t="shared" si="3"/>
        <v>0</v>
      </c>
      <c r="V26" s="128"/>
      <c r="W26" s="128"/>
      <c r="X26" s="128">
        <f t="shared" si="4"/>
        <v>0</v>
      </c>
    </row>
    <row r="27" spans="1:24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123"/>
      <c r="M27" s="131"/>
      <c r="N27" s="131"/>
      <c r="O27" s="131"/>
      <c r="P27" s="123">
        <f t="shared" si="2"/>
        <v>0</v>
      </c>
      <c r="Q27" s="130"/>
      <c r="R27" s="130"/>
      <c r="S27" s="130"/>
      <c r="T27" s="130"/>
      <c r="U27" s="130">
        <f t="shared" si="3"/>
        <v>0</v>
      </c>
      <c r="V27" s="130"/>
      <c r="W27" s="130"/>
      <c r="X27" s="128">
        <f t="shared" si="4"/>
        <v>0</v>
      </c>
    </row>
    <row r="28" spans="1:24" ht="15" customHeight="1" x14ac:dyDescent="0.15">
      <c r="A28" s="141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129"/>
      <c r="M28" s="129"/>
      <c r="N28" s="129"/>
      <c r="O28" s="129"/>
      <c r="P28" s="123">
        <f t="shared" si="2"/>
        <v>0</v>
      </c>
      <c r="Q28" s="133"/>
      <c r="R28" s="130"/>
      <c r="S28" s="130"/>
      <c r="T28" s="130"/>
      <c r="U28" s="130">
        <f t="shared" si="3"/>
        <v>0</v>
      </c>
      <c r="V28" s="130"/>
      <c r="W28" s="130"/>
      <c r="X28" s="130">
        <f t="shared" si="4"/>
        <v>0</v>
      </c>
    </row>
    <row r="29" spans="1:24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123"/>
      <c r="M29" s="123"/>
      <c r="N29" s="123"/>
      <c r="O29" s="123"/>
      <c r="P29" s="123">
        <f t="shared" si="2"/>
        <v>0</v>
      </c>
      <c r="Q29" s="128"/>
      <c r="R29" s="128"/>
      <c r="S29" s="128"/>
      <c r="T29" s="128"/>
      <c r="U29" s="128">
        <f t="shared" si="3"/>
        <v>0</v>
      </c>
      <c r="V29" s="128"/>
      <c r="W29" s="128"/>
      <c r="X29" s="128">
        <f t="shared" si="4"/>
        <v>0</v>
      </c>
    </row>
    <row r="30" spans="1:24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123"/>
      <c r="M30" s="123"/>
      <c r="N30" s="123"/>
      <c r="O30" s="123"/>
      <c r="P30" s="123">
        <f t="shared" si="2"/>
        <v>0</v>
      </c>
      <c r="Q30" s="128"/>
      <c r="R30" s="128"/>
      <c r="S30" s="128"/>
      <c r="T30" s="128"/>
      <c r="U30" s="128">
        <f t="shared" si="3"/>
        <v>0</v>
      </c>
      <c r="V30" s="128"/>
      <c r="W30" s="128"/>
      <c r="X30" s="128">
        <f t="shared" si="4"/>
        <v>0</v>
      </c>
    </row>
    <row r="31" spans="1:24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123"/>
      <c r="M31" s="123"/>
      <c r="N31" s="123"/>
      <c r="O31" s="123"/>
      <c r="P31" s="123">
        <f t="shared" si="2"/>
        <v>0</v>
      </c>
      <c r="Q31" s="128"/>
      <c r="R31" s="128"/>
      <c r="S31" s="128"/>
      <c r="T31" s="128"/>
      <c r="U31" s="128">
        <f t="shared" si="3"/>
        <v>0</v>
      </c>
      <c r="V31" s="128"/>
      <c r="W31" s="128"/>
      <c r="X31" s="128">
        <f t="shared" si="4"/>
        <v>0</v>
      </c>
    </row>
    <row r="32" spans="1:24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123"/>
      <c r="M32" s="123"/>
      <c r="N32" s="123"/>
      <c r="O32" s="123"/>
      <c r="P32" s="123">
        <f t="shared" si="2"/>
        <v>0</v>
      </c>
      <c r="Q32" s="128"/>
      <c r="R32" s="128"/>
      <c r="S32" s="128"/>
      <c r="T32" s="128"/>
      <c r="U32" s="128">
        <f t="shared" si="3"/>
        <v>0</v>
      </c>
      <c r="V32" s="128"/>
      <c r="W32" s="128"/>
      <c r="X32" s="128">
        <f t="shared" si="4"/>
        <v>0</v>
      </c>
    </row>
    <row r="33" spans="1:24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123"/>
      <c r="M33" s="123"/>
      <c r="N33" s="123"/>
      <c r="O33" s="123"/>
      <c r="P33" s="123">
        <f t="shared" si="2"/>
        <v>0</v>
      </c>
      <c r="Q33" s="128"/>
      <c r="R33" s="128"/>
      <c r="S33" s="128"/>
      <c r="T33" s="128"/>
      <c r="U33" s="128">
        <f t="shared" si="3"/>
        <v>0</v>
      </c>
      <c r="V33" s="128"/>
      <c r="W33" s="128"/>
      <c r="X33" s="128">
        <f t="shared" si="4"/>
        <v>0</v>
      </c>
    </row>
    <row r="34" spans="1:24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23">
        <f t="shared" si="1"/>
        <v>0</v>
      </c>
      <c r="L34" s="123"/>
      <c r="M34" s="123"/>
      <c r="N34" s="123"/>
      <c r="O34" s="123"/>
      <c r="P34" s="123">
        <f t="shared" si="2"/>
        <v>0</v>
      </c>
      <c r="Q34" s="130"/>
      <c r="R34" s="130"/>
      <c r="S34" s="130"/>
      <c r="T34" s="130"/>
      <c r="U34" s="130">
        <f t="shared" si="3"/>
        <v>0</v>
      </c>
      <c r="V34" s="130"/>
      <c r="W34" s="130"/>
      <c r="X34" s="128">
        <f t="shared" si="4"/>
        <v>0</v>
      </c>
    </row>
    <row r="35" spans="1:24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23"/>
      <c r="H35" s="123"/>
      <c r="I35" s="123"/>
      <c r="J35" s="123"/>
      <c r="K35" s="123">
        <f t="shared" si="1"/>
        <v>0</v>
      </c>
      <c r="L35" s="123"/>
      <c r="M35" s="123"/>
      <c r="N35" s="123"/>
      <c r="O35" s="123"/>
      <c r="P35" s="123">
        <f t="shared" si="2"/>
        <v>0</v>
      </c>
      <c r="Q35" s="130"/>
      <c r="R35" s="130"/>
      <c r="S35" s="130"/>
      <c r="T35" s="130"/>
      <c r="U35" s="130">
        <f t="shared" si="3"/>
        <v>0</v>
      </c>
      <c r="V35" s="133"/>
      <c r="W35" s="128"/>
      <c r="X35" s="128">
        <f t="shared" si="4"/>
        <v>0</v>
      </c>
    </row>
    <row r="36" spans="1:24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123"/>
      <c r="M36" s="123"/>
      <c r="N36" s="123"/>
      <c r="O36" s="123"/>
      <c r="P36" s="123">
        <f t="shared" si="2"/>
        <v>0</v>
      </c>
      <c r="Q36" s="128"/>
      <c r="R36" s="128"/>
      <c r="S36" s="128"/>
      <c r="T36" s="128"/>
      <c r="U36" s="128">
        <f t="shared" si="3"/>
        <v>0</v>
      </c>
      <c r="V36" s="128"/>
      <c r="W36" s="128"/>
      <c r="X36" s="128">
        <f t="shared" si="4"/>
        <v>0</v>
      </c>
    </row>
    <row r="37" spans="1:24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123"/>
      <c r="M37" s="123"/>
      <c r="N37" s="123"/>
      <c r="O37" s="123"/>
      <c r="P37" s="123">
        <f t="shared" si="2"/>
        <v>0</v>
      </c>
      <c r="Q37" s="128"/>
      <c r="R37" s="128"/>
      <c r="S37" s="128"/>
      <c r="T37" s="128"/>
      <c r="U37" s="128">
        <f t="shared" si="3"/>
        <v>0</v>
      </c>
      <c r="V37" s="128"/>
      <c r="W37" s="128"/>
      <c r="X37" s="128">
        <f t="shared" si="4"/>
        <v>0</v>
      </c>
    </row>
    <row r="38" spans="1:24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123"/>
      <c r="M38" s="123"/>
      <c r="N38" s="123"/>
      <c r="O38" s="123"/>
      <c r="P38" s="123">
        <f t="shared" si="2"/>
        <v>0</v>
      </c>
      <c r="Q38" s="128"/>
      <c r="R38" s="128"/>
      <c r="S38" s="128"/>
      <c r="T38" s="128"/>
      <c r="U38" s="128">
        <f t="shared" si="3"/>
        <v>0</v>
      </c>
      <c r="V38" s="128"/>
      <c r="W38" s="128"/>
      <c r="X38" s="128">
        <f t="shared" si="4"/>
        <v>0</v>
      </c>
    </row>
    <row r="39" spans="1:24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123"/>
      <c r="M39" s="123"/>
      <c r="N39" s="123"/>
      <c r="O39" s="123"/>
      <c r="P39" s="123">
        <f t="shared" si="2"/>
        <v>0</v>
      </c>
      <c r="Q39" s="128"/>
      <c r="R39" s="128"/>
      <c r="S39" s="128"/>
      <c r="T39" s="128"/>
      <c r="U39" s="128">
        <f t="shared" si="3"/>
        <v>0</v>
      </c>
      <c r="V39" s="128"/>
      <c r="W39" s="128"/>
      <c r="X39" s="128">
        <f t="shared" si="4"/>
        <v>0</v>
      </c>
    </row>
    <row r="40" spans="1:24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123"/>
      <c r="M40" s="123"/>
      <c r="N40" s="123"/>
      <c r="O40" s="123"/>
      <c r="P40" s="123">
        <f t="shared" si="2"/>
        <v>0</v>
      </c>
      <c r="Q40" s="128"/>
      <c r="R40" s="133"/>
      <c r="S40" s="133"/>
      <c r="T40" s="128"/>
      <c r="U40" s="128">
        <f t="shared" si="3"/>
        <v>0</v>
      </c>
      <c r="V40" s="133"/>
      <c r="W40" s="128"/>
      <c r="X40" s="128">
        <f t="shared" si="4"/>
        <v>0</v>
      </c>
    </row>
    <row r="41" spans="1:24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129"/>
      <c r="M41" s="129"/>
      <c r="N41" s="129"/>
      <c r="O41" s="129"/>
      <c r="P41" s="123">
        <f t="shared" si="2"/>
        <v>0</v>
      </c>
      <c r="Q41" s="130"/>
      <c r="R41" s="130"/>
      <c r="S41" s="128"/>
      <c r="T41" s="128"/>
      <c r="U41" s="128">
        <f t="shared" si="3"/>
        <v>0</v>
      </c>
      <c r="V41" s="130"/>
      <c r="W41" s="130"/>
      <c r="X41" s="130">
        <f t="shared" si="4"/>
        <v>0</v>
      </c>
    </row>
    <row r="42" spans="1:24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123"/>
      <c r="M42" s="123"/>
      <c r="N42" s="123"/>
      <c r="O42" s="123"/>
      <c r="P42" s="123">
        <f t="shared" si="2"/>
        <v>0</v>
      </c>
      <c r="Q42" s="128"/>
      <c r="R42" s="128"/>
      <c r="S42" s="128"/>
      <c r="T42" s="128"/>
      <c r="U42" s="128">
        <f t="shared" si="3"/>
        <v>0</v>
      </c>
      <c r="V42" s="128"/>
      <c r="W42" s="128"/>
      <c r="X42" s="128">
        <f t="shared" si="4"/>
        <v>0</v>
      </c>
    </row>
    <row r="43" spans="1:24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23">
        <f>SUM(L12:L42)</f>
        <v>0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ROUND(SUM(P12:P42),1)</f>
        <v>0</v>
      </c>
      <c r="Q43" s="123">
        <f>SUM(Q12:Q42)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ROUND(SUM(U12:U42),1)</f>
        <v>0</v>
      </c>
      <c r="V43" s="123">
        <f>SUM(V12:V42)</f>
        <v>0</v>
      </c>
      <c r="W43" s="123">
        <f>SUM(W12:W42)</f>
        <v>0</v>
      </c>
      <c r="X43" s="123">
        <f>ROUND(SUM(X12:X42),1)</f>
        <v>0</v>
      </c>
    </row>
  </sheetData>
  <mergeCells count="7">
    <mergeCell ref="A1:X1"/>
    <mergeCell ref="B9:D9"/>
    <mergeCell ref="B10:F10"/>
    <mergeCell ref="G10:K10"/>
    <mergeCell ref="Q10:U10"/>
    <mergeCell ref="L10:P10"/>
    <mergeCell ref="V10:X10"/>
  </mergeCells>
  <phoneticPr fontId="3"/>
  <conditionalFormatting sqref="A12:A42">
    <cfRule type="expression" dxfId="1" priority="7" stopIfTrue="1">
      <formula>WEEKDAY(DATE(VALUE(MID($B$9,4,2))+1988,VALUE(MID($B$9,7,2)),A12))=7</formula>
    </cfRule>
    <cfRule type="expression" dxfId="0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X43" xr:uid="{AE387CE4-5CE1-455A-83EC-EE32446C3BF8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26</vt:i4>
      </vt:variant>
    </vt:vector>
  </HeadingPairs>
  <TitlesOfParts>
    <vt:vector size="38" baseType="lpstr">
      <vt:lpstr>A-1</vt:lpstr>
      <vt:lpstr>A-2</vt:lpstr>
      <vt:lpstr>B-1</vt:lpstr>
      <vt:lpstr>収集（全般）</vt:lpstr>
      <vt:lpstr>可燃</vt:lpstr>
      <vt:lpstr>不燃・木くず・海岸清掃</vt:lpstr>
      <vt:lpstr>ビン類</vt:lpstr>
      <vt:lpstr>缶類</vt:lpstr>
      <vt:lpstr>ペットボトル</vt:lpstr>
      <vt:lpstr>紙類</vt:lpstr>
      <vt:lpstr>粗大</vt:lpstr>
      <vt:lpstr>産廃水産・医療・汚泥</vt:lpstr>
      <vt:lpstr>aa</vt:lpstr>
      <vt:lpstr>bb</vt:lpstr>
      <vt:lpstr>d</vt:lpstr>
      <vt:lpstr>e</vt:lpstr>
      <vt:lpstr>f</vt:lpstr>
      <vt:lpstr>g</vt:lpstr>
      <vt:lpstr>h</vt:lpstr>
      <vt:lpstr>不燃・木くず・海岸清掃!i</vt:lpstr>
      <vt:lpstr>i</vt:lpstr>
      <vt:lpstr>不燃・木くず・海岸清掃!j</vt:lpstr>
      <vt:lpstr>j</vt:lpstr>
      <vt:lpstr>k</vt:lpstr>
      <vt:lpstr>不燃・木くず・海岸清掃!l</vt:lpstr>
      <vt:lpstr>l</vt:lpstr>
      <vt:lpstr>n</vt:lpstr>
      <vt:lpstr>o</vt:lpstr>
      <vt:lpstr>p</vt:lpstr>
      <vt:lpstr>不燃・木くず・海岸清掃!q</vt:lpstr>
      <vt:lpstr>q</vt:lpstr>
      <vt:lpstr>s</vt:lpstr>
      <vt:lpstr>t</vt:lpstr>
      <vt:lpstr>u</vt:lpstr>
      <vt:lpstr>不燃・木くず・海岸清掃!v</vt:lpstr>
      <vt:lpstr>v</vt:lpstr>
      <vt:lpstr>w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2017-07-31T23:59:35Z</cp:lastPrinted>
  <dcterms:created xsi:type="dcterms:W3CDTF">2000-07-13T03:30:24Z</dcterms:created>
  <dcterms:modified xsi:type="dcterms:W3CDTF">2026-03-14T02:33:56Z</dcterms:modified>
</cp:coreProperties>
</file>