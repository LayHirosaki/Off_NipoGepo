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10FB8270-41EA-498B-A425-E5C53C06F099}" xr6:coauthVersionLast="47" xr6:coauthVersionMax="47" xr10:uidLastSave="{00000000-0000-0000-0000-000000000000}"/>
  <bookViews>
    <workbookView xWindow="-120" yWindow="-120" windowWidth="29040" windowHeight="15720" xr2:uid="{A1FB16B0-34AF-456D-9543-CB77EF9D5048}"/>
  </bookViews>
  <sheets>
    <sheet name="別記様式１" sheetId="1" r:id="rId1"/>
    <sheet name="別記様式２" sheetId="4" r:id="rId2"/>
    <sheet name="一般廃棄物最終処分場水質検査状況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0">別記様式１!$A$1:$O$100</definedName>
    <definedName name="_xlnm.Print_Area" localSheetId="1">別記様式２!$A$1:$O$44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4" l="1"/>
  <c r="A1" i="1"/>
  <c r="N21" i="4" l="1"/>
  <c r="M21" i="4"/>
  <c r="L21" i="4"/>
  <c r="K21" i="4"/>
  <c r="J21" i="4"/>
  <c r="I21" i="4"/>
  <c r="H21" i="4"/>
  <c r="G21" i="4"/>
  <c r="F21" i="4"/>
  <c r="E21" i="4"/>
  <c r="D21" i="4"/>
  <c r="C21" i="4"/>
  <c r="N18" i="4"/>
  <c r="N19" i="4" s="1"/>
  <c r="N20" i="4" s="1"/>
  <c r="N22" i="4" s="1"/>
  <c r="M18" i="4"/>
  <c r="M19" i="4" s="1"/>
  <c r="M20" i="4" s="1"/>
  <c r="M22" i="4" s="1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J14" i="4" s="1"/>
  <c r="I17" i="4"/>
  <c r="I14" i="4" s="1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39" i="1"/>
  <c r="M39" i="1"/>
  <c r="L39" i="1"/>
  <c r="K39" i="1"/>
  <c r="J39" i="1"/>
  <c r="I39" i="1"/>
  <c r="H39" i="1"/>
  <c r="G39" i="1"/>
  <c r="F39" i="1"/>
  <c r="E39" i="1"/>
  <c r="D39" i="1"/>
  <c r="C39" i="1"/>
  <c r="N38" i="1"/>
  <c r="M38" i="1"/>
  <c r="L38" i="1"/>
  <c r="K38" i="1"/>
  <c r="J38" i="1"/>
  <c r="I38" i="1"/>
  <c r="H38" i="1"/>
  <c r="G38" i="1"/>
  <c r="F38" i="1"/>
  <c r="E38" i="1"/>
  <c r="D38" i="1"/>
  <c r="C38" i="1"/>
  <c r="N37" i="1"/>
  <c r="M37" i="1"/>
  <c r="L37" i="1"/>
  <c r="K37" i="1"/>
  <c r="J37" i="1"/>
  <c r="I37" i="1"/>
  <c r="H37" i="1"/>
  <c r="G37" i="1"/>
  <c r="F37" i="1"/>
  <c r="E37" i="1"/>
  <c r="D37" i="1"/>
  <c r="C37" i="1"/>
  <c r="N36" i="1"/>
  <c r="M36" i="1"/>
  <c r="L36" i="1"/>
  <c r="K36" i="1"/>
  <c r="J36" i="1"/>
  <c r="I36" i="1"/>
  <c r="H36" i="1"/>
  <c r="G36" i="1"/>
  <c r="F36" i="1"/>
  <c r="E36" i="1"/>
  <c r="D36" i="1"/>
  <c r="C36" i="1"/>
  <c r="N35" i="1"/>
  <c r="M35" i="1"/>
  <c r="L35" i="1"/>
  <c r="K35" i="1"/>
  <c r="J35" i="1"/>
  <c r="I35" i="1"/>
  <c r="H35" i="1"/>
  <c r="G35" i="1"/>
  <c r="F35" i="1"/>
  <c r="E35" i="1"/>
  <c r="D35" i="1"/>
  <c r="C35" i="1"/>
  <c r="N34" i="1"/>
  <c r="M34" i="1"/>
  <c r="L34" i="1"/>
  <c r="K34" i="1"/>
  <c r="J34" i="1"/>
  <c r="I34" i="1"/>
  <c r="H34" i="1"/>
  <c r="G34" i="1"/>
  <c r="F34" i="1"/>
  <c r="E34" i="1"/>
  <c r="D34" i="1"/>
  <c r="C34" i="1"/>
  <c r="N33" i="1"/>
  <c r="M33" i="1"/>
  <c r="L33" i="1"/>
  <c r="K33" i="1"/>
  <c r="J33" i="1"/>
  <c r="I33" i="1"/>
  <c r="H33" i="1"/>
  <c r="G33" i="1"/>
  <c r="F33" i="1"/>
  <c r="E33" i="1"/>
  <c r="D33" i="1"/>
  <c r="C33" i="1"/>
  <c r="N29" i="1"/>
  <c r="M29" i="1"/>
  <c r="L29" i="1"/>
  <c r="K29" i="1"/>
  <c r="J29" i="1"/>
  <c r="I29" i="1"/>
  <c r="H29" i="1"/>
  <c r="G29" i="1"/>
  <c r="F29" i="1"/>
  <c r="E29" i="1"/>
  <c r="D29" i="1"/>
  <c r="C29" i="1"/>
  <c r="O29" i="1" s="1"/>
  <c r="N28" i="1"/>
  <c r="M28" i="1"/>
  <c r="L28" i="1"/>
  <c r="K28" i="1"/>
  <c r="J28" i="1"/>
  <c r="I28" i="1"/>
  <c r="H28" i="1"/>
  <c r="G28" i="1"/>
  <c r="F28" i="1"/>
  <c r="E28" i="1"/>
  <c r="D28" i="1"/>
  <c r="C28" i="1"/>
  <c r="N23" i="1"/>
  <c r="N26" i="1" s="1"/>
  <c r="M23" i="1"/>
  <c r="M26" i="1" s="1"/>
  <c r="L23" i="1"/>
  <c r="L26" i="1" s="1"/>
  <c r="K23" i="1"/>
  <c r="K26" i="1" s="1"/>
  <c r="J23" i="1"/>
  <c r="J26" i="1" s="1"/>
  <c r="I23" i="1"/>
  <c r="I26" i="1" s="1"/>
  <c r="H23" i="1"/>
  <c r="H26" i="1" s="1"/>
  <c r="G23" i="1"/>
  <c r="G26" i="1" s="1"/>
  <c r="F23" i="1"/>
  <c r="F26" i="1" s="1"/>
  <c r="E23" i="1"/>
  <c r="D23" i="1"/>
  <c r="D26" i="1" s="1"/>
  <c r="C23" i="1"/>
  <c r="C26" i="1" s="1"/>
  <c r="N22" i="1"/>
  <c r="N25" i="1" s="1"/>
  <c r="M22" i="1"/>
  <c r="M25" i="1" s="1"/>
  <c r="L22" i="1"/>
  <c r="L25" i="1" s="1"/>
  <c r="K22" i="1"/>
  <c r="K24" i="1" s="1"/>
  <c r="K27" i="1" s="1"/>
  <c r="J22" i="1"/>
  <c r="J24" i="1" s="1"/>
  <c r="J27" i="1" s="1"/>
  <c r="I22" i="1"/>
  <c r="I24" i="1" s="1"/>
  <c r="I27" i="1" s="1"/>
  <c r="H22" i="1"/>
  <c r="H25" i="1" s="1"/>
  <c r="G22" i="1"/>
  <c r="G24" i="1" s="1"/>
  <c r="G27" i="1" s="1"/>
  <c r="F22" i="1"/>
  <c r="F24" i="1" s="1"/>
  <c r="F27" i="1" s="1"/>
  <c r="E22" i="1"/>
  <c r="E25" i="1" s="1"/>
  <c r="D22" i="1"/>
  <c r="D24" i="1" s="1"/>
  <c r="C22" i="1"/>
  <c r="C24" i="1" s="1"/>
  <c r="C27" i="1" s="1"/>
  <c r="N17" i="1"/>
  <c r="M17" i="1"/>
  <c r="L17" i="1"/>
  <c r="K17" i="1"/>
  <c r="J17" i="1"/>
  <c r="I17" i="1"/>
  <c r="H17" i="1"/>
  <c r="G17" i="1"/>
  <c r="F17" i="1"/>
  <c r="E17" i="1"/>
  <c r="D17" i="1"/>
  <c r="C17" i="1"/>
  <c r="N16" i="1"/>
  <c r="M16" i="1"/>
  <c r="L16" i="1"/>
  <c r="K16" i="1"/>
  <c r="J16" i="1"/>
  <c r="I16" i="1"/>
  <c r="H16" i="1"/>
  <c r="G16" i="1"/>
  <c r="F16" i="1"/>
  <c r="E16" i="1"/>
  <c r="D16" i="1"/>
  <c r="C16" i="1"/>
  <c r="N15" i="1"/>
  <c r="M15" i="1"/>
  <c r="L15" i="1"/>
  <c r="K15" i="1"/>
  <c r="J15" i="1"/>
  <c r="I15" i="1"/>
  <c r="H15" i="1"/>
  <c r="G15" i="1"/>
  <c r="F15" i="1"/>
  <c r="E15" i="1"/>
  <c r="D15" i="1"/>
  <c r="C15" i="1"/>
  <c r="N13" i="1"/>
  <c r="M13" i="1"/>
  <c r="L13" i="1"/>
  <c r="K13" i="1"/>
  <c r="J13" i="1"/>
  <c r="I13" i="1"/>
  <c r="H13" i="1"/>
  <c r="G13" i="1"/>
  <c r="F13" i="1"/>
  <c r="E13" i="1"/>
  <c r="D13" i="1"/>
  <c r="C13" i="1"/>
  <c r="L24" i="1"/>
  <c r="L27" i="1" s="1"/>
  <c r="E26" i="1"/>
  <c r="M14" i="4"/>
  <c r="O27" i="4"/>
  <c r="O28" i="4"/>
  <c r="O29" i="4"/>
  <c r="O30" i="4"/>
  <c r="O31" i="4"/>
  <c r="O32" i="4"/>
  <c r="C25" i="1" l="1"/>
  <c r="N14" i="4"/>
  <c r="C14" i="1"/>
  <c r="K14" i="1"/>
  <c r="K18" i="1" s="1"/>
  <c r="N24" i="1"/>
  <c r="N27" i="1" s="1"/>
  <c r="J25" i="1"/>
  <c r="O17" i="4"/>
  <c r="H14" i="1"/>
  <c r="H18" i="1" s="1"/>
  <c r="D14" i="4"/>
  <c r="G25" i="1"/>
  <c r="O21" i="4"/>
  <c r="M14" i="1"/>
  <c r="M18" i="1" s="1"/>
  <c r="N14" i="1"/>
  <c r="N18" i="1" s="1"/>
  <c r="L14" i="1"/>
  <c r="L18" i="1" s="1"/>
  <c r="O16" i="4"/>
  <c r="E24" i="1"/>
  <c r="E27" i="1" s="1"/>
  <c r="F14" i="1"/>
  <c r="F18" i="1" s="1"/>
  <c r="H24" i="1"/>
  <c r="H27" i="1" s="1"/>
  <c r="O18" i="4"/>
  <c r="C19" i="4"/>
  <c r="C20" i="4" s="1"/>
  <c r="K19" i="4"/>
  <c r="K20" i="4" s="1"/>
  <c r="K22" i="4" s="1"/>
  <c r="G14" i="4"/>
  <c r="D19" i="4"/>
  <c r="D20" i="4" s="1"/>
  <c r="D22" i="4" s="1"/>
  <c r="H14" i="4"/>
  <c r="L19" i="4"/>
  <c r="L20" i="4" s="1"/>
  <c r="L22" i="4" s="1"/>
  <c r="E19" i="4"/>
  <c r="E20" i="4" s="1"/>
  <c r="E22" i="4" s="1"/>
  <c r="I19" i="4"/>
  <c r="I20" i="4" s="1"/>
  <c r="I22" i="4" s="1"/>
  <c r="O17" i="1"/>
  <c r="F19" i="4"/>
  <c r="F20" i="4" s="1"/>
  <c r="F22" i="4" s="1"/>
  <c r="J19" i="4"/>
  <c r="J20" i="4" s="1"/>
  <c r="J22" i="4" s="1"/>
  <c r="O16" i="1"/>
  <c r="O28" i="1"/>
  <c r="G19" i="4"/>
  <c r="G20" i="4" s="1"/>
  <c r="G22" i="4" s="1"/>
  <c r="H19" i="4"/>
  <c r="H20" i="4" s="1"/>
  <c r="H22" i="4" s="1"/>
  <c r="L14" i="4"/>
  <c r="F25" i="1"/>
  <c r="E14" i="1"/>
  <c r="E18" i="1" s="1"/>
  <c r="K14" i="4"/>
  <c r="D14" i="1"/>
  <c r="I14" i="1"/>
  <c r="I18" i="1" s="1"/>
  <c r="G14" i="1"/>
  <c r="G18" i="1" s="1"/>
  <c r="O13" i="1"/>
  <c r="J14" i="1"/>
  <c r="J18" i="1" s="1"/>
  <c r="O15" i="1"/>
  <c r="F14" i="4"/>
  <c r="C14" i="4"/>
  <c r="O15" i="4"/>
  <c r="E14" i="4"/>
  <c r="O26" i="1"/>
  <c r="D27" i="1"/>
  <c r="O23" i="1"/>
  <c r="K25" i="1"/>
  <c r="O22" i="1"/>
  <c r="I25" i="1"/>
  <c r="M24" i="1"/>
  <c r="M27" i="1" s="1"/>
  <c r="C18" i="1"/>
  <c r="D25" i="1"/>
  <c r="O25" i="1" l="1"/>
  <c r="O14" i="1"/>
  <c r="O19" i="4"/>
  <c r="D18" i="1"/>
  <c r="O18" i="1" s="1"/>
  <c r="O14" i="4"/>
  <c r="C22" i="4"/>
  <c r="O22" i="4" s="1"/>
  <c r="O20" i="4"/>
  <c r="O27" i="1"/>
  <c r="O24" i="1"/>
</calcChain>
</file>

<file path=xl/sharedStrings.xml><?xml version="1.0" encoding="utf-8"?>
<sst xmlns="http://schemas.openxmlformats.org/spreadsheetml/2006/main" count="359" uniqueCount="219">
  <si>
    <t>計</t>
    <rPh sb="0" eb="1">
      <t>ケイ</t>
    </rPh>
    <phoneticPr fontId="1"/>
  </si>
  <si>
    <t>３月</t>
    <rPh sb="1" eb="2">
      <t>ガツ</t>
    </rPh>
    <phoneticPr fontId="1"/>
  </si>
  <si>
    <t>２月</t>
    <rPh sb="1" eb="2">
      <t>ガツ</t>
    </rPh>
    <phoneticPr fontId="1"/>
  </si>
  <si>
    <t>１月</t>
    <rPh sb="1" eb="2">
      <t>ガツ</t>
    </rPh>
    <phoneticPr fontId="1"/>
  </si>
  <si>
    <t>１２月</t>
    <rPh sb="2" eb="3">
      <t>ガツ</t>
    </rPh>
    <phoneticPr fontId="1"/>
  </si>
  <si>
    <t>１１月</t>
    <rPh sb="2" eb="3">
      <t>ガツ</t>
    </rPh>
    <phoneticPr fontId="1"/>
  </si>
  <si>
    <t>１０月</t>
    <rPh sb="2" eb="3">
      <t>ガツ</t>
    </rPh>
    <phoneticPr fontId="1"/>
  </si>
  <si>
    <t>９月</t>
    <rPh sb="1" eb="2">
      <t>ガツ</t>
    </rPh>
    <phoneticPr fontId="1"/>
  </si>
  <si>
    <t>８月</t>
    <rPh sb="1" eb="2">
      <t>ガツ</t>
    </rPh>
    <phoneticPr fontId="1"/>
  </si>
  <si>
    <t>７月</t>
    <rPh sb="1" eb="2">
      <t>ガツ</t>
    </rPh>
    <phoneticPr fontId="1"/>
  </si>
  <si>
    <t>６月</t>
    <rPh sb="1" eb="2">
      <t>ガツ</t>
    </rPh>
    <phoneticPr fontId="1"/>
  </si>
  <si>
    <t>５月</t>
    <rPh sb="1" eb="2">
      <t>ガツ</t>
    </rPh>
    <phoneticPr fontId="1"/>
  </si>
  <si>
    <t>４月</t>
    <rPh sb="1" eb="2">
      <t>ガツ</t>
    </rPh>
    <phoneticPr fontId="1"/>
  </si>
  <si>
    <t>１号炉</t>
    <rPh sb="1" eb="2">
      <t>ゴウ</t>
    </rPh>
    <rPh sb="2" eb="3">
      <t>ロ</t>
    </rPh>
    <phoneticPr fontId="1"/>
  </si>
  <si>
    <t>施設設置者名</t>
    <rPh sb="0" eb="2">
      <t>シセツ</t>
    </rPh>
    <rPh sb="2" eb="5">
      <t>セッチシャ</t>
    </rPh>
    <rPh sb="5" eb="6">
      <t>メイ</t>
    </rPh>
    <phoneticPr fontId="1"/>
  </si>
  <si>
    <t>許可(届出)年月日</t>
    <rPh sb="0" eb="2">
      <t>キョカ</t>
    </rPh>
    <rPh sb="3" eb="5">
      <t>トドケデ</t>
    </rPh>
    <rPh sb="6" eb="9">
      <t>ネンガッピ</t>
    </rPh>
    <phoneticPr fontId="1"/>
  </si>
  <si>
    <t>　計</t>
    <rPh sb="1" eb="2">
      <t>ケイ</t>
    </rPh>
    <phoneticPr fontId="1"/>
  </si>
  <si>
    <t>施設所在地</t>
    <rPh sb="0" eb="1">
      <t>ホドコ</t>
    </rPh>
    <rPh sb="1" eb="2">
      <t>セツ</t>
    </rPh>
    <rPh sb="2" eb="3">
      <t>トコロ</t>
    </rPh>
    <rPh sb="3" eb="4">
      <t>ザイ</t>
    </rPh>
    <rPh sb="4" eb="5">
      <t>チ</t>
    </rPh>
    <phoneticPr fontId="1"/>
  </si>
  <si>
    <t>○　処理状況</t>
    <rPh sb="2" eb="4">
      <t>ショリ</t>
    </rPh>
    <rPh sb="4" eb="5">
      <t>ジョウ</t>
    </rPh>
    <rPh sb="5" eb="6">
      <t>イワン</t>
    </rPh>
    <phoneticPr fontId="1"/>
  </si>
  <si>
    <t>煙突から排ガスの一酸化炭素の濃度（ppm）</t>
    <rPh sb="0" eb="2">
      <t>エントツ</t>
    </rPh>
    <rPh sb="4" eb="5">
      <t>ハイ</t>
    </rPh>
    <rPh sb="8" eb="11">
      <t>イッサンカ</t>
    </rPh>
    <rPh sb="11" eb="13">
      <t>タンソ</t>
    </rPh>
    <rPh sb="14" eb="16">
      <t>ノウド</t>
    </rPh>
    <phoneticPr fontId="1"/>
  </si>
  <si>
    <t>燃焼室中の燃焼ガスの温度（℃）</t>
    <rPh sb="0" eb="3">
      <t>ネンショウシツ</t>
    </rPh>
    <rPh sb="3" eb="4">
      <t>チュウ</t>
    </rPh>
    <rPh sb="5" eb="7">
      <t>ネンショウ</t>
    </rPh>
    <rPh sb="10" eb="12">
      <t>オンド</t>
    </rPh>
    <phoneticPr fontId="1"/>
  </si>
  <si>
    <t>集じん器に流入する燃焼ガスの温度（℃）</t>
    <rPh sb="0" eb="1">
      <t>シュウ</t>
    </rPh>
    <rPh sb="3" eb="4">
      <t>キ</t>
    </rPh>
    <rPh sb="5" eb="7">
      <t>リュウニュウ</t>
    </rPh>
    <rPh sb="9" eb="11">
      <t>ネンショウ</t>
    </rPh>
    <rPh sb="14" eb="16">
      <t>オンド</t>
    </rPh>
    <phoneticPr fontId="1"/>
  </si>
  <si>
    <t>排ガスの状況</t>
    <rPh sb="0" eb="1">
      <t>ハイ</t>
    </rPh>
    <rPh sb="4" eb="6">
      <t>ジョウキョウ</t>
    </rPh>
    <phoneticPr fontId="1"/>
  </si>
  <si>
    <t>施設名</t>
    <rPh sb="0" eb="1">
      <t>ホドコ</t>
    </rPh>
    <rPh sb="1" eb="2">
      <t>セツ</t>
    </rPh>
    <rPh sb="2" eb="3">
      <t>ナ</t>
    </rPh>
    <phoneticPr fontId="1"/>
  </si>
  <si>
    <t>許可番号</t>
    <rPh sb="0" eb="1">
      <t>モト</t>
    </rPh>
    <rPh sb="1" eb="2">
      <t>カ</t>
    </rPh>
    <rPh sb="2" eb="3">
      <t>バン</t>
    </rPh>
    <rPh sb="3" eb="4">
      <t>ゴウ</t>
    </rPh>
    <phoneticPr fontId="1"/>
  </si>
  <si>
    <t>○　ごみ搬入状況</t>
    <rPh sb="4" eb="6">
      <t>ハンニュウ</t>
    </rPh>
    <rPh sb="6" eb="8">
      <t>ジョウキョウ</t>
    </rPh>
    <phoneticPr fontId="1"/>
  </si>
  <si>
    <t>浸出水処理方式</t>
    <rPh sb="0" eb="2">
      <t>シンシュツ</t>
    </rPh>
    <rPh sb="2" eb="3">
      <t>ミズ</t>
    </rPh>
    <rPh sb="3" eb="5">
      <t>ショリ</t>
    </rPh>
    <rPh sb="5" eb="7">
      <t>ホウシキ</t>
    </rPh>
    <phoneticPr fontId="1"/>
  </si>
  <si>
    <t>○　埋立状況</t>
    <rPh sb="2" eb="4">
      <t>ウメタテ</t>
    </rPh>
    <rPh sb="4" eb="6">
      <t>ジョウキョウ</t>
    </rPh>
    <phoneticPr fontId="1"/>
  </si>
  <si>
    <t>浸出水</t>
    <rPh sb="0" eb="3">
      <t>シンシュツスイ</t>
    </rPh>
    <phoneticPr fontId="1"/>
  </si>
  <si>
    <t>放流水</t>
    <rPh sb="0" eb="3">
      <t>ホウリュウスイ</t>
    </rPh>
    <phoneticPr fontId="1"/>
  </si>
  <si>
    <t>処理能力</t>
    <rPh sb="0" eb="2">
      <t>ショリ</t>
    </rPh>
    <rPh sb="2" eb="4">
      <t>ノウリョク</t>
    </rPh>
    <phoneticPr fontId="1"/>
  </si>
  <si>
    <t>埋立対象廃棄物</t>
    <rPh sb="0" eb="2">
      <t>ウメタテ</t>
    </rPh>
    <rPh sb="2" eb="4">
      <t>タイショウ</t>
    </rPh>
    <rPh sb="4" eb="7">
      <t>ハイキブツ</t>
    </rPh>
    <phoneticPr fontId="1"/>
  </si>
  <si>
    <t xml:space="preserve"> 埋立ごみ量（ｔ）</t>
    <rPh sb="1" eb="3">
      <t>ウメタテ</t>
    </rPh>
    <rPh sb="5" eb="6">
      <t>リョウ</t>
    </rPh>
    <phoneticPr fontId="1"/>
  </si>
  <si>
    <t xml:space="preserve"> 埋立ごみ量（m3）</t>
    <rPh sb="1" eb="3">
      <t>ウメタテ</t>
    </rPh>
    <rPh sb="5" eb="6">
      <t>リョウ</t>
    </rPh>
    <phoneticPr fontId="1"/>
  </si>
  <si>
    <t xml:space="preserve"> 覆土量（m3）</t>
    <rPh sb="1" eb="3">
      <t>フクド</t>
    </rPh>
    <rPh sb="3" eb="4">
      <t>リョウ</t>
    </rPh>
    <phoneticPr fontId="1"/>
  </si>
  <si>
    <t xml:space="preserve"> 埋立容量（m3）</t>
    <rPh sb="1" eb="3">
      <t>ウメタテ</t>
    </rPh>
    <rPh sb="3" eb="5">
      <t>ヨウリョウ</t>
    </rPh>
    <phoneticPr fontId="1"/>
  </si>
  <si>
    <t>BOD又はCOD(mg/L）</t>
  </si>
  <si>
    <t>pH</t>
  </si>
  <si>
    <t>SS(mg/L)</t>
  </si>
  <si>
    <t>焼却対象廃棄物</t>
    <rPh sb="0" eb="2">
      <t>ショウキャク</t>
    </rPh>
    <rPh sb="2" eb="4">
      <t>タイショウ</t>
    </rPh>
    <rPh sb="4" eb="7">
      <t>ハイキブツ</t>
    </rPh>
    <phoneticPr fontId="1"/>
  </si>
  <si>
    <t xml:space="preserve"> 焼却残渣（t)</t>
    <rPh sb="1" eb="3">
      <t>ショウキャク</t>
    </rPh>
    <rPh sb="3" eb="5">
      <t>ザンサ</t>
    </rPh>
    <phoneticPr fontId="1"/>
  </si>
  <si>
    <t xml:space="preserve"> 直接埋立ごみ量（t)</t>
    <rPh sb="1" eb="3">
      <t>チョクセツ</t>
    </rPh>
    <rPh sb="3" eb="5">
      <t>ウメタテ</t>
    </rPh>
    <rPh sb="7" eb="8">
      <t>リョウ</t>
    </rPh>
    <phoneticPr fontId="1"/>
  </si>
  <si>
    <t>浸出水処理施設規模</t>
    <rPh sb="0" eb="2">
      <t>シンシュツ</t>
    </rPh>
    <rPh sb="2" eb="3">
      <t>ミズ</t>
    </rPh>
    <rPh sb="3" eb="5">
      <t>ショリ</t>
    </rPh>
    <rPh sb="5" eb="7">
      <t>シセツ</t>
    </rPh>
    <rPh sb="7" eb="9">
      <t>キボ</t>
    </rPh>
    <phoneticPr fontId="1"/>
  </si>
  <si>
    <t>しゃ水工</t>
    <rPh sb="2" eb="4">
      <t>スイコウ</t>
    </rPh>
    <phoneticPr fontId="1"/>
  </si>
  <si>
    <t>排ガス処理方式</t>
    <rPh sb="0" eb="1">
      <t>ハイ</t>
    </rPh>
    <rPh sb="3" eb="5">
      <t>ショリ</t>
    </rPh>
    <rPh sb="5" eb="7">
      <t>ホウシキ</t>
    </rPh>
    <phoneticPr fontId="1"/>
  </si>
  <si>
    <t>最大</t>
  </si>
  <si>
    <t>平均</t>
  </si>
  <si>
    <t>日平均処理量(t/日)</t>
  </si>
  <si>
    <t>日平均処理量(t/日)</t>
    <rPh sb="0" eb="1">
      <t>ニチ</t>
    </rPh>
    <rPh sb="1" eb="3">
      <t>ヘイキン</t>
    </rPh>
    <rPh sb="3" eb="6">
      <t>ショリリョウ</t>
    </rPh>
    <rPh sb="9" eb="10">
      <t>ニチ</t>
    </rPh>
    <phoneticPr fontId="1"/>
  </si>
  <si>
    <t>処理量(t)</t>
    <rPh sb="0" eb="3">
      <t>ショリリョウ</t>
    </rPh>
    <phoneticPr fontId="1"/>
  </si>
  <si>
    <t>処理量(t)</t>
    <phoneticPr fontId="1"/>
  </si>
  <si>
    <t>ばいじんの処理方法</t>
    <rPh sb="5" eb="7">
      <t>ショリ</t>
    </rPh>
    <rPh sb="7" eb="9">
      <t>ホウホウ</t>
    </rPh>
    <phoneticPr fontId="1"/>
  </si>
  <si>
    <t>焼却灰の処理方法</t>
    <rPh sb="0" eb="3">
      <t>ショウキャクバイ</t>
    </rPh>
    <rPh sb="4" eb="6">
      <t>ショリ</t>
    </rPh>
    <rPh sb="6" eb="8">
      <t>ホウホウ</t>
    </rPh>
    <phoneticPr fontId="1"/>
  </si>
  <si>
    <t>埋立地面積</t>
    <rPh sb="0" eb="3">
      <t>ウメタテチ</t>
    </rPh>
    <rPh sb="3" eb="5">
      <t>メンセキ</t>
    </rPh>
    <phoneticPr fontId="1"/>
  </si>
  <si>
    <t>埋立容量</t>
    <rPh sb="0" eb="2">
      <t>ウメタテ</t>
    </rPh>
    <rPh sb="2" eb="4">
      <t>ヨウリョウ</t>
    </rPh>
    <phoneticPr fontId="1"/>
  </si>
  <si>
    <t>運転日数（日）</t>
    <rPh sb="0" eb="2">
      <t>ウンテン</t>
    </rPh>
    <rPh sb="2" eb="4">
      <t>ニッスウ</t>
    </rPh>
    <rPh sb="5" eb="6">
      <t>ニチ</t>
    </rPh>
    <phoneticPr fontId="1"/>
  </si>
  <si>
    <t>延べ運転日数（日）</t>
    <rPh sb="0" eb="1">
      <t>ノ</t>
    </rPh>
    <rPh sb="2" eb="4">
      <t>ウンテン</t>
    </rPh>
    <rPh sb="4" eb="6">
      <t>ニッスウ</t>
    </rPh>
    <rPh sb="7" eb="8">
      <t>ニチ</t>
    </rPh>
    <phoneticPr fontId="1"/>
  </si>
  <si>
    <t>収集ごみ</t>
    <rPh sb="0" eb="2">
      <t>シュウシュウ</t>
    </rPh>
    <phoneticPr fontId="1"/>
  </si>
  <si>
    <t>　利　尻　郡　清　掃　施　設　組　合</t>
    <rPh sb="1" eb="2">
      <t>リ</t>
    </rPh>
    <rPh sb="3" eb="4">
      <t>シリ</t>
    </rPh>
    <rPh sb="5" eb="6">
      <t>グン</t>
    </rPh>
    <rPh sb="7" eb="8">
      <t>セイ</t>
    </rPh>
    <rPh sb="9" eb="10">
      <t>ハ</t>
    </rPh>
    <rPh sb="11" eb="12">
      <t>シ</t>
    </rPh>
    <rPh sb="13" eb="14">
      <t>セツ</t>
    </rPh>
    <rPh sb="15" eb="16">
      <t>クミ</t>
    </rPh>
    <rPh sb="17" eb="18">
      <t>ゴウ</t>
    </rPh>
    <phoneticPr fontId="1"/>
  </si>
  <si>
    <t>　利　尻　郡　ご　み　焼　却　処　理　場</t>
    <phoneticPr fontId="1"/>
  </si>
  <si>
    <t>　北海道利尻郡利尻富士町鴛泊字大磯443番地</t>
    <rPh sb="1" eb="4">
      <t>ホッカイドウ</t>
    </rPh>
    <rPh sb="4" eb="7">
      <t>リシリグン</t>
    </rPh>
    <rPh sb="7" eb="11">
      <t>リシリフジ</t>
    </rPh>
    <rPh sb="11" eb="12">
      <t>マチ</t>
    </rPh>
    <rPh sb="12" eb="13">
      <t>オシ</t>
    </rPh>
    <rPh sb="13" eb="14">
      <t>ド</t>
    </rPh>
    <rPh sb="14" eb="15">
      <t>アザ</t>
    </rPh>
    <rPh sb="15" eb="17">
      <t>オオイソ</t>
    </rPh>
    <rPh sb="20" eb="22">
      <t>バンチ</t>
    </rPh>
    <phoneticPr fontId="1"/>
  </si>
  <si>
    <t>55,300㎥</t>
    <phoneticPr fontId="1"/>
  </si>
  <si>
    <t>環廃第　13-3号</t>
    <rPh sb="0" eb="1">
      <t>カン</t>
    </rPh>
    <rPh sb="1" eb="2">
      <t>ハイ</t>
    </rPh>
    <rPh sb="2" eb="3">
      <t>ダイ</t>
    </rPh>
    <rPh sb="8" eb="9">
      <t>ゴウ</t>
    </rPh>
    <phoneticPr fontId="1"/>
  </si>
  <si>
    <t>15ｔ／日</t>
    <phoneticPr fontId="1"/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</si>
  <si>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</si>
  <si>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</si>
  <si>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</si>
  <si>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</si>
  <si>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</si>
  <si>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</si>
  <si>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</si>
  <si>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</si>
  <si>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</si>
  <si>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</si>
  <si>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</si>
  <si>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</si>
  <si>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計</t>
  </si>
  <si>
    <t>最小</t>
  </si>
  <si>
    <t>　一　般　廃　棄　物　最　終　処　分　場　</t>
    <rPh sb="1" eb="2">
      <t>イチ</t>
    </rPh>
    <rPh sb="3" eb="4">
      <t>ハン</t>
    </rPh>
    <rPh sb="5" eb="6">
      <t>ハイ</t>
    </rPh>
    <rPh sb="7" eb="8">
      <t>キ</t>
    </rPh>
    <rPh sb="9" eb="10">
      <t>ブツ</t>
    </rPh>
    <rPh sb="11" eb="12">
      <t>サイ</t>
    </rPh>
    <rPh sb="13" eb="14">
      <t>オワ</t>
    </rPh>
    <rPh sb="15" eb="16">
      <t>ショ</t>
    </rPh>
    <rPh sb="17" eb="18">
      <t>ブン</t>
    </rPh>
    <rPh sb="19" eb="20">
      <t>バ</t>
    </rPh>
    <phoneticPr fontId="1"/>
  </si>
  <si>
    <t>バグフィルタ、乾式有害ガス除去装置、活性炭噴霧装置</t>
    <rPh sb="7" eb="9">
      <t>カンシキ</t>
    </rPh>
    <rPh sb="9" eb="11">
      <t>ユウガイ</t>
    </rPh>
    <rPh sb="13" eb="15">
      <t>ジョキョ</t>
    </rPh>
    <rPh sb="15" eb="17">
      <t>ソウチ</t>
    </rPh>
    <rPh sb="18" eb="20">
      <t>カッセイ</t>
    </rPh>
    <rPh sb="20" eb="21">
      <t>タン</t>
    </rPh>
    <rPh sb="21" eb="23">
      <t>フンム</t>
    </rPh>
    <rPh sb="23" eb="25">
      <t>ソウチ</t>
    </rPh>
    <phoneticPr fontId="1"/>
  </si>
  <si>
    <t>　一般廃棄物、感染性廃棄物、動植物廃棄物</t>
    <rPh sb="1" eb="3">
      <t>イッパン</t>
    </rPh>
    <rPh sb="3" eb="6">
      <t>ハイキブツ</t>
    </rPh>
    <rPh sb="7" eb="10">
      <t>カンセンセイ</t>
    </rPh>
    <rPh sb="10" eb="13">
      <t>ハイキブツ</t>
    </rPh>
    <rPh sb="14" eb="17">
      <t>ドウショクブツ</t>
    </rPh>
    <rPh sb="17" eb="20">
      <t>ハイキブツ</t>
    </rPh>
    <phoneticPr fontId="1"/>
  </si>
  <si>
    <t>　添加水、セメント、薬剤固化（埋立）</t>
    <rPh sb="1" eb="3">
      <t>テンカ</t>
    </rPh>
    <rPh sb="3" eb="4">
      <t>スイ</t>
    </rPh>
    <rPh sb="10" eb="12">
      <t>ヤクザイ</t>
    </rPh>
    <rPh sb="12" eb="14">
      <t>コカ</t>
    </rPh>
    <rPh sb="15" eb="16">
      <t>ウ</t>
    </rPh>
    <rPh sb="16" eb="17">
      <t>タ</t>
    </rPh>
    <phoneticPr fontId="1"/>
  </si>
  <si>
    <t>灰バンカ（埋立）　</t>
    <rPh sb="0" eb="1">
      <t>ハイ</t>
    </rPh>
    <rPh sb="5" eb="6">
      <t>ウ</t>
    </rPh>
    <rPh sb="6" eb="7">
      <t>タ</t>
    </rPh>
    <phoneticPr fontId="1"/>
  </si>
  <si>
    <t>一般（直搬ごみ）</t>
    <rPh sb="0" eb="2">
      <t>イッパン</t>
    </rPh>
    <rPh sb="3" eb="4">
      <t>チョク</t>
    </rPh>
    <rPh sb="4" eb="5">
      <t>ハコ</t>
    </rPh>
    <phoneticPr fontId="1"/>
  </si>
  <si>
    <t>○　排ガスの状況</t>
    <rPh sb="2" eb="3">
      <t>ハイ</t>
    </rPh>
    <rPh sb="6" eb="8">
      <t>ジョウキョウ</t>
    </rPh>
    <phoneticPr fontId="1"/>
  </si>
  <si>
    <t>併せ産廃(動植物性)</t>
    <rPh sb="0" eb="1">
      <t>ヘイ</t>
    </rPh>
    <rPh sb="2" eb="4">
      <t>サンパイ</t>
    </rPh>
    <rPh sb="5" eb="8">
      <t>ドウショクブツ</t>
    </rPh>
    <rPh sb="8" eb="9">
      <t>セイ</t>
    </rPh>
    <phoneticPr fontId="1"/>
  </si>
  <si>
    <t>併せ産廃(医療系)</t>
    <rPh sb="0" eb="1">
      <t>ヘイ</t>
    </rPh>
    <rPh sb="2" eb="4">
      <t>サンパイ</t>
    </rPh>
    <rPh sb="5" eb="7">
      <t>イリョウ</t>
    </rPh>
    <rPh sb="7" eb="8">
      <t>ケイ</t>
    </rPh>
    <phoneticPr fontId="1"/>
  </si>
  <si>
    <t>ばいじん固化量(t)</t>
    <rPh sb="4" eb="6">
      <t>コカ</t>
    </rPh>
    <rPh sb="6" eb="7">
      <t>リョウ</t>
    </rPh>
    <phoneticPr fontId="1"/>
  </si>
  <si>
    <t>焼却灰量(t)</t>
    <rPh sb="0" eb="3">
      <t>ショウキャクバイ</t>
    </rPh>
    <phoneticPr fontId="1"/>
  </si>
  <si>
    <t>　収集可燃ごみ量(t)</t>
    <rPh sb="1" eb="3">
      <t>シュウシュウ</t>
    </rPh>
    <rPh sb="3" eb="5">
      <t>カネン</t>
    </rPh>
    <rPh sb="7" eb="8">
      <t>リョウ</t>
    </rPh>
    <phoneticPr fontId="1"/>
  </si>
  <si>
    <t>　直接搬入可燃ごみ量(t)</t>
    <rPh sb="1" eb="3">
      <t>チョクセツ</t>
    </rPh>
    <rPh sb="3" eb="5">
      <t>ハンニュウ</t>
    </rPh>
    <rPh sb="5" eb="7">
      <t>カネン</t>
    </rPh>
    <rPh sb="9" eb="10">
      <t>リョウ</t>
    </rPh>
    <phoneticPr fontId="1"/>
  </si>
  <si>
    <t>一般廃棄物（可燃物）</t>
    <rPh sb="0" eb="2">
      <t>イッパン</t>
    </rPh>
    <rPh sb="2" eb="5">
      <t>ハイキブツ</t>
    </rPh>
    <rPh sb="6" eb="8">
      <t>カネン</t>
    </rPh>
    <rPh sb="8" eb="9">
      <t>ブツ</t>
    </rPh>
    <phoneticPr fontId="1"/>
  </si>
  <si>
    <t>○　擁壁、遮水工、調整池、浸出水処理設備、導水管、配管等設備の補修・更新時の状況</t>
    <rPh sb="2" eb="3">
      <t>ヨウ</t>
    </rPh>
    <rPh sb="3" eb="4">
      <t>ヘキ</t>
    </rPh>
    <rPh sb="5" eb="6">
      <t>シャ</t>
    </rPh>
    <rPh sb="6" eb="7">
      <t>スイ</t>
    </rPh>
    <rPh sb="7" eb="8">
      <t>コウ</t>
    </rPh>
    <rPh sb="9" eb="12">
      <t>チョウセイチ</t>
    </rPh>
    <rPh sb="13" eb="15">
      <t>シンシュツ</t>
    </rPh>
    <rPh sb="15" eb="16">
      <t>ミズ</t>
    </rPh>
    <rPh sb="16" eb="18">
      <t>ショリ</t>
    </rPh>
    <rPh sb="18" eb="20">
      <t>セツビ</t>
    </rPh>
    <rPh sb="21" eb="23">
      <t>ドウスイ</t>
    </rPh>
    <rPh sb="23" eb="24">
      <t>カン</t>
    </rPh>
    <rPh sb="25" eb="28">
      <t>ハイカンナド</t>
    </rPh>
    <rPh sb="28" eb="30">
      <t>セツビ</t>
    </rPh>
    <rPh sb="31" eb="33">
      <t>ホシュウ</t>
    </rPh>
    <rPh sb="34" eb="37">
      <t>コウシンジ</t>
    </rPh>
    <rPh sb="38" eb="40">
      <t>ジョウキョウ</t>
    </rPh>
    <phoneticPr fontId="1"/>
  </si>
  <si>
    <t>設　　備</t>
    <rPh sb="0" eb="1">
      <t>セツ</t>
    </rPh>
    <rPh sb="3" eb="4">
      <t>ソナエ</t>
    </rPh>
    <phoneticPr fontId="1"/>
  </si>
  <si>
    <t>内　　容</t>
    <rPh sb="0" eb="1">
      <t>ウチ</t>
    </rPh>
    <rPh sb="3" eb="4">
      <t>カタチ</t>
    </rPh>
    <phoneticPr fontId="1"/>
  </si>
  <si>
    <t>年 月 日</t>
    <rPh sb="0" eb="1">
      <t>トシ</t>
    </rPh>
    <rPh sb="2" eb="3">
      <t>ツキ</t>
    </rPh>
    <rPh sb="4" eb="5">
      <t>ヒ</t>
    </rPh>
    <phoneticPr fontId="1"/>
  </si>
  <si>
    <t>○　排ガス中のダイオキシン類濃度及びばい煙測定結果</t>
    <rPh sb="2" eb="3">
      <t>ハイ</t>
    </rPh>
    <rPh sb="5" eb="6">
      <t>チュウ</t>
    </rPh>
    <rPh sb="13" eb="14">
      <t>ルイ</t>
    </rPh>
    <rPh sb="14" eb="16">
      <t>ノウド</t>
    </rPh>
    <rPh sb="16" eb="17">
      <t>オヨ</t>
    </rPh>
    <rPh sb="20" eb="21">
      <t>エン</t>
    </rPh>
    <rPh sb="21" eb="23">
      <t>ソクテイ</t>
    </rPh>
    <rPh sb="23" eb="25">
      <t>ケッカ</t>
    </rPh>
    <phoneticPr fontId="1"/>
  </si>
  <si>
    <t>ダイオキシン類</t>
    <rPh sb="6" eb="7">
      <t>ルイ</t>
    </rPh>
    <phoneticPr fontId="1"/>
  </si>
  <si>
    <t>ばいじん</t>
    <phoneticPr fontId="1"/>
  </si>
  <si>
    <t>塩化水素</t>
    <rPh sb="0" eb="2">
      <t>エンカ</t>
    </rPh>
    <rPh sb="2" eb="4">
      <t>スイソ</t>
    </rPh>
    <phoneticPr fontId="1"/>
  </si>
  <si>
    <t>硫黄酸化物</t>
    <rPh sb="0" eb="2">
      <t>イオウ</t>
    </rPh>
    <rPh sb="2" eb="4">
      <t>サンカ</t>
    </rPh>
    <rPh sb="4" eb="5">
      <t>ブツ</t>
    </rPh>
    <phoneticPr fontId="1"/>
  </si>
  <si>
    <t>窒素酸化物</t>
    <rPh sb="0" eb="2">
      <t>チッソ</t>
    </rPh>
    <rPh sb="2" eb="5">
      <t>サンカブツ</t>
    </rPh>
    <phoneticPr fontId="1"/>
  </si>
  <si>
    <r>
      <t>(ng-TEQ/m</t>
    </r>
    <r>
      <rPr>
        <vertAlign val="superscript"/>
        <sz val="7"/>
        <rFont val="ＭＳ 明朝"/>
        <family val="1"/>
        <charset val="128"/>
      </rPr>
      <t>3</t>
    </r>
    <r>
      <rPr>
        <sz val="7"/>
        <rFont val="ＭＳ 明朝"/>
        <family val="1"/>
        <charset val="128"/>
      </rPr>
      <t>N)</t>
    </r>
    <phoneticPr fontId="1"/>
  </si>
  <si>
    <t>(g/m3N)</t>
    <phoneticPr fontId="1"/>
  </si>
  <si>
    <r>
      <t>(mg/m</t>
    </r>
    <r>
      <rPr>
        <vertAlign val="superscript"/>
        <sz val="7"/>
        <rFont val="ＭＳ 明朝"/>
        <family val="1"/>
        <charset val="128"/>
      </rPr>
      <t>3</t>
    </r>
    <r>
      <rPr>
        <sz val="7"/>
        <rFont val="ＭＳ 明朝"/>
        <family val="1"/>
        <charset val="128"/>
      </rPr>
      <t>N)</t>
    </r>
    <phoneticPr fontId="1"/>
  </si>
  <si>
    <r>
      <t>(m</t>
    </r>
    <r>
      <rPr>
        <vertAlign val="superscript"/>
        <sz val="7"/>
        <rFont val="ＭＳ 明朝"/>
        <family val="1"/>
        <charset val="128"/>
      </rPr>
      <t>3</t>
    </r>
    <r>
      <rPr>
        <sz val="7"/>
        <rFont val="ＭＳ 明朝"/>
        <family val="1"/>
        <charset val="128"/>
      </rPr>
      <t>N/h)</t>
    </r>
    <phoneticPr fontId="1"/>
  </si>
  <si>
    <t>(Vol ppm)</t>
    <phoneticPr fontId="1"/>
  </si>
  <si>
    <t>焼却炉</t>
    <rPh sb="0" eb="3">
      <t>ショウキャクロ</t>
    </rPh>
    <phoneticPr fontId="1"/>
  </si>
  <si>
    <t>○　放流水等の状況</t>
    <rPh sb="2" eb="5">
      <t>ホウリュウスイ</t>
    </rPh>
    <rPh sb="5" eb="6">
      <t>トウ</t>
    </rPh>
    <rPh sb="7" eb="9">
      <t>ジョウキョウ</t>
    </rPh>
    <phoneticPr fontId="1"/>
  </si>
  <si>
    <t>一般廃棄物最終処分場水質検査状況</t>
    <rPh sb="0" eb="2">
      <t>イッパン</t>
    </rPh>
    <rPh sb="2" eb="5">
      <t>ハイキブツ</t>
    </rPh>
    <rPh sb="5" eb="7">
      <t>サイシュウ</t>
    </rPh>
    <rPh sb="7" eb="10">
      <t>ショブンジョウ</t>
    </rPh>
    <rPh sb="10" eb="12">
      <t>スイシツ</t>
    </rPh>
    <rPh sb="12" eb="14">
      <t>ケンサ</t>
    </rPh>
    <rPh sb="14" eb="16">
      <t>ジョウキョウ</t>
    </rPh>
    <phoneticPr fontId="6"/>
  </si>
  <si>
    <t>水銀及びアルキル水銀その他の水銀化合物</t>
    <rPh sb="0" eb="2">
      <t>スイギン</t>
    </rPh>
    <rPh sb="2" eb="3">
      <t>オヨ</t>
    </rPh>
    <rPh sb="8" eb="10">
      <t>スイギン</t>
    </rPh>
    <rPh sb="12" eb="13">
      <t>タ</t>
    </rPh>
    <rPh sb="14" eb="16">
      <t>スイギン</t>
    </rPh>
    <rPh sb="16" eb="19">
      <t>カゴウブツ</t>
    </rPh>
    <phoneticPr fontId="6"/>
  </si>
  <si>
    <t>カドミウム及びその化合物</t>
    <rPh sb="5" eb="6">
      <t>オヨ</t>
    </rPh>
    <rPh sb="9" eb="12">
      <t>カゴウブツ</t>
    </rPh>
    <phoneticPr fontId="6"/>
  </si>
  <si>
    <t>鉛及びその化合物</t>
    <rPh sb="0" eb="1">
      <t>ナマリ</t>
    </rPh>
    <rPh sb="1" eb="2">
      <t>オヨ</t>
    </rPh>
    <rPh sb="5" eb="8">
      <t>カゴウブツ</t>
    </rPh>
    <phoneticPr fontId="6"/>
  </si>
  <si>
    <t>シアン化合物</t>
    <rPh sb="3" eb="6">
      <t>カゴウブツ</t>
    </rPh>
    <phoneticPr fontId="6"/>
  </si>
  <si>
    <t>計量の結果</t>
    <rPh sb="0" eb="2">
      <t>ケイリョウ</t>
    </rPh>
    <rPh sb="3" eb="5">
      <t>ケッカ</t>
    </rPh>
    <phoneticPr fontId="6"/>
  </si>
  <si>
    <t>単位</t>
    <rPh sb="0" eb="2">
      <t>タンイ</t>
    </rPh>
    <phoneticPr fontId="6"/>
  </si>
  <si>
    <t>放流水</t>
    <rPh sb="0" eb="2">
      <t>ホウリュウ</t>
    </rPh>
    <rPh sb="2" eb="3">
      <t>ミズ</t>
    </rPh>
    <phoneticPr fontId="6"/>
  </si>
  <si>
    <t>生物化学的酸素要求量（ＢＯＤ）</t>
    <rPh sb="0" eb="2">
      <t>セイブツ</t>
    </rPh>
    <rPh sb="2" eb="4">
      <t>カガク</t>
    </rPh>
    <rPh sb="4" eb="5">
      <t>テキ</t>
    </rPh>
    <rPh sb="5" eb="7">
      <t>サンソ</t>
    </rPh>
    <rPh sb="7" eb="10">
      <t>ヨウキュウリョウ</t>
    </rPh>
    <phoneticPr fontId="6"/>
  </si>
  <si>
    <t>科学的酸素要求量（ＣＯＤ）</t>
    <rPh sb="0" eb="3">
      <t>カガクテキ</t>
    </rPh>
    <rPh sb="3" eb="5">
      <t>サンソ</t>
    </rPh>
    <rPh sb="5" eb="8">
      <t>ヨウキュウリョウ</t>
    </rPh>
    <phoneticPr fontId="6"/>
  </si>
  <si>
    <t>アルキル水銀化合物</t>
    <rPh sb="4" eb="6">
      <t>スイギン</t>
    </rPh>
    <rPh sb="6" eb="9">
      <t>カゴウブツ</t>
    </rPh>
    <phoneticPr fontId="6"/>
  </si>
  <si>
    <t>有機燐化合物</t>
    <rPh sb="0" eb="2">
      <t>ユウキ</t>
    </rPh>
    <rPh sb="2" eb="3">
      <t>リン</t>
    </rPh>
    <rPh sb="3" eb="6">
      <t>カゴウブツ</t>
    </rPh>
    <phoneticPr fontId="6"/>
  </si>
  <si>
    <t>六価クロム化合物</t>
    <rPh sb="0" eb="1">
      <t>ロク</t>
    </rPh>
    <rPh sb="1" eb="2">
      <t>カ</t>
    </rPh>
    <rPh sb="5" eb="8">
      <t>カゴウブツ</t>
    </rPh>
    <phoneticPr fontId="6"/>
  </si>
  <si>
    <t>砒素及びその化合物</t>
    <rPh sb="0" eb="2">
      <t>ヒソ</t>
    </rPh>
    <rPh sb="2" eb="3">
      <t>オヨ</t>
    </rPh>
    <rPh sb="6" eb="9">
      <t>カゴウブツ</t>
    </rPh>
    <phoneticPr fontId="6"/>
  </si>
  <si>
    <t>ポリ塩化ビフェニル</t>
    <rPh sb="2" eb="4">
      <t>エンカ</t>
    </rPh>
    <phoneticPr fontId="6"/>
  </si>
  <si>
    <t>四塩化炭素</t>
    <rPh sb="0" eb="1">
      <t>シ</t>
    </rPh>
    <rPh sb="1" eb="3">
      <t>エンカ</t>
    </rPh>
    <rPh sb="3" eb="5">
      <t>タンソ</t>
    </rPh>
    <phoneticPr fontId="6"/>
  </si>
  <si>
    <t>セレン及びその化合物</t>
    <rPh sb="3" eb="4">
      <t>オヨ</t>
    </rPh>
    <rPh sb="7" eb="10">
      <t>カゴウブツ</t>
    </rPh>
    <phoneticPr fontId="6"/>
  </si>
  <si>
    <t>ほう素及びその化合物</t>
    <rPh sb="2" eb="3">
      <t>ソ</t>
    </rPh>
    <rPh sb="3" eb="4">
      <t>オヨ</t>
    </rPh>
    <rPh sb="7" eb="10">
      <t>カゴウブツ</t>
    </rPh>
    <phoneticPr fontId="6"/>
  </si>
  <si>
    <t>ふっ素及びその化合物</t>
    <rPh sb="2" eb="3">
      <t>ソ</t>
    </rPh>
    <rPh sb="3" eb="4">
      <t>オヨ</t>
    </rPh>
    <rPh sb="7" eb="10">
      <t>カゴウブツ</t>
    </rPh>
    <phoneticPr fontId="6"/>
  </si>
  <si>
    <t>アンモニア、アンモニウム化合物、亜硝酸化合物及び硝酸化合物</t>
    <rPh sb="12" eb="15">
      <t>カゴウブツ</t>
    </rPh>
    <rPh sb="16" eb="19">
      <t>アショウサン</t>
    </rPh>
    <rPh sb="19" eb="22">
      <t>カゴウブツ</t>
    </rPh>
    <rPh sb="22" eb="23">
      <t>オヨ</t>
    </rPh>
    <rPh sb="24" eb="26">
      <t>ショウサン</t>
    </rPh>
    <rPh sb="26" eb="29">
      <t>カゴウブツ</t>
    </rPh>
    <phoneticPr fontId="6"/>
  </si>
  <si>
    <t>ノルマルヘキサン抽出物質含有量　動植物油脂類含有量</t>
    <rPh sb="8" eb="10">
      <t>チュウシュツ</t>
    </rPh>
    <rPh sb="10" eb="12">
      <t>ブッシツ</t>
    </rPh>
    <rPh sb="12" eb="15">
      <t>ガンユウリョウ</t>
    </rPh>
    <rPh sb="16" eb="19">
      <t>ドウショクブツ</t>
    </rPh>
    <rPh sb="19" eb="21">
      <t>ユシ</t>
    </rPh>
    <rPh sb="21" eb="22">
      <t>ルイ</t>
    </rPh>
    <rPh sb="22" eb="25">
      <t>ガンユウリョウ</t>
    </rPh>
    <phoneticPr fontId="6"/>
  </si>
  <si>
    <t>フェノール類含有量</t>
    <rPh sb="5" eb="6">
      <t>ルイ</t>
    </rPh>
    <rPh sb="6" eb="9">
      <t>ガンユウリョウ</t>
    </rPh>
    <phoneticPr fontId="6"/>
  </si>
  <si>
    <t>銅含有量</t>
    <rPh sb="0" eb="1">
      <t>ドウ</t>
    </rPh>
    <rPh sb="1" eb="4">
      <t>ガンユウリョウ</t>
    </rPh>
    <phoneticPr fontId="6"/>
  </si>
  <si>
    <t>亜鉛含有量</t>
    <rPh sb="0" eb="2">
      <t>アエン</t>
    </rPh>
    <rPh sb="2" eb="5">
      <t>ガンユウリョウ</t>
    </rPh>
    <phoneticPr fontId="6"/>
  </si>
  <si>
    <t>溶解性鉄含有量</t>
    <rPh sb="0" eb="2">
      <t>ヨウカイ</t>
    </rPh>
    <rPh sb="2" eb="3">
      <t>セイ</t>
    </rPh>
    <rPh sb="3" eb="4">
      <t>テツ</t>
    </rPh>
    <rPh sb="4" eb="7">
      <t>ガンユウリョウ</t>
    </rPh>
    <phoneticPr fontId="6"/>
  </si>
  <si>
    <t>溶解性マンガン含有量</t>
    <rPh sb="0" eb="3">
      <t>ヨウカイセイ</t>
    </rPh>
    <rPh sb="7" eb="10">
      <t>ガンユウリョウ</t>
    </rPh>
    <phoneticPr fontId="6"/>
  </si>
  <si>
    <t>クロム含有量</t>
    <rPh sb="3" eb="6">
      <t>ガンユウリョウ</t>
    </rPh>
    <phoneticPr fontId="6"/>
  </si>
  <si>
    <t>大腸菌群数</t>
    <rPh sb="0" eb="3">
      <t>ダイチョウキン</t>
    </rPh>
    <rPh sb="3" eb="4">
      <t>グン</t>
    </rPh>
    <rPh sb="4" eb="5">
      <t>スウ</t>
    </rPh>
    <phoneticPr fontId="6"/>
  </si>
  <si>
    <t>窒素含有量</t>
    <rPh sb="0" eb="2">
      <t>チッソ</t>
    </rPh>
    <rPh sb="2" eb="5">
      <t>ガンユウリョウ</t>
    </rPh>
    <phoneticPr fontId="6"/>
  </si>
  <si>
    <t>燐含有量</t>
    <rPh sb="0" eb="1">
      <t>リン</t>
    </rPh>
    <rPh sb="1" eb="4">
      <t>ガンユウリョウ</t>
    </rPh>
    <phoneticPr fontId="6"/>
  </si>
  <si>
    <t>チウラム</t>
    <phoneticPr fontId="6"/>
  </si>
  <si>
    <t>シマジン</t>
    <phoneticPr fontId="6"/>
  </si>
  <si>
    <t>チオベンカルブ</t>
    <phoneticPr fontId="6"/>
  </si>
  <si>
    <t>ベンゼン</t>
    <phoneticPr fontId="6"/>
  </si>
  <si>
    <t>トリクロロエチレン</t>
    <phoneticPr fontId="6"/>
  </si>
  <si>
    <t>テトラクロロエチレン</t>
    <phoneticPr fontId="6"/>
  </si>
  <si>
    <t>ジクロロメタン</t>
    <phoneticPr fontId="6"/>
  </si>
  <si>
    <t>1,2-ジクロロエタン</t>
    <phoneticPr fontId="6"/>
  </si>
  <si>
    <t>1,1-ジクロロエチレン</t>
    <phoneticPr fontId="6"/>
  </si>
  <si>
    <t>シス-1,2-ジクロロエチレン</t>
    <phoneticPr fontId="6"/>
  </si>
  <si>
    <t>1,1,1-トリクロロエタン</t>
    <phoneticPr fontId="6"/>
  </si>
  <si>
    <t>1,1,2-トリクロロエタン</t>
    <phoneticPr fontId="6"/>
  </si>
  <si>
    <t>1,3-ジクロロプロペン</t>
    <phoneticPr fontId="6"/>
  </si>
  <si>
    <t>mg/L</t>
    <phoneticPr fontId="6"/>
  </si>
  <si>
    <r>
      <t>個/cm</t>
    </r>
    <r>
      <rPr>
        <vertAlign val="superscript"/>
        <sz val="10"/>
        <rFont val="ＭＳ 明朝"/>
        <family val="1"/>
        <charset val="128"/>
      </rPr>
      <t>3</t>
    </r>
    <rPh sb="0" eb="1">
      <t>コ</t>
    </rPh>
    <phoneticPr fontId="6"/>
  </si>
  <si>
    <t>ダイオキシン類</t>
    <rPh sb="6" eb="7">
      <t>ルイ</t>
    </rPh>
    <phoneticPr fontId="6"/>
  </si>
  <si>
    <t>1,4ジオキサン</t>
    <phoneticPr fontId="6"/>
  </si>
  <si>
    <t>Pg-TEQ/L</t>
    <phoneticPr fontId="6"/>
  </si>
  <si>
    <t>-(℃)</t>
    <phoneticPr fontId="6"/>
  </si>
  <si>
    <t>大腸菌群数</t>
    <rPh sb="0" eb="3">
      <t>ダイチョウキン</t>
    </rPh>
    <rPh sb="3" eb="4">
      <t>グン</t>
    </rPh>
    <rPh sb="4" eb="5">
      <t>カズ</t>
    </rPh>
    <phoneticPr fontId="6"/>
  </si>
  <si>
    <t>○　焼却炉における灰試料の測定結果</t>
    <rPh sb="2" eb="5">
      <t>ショウキャクロ</t>
    </rPh>
    <rPh sb="9" eb="10">
      <t>ハイ</t>
    </rPh>
    <rPh sb="10" eb="12">
      <t>シリョウ</t>
    </rPh>
    <rPh sb="13" eb="15">
      <t>ソクテイ</t>
    </rPh>
    <rPh sb="15" eb="17">
      <t>ケッカ</t>
    </rPh>
    <phoneticPr fontId="1"/>
  </si>
  <si>
    <t>焼却灰</t>
    <rPh sb="0" eb="3">
      <t>ショウキャクバイ</t>
    </rPh>
    <phoneticPr fontId="1"/>
  </si>
  <si>
    <t>集じん灰固化物</t>
    <rPh sb="0" eb="1">
      <t>シュウ</t>
    </rPh>
    <rPh sb="3" eb="4">
      <t>ハイ</t>
    </rPh>
    <rPh sb="4" eb="6">
      <t>コカ</t>
    </rPh>
    <rPh sb="6" eb="7">
      <t>ブツ</t>
    </rPh>
    <phoneticPr fontId="1"/>
  </si>
  <si>
    <t>ダイオキシン類
(ng-TEQ/g-dry)</t>
    <rPh sb="6" eb="7">
      <t>ルイ</t>
    </rPh>
    <phoneticPr fontId="1"/>
  </si>
  <si>
    <t>平均値</t>
    <rPh sb="0" eb="3">
      <t>ヘイキンチ</t>
    </rPh>
    <phoneticPr fontId="1"/>
  </si>
  <si>
    <t>化学的酸素要求量（ＣＯＤ）</t>
    <rPh sb="0" eb="2">
      <t>カガク</t>
    </rPh>
    <rPh sb="2" eb="3">
      <t>テキ</t>
    </rPh>
    <rPh sb="3" eb="5">
      <t>サンソ</t>
    </rPh>
    <rPh sb="5" eb="8">
      <t>ヨウキュウリョウ</t>
    </rPh>
    <phoneticPr fontId="6"/>
  </si>
  <si>
    <t>不検出
（0.0005未満）</t>
    <rPh sb="0" eb="1">
      <t>フ</t>
    </rPh>
    <rPh sb="1" eb="3">
      <t>ケンシュツ</t>
    </rPh>
    <rPh sb="11" eb="13">
      <t>ミマン</t>
    </rPh>
    <phoneticPr fontId="6"/>
  </si>
  <si>
    <t>0.01未満</t>
    <rPh sb="4" eb="6">
      <t>ミマン</t>
    </rPh>
    <phoneticPr fontId="6"/>
  </si>
  <si>
    <t>0.1未満</t>
    <rPh sb="3" eb="5">
      <t>ミマン</t>
    </rPh>
    <phoneticPr fontId="6"/>
  </si>
  <si>
    <t>0.05未満</t>
    <rPh sb="4" eb="6">
      <t>ミマン</t>
    </rPh>
    <phoneticPr fontId="6"/>
  </si>
  <si>
    <t>0.001未満</t>
    <rPh sb="5" eb="7">
      <t>ミマン</t>
    </rPh>
    <phoneticPr fontId="6"/>
  </si>
  <si>
    <t>0.0005未満</t>
    <rPh sb="6" eb="8">
      <t>ミマン</t>
    </rPh>
    <phoneticPr fontId="6"/>
  </si>
  <si>
    <t>0.002未満</t>
    <rPh sb="5" eb="7">
      <t>ミマン</t>
    </rPh>
    <phoneticPr fontId="6"/>
  </si>
  <si>
    <t>0.006未満</t>
    <rPh sb="5" eb="7">
      <t>ミマン</t>
    </rPh>
    <phoneticPr fontId="6"/>
  </si>
  <si>
    <t>浮遊物質量（ＳＳ）</t>
    <rPh sb="0" eb="2">
      <t>フユウ</t>
    </rPh>
    <rPh sb="2" eb="3">
      <t>モノ</t>
    </rPh>
    <rPh sb="3" eb="5">
      <t>シツリョウ</t>
    </rPh>
    <phoneticPr fontId="6"/>
  </si>
  <si>
    <t>水素イオン濃度ＰＨ（測定時水温）</t>
    <rPh sb="0" eb="2">
      <t>スイソ</t>
    </rPh>
    <rPh sb="5" eb="7">
      <t>ノウド</t>
    </rPh>
    <rPh sb="10" eb="12">
      <t>ソクテイ</t>
    </rPh>
    <rPh sb="12" eb="13">
      <t>ジ</t>
    </rPh>
    <rPh sb="13" eb="15">
      <t>スイオン</t>
    </rPh>
    <phoneticPr fontId="6"/>
  </si>
  <si>
    <t>0.003未満</t>
    <rPh sb="5" eb="7">
      <t>ミマン</t>
    </rPh>
    <phoneticPr fontId="6"/>
  </si>
  <si>
    <t>0.02未満</t>
    <rPh sb="4" eb="6">
      <t>ミマン</t>
    </rPh>
    <phoneticPr fontId="6"/>
  </si>
  <si>
    <t>ノルマルヘキサン抽出物質含有量　鉱油類含有量</t>
    <rPh sb="8" eb="10">
      <t>チュウシュツ</t>
    </rPh>
    <rPh sb="10" eb="12">
      <t>ブッシツ</t>
    </rPh>
    <rPh sb="12" eb="15">
      <t>ガンユウリョウ</t>
    </rPh>
    <rPh sb="16" eb="18">
      <t>コウユ</t>
    </rPh>
    <rPh sb="18" eb="19">
      <t>ルイ</t>
    </rPh>
    <rPh sb="19" eb="22">
      <t>ガンユウリョウ</t>
    </rPh>
    <phoneticPr fontId="6"/>
  </si>
  <si>
    <t>1.0未満</t>
    <rPh sb="3" eb="5">
      <t>ミマン</t>
    </rPh>
    <phoneticPr fontId="6"/>
  </si>
  <si>
    <t>目視点検実施済　㊜</t>
    <rPh sb="0" eb="2">
      <t>モクシ</t>
    </rPh>
    <rPh sb="2" eb="4">
      <t>テンケン</t>
    </rPh>
    <rPh sb="4" eb="6">
      <t>ジッシ</t>
    </rPh>
    <rPh sb="6" eb="7">
      <t>ズ</t>
    </rPh>
    <phoneticPr fontId="1"/>
  </si>
  <si>
    <t>｛10｝</t>
    <phoneticPr fontId="1"/>
  </si>
  <si>
    <t>｛0.25｝</t>
    <phoneticPr fontId="1"/>
  </si>
  <si>
    <t>｛700｝</t>
    <phoneticPr fontId="1"/>
  </si>
  <si>
    <t>｛250｝</t>
    <phoneticPr fontId="1"/>
  </si>
  <si>
    <t>｛排ガス基準値｝</t>
    <rPh sb="1" eb="2">
      <t>ハイ</t>
    </rPh>
    <rPh sb="4" eb="6">
      <t>キジュン</t>
    </rPh>
    <rPh sb="6" eb="7">
      <t>チ</t>
    </rPh>
    <phoneticPr fontId="1"/>
  </si>
  <si>
    <t>全水銀</t>
    <rPh sb="0" eb="3">
      <t>ゼンスイギン</t>
    </rPh>
    <phoneticPr fontId="1"/>
  </si>
  <si>
    <r>
      <t>(μg/m</t>
    </r>
    <r>
      <rPr>
        <vertAlign val="superscript"/>
        <sz val="7"/>
        <rFont val="ＭＳ 明朝"/>
        <family val="1"/>
        <charset val="128"/>
      </rPr>
      <t>3</t>
    </r>
    <r>
      <rPr>
        <sz val="7"/>
        <rFont val="ＭＳ 明朝"/>
        <family val="1"/>
        <charset val="128"/>
      </rPr>
      <t>N)</t>
    </r>
    <phoneticPr fontId="1"/>
  </si>
  <si>
    <t>　測定月日　　　令和　　年　　月　　日</t>
    <rPh sb="1" eb="3">
      <t>ソクテイ</t>
    </rPh>
    <rPh sb="3" eb="5">
      <t>ガッピ</t>
    </rPh>
    <rPh sb="8" eb="10">
      <t>レイワ</t>
    </rPh>
    <rPh sb="12" eb="13">
      <t>ネン</t>
    </rPh>
    <rPh sb="15" eb="16">
      <t>ツキ</t>
    </rPh>
    <rPh sb="18" eb="19">
      <t>ヒ</t>
    </rPh>
    <phoneticPr fontId="1"/>
  </si>
  <si>
    <r>
      <t>○　令和4年度末残量　34，962m</t>
    </r>
    <r>
      <rPr>
        <vertAlign val="superscript"/>
        <sz val="7"/>
        <rFont val="ＭＳ 明朝"/>
        <family val="1"/>
        <charset val="128"/>
      </rPr>
      <t>3</t>
    </r>
    <rPh sb="2" eb="4">
      <t>レイワ</t>
    </rPh>
    <rPh sb="5" eb="8">
      <t>ネンドマツ</t>
    </rPh>
    <rPh sb="8" eb="10">
      <t>ザンリョウ</t>
    </rPh>
    <phoneticPr fontId="1"/>
  </si>
  <si>
    <t>　測定月日　　　令和5年4月25日</t>
    <rPh sb="1" eb="3">
      <t>ソクテイ</t>
    </rPh>
    <rPh sb="3" eb="5">
      <t>ガッピ</t>
    </rPh>
    <rPh sb="8" eb="10">
      <t>レイワ</t>
    </rPh>
    <rPh sb="11" eb="12">
      <t>ネン</t>
    </rPh>
    <rPh sb="13" eb="14">
      <t>ツキ</t>
    </rPh>
    <rPh sb="16" eb="17">
      <t>ヒ</t>
    </rPh>
    <phoneticPr fontId="1"/>
  </si>
  <si>
    <t>｛50｝</t>
    <phoneticPr fontId="1"/>
  </si>
  <si>
    <t>｛22.21｝</t>
    <phoneticPr fontId="1"/>
  </si>
  <si>
    <t>7.4（21）</t>
    <phoneticPr fontId="6"/>
  </si>
  <si>
    <t>採水年月日　令和 5 年　5 月　31　日</t>
    <rPh sb="0" eb="2">
      <t>サイスイ</t>
    </rPh>
    <rPh sb="2" eb="3">
      <t>ネン</t>
    </rPh>
    <rPh sb="3" eb="5">
      <t>ガッピ</t>
    </rPh>
    <rPh sb="6" eb="8">
      <t>レイワ</t>
    </rPh>
    <rPh sb="11" eb="12">
      <t>ネン</t>
    </rPh>
    <rPh sb="15" eb="16">
      <t>ツキ</t>
    </rPh>
    <rPh sb="20" eb="21">
      <t>ヒ</t>
    </rPh>
    <phoneticPr fontId="6"/>
  </si>
  <si>
    <t>0.7未満</t>
    <rPh sb="3" eb="5">
      <t>ミマン</t>
    </rPh>
    <phoneticPr fontId="6"/>
  </si>
  <si>
    <t>循環第　330-2号</t>
    <rPh sb="0" eb="2">
      <t>ジュンカン</t>
    </rPh>
    <rPh sb="2" eb="3">
      <t>ダイ</t>
    </rPh>
    <rPh sb="9" eb="10">
      <t>ゴウ</t>
    </rPh>
    <phoneticPr fontId="1"/>
  </si>
  <si>
    <t>16,995㎡</t>
    <phoneticPr fontId="1"/>
  </si>
  <si>
    <t>二重遮水シート工の準好気性</t>
    <rPh sb="0" eb="2">
      <t>ニジュウ</t>
    </rPh>
    <rPh sb="2" eb="3">
      <t>サエギ</t>
    </rPh>
    <rPh sb="3" eb="4">
      <t>スイ</t>
    </rPh>
    <rPh sb="7" eb="8">
      <t>コウ</t>
    </rPh>
    <rPh sb="9" eb="10">
      <t>ジュン</t>
    </rPh>
    <rPh sb="10" eb="11">
      <t>コウ</t>
    </rPh>
    <rPh sb="11" eb="12">
      <t>キ</t>
    </rPh>
    <rPh sb="12" eb="13">
      <t>セイ</t>
    </rPh>
    <phoneticPr fontId="1"/>
  </si>
  <si>
    <t>回転円板式生物処理＋凝集沈澱処理＋砂ろ過方式+接触曝気高度処理方式</t>
    <rPh sb="17" eb="18">
      <t>スナ</t>
    </rPh>
    <rPh sb="19" eb="20">
      <t>カ</t>
    </rPh>
    <rPh sb="20" eb="21">
      <t>ホウ</t>
    </rPh>
    <rPh sb="21" eb="22">
      <t>シキ</t>
    </rPh>
    <rPh sb="23" eb="25">
      <t>セッショク</t>
    </rPh>
    <rPh sb="25" eb="27">
      <t>バッキ</t>
    </rPh>
    <rPh sb="27" eb="29">
      <t>コウド</t>
    </rPh>
    <rPh sb="29" eb="31">
      <t>ショリ</t>
    </rPh>
    <rPh sb="31" eb="33">
      <t>ホウシキ</t>
    </rPh>
    <phoneticPr fontId="1"/>
  </si>
  <si>
    <t>40㎥／日</t>
    <rPh sb="4" eb="5">
      <t>ニチ</t>
    </rPh>
    <phoneticPr fontId="1"/>
  </si>
  <si>
    <t>　①一般廃棄物、②産業廃棄物（動植物残渣、医療系廃棄物残渣、焼却残渣、処理水汚泥）、③下水道汚泥</t>
    <rPh sb="2" eb="4">
      <t>イッパン</t>
    </rPh>
    <rPh sb="4" eb="7">
      <t>ハイキブツ</t>
    </rPh>
    <rPh sb="9" eb="14">
      <t>サンギョウハイキブツ</t>
    </rPh>
    <rPh sb="15" eb="18">
      <t>ドウショクブツ</t>
    </rPh>
    <rPh sb="18" eb="20">
      <t>ザンサ</t>
    </rPh>
    <rPh sb="21" eb="24">
      <t>イリョウケイ</t>
    </rPh>
    <rPh sb="24" eb="27">
      <t>ハイキブツ</t>
    </rPh>
    <rPh sb="27" eb="29">
      <t>ザンサ</t>
    </rPh>
    <rPh sb="30" eb="32">
      <t>ショウキャク</t>
    </rPh>
    <rPh sb="32" eb="34">
      <t>ザンサ</t>
    </rPh>
    <rPh sb="35" eb="38">
      <t>ショリスイ</t>
    </rPh>
    <rPh sb="38" eb="40">
      <t>オデイ</t>
    </rPh>
    <rPh sb="43" eb="46">
      <t>ゲスイドウ</t>
    </rPh>
    <rPh sb="46" eb="48">
      <t>オデイ</t>
    </rPh>
    <phoneticPr fontId="1"/>
  </si>
  <si>
    <t>　北海道利尻郡利尻富士町鴛泊字大磯521番地</t>
    <rPh sb="1" eb="4">
      <t>ホッカイドウ</t>
    </rPh>
    <rPh sb="4" eb="7">
      <t>リシリグン</t>
    </rPh>
    <rPh sb="7" eb="11">
      <t>リシリフジ</t>
    </rPh>
    <rPh sb="11" eb="12">
      <t>マチ</t>
    </rPh>
    <rPh sb="12" eb="13">
      <t>オシ</t>
    </rPh>
    <rPh sb="13" eb="14">
      <t>ド</t>
    </rPh>
    <rPh sb="14" eb="15">
      <t>アザ</t>
    </rPh>
    <rPh sb="15" eb="17">
      <t>オオイソ</t>
    </rPh>
    <rPh sb="20" eb="22">
      <t>バンチ</t>
    </rPh>
    <phoneticPr fontId="1"/>
  </si>
  <si>
    <t>7.5（21）</t>
    <phoneticPr fontId="6"/>
  </si>
  <si>
    <t>採水年月日　令和 5 年　10 月　31日</t>
    <rPh sb="0" eb="2">
      <t>サイスイ</t>
    </rPh>
    <rPh sb="2" eb="3">
      <t>ネン</t>
    </rPh>
    <rPh sb="3" eb="5">
      <t>ガッピ</t>
    </rPh>
    <rPh sb="6" eb="8">
      <t>レイワ</t>
    </rPh>
    <rPh sb="11" eb="12">
      <t>ネン</t>
    </rPh>
    <rPh sb="16" eb="17">
      <t>ツキ</t>
    </rPh>
    <rPh sb="20" eb="21">
      <t>ヒ</t>
    </rPh>
    <phoneticPr fontId="6"/>
  </si>
  <si>
    <t>○　ばいじん除去日</t>
    <rPh sb="6" eb="8">
      <t>ジョキョ</t>
    </rPh>
    <rPh sb="8" eb="9">
      <t>ビ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</si>
  <si>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</si>
  <si>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</si>
  <si>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</si>
  <si>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</si>
  <si>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</si>
  <si>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</si>
  <si>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</si>
  <si>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</si>
  <si>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</si>
  <si>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</si>
  <si>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</si>
  <si>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灰固化設備</t>
    <rPh sb="0" eb="1">
      <t>ハイ</t>
    </rPh>
    <rPh sb="1" eb="3">
      <t>コカ</t>
    </rPh>
    <rPh sb="3" eb="5">
      <t>セツビ</t>
    </rPh>
    <phoneticPr fontId="1"/>
  </si>
  <si>
    <t>4月末現在</t>
    <rPh sb="1" eb="3">
      <t>ガツマツ</t>
    </rPh>
    <rPh sb="3" eb="5">
      <t>ゲンザイ</t>
    </rPh>
    <phoneticPr fontId="1"/>
  </si>
  <si>
    <t>月末現在</t>
    <rPh sb="0" eb="2">
      <t>ガツマツ</t>
    </rPh>
    <rPh sb="2" eb="4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</si>
</sst>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.0_ "/>
    <numFmt numFmtId="177" formatCode="#,##0_ "/>
    <numFmt numFmtId="178" formatCode="#,###&quot;m3&quot;"/>
    <numFmt numFmtId="179" formatCode="#,##0.0"/>
    <numFmt numFmtId="180" formatCode="#,##0.00_ "/>
    <numFmt numFmtId="181" formatCode="#,##0.0_);[Red]\(#,##0.0\)"/>
    <numFmt numFmtId="182" formatCode="0.0_ "/>
    <numFmt numFmtId="183" formatCode="m&quot;月&quot;d&quot;日&quot;;@"/>
    <numFmt numFmtId="184" formatCode="[$-411]ggge&quot;年&quot;m&quot;月&quot;d&quot;日&quot;;@"/>
    <numFmt numFmtId="185" formatCode="[$]ggge&quot;年&quot;m&quot;月&quot;d&quot;日&quot;;@"/>
  </numFmts>
  <fonts count="12" x14ac:knownFonts="1"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7"/>
      <name val="ＭＳ 明朝"/>
      <family val="1"/>
      <charset val="128"/>
    </font>
    <font>
      <sz val="8"/>
      <name val="ＭＳ Ｐゴシック"/>
      <family val="3"/>
      <charset val="128"/>
    </font>
    <font>
      <vertAlign val="superscript"/>
      <sz val="7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vertAlign val="superscript"/>
      <sz val="10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>
      <alignment vertical="center"/>
    </xf>
    <xf numFmtId="176" fontId="0" fillId="0" borderId="5" xfId="0" applyNumberFormat="1" applyFont="1" applyBorder="1">
      <alignment vertical="center"/>
    </xf>
    <xf numFmtId="176" fontId="0" fillId="0" borderId="4" xfId="0" applyNumberFormat="1" applyFont="1" applyBorder="1">
      <alignment vertical="center"/>
    </xf>
    <xf numFmtId="176" fontId="0" fillId="0" borderId="6" xfId="0" applyNumberFormat="1" applyFont="1" applyBorder="1">
      <alignment vertical="center"/>
    </xf>
    <xf numFmtId="0" fontId="0" fillId="0" borderId="5" xfId="0" applyFont="1" applyBorder="1" applyAlignment="1">
      <alignment vertical="center" wrapText="1"/>
    </xf>
    <xf numFmtId="177" fontId="0" fillId="0" borderId="5" xfId="0" applyNumberFormat="1" applyFont="1" applyBorder="1" applyAlignment="1">
      <alignment vertical="center"/>
    </xf>
    <xf numFmtId="176" fontId="0" fillId="0" borderId="5" xfId="0" applyNumberFormat="1" applyFont="1" applyBorder="1" applyAlignment="1">
      <alignment horizontal="center" vertical="center"/>
    </xf>
    <xf numFmtId="177" fontId="0" fillId="0" borderId="4" xfId="0" applyNumberFormat="1" applyFont="1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177" fontId="0" fillId="0" borderId="6" xfId="0" applyNumberFormat="1" applyFont="1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7" fontId="0" fillId="0" borderId="7" xfId="0" applyNumberFormat="1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76" fontId="0" fillId="0" borderId="7" xfId="0" applyNumberFormat="1" applyFont="1" applyBorder="1">
      <alignment vertical="center"/>
    </xf>
    <xf numFmtId="176" fontId="0" fillId="0" borderId="8" xfId="0" applyNumberFormat="1" applyFont="1" applyBorder="1">
      <alignment vertical="center"/>
    </xf>
    <xf numFmtId="176" fontId="0" fillId="0" borderId="5" xfId="0" applyNumberFormat="1" applyFont="1" applyBorder="1" applyAlignment="1">
      <alignment vertical="center"/>
    </xf>
    <xf numFmtId="0" fontId="0" fillId="0" borderId="9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left" vertical="center"/>
    </xf>
    <xf numFmtId="176" fontId="0" fillId="0" borderId="1" xfId="0" applyNumberFormat="1" applyFont="1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177" fontId="0" fillId="0" borderId="2" xfId="0" applyNumberFormat="1" applyFont="1" applyBorder="1">
      <alignment vertical="center"/>
    </xf>
    <xf numFmtId="179" fontId="0" fillId="0" borderId="0" xfId="0" applyNumberFormat="1" applyBorder="1" applyAlignment="1"/>
    <xf numFmtId="179" fontId="4" fillId="0" borderId="0" xfId="0" applyNumberFormat="1" applyFont="1" applyBorder="1" applyAlignment="1">
      <alignment vertical="center"/>
    </xf>
    <xf numFmtId="176" fontId="0" fillId="0" borderId="4" xfId="0" applyNumberFormat="1" applyFont="1" applyBorder="1" applyAlignment="1">
      <alignment vertical="center"/>
    </xf>
    <xf numFmtId="180" fontId="0" fillId="0" borderId="5" xfId="0" applyNumberFormat="1" applyFont="1" applyBorder="1" applyAlignment="1">
      <alignment vertical="center"/>
    </xf>
    <xf numFmtId="176" fontId="0" fillId="0" borderId="9" xfId="0" applyNumberFormat="1" applyFont="1" applyBorder="1" applyAlignment="1">
      <alignment vertical="center"/>
    </xf>
    <xf numFmtId="176" fontId="0" fillId="0" borderId="7" xfId="0" applyNumberFormat="1" applyFont="1" applyBorder="1" applyAlignment="1">
      <alignment horizontal="right" vertical="center"/>
    </xf>
    <xf numFmtId="176" fontId="0" fillId="0" borderId="4" xfId="0" applyNumberFormat="1" applyFont="1" applyBorder="1" applyAlignment="1">
      <alignment horizontal="right" vertical="center"/>
    </xf>
    <xf numFmtId="176" fontId="0" fillId="0" borderId="8" xfId="0" applyNumberFormat="1" applyFont="1" applyBorder="1" applyAlignment="1">
      <alignment horizontal="right" vertical="center"/>
    </xf>
    <xf numFmtId="181" fontId="0" fillId="0" borderId="6" xfId="0" applyNumberFormat="1" applyFont="1" applyBorder="1">
      <alignment vertical="center"/>
    </xf>
    <xf numFmtId="181" fontId="0" fillId="0" borderId="1" xfId="0" applyNumberFormat="1" applyFont="1" applyBorder="1">
      <alignment vertical="center"/>
    </xf>
    <xf numFmtId="0" fontId="0" fillId="0" borderId="1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1" xfId="0" applyNumberFormat="1" applyFont="1" applyBorder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6" xfId="0" applyBorder="1" applyAlignment="1">
      <alignment vertical="center" shrinkToFit="1"/>
    </xf>
    <xf numFmtId="0" fontId="0" fillId="0" borderId="7" xfId="0" applyFont="1" applyBorder="1" applyAlignment="1">
      <alignment vertical="center" wrapText="1"/>
    </xf>
    <xf numFmtId="176" fontId="0" fillId="0" borderId="7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3" xfId="0" applyFont="1" applyBorder="1">
      <alignment vertical="center"/>
    </xf>
    <xf numFmtId="177" fontId="0" fillId="0" borderId="4" xfId="0" applyNumberFormat="1" applyFont="1" applyBorder="1">
      <alignment vertical="center"/>
    </xf>
    <xf numFmtId="176" fontId="0" fillId="0" borderId="14" xfId="0" applyNumberFormat="1" applyFont="1" applyBorder="1">
      <alignment vertical="center"/>
    </xf>
    <xf numFmtId="180" fontId="0" fillId="0" borderId="5" xfId="0" applyNumberFormat="1" applyBorder="1" applyAlignment="1">
      <alignment vertical="center"/>
    </xf>
    <xf numFmtId="182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80" fontId="0" fillId="0" borderId="4" xfId="0" applyNumberFormat="1" applyBorder="1" applyAlignment="1">
      <alignment vertical="center"/>
    </xf>
    <xf numFmtId="180" fontId="0" fillId="0" borderId="7" xfId="0" applyNumberForma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183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2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5" xfId="0" applyFont="1" applyBorder="1" applyAlignment="1">
      <alignment vertical="center" textRotation="255"/>
    </xf>
    <xf numFmtId="0" fontId="0" fillId="0" borderId="2" xfId="0" applyFont="1" applyBorder="1" applyAlignment="1">
      <alignment vertical="center" textRotation="255"/>
    </xf>
    <xf numFmtId="0" fontId="0" fillId="0" borderId="6" xfId="0" applyFont="1" applyBorder="1" applyAlignment="1">
      <alignment vertical="center" textRotation="255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20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16" xfId="0" applyFont="1" applyBorder="1" applyAlignment="1">
      <alignment horizontal="right" vertical="center"/>
    </xf>
    <xf numFmtId="0" fontId="0" fillId="0" borderId="17" xfId="0" applyFont="1" applyBorder="1" applyAlignment="1">
      <alignment horizontal="right" vertical="center"/>
    </xf>
    <xf numFmtId="58" fontId="0" fillId="0" borderId="15" xfId="0" applyNumberFormat="1" applyFont="1" applyBorder="1" applyAlignment="1">
      <alignment vertical="center"/>
    </xf>
    <xf numFmtId="0" fontId="0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177" fontId="0" fillId="0" borderId="1" xfId="0" applyNumberForma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84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 textRotation="255"/>
    </xf>
    <xf numFmtId="178" fontId="0" fillId="0" borderId="23" xfId="0" applyNumberForma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26" xfId="0" applyFont="1" applyBorder="1">
      <alignment vertical="center"/>
    </xf>
    <xf numFmtId="0" fontId="0" fillId="0" borderId="10" xfId="0" applyBorder="1">
      <alignment vertical="center"/>
    </xf>
    <xf numFmtId="0" fontId="0" fillId="0" borderId="19" xfId="0" applyFont="1" applyBorder="1">
      <alignment vertical="center"/>
    </xf>
    <xf numFmtId="0" fontId="0" fillId="0" borderId="15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3" xfId="0" applyFont="1" applyBorder="1" applyAlignment="1">
      <alignment horizontal="right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85" fontId="0" fillId="0" borderId="15" xfId="0" applyNumberFormat="1" applyFont="1" applyBorder="1" applyAlignment="1">
      <alignment vertical="center"/>
    </xf>
    <xf numFmtId="185" fontId="0" fillId="0" borderId="16" xfId="0" applyNumberFormat="1" applyFont="1" applyBorder="1" applyAlignment="1">
      <alignment vertical="center"/>
    </xf>
    <xf numFmtId="185" fontId="0" fillId="0" borderId="17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13">
          <cell r="C13"/>
        </row>
        <row r="14">
          <cell r="C14"/>
        </row>
        <row r="15">
          <cell r="C15"/>
        </row>
        <row r="16">
          <cell r="C16"/>
        </row>
        <row r="17">
          <cell r="C17"/>
        </row>
        <row r="18">
          <cell r="C18"/>
        </row>
        <row r="19">
          <cell r="C19"/>
        </row>
        <row r="20">
          <cell r="C20"/>
        </row>
        <row r="21">
          <cell r="C21"/>
        </row>
        <row r="22">
          <cell r="C22"/>
        </row>
        <row r="23">
          <cell r="C23"/>
        </row>
        <row r="24">
          <cell r="C24"/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  <row r="34">
          <cell r="C34"/>
        </row>
        <row r="35">
          <cell r="C35"/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H45" t="str">
            <v/>
          </cell>
          <cell r="L45" t="str">
            <v/>
          </cell>
          <cell r="N45" t="str">
            <v/>
          </cell>
        </row>
        <row r="46">
          <cell r="H46">
            <v>0</v>
          </cell>
          <cell r="L46">
            <v>0</v>
          </cell>
          <cell r="N46">
            <v>0</v>
          </cell>
        </row>
        <row r="47">
          <cell r="H47">
            <v>0</v>
          </cell>
        </row>
      </sheetData>
      <sheetData sheetId="1"/>
      <sheetData sheetId="2"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</sheetData>
      <sheetData sheetId="3"/>
      <sheetData sheetId="4">
        <row r="43">
          <cell r="F43">
            <v>0</v>
          </cell>
          <cell r="Q43">
            <v>0</v>
          </cell>
        </row>
      </sheetData>
      <sheetData sheetId="5"/>
      <sheetData sheetId="6"/>
      <sheetData sheetId="7"/>
      <sheetData sheetId="8"/>
      <sheetData sheetId="9">
        <row r="43">
          <cell r="K43">
            <v>0</v>
          </cell>
          <cell r="V43">
            <v>0</v>
          </cell>
        </row>
      </sheetData>
      <sheetData sheetId="10"/>
      <sheetData sheetId="11">
        <row r="43">
          <cell r="F43">
            <v>0</v>
          </cell>
          <cell r="U4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628C-5D9E-4CB1-AA7F-FBCB610654DF}">
  <dimension ref="A1:U61"/>
  <sheetViews>
    <sheetView showZeros="0" tabSelected="1" zoomScale="150" zoomScaleNormal="150" zoomScaleSheetLayoutView="130" workbookViewId="0">
      <selection activeCell="U5" sqref="U5"/>
    </sheetView>
  </sheetViews>
  <sheetFormatPr defaultRowHeight="17.100000000000001" customHeight="1" x14ac:dyDescent="0.15"/>
  <cols>
    <col min="1" max="1" width="4" style="1" customWidth="1"/>
    <col min="2" max="2" width="19.796875" style="1" customWidth="1"/>
    <col min="3" max="13" width="9.59765625" style="1"/>
    <col min="14" max="14" width="8.59765625" style="1" customWidth="1"/>
    <col min="15" max="15" width="11.19921875" style="1" customWidth="1"/>
    <col min="16" max="16384" width="9.59765625" style="1"/>
  </cols>
  <sheetData>
    <row r="1" spans="1:17" ht="18" customHeight="1" x14ac:dyDescent="0.15">
      <c r="A1" s="114" t="str">
        <f>"令和"&amp;'[1]A-1'!$E$9-2018&amp;"年度　ごみ焼却施設維持管理状況報告書"</f>
        <v>令和9年度　ごみ焼却施設維持管理状況報告書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7" ht="13.5" customHeight="1" x14ac:dyDescent="0.15">
      <c r="O2" t="s">
        <v>217</v>
      </c>
    </row>
    <row r="3" spans="1:17" ht="20.25" customHeight="1" x14ac:dyDescent="0.15">
      <c r="A3" s="115" t="s">
        <v>14</v>
      </c>
      <c r="B3" s="113"/>
      <c r="C3" s="121" t="s">
        <v>58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122"/>
    </row>
    <row r="4" spans="1:17" ht="20.25" customHeight="1" x14ac:dyDescent="0.15">
      <c r="A4" s="115" t="s">
        <v>23</v>
      </c>
      <c r="B4" s="113"/>
      <c r="C4" s="81" t="s">
        <v>59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</row>
    <row r="5" spans="1:17" ht="20.25" customHeight="1" x14ac:dyDescent="0.15">
      <c r="A5" s="115" t="s">
        <v>17</v>
      </c>
      <c r="B5" s="113"/>
      <c r="C5" s="81" t="s">
        <v>60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4"/>
    </row>
    <row r="6" spans="1:17" ht="20.25" customHeight="1" x14ac:dyDescent="0.15">
      <c r="A6" s="120" t="s">
        <v>15</v>
      </c>
      <c r="B6" s="80"/>
      <c r="C6" s="119">
        <v>37070</v>
      </c>
      <c r="D6" s="103"/>
      <c r="E6" s="104"/>
      <c r="F6" s="120" t="s">
        <v>24</v>
      </c>
      <c r="G6" s="80"/>
      <c r="H6" s="105" t="s">
        <v>62</v>
      </c>
      <c r="I6" s="106"/>
      <c r="J6" s="106"/>
      <c r="K6" s="106"/>
      <c r="L6" s="106"/>
      <c r="M6" s="106"/>
      <c r="N6" s="106"/>
      <c r="O6" s="107"/>
      <c r="Q6" s="38"/>
    </row>
    <row r="7" spans="1:17" ht="20.25" customHeight="1" x14ac:dyDescent="0.15">
      <c r="A7" s="105" t="s">
        <v>30</v>
      </c>
      <c r="B7" s="113"/>
      <c r="C7" s="116" t="s">
        <v>63</v>
      </c>
      <c r="D7" s="117"/>
      <c r="E7" s="118"/>
      <c r="F7" s="105" t="s">
        <v>44</v>
      </c>
      <c r="G7" s="113"/>
      <c r="H7" s="105" t="s">
        <v>79</v>
      </c>
      <c r="I7" s="82"/>
      <c r="J7" s="82"/>
      <c r="K7" s="82"/>
      <c r="L7" s="82"/>
      <c r="M7" s="82"/>
      <c r="N7" s="82"/>
      <c r="O7" s="83"/>
      <c r="Q7" s="39"/>
    </row>
    <row r="8" spans="1:17" ht="20.25" customHeight="1" x14ac:dyDescent="0.15">
      <c r="A8" s="105" t="s">
        <v>51</v>
      </c>
      <c r="B8" s="113"/>
      <c r="C8" s="81" t="s">
        <v>81</v>
      </c>
      <c r="D8" s="82"/>
      <c r="E8" s="82"/>
      <c r="F8" s="82"/>
      <c r="G8" s="83"/>
      <c r="H8" s="105" t="s">
        <v>52</v>
      </c>
      <c r="I8" s="83"/>
      <c r="J8" s="81" t="s">
        <v>82</v>
      </c>
      <c r="K8" s="82"/>
      <c r="L8" s="82"/>
      <c r="M8" s="82"/>
      <c r="N8" s="82"/>
      <c r="O8" s="83"/>
      <c r="Q8" s="38"/>
    </row>
    <row r="9" spans="1:17" s="3" customFormat="1" ht="20.25" customHeight="1" x14ac:dyDescent="0.15">
      <c r="A9" s="105" t="s">
        <v>39</v>
      </c>
      <c r="B9" s="106"/>
      <c r="C9" s="81" t="s">
        <v>80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3"/>
      <c r="Q9" s="39"/>
    </row>
    <row r="10" spans="1:17" ht="9" customHeight="1" x14ac:dyDescent="0.15">
      <c r="A10" s="2"/>
      <c r="B10" s="2"/>
      <c r="C10" s="3"/>
      <c r="D10" s="3"/>
      <c r="E10" s="3"/>
      <c r="F10" s="2"/>
      <c r="G10" s="2"/>
      <c r="H10" s="3"/>
      <c r="I10" s="3"/>
      <c r="J10" s="3"/>
      <c r="K10" s="2"/>
      <c r="L10" s="2"/>
      <c r="M10" s="3"/>
      <c r="N10" s="3"/>
      <c r="O10" s="3"/>
    </row>
    <row r="11" spans="1:17" ht="15" customHeight="1" x14ac:dyDescent="0.15">
      <c r="A11" t="s">
        <v>25</v>
      </c>
    </row>
    <row r="12" spans="1:17" ht="20.25" customHeight="1" x14ac:dyDescent="0.15">
      <c r="A12" s="109"/>
      <c r="B12" s="110"/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70</v>
      </c>
      <c r="J12" s="4" t="s">
        <v>71</v>
      </c>
      <c r="K12" s="4" t="s">
        <v>72</v>
      </c>
      <c r="L12" s="4" t="s">
        <v>73</v>
      </c>
      <c r="M12" s="4" t="s">
        <v>74</v>
      </c>
      <c r="N12" s="4" t="s">
        <v>75</v>
      </c>
      <c r="O12" s="4" t="s">
        <v>76</v>
      </c>
    </row>
    <row r="13" spans="1:17" ht="20.25" customHeight="1" x14ac:dyDescent="0.15">
      <c r="A13" s="81" t="s">
        <v>89</v>
      </c>
      <c r="B13" s="104"/>
      <c r="C13" s="30">
        <f>[1]可燃!$F$43
+[1]紙類!$K$43</f>
        <v>0</v>
      </c>
      <c r="D13" s="30">
        <f>[2]可燃!$F$43
+[2]紙類!$K$43</f>
        <v>0</v>
      </c>
      <c r="E13" s="30">
        <f>[3]可燃!$F$43
+[3]紙類!$K$43</f>
        <v>0</v>
      </c>
      <c r="F13" s="30">
        <f>[4]可燃!$F$43
+[4]紙類!$K$43</f>
        <v>0</v>
      </c>
      <c r="G13" s="30">
        <f>[5]可燃!$F$43
+[5]紙類!$K$43</f>
        <v>0</v>
      </c>
      <c r="H13" s="30">
        <f>[6]可燃!$F$43
+[6]紙類!$K$43</f>
        <v>0</v>
      </c>
      <c r="I13" s="30">
        <f>[7]可燃!$F$43
+[7]紙類!$K$43</f>
        <v>0</v>
      </c>
      <c r="J13" s="30">
        <f>[8]可燃!$F$43
+[8]紙類!$K$43</f>
        <v>0</v>
      </c>
      <c r="K13" s="30">
        <f>[9]可燃!$F$43
+[9]紙類!$K$43</f>
        <v>0</v>
      </c>
      <c r="L13" s="30">
        <f>[10]可燃!$F$43
+[10]紙類!$K$43</f>
        <v>0</v>
      </c>
      <c r="M13" s="30">
        <f>[11]可燃!$F$43
+[11]紙類!$K$43</f>
        <v>0</v>
      </c>
      <c r="N13" s="30">
        <f>[12]可燃!$F$43
+[12]紙類!$K$43</f>
        <v>0</v>
      </c>
      <c r="O13" s="30">
        <f t="shared" ref="O13:O18" si="0">SUM(C13:N13)</f>
        <v>0</v>
      </c>
    </row>
    <row r="14" spans="1:17" ht="20.25" customHeight="1" x14ac:dyDescent="0.15">
      <c r="A14" s="108" t="s">
        <v>90</v>
      </c>
      <c r="B14" s="104"/>
      <c r="C14" s="30">
        <f>SUM(C15:C17)</f>
        <v>0</v>
      </c>
      <c r="D14" s="30">
        <f>SUM(D15:D17)</f>
        <v>0</v>
      </c>
      <c r="E14" s="30">
        <f t="shared" ref="E14:N14" si="1">SUM(E15:E17)</f>
        <v>0</v>
      </c>
      <c r="F14" s="30">
        <f t="shared" si="1"/>
        <v>0</v>
      </c>
      <c r="G14" s="30">
        <f>SUM(G15:G17)</f>
        <v>0</v>
      </c>
      <c r="H14" s="30">
        <f t="shared" si="1"/>
        <v>0</v>
      </c>
      <c r="I14" s="30">
        <f t="shared" si="1"/>
        <v>0</v>
      </c>
      <c r="J14" s="30">
        <f t="shared" si="1"/>
        <v>0</v>
      </c>
      <c r="K14" s="30">
        <f t="shared" si="1"/>
        <v>0</v>
      </c>
      <c r="L14" s="30">
        <f t="shared" si="1"/>
        <v>0</v>
      </c>
      <c r="M14" s="30">
        <f t="shared" si="1"/>
        <v>0</v>
      </c>
      <c r="N14" s="30">
        <f t="shared" si="1"/>
        <v>0</v>
      </c>
      <c r="O14" s="30">
        <f t="shared" si="0"/>
        <v>0</v>
      </c>
    </row>
    <row r="15" spans="1:17" ht="20.25" customHeight="1" x14ac:dyDescent="0.15">
      <c r="A15" s="5"/>
      <c r="B15" s="6" t="s">
        <v>91</v>
      </c>
      <c r="C15" s="8">
        <f>[1]可燃!$Q$43
+[1]紙類!$V$43</f>
        <v>0</v>
      </c>
      <c r="D15" s="8">
        <f>[2]可燃!$Q$43
+[2]紙類!$V$43</f>
        <v>0</v>
      </c>
      <c r="E15" s="8">
        <f>[3]可燃!$Q$43
+[3]紙類!$V$43</f>
        <v>0</v>
      </c>
      <c r="F15" s="8">
        <f>[4]可燃!$Q$43
+[4]紙類!$V$43</f>
        <v>0</v>
      </c>
      <c r="G15" s="8">
        <f>[5]可燃!$Q$43
+[5]紙類!$V$43</f>
        <v>0</v>
      </c>
      <c r="H15" s="8">
        <f>[6]可燃!$Q$43
+[6]紙類!$V$43</f>
        <v>0</v>
      </c>
      <c r="I15" s="8">
        <f>[7]可燃!$Q$43
+[7]紙類!$V$43</f>
        <v>0</v>
      </c>
      <c r="J15" s="8">
        <f>[8]可燃!$Q$43
+[8]紙類!$V$43</f>
        <v>0</v>
      </c>
      <c r="K15" s="8">
        <f>[9]可燃!$Q$43
+[9]紙類!$V$43</f>
        <v>0</v>
      </c>
      <c r="L15" s="8">
        <f>[10]可燃!$Q$43
+[10]紙類!$V$43</f>
        <v>0</v>
      </c>
      <c r="M15" s="8">
        <f>[11]可燃!$Q$43
+[11]紙類!$V$43</f>
        <v>0</v>
      </c>
      <c r="N15" s="8">
        <f>[12]可燃!$Q$43
+[12]紙類!$V$43</f>
        <v>0</v>
      </c>
      <c r="O15" s="25">
        <f t="shared" si="0"/>
        <v>0</v>
      </c>
    </row>
    <row r="16" spans="1:17" ht="20.25" customHeight="1" x14ac:dyDescent="0.15">
      <c r="A16" s="5"/>
      <c r="B16" s="50" t="s">
        <v>86</v>
      </c>
      <c r="C16" s="51">
        <f>[1]産廃水産・医療・汚泥!$U$43</f>
        <v>0</v>
      </c>
      <c r="D16" s="51">
        <f>[2]産廃水産・医療・汚泥!$U$43</f>
        <v>0</v>
      </c>
      <c r="E16" s="51">
        <f>[3]産廃水産・医療・汚泥!$U$43</f>
        <v>0</v>
      </c>
      <c r="F16" s="51">
        <f>[4]産廃水産・医療・汚泥!$U$43</f>
        <v>0</v>
      </c>
      <c r="G16" s="51">
        <f>[5]産廃水産・医療・汚泥!$U$43</f>
        <v>0</v>
      </c>
      <c r="H16" s="51">
        <f>[6]産廃水産・医療・汚泥!$U$43</f>
        <v>0</v>
      </c>
      <c r="I16" s="51">
        <f>[7]産廃水産・医療・汚泥!$U$43</f>
        <v>0</v>
      </c>
      <c r="J16" s="51">
        <f>[8]産廃水産・医療・汚泥!$U$43</f>
        <v>0</v>
      </c>
      <c r="K16" s="51">
        <f>[9]産廃水産・医療・汚泥!$U$43</f>
        <v>0</v>
      </c>
      <c r="L16" s="51">
        <f>[10]産廃水産・医療・汚泥!$U$43</f>
        <v>0</v>
      </c>
      <c r="M16" s="51">
        <f>[11]産廃水産・医療・汚泥!$U$43</f>
        <v>0</v>
      </c>
      <c r="N16" s="51">
        <f>[12]産廃水産・医療・汚泥!$U$43</f>
        <v>0</v>
      </c>
      <c r="O16" s="9">
        <f t="shared" si="0"/>
        <v>0</v>
      </c>
    </row>
    <row r="17" spans="1:21" ht="20.25" customHeight="1" x14ac:dyDescent="0.15">
      <c r="A17" s="53"/>
      <c r="B17" s="49" t="s">
        <v>85</v>
      </c>
      <c r="C17" s="10">
        <f>[1]産廃水産・医療・汚泥!$F$43</f>
        <v>0</v>
      </c>
      <c r="D17" s="10">
        <f>[2]産廃水産・医療・汚泥!$F$43</f>
        <v>0</v>
      </c>
      <c r="E17" s="10">
        <f>[3]産廃水産・医療・汚泥!$F$43</f>
        <v>0</v>
      </c>
      <c r="F17" s="10">
        <f>[4]産廃水産・医療・汚泥!$F$43</f>
        <v>0</v>
      </c>
      <c r="G17" s="10">
        <f>[5]産廃水産・医療・汚泥!$F$43</f>
        <v>0</v>
      </c>
      <c r="H17" s="10">
        <f>[6]産廃水産・医療・汚泥!$F$43</f>
        <v>0</v>
      </c>
      <c r="I17" s="10">
        <f>[7]産廃水産・医療・汚泥!$F$43</f>
        <v>0</v>
      </c>
      <c r="J17" s="10">
        <f>[8]産廃水産・医療・汚泥!$F$43</f>
        <v>0</v>
      </c>
      <c r="K17" s="10">
        <f>[9]産廃水産・医療・汚泥!$F$43</f>
        <v>0</v>
      </c>
      <c r="L17" s="10">
        <f>[10]産廃水産・医療・汚泥!$F$43</f>
        <v>0</v>
      </c>
      <c r="M17" s="10">
        <f>[11]産廃水産・医療・汚泥!$F$43</f>
        <v>0</v>
      </c>
      <c r="N17" s="10">
        <f>[12]産廃水産・医療・汚泥!$F$43</f>
        <v>0</v>
      </c>
      <c r="O17" s="10">
        <f t="shared" si="0"/>
        <v>0</v>
      </c>
    </row>
    <row r="18" spans="1:21" ht="20.25" customHeight="1" x14ac:dyDescent="0.15">
      <c r="A18" s="111" t="s">
        <v>16</v>
      </c>
      <c r="B18" s="112"/>
      <c r="C18" s="30">
        <f>SUM(C13:C14)</f>
        <v>0</v>
      </c>
      <c r="D18" s="30">
        <f>SUM(D13:D14)</f>
        <v>0</v>
      </c>
      <c r="E18" s="30">
        <f t="shared" ref="E18:N18" si="2">SUM(E13:E14)</f>
        <v>0</v>
      </c>
      <c r="F18" s="30">
        <f t="shared" si="2"/>
        <v>0</v>
      </c>
      <c r="G18" s="30">
        <f t="shared" si="2"/>
        <v>0</v>
      </c>
      <c r="H18" s="30">
        <f t="shared" si="2"/>
        <v>0</v>
      </c>
      <c r="I18" s="30">
        <f t="shared" si="2"/>
        <v>0</v>
      </c>
      <c r="J18" s="30">
        <f t="shared" si="2"/>
        <v>0</v>
      </c>
      <c r="K18" s="30">
        <f t="shared" si="2"/>
        <v>0</v>
      </c>
      <c r="L18" s="30">
        <f t="shared" si="2"/>
        <v>0</v>
      </c>
      <c r="M18" s="30">
        <f t="shared" si="2"/>
        <v>0</v>
      </c>
      <c r="N18" s="30">
        <f t="shared" si="2"/>
        <v>0</v>
      </c>
      <c r="O18" s="30">
        <f t="shared" si="0"/>
        <v>0</v>
      </c>
    </row>
    <row r="19" spans="1:21" ht="8.25" customHeight="1" x14ac:dyDescent="0.15"/>
    <row r="20" spans="1:21" ht="16.5" customHeight="1" x14ac:dyDescent="0.15">
      <c r="A20" s="1" t="s">
        <v>18</v>
      </c>
    </row>
    <row r="21" spans="1:21" ht="20.25" customHeight="1" x14ac:dyDescent="0.15">
      <c r="A21" s="109"/>
      <c r="B21" s="110"/>
      <c r="C21" s="4" t="s">
        <v>64</v>
      </c>
      <c r="D21" s="4" t="s">
        <v>65</v>
      </c>
      <c r="E21" s="4" t="s">
        <v>66</v>
      </c>
      <c r="F21" s="4" t="s">
        <v>67</v>
      </c>
      <c r="G21" s="4" t="s">
        <v>68</v>
      </c>
      <c r="H21" s="4" t="s">
        <v>69</v>
      </c>
      <c r="I21" s="4" t="s">
        <v>70</v>
      </c>
      <c r="J21" s="4" t="s">
        <v>71</v>
      </c>
      <c r="K21" s="4" t="s">
        <v>72</v>
      </c>
      <c r="L21" s="4" t="s">
        <v>73</v>
      </c>
      <c r="M21" s="4" t="s">
        <v>74</v>
      </c>
      <c r="N21" s="4" t="s">
        <v>75</v>
      </c>
      <c r="O21" s="4" t="s">
        <v>76</v>
      </c>
    </row>
    <row r="22" spans="1:21" ht="20.25" customHeight="1" x14ac:dyDescent="0.15">
      <c r="A22" s="100" t="s">
        <v>13</v>
      </c>
      <c r="B22" s="36" t="s">
        <v>49</v>
      </c>
      <c r="C22" s="25">
        <f>'[1]A-1'!$C$44</f>
        <v>0</v>
      </c>
      <c r="D22" s="25">
        <f>'[2]A-1'!$C$44</f>
        <v>0</v>
      </c>
      <c r="E22" s="25">
        <f>'[3]A-1'!$C$44</f>
        <v>0</v>
      </c>
      <c r="F22" s="25">
        <f>'[4]A-1'!$C$44</f>
        <v>0</v>
      </c>
      <c r="G22" s="25">
        <f>'[5]A-1'!$C$44</f>
        <v>0</v>
      </c>
      <c r="H22" s="25">
        <f>'[6]A-1'!$C$44</f>
        <v>0</v>
      </c>
      <c r="I22" s="25">
        <f>'[7]A-1'!$C$44</f>
        <v>0</v>
      </c>
      <c r="J22" s="25">
        <f>'[8]A-1'!$C$44</f>
        <v>0</v>
      </c>
      <c r="K22" s="25">
        <f>'[9]A-1'!$C$44</f>
        <v>0</v>
      </c>
      <c r="L22" s="25">
        <f>'[10]A-1'!$C$44</f>
        <v>0</v>
      </c>
      <c r="M22" s="25">
        <f>'[11]A-1'!$C$44</f>
        <v>0</v>
      </c>
      <c r="N22" s="25">
        <f>'[12]A-1'!$C$44</f>
        <v>0</v>
      </c>
      <c r="O22" s="8">
        <f>SUM(C22:N22)</f>
        <v>0</v>
      </c>
      <c r="Q22" s="3"/>
      <c r="S22" s="3"/>
    </row>
    <row r="23" spans="1:21" ht="20.25" customHeight="1" x14ac:dyDescent="0.15">
      <c r="A23" s="101"/>
      <c r="B23" s="35" t="s">
        <v>55</v>
      </c>
      <c r="C23" s="37">
        <f>COUNTA('[1]A-1'!$C$13:$C$43)</f>
        <v>0</v>
      </c>
      <c r="D23" s="37">
        <f>COUNTA('[2]A-1'!$C$13:$C$43)</f>
        <v>0</v>
      </c>
      <c r="E23" s="37">
        <f>COUNTA('[3]A-1'!$C$13:$C$43)</f>
        <v>0</v>
      </c>
      <c r="F23" s="37">
        <f>COUNTA('[4]A-1'!$C$13:$C$43)</f>
        <v>0</v>
      </c>
      <c r="G23" s="37">
        <f>COUNTA('[5]A-1'!$C$13:$C$43)</f>
        <v>0</v>
      </c>
      <c r="H23" s="37">
        <f>COUNTA('[6]A-1'!$C$13:$C$43)</f>
        <v>0</v>
      </c>
      <c r="I23" s="37">
        <f>COUNTA('[7]A-1'!$C$13:$C$43)</f>
        <v>0</v>
      </c>
      <c r="J23" s="37">
        <f>COUNTA('[8]A-1'!$C$13:$C$43)</f>
        <v>0</v>
      </c>
      <c r="K23" s="37">
        <f>COUNTA('[9]A-1'!$C$13:$C$43)</f>
        <v>0</v>
      </c>
      <c r="L23" s="37">
        <f>COUNTA('[10]A-1'!$C$13:$C$43)</f>
        <v>0</v>
      </c>
      <c r="M23" s="37">
        <f>COUNTA('[11]A-1'!$C$13:$C$43)</f>
        <v>0</v>
      </c>
      <c r="N23" s="37">
        <f>COUNTA('[12]A-1'!$C$13:$C$43)</f>
        <v>0</v>
      </c>
      <c r="O23" s="65">
        <f>SUM(C23:N23)</f>
        <v>0</v>
      </c>
      <c r="S23" s="3"/>
    </row>
    <row r="24" spans="1:21" ht="20.25" customHeight="1" x14ac:dyDescent="0.15">
      <c r="A24" s="101"/>
      <c r="B24" s="34" t="s">
        <v>48</v>
      </c>
      <c r="C24" s="43" t="str">
        <f>IF(C22=0,"",C22/C23)</f>
        <v/>
      </c>
      <c r="D24" s="43" t="str">
        <f>IF(D22=0,"",D22/D23)</f>
        <v/>
      </c>
      <c r="E24" s="43" t="str">
        <f t="shared" ref="E24:N24" si="3">IF(E22=0,"",E22/E23)</f>
        <v/>
      </c>
      <c r="F24" s="43" t="str">
        <f t="shared" si="3"/>
        <v/>
      </c>
      <c r="G24" s="43" t="str">
        <f t="shared" si="3"/>
        <v/>
      </c>
      <c r="H24" s="43" t="str">
        <f t="shared" si="3"/>
        <v/>
      </c>
      <c r="I24" s="43" t="str">
        <f t="shared" si="3"/>
        <v/>
      </c>
      <c r="J24" s="43" t="str">
        <f t="shared" si="3"/>
        <v/>
      </c>
      <c r="K24" s="43" t="str">
        <f t="shared" si="3"/>
        <v/>
      </c>
      <c r="L24" s="43" t="str">
        <f t="shared" si="3"/>
        <v/>
      </c>
      <c r="M24" s="43" t="str">
        <f t="shared" si="3"/>
        <v/>
      </c>
      <c r="N24" s="43" t="str">
        <f t="shared" si="3"/>
        <v/>
      </c>
      <c r="O24" s="43" t="str">
        <f>IF(SUM(C24:N24)=0,"",AVERAGE(C24:N24))</f>
        <v/>
      </c>
      <c r="Q24" s="3"/>
      <c r="U24" s="3"/>
    </row>
    <row r="25" spans="1:21" ht="20.25" customHeight="1" x14ac:dyDescent="0.15">
      <c r="A25" s="100" t="s">
        <v>0</v>
      </c>
      <c r="B25" s="36" t="s">
        <v>50</v>
      </c>
      <c r="C25" s="45">
        <f t="shared" ref="C25:D27" si="4">C22</f>
        <v>0</v>
      </c>
      <c r="D25" s="45">
        <f t="shared" si="4"/>
        <v>0</v>
      </c>
      <c r="E25" s="45">
        <f t="shared" ref="E25:N25" si="5">E22</f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8">
        <f>SUM(C25:N25)</f>
        <v>0</v>
      </c>
    </row>
    <row r="26" spans="1:21" ht="20.25" customHeight="1" x14ac:dyDescent="0.15">
      <c r="A26" s="101"/>
      <c r="B26" s="35" t="s">
        <v>56</v>
      </c>
      <c r="C26" s="37">
        <f t="shared" si="4"/>
        <v>0</v>
      </c>
      <c r="D26" s="37">
        <f t="shared" si="4"/>
        <v>0</v>
      </c>
      <c r="E26" s="37">
        <f t="shared" ref="E26:N26" si="6">E23</f>
        <v>0</v>
      </c>
      <c r="F26" s="37">
        <f t="shared" si="6"/>
        <v>0</v>
      </c>
      <c r="G26" s="37">
        <f t="shared" si="6"/>
        <v>0</v>
      </c>
      <c r="H26" s="37">
        <f t="shared" si="6"/>
        <v>0</v>
      </c>
      <c r="I26" s="37">
        <f t="shared" si="6"/>
        <v>0</v>
      </c>
      <c r="J26" s="37">
        <f t="shared" si="6"/>
        <v>0</v>
      </c>
      <c r="K26" s="37">
        <f t="shared" si="6"/>
        <v>0</v>
      </c>
      <c r="L26" s="37">
        <f t="shared" si="6"/>
        <v>0</v>
      </c>
      <c r="M26" s="37">
        <f t="shared" si="6"/>
        <v>0</v>
      </c>
      <c r="N26" s="37">
        <f t="shared" si="6"/>
        <v>0</v>
      </c>
      <c r="O26" s="65">
        <f>SUM(C26:N26)</f>
        <v>0</v>
      </c>
    </row>
    <row r="27" spans="1:21" ht="20.25" customHeight="1" x14ac:dyDescent="0.15">
      <c r="A27" s="101"/>
      <c r="B27" s="7" t="s">
        <v>47</v>
      </c>
      <c r="C27" s="44" t="str">
        <f t="shared" si="4"/>
        <v/>
      </c>
      <c r="D27" s="44" t="str">
        <f t="shared" si="4"/>
        <v/>
      </c>
      <c r="E27" s="44" t="str">
        <f t="shared" ref="E27:N27" si="7">E24</f>
        <v/>
      </c>
      <c r="F27" s="44" t="str">
        <f t="shared" si="7"/>
        <v/>
      </c>
      <c r="G27" s="44" t="str">
        <f t="shared" si="7"/>
        <v/>
      </c>
      <c r="H27" s="44" t="str">
        <f t="shared" si="7"/>
        <v/>
      </c>
      <c r="I27" s="44" t="str">
        <f t="shared" si="7"/>
        <v/>
      </c>
      <c r="J27" s="44" t="str">
        <f t="shared" si="7"/>
        <v/>
      </c>
      <c r="K27" s="44" t="str">
        <f t="shared" si="7"/>
        <v/>
      </c>
      <c r="L27" s="44" t="str">
        <f t="shared" si="7"/>
        <v/>
      </c>
      <c r="M27" s="44" t="str">
        <f t="shared" si="7"/>
        <v/>
      </c>
      <c r="N27" s="44" t="str">
        <f t="shared" si="7"/>
        <v/>
      </c>
      <c r="O27" s="44" t="str">
        <f>IF(SUM(C27:N27)=0,"",AVERAGE(C27:N27))</f>
        <v/>
      </c>
      <c r="P27" s="3"/>
      <c r="Q27" s="3"/>
    </row>
    <row r="28" spans="1:21" ht="20.25" customHeight="1" x14ac:dyDescent="0.15">
      <c r="A28" s="101"/>
      <c r="B28" s="33" t="s">
        <v>87</v>
      </c>
      <c r="C28" s="9">
        <f>'[1]A-1'!$E$44</f>
        <v>0</v>
      </c>
      <c r="D28" s="9">
        <f>'[2]A-1'!$E$44</f>
        <v>0</v>
      </c>
      <c r="E28" s="9">
        <f>'[3]A-1'!$E$44</f>
        <v>0</v>
      </c>
      <c r="F28" s="9">
        <f>'[4]A-1'!$E$44</f>
        <v>0</v>
      </c>
      <c r="G28" s="9">
        <f>'[5]A-1'!$E$44</f>
        <v>0</v>
      </c>
      <c r="H28" s="9">
        <f>'[6]A-1'!$E$44</f>
        <v>0</v>
      </c>
      <c r="I28" s="9">
        <f>'[7]A-1'!$E$44</f>
        <v>0</v>
      </c>
      <c r="J28" s="9">
        <f>'[8]A-1'!$E$44</f>
        <v>0</v>
      </c>
      <c r="K28" s="9">
        <f>'[9]A-1'!$E$44</f>
        <v>0</v>
      </c>
      <c r="L28" s="9">
        <f>'[10]A-1'!$E$44</f>
        <v>0</v>
      </c>
      <c r="M28" s="9">
        <f>'[11]A-1'!$E$44</f>
        <v>0</v>
      </c>
      <c r="N28" s="9">
        <f>'[12]A-1'!$E$44</f>
        <v>0</v>
      </c>
      <c r="O28" s="66">
        <f>SUM(C28:N28)</f>
        <v>0</v>
      </c>
      <c r="Q28" s="3"/>
    </row>
    <row r="29" spans="1:21" ht="20.25" customHeight="1" x14ac:dyDescent="0.15">
      <c r="A29" s="102"/>
      <c r="B29" s="34" t="s">
        <v>88</v>
      </c>
      <c r="C29" s="24">
        <f>'[1]A-1'!$D$44</f>
        <v>0</v>
      </c>
      <c r="D29" s="24">
        <f>'[2]A-1'!$D$44</f>
        <v>0</v>
      </c>
      <c r="E29" s="24">
        <f>'[3]A-1'!$D$44</f>
        <v>0</v>
      </c>
      <c r="F29" s="24">
        <f>'[4]A-1'!$D$44</f>
        <v>0</v>
      </c>
      <c r="G29" s="24">
        <f>'[5]A-1'!$D$44</f>
        <v>0</v>
      </c>
      <c r="H29" s="24">
        <f>'[6]A-1'!$D$44</f>
        <v>0</v>
      </c>
      <c r="I29" s="24">
        <f>'[7]A-1'!$D$44</f>
        <v>0</v>
      </c>
      <c r="J29" s="24">
        <f>'[8]A-1'!$D$44</f>
        <v>0</v>
      </c>
      <c r="K29" s="24">
        <f>'[9]A-1'!$D$44</f>
        <v>0</v>
      </c>
      <c r="L29" s="24">
        <f>'[10]A-1'!$D$44</f>
        <v>0</v>
      </c>
      <c r="M29" s="24">
        <f>'[11]A-1'!$D$44</f>
        <v>0</v>
      </c>
      <c r="N29" s="24">
        <f>'[12]A-1'!$D$44</f>
        <v>0</v>
      </c>
      <c r="O29" s="10">
        <f>SUM(C29:N29)</f>
        <v>0</v>
      </c>
    </row>
    <row r="30" spans="1:21" ht="9" customHeight="1" x14ac:dyDescent="0.15"/>
    <row r="31" spans="1:21" ht="16.5" customHeight="1" x14ac:dyDescent="0.15">
      <c r="A31" t="s">
        <v>84</v>
      </c>
    </row>
    <row r="32" spans="1:21" ht="20.25" customHeight="1" x14ac:dyDescent="0.15">
      <c r="A32" s="95"/>
      <c r="B32" s="96"/>
      <c r="C32" s="4" t="s">
        <v>64</v>
      </c>
      <c r="D32" s="4" t="s">
        <v>65</v>
      </c>
      <c r="E32" s="4" t="s">
        <v>66</v>
      </c>
      <c r="F32" s="4" t="s">
        <v>67</v>
      </c>
      <c r="G32" s="4" t="s">
        <v>68</v>
      </c>
      <c r="H32" s="4" t="s">
        <v>69</v>
      </c>
      <c r="I32" s="4" t="s">
        <v>70</v>
      </c>
      <c r="J32" s="4" t="s">
        <v>71</v>
      </c>
      <c r="K32" s="4" t="s">
        <v>72</v>
      </c>
      <c r="L32" s="4" t="s">
        <v>73</v>
      </c>
      <c r="M32" s="4" t="s">
        <v>74</v>
      </c>
      <c r="N32" s="4" t="s">
        <v>75</v>
      </c>
      <c r="O32" s="4"/>
    </row>
    <row r="33" spans="1:15" ht="20.25" customHeight="1" x14ac:dyDescent="0.15">
      <c r="A33" s="100" t="s">
        <v>22</v>
      </c>
      <c r="B33" s="97" t="s">
        <v>20</v>
      </c>
      <c r="C33" s="12">
        <f>'[1]A-1'!$H$46</f>
        <v>0</v>
      </c>
      <c r="D33" s="12">
        <f>'[2]A-1'!$H$46</f>
        <v>0</v>
      </c>
      <c r="E33" s="12">
        <f>'[3]A-1'!$H$46</f>
        <v>0</v>
      </c>
      <c r="F33" s="12">
        <f>'[4]A-1'!$H$46</f>
        <v>0</v>
      </c>
      <c r="G33" s="12">
        <f>'[5]A-1'!$H$46</f>
        <v>0</v>
      </c>
      <c r="H33" s="12">
        <f>'[6]A-1'!$H$46</f>
        <v>0</v>
      </c>
      <c r="I33" s="12">
        <f>'[7]A-1'!$H$46</f>
        <v>0</v>
      </c>
      <c r="J33" s="12">
        <f>'[8]A-1'!$H$46</f>
        <v>0</v>
      </c>
      <c r="K33" s="12">
        <f>'[9]A-1'!$H$46</f>
        <v>0</v>
      </c>
      <c r="L33" s="12">
        <f>'[10]A-1'!$H$46</f>
        <v>0</v>
      </c>
      <c r="M33" s="12">
        <f>'[11]A-1'!$H$46</f>
        <v>0</v>
      </c>
      <c r="N33" s="12">
        <f>'[12]A-1'!$H$46</f>
        <v>0</v>
      </c>
      <c r="O33" s="31" t="s">
        <v>45</v>
      </c>
    </row>
    <row r="34" spans="1:15" ht="20.25" customHeight="1" x14ac:dyDescent="0.15">
      <c r="A34" s="101"/>
      <c r="B34" s="98"/>
      <c r="C34" s="14" t="str">
        <f>'[1]A-1'!$H$45</f>
        <v/>
      </c>
      <c r="D34" s="14" t="str">
        <f>'[2]A-1'!$H$45</f>
        <v/>
      </c>
      <c r="E34" s="14" t="str">
        <f>'[3]A-1'!$H$45</f>
        <v/>
      </c>
      <c r="F34" s="14" t="str">
        <f>'[4]A-1'!$H$45</f>
        <v/>
      </c>
      <c r="G34" s="14" t="str">
        <f>'[5]A-1'!$H$45</f>
        <v/>
      </c>
      <c r="H34" s="14" t="str">
        <f>'[6]A-1'!$H$45</f>
        <v/>
      </c>
      <c r="I34" s="14" t="str">
        <f>'[7]A-1'!$H$45</f>
        <v/>
      </c>
      <c r="J34" s="14" t="str">
        <f>'[8]A-1'!$H$45</f>
        <v/>
      </c>
      <c r="K34" s="14" t="str">
        <f>'[9]A-1'!$H$45</f>
        <v/>
      </c>
      <c r="L34" s="14" t="str">
        <f>'[10]A-1'!$H$45</f>
        <v/>
      </c>
      <c r="M34" s="14" t="str">
        <f>'[11]A-1'!$H$45</f>
        <v/>
      </c>
      <c r="N34" s="14" t="str">
        <f>'[12]A-1'!$H$45</f>
        <v/>
      </c>
      <c r="O34" s="32" t="s">
        <v>46</v>
      </c>
    </row>
    <row r="35" spans="1:15" ht="20.25" customHeight="1" x14ac:dyDescent="0.15">
      <c r="A35" s="101"/>
      <c r="B35" s="99"/>
      <c r="C35" s="16">
        <f>'[1]A-1'!$H$47</f>
        <v>0</v>
      </c>
      <c r="D35" s="16">
        <f>'[2]A-1'!$H$47</f>
        <v>0</v>
      </c>
      <c r="E35" s="16">
        <f>'[3]A-1'!$H$47</f>
        <v>0</v>
      </c>
      <c r="F35" s="16">
        <f>'[4]A-1'!$H$47</f>
        <v>0</v>
      </c>
      <c r="G35" s="16">
        <f>'[5]A-1'!$H$47</f>
        <v>0</v>
      </c>
      <c r="H35" s="16">
        <f>'[6]A-1'!$H$47</f>
        <v>0</v>
      </c>
      <c r="I35" s="16">
        <f>'[7]A-1'!$H$47</f>
        <v>0</v>
      </c>
      <c r="J35" s="16">
        <f>'[8]A-1'!$H$47</f>
        <v>0</v>
      </c>
      <c r="K35" s="16">
        <f>'[9]A-1'!$H$47</f>
        <v>0</v>
      </c>
      <c r="L35" s="16">
        <f>'[10]A-1'!$H$47</f>
        <v>0</v>
      </c>
      <c r="M35" s="16">
        <f>'[11]A-1'!$H$47</f>
        <v>0</v>
      </c>
      <c r="N35" s="16">
        <f>'[12]A-1'!$H$47</f>
        <v>0</v>
      </c>
      <c r="O35" s="17" t="s">
        <v>77</v>
      </c>
    </row>
    <row r="36" spans="1:15" ht="20.25" customHeight="1" x14ac:dyDescent="0.15">
      <c r="A36" s="101"/>
      <c r="B36" s="97" t="s">
        <v>21</v>
      </c>
      <c r="C36" s="26">
        <f>'[1]A-1'!$L$46</f>
        <v>0</v>
      </c>
      <c r="D36" s="26">
        <f>'[2]A-1'!$L$46</f>
        <v>0</v>
      </c>
      <c r="E36" s="26">
        <f>'[3]A-1'!$L$46</f>
        <v>0</v>
      </c>
      <c r="F36" s="26">
        <f>'[4]A-1'!$L$46</f>
        <v>0</v>
      </c>
      <c r="G36" s="26">
        <f>'[5]A-1'!$L$46</f>
        <v>0</v>
      </c>
      <c r="H36" s="26">
        <f>'[6]A-1'!$L$46</f>
        <v>0</v>
      </c>
      <c r="I36" s="26">
        <f>'[7]A-1'!$L$46</f>
        <v>0</v>
      </c>
      <c r="J36" s="26">
        <f>'[8]A-1'!$L$46</f>
        <v>0</v>
      </c>
      <c r="K36" s="26">
        <f>'[9]A-1'!$L$46</f>
        <v>0</v>
      </c>
      <c r="L36" s="26">
        <f>'[10]A-1'!$L$46</f>
        <v>0</v>
      </c>
      <c r="M36" s="26">
        <f>'[11]A-1'!$L$46</f>
        <v>0</v>
      </c>
      <c r="N36" s="26">
        <f>'[12]A-1'!$L$46</f>
        <v>0</v>
      </c>
      <c r="O36" s="13" t="s">
        <v>45</v>
      </c>
    </row>
    <row r="37" spans="1:15" ht="20.25" customHeight="1" x14ac:dyDescent="0.15">
      <c r="A37" s="101"/>
      <c r="B37" s="98"/>
      <c r="C37" s="40" t="str">
        <f>'[1]A-1'!$L$45</f>
        <v/>
      </c>
      <c r="D37" s="40" t="str">
        <f>'[2]A-1'!$L$45</f>
        <v/>
      </c>
      <c r="E37" s="40" t="str">
        <f>'[3]A-1'!$L$45</f>
        <v/>
      </c>
      <c r="F37" s="40" t="str">
        <f>'[4]A-1'!$L$45</f>
        <v/>
      </c>
      <c r="G37" s="40" t="str">
        <f>'[5]A-1'!$L$45</f>
        <v/>
      </c>
      <c r="H37" s="40" t="str">
        <f>'[6]A-1'!$L$45</f>
        <v/>
      </c>
      <c r="I37" s="40" t="str">
        <f>'[7]A-1'!$L$45</f>
        <v/>
      </c>
      <c r="J37" s="40" t="str">
        <f>'[8]A-1'!$L$45</f>
        <v/>
      </c>
      <c r="K37" s="40" t="str">
        <f>'[9]A-1'!$L$45</f>
        <v/>
      </c>
      <c r="L37" s="40" t="str">
        <f>'[10]A-1'!$L$45</f>
        <v/>
      </c>
      <c r="M37" s="40" t="str">
        <f>'[11]A-1'!$L$45</f>
        <v/>
      </c>
      <c r="N37" s="40" t="str">
        <f>'[12]A-1'!$L$45</f>
        <v/>
      </c>
      <c r="O37" s="15" t="s">
        <v>46</v>
      </c>
    </row>
    <row r="38" spans="1:15" ht="20.25" customHeight="1" x14ac:dyDescent="0.15">
      <c r="A38" s="101"/>
      <c r="B38" s="97" t="s">
        <v>19</v>
      </c>
      <c r="C38" s="12">
        <f>'[1]A-1'!$N$46</f>
        <v>0</v>
      </c>
      <c r="D38" s="12">
        <f>'[2]A-1'!$N$46</f>
        <v>0</v>
      </c>
      <c r="E38" s="12">
        <f>'[3]A-1'!$N$46</f>
        <v>0</v>
      </c>
      <c r="F38" s="12">
        <f>'[4]A-1'!$N$46</f>
        <v>0</v>
      </c>
      <c r="G38" s="12">
        <f>'[5]A-1'!$N$46</f>
        <v>0</v>
      </c>
      <c r="H38" s="12">
        <f>'[6]A-1'!$N$46</f>
        <v>0</v>
      </c>
      <c r="I38" s="12">
        <f>'[7]A-1'!$N$46</f>
        <v>0</v>
      </c>
      <c r="J38" s="12">
        <f>'[8]A-1'!$N$46</f>
        <v>0</v>
      </c>
      <c r="K38" s="12">
        <f>'[9]A-1'!$N$46</f>
        <v>0</v>
      </c>
      <c r="L38" s="12">
        <f>'[10]A-1'!$N$46</f>
        <v>0</v>
      </c>
      <c r="M38" s="12">
        <f>'[11]A-1'!$N$46</f>
        <v>0</v>
      </c>
      <c r="N38" s="12">
        <f>'[12]A-1'!$N$46</f>
        <v>0</v>
      </c>
      <c r="O38" s="13" t="s">
        <v>45</v>
      </c>
    </row>
    <row r="39" spans="1:15" ht="20.25" customHeight="1" x14ac:dyDescent="0.15">
      <c r="A39" s="102"/>
      <c r="B39" s="99"/>
      <c r="C39" s="19" t="str">
        <f>'[1]A-1'!$N$45</f>
        <v/>
      </c>
      <c r="D39" s="19" t="str">
        <f>'[2]A-1'!$N$45</f>
        <v/>
      </c>
      <c r="E39" s="19" t="str">
        <f>'[3]A-1'!$N$45</f>
        <v/>
      </c>
      <c r="F39" s="19" t="str">
        <f>'[4]A-1'!$N$45</f>
        <v/>
      </c>
      <c r="G39" s="19" t="str">
        <f>'[5]A-1'!$N$45</f>
        <v/>
      </c>
      <c r="H39" s="19" t="str">
        <f>'[6]A-1'!$N$45</f>
        <v/>
      </c>
      <c r="I39" s="19" t="str">
        <f>'[7]A-1'!$N$45</f>
        <v/>
      </c>
      <c r="J39" s="19" t="str">
        <f>'[8]A-1'!$N$45</f>
        <v/>
      </c>
      <c r="K39" s="19" t="str">
        <f>'[9]A-1'!$N$45</f>
        <v/>
      </c>
      <c r="L39" s="19" t="str">
        <f>'[10]A-1'!$N$45</f>
        <v/>
      </c>
      <c r="M39" s="19" t="str">
        <f>'[11]A-1'!$N$45</f>
        <v/>
      </c>
      <c r="N39" s="19" t="str">
        <f>'[12]A-1'!$N$45</f>
        <v/>
      </c>
      <c r="O39" s="52" t="s">
        <v>46</v>
      </c>
    </row>
    <row r="40" spans="1:15" ht="18" customHeight="1" x14ac:dyDescent="0.15">
      <c r="A40" t="s">
        <v>96</v>
      </c>
      <c r="F40" s="88" t="s">
        <v>189</v>
      </c>
      <c r="G40" s="89"/>
      <c r="H40" s="89"/>
      <c r="I40" s="89"/>
      <c r="J40" s="89"/>
      <c r="K40" s="89"/>
      <c r="L40" s="89"/>
    </row>
    <row r="41" spans="1:15" ht="14.25" customHeight="1" x14ac:dyDescent="0.15">
      <c r="A41"/>
      <c r="B41" s="94"/>
      <c r="C41" s="86" t="s">
        <v>97</v>
      </c>
      <c r="D41" s="87"/>
      <c r="E41" s="79" t="s">
        <v>98</v>
      </c>
      <c r="F41" s="80"/>
      <c r="G41" s="86" t="s">
        <v>99</v>
      </c>
      <c r="H41" s="87"/>
      <c r="I41" s="79" t="s">
        <v>100</v>
      </c>
      <c r="J41" s="80"/>
      <c r="K41" s="79" t="s">
        <v>101</v>
      </c>
      <c r="L41" s="80"/>
      <c r="M41" s="79" t="s">
        <v>185</v>
      </c>
      <c r="N41" s="80"/>
    </row>
    <row r="42" spans="1:15" ht="14.25" customHeight="1" x14ac:dyDescent="0.15">
      <c r="B42" s="94"/>
      <c r="C42" s="90" t="s">
        <v>102</v>
      </c>
      <c r="D42" s="91"/>
      <c r="E42" s="84" t="s">
        <v>103</v>
      </c>
      <c r="F42" s="85"/>
      <c r="G42" s="90" t="s">
        <v>104</v>
      </c>
      <c r="H42" s="91"/>
      <c r="I42" s="84" t="s">
        <v>105</v>
      </c>
      <c r="J42" s="85"/>
      <c r="K42" s="84" t="s">
        <v>106</v>
      </c>
      <c r="L42" s="85"/>
      <c r="M42" s="92" t="s">
        <v>186</v>
      </c>
      <c r="N42" s="93"/>
    </row>
    <row r="43" spans="1:15" ht="20.25" customHeight="1" x14ac:dyDescent="0.15">
      <c r="B43" s="22" t="s">
        <v>107</v>
      </c>
      <c r="C43" s="75"/>
      <c r="D43" s="75"/>
      <c r="E43" s="75">
        <v>1E-3</v>
      </c>
      <c r="F43" s="75"/>
      <c r="G43" s="75">
        <v>16</v>
      </c>
      <c r="H43" s="75"/>
      <c r="I43" s="75">
        <v>0.03</v>
      </c>
      <c r="J43" s="75"/>
      <c r="K43" s="75">
        <v>86</v>
      </c>
      <c r="L43" s="75"/>
      <c r="M43" s="75">
        <v>0.28999999999999998</v>
      </c>
      <c r="N43" s="75"/>
    </row>
    <row r="44" spans="1:15" ht="20.25" customHeight="1" x14ac:dyDescent="0.15">
      <c r="B44" s="22" t="s">
        <v>184</v>
      </c>
      <c r="C44" s="75" t="s">
        <v>180</v>
      </c>
      <c r="D44" s="75"/>
      <c r="E44" s="75" t="s">
        <v>181</v>
      </c>
      <c r="F44" s="75"/>
      <c r="G44" s="75" t="s">
        <v>182</v>
      </c>
      <c r="H44" s="75"/>
      <c r="I44" s="75" t="s">
        <v>191</v>
      </c>
      <c r="J44" s="75"/>
      <c r="K44" s="75" t="s">
        <v>183</v>
      </c>
      <c r="L44" s="75"/>
      <c r="M44" s="75" t="s">
        <v>190</v>
      </c>
      <c r="N44" s="75"/>
    </row>
    <row r="45" spans="1:15" ht="17.100000000000001" customHeight="1" x14ac:dyDescent="0.15">
      <c r="A45" t="s">
        <v>159</v>
      </c>
      <c r="E45" s="77" t="s">
        <v>187</v>
      </c>
      <c r="F45" s="78"/>
      <c r="G45" s="78"/>
      <c r="H45" s="78"/>
      <c r="I45" s="78"/>
      <c r="J45" s="78"/>
      <c r="K45" s="78"/>
    </row>
    <row r="46" spans="1:15" ht="20.25" customHeight="1" x14ac:dyDescent="0.15">
      <c r="B46" s="64"/>
      <c r="C46" s="76" t="s">
        <v>160</v>
      </c>
      <c r="D46" s="75"/>
      <c r="E46" s="76" t="s">
        <v>161</v>
      </c>
      <c r="F46" s="75"/>
      <c r="G46" s="3"/>
      <c r="H46" s="3"/>
      <c r="I46" s="3"/>
      <c r="J46" s="3"/>
      <c r="K46" s="3"/>
    </row>
    <row r="47" spans="1:15" ht="20.25" customHeight="1" x14ac:dyDescent="0.15">
      <c r="B47" s="63" t="s">
        <v>162</v>
      </c>
      <c r="C47" s="75"/>
      <c r="D47" s="75"/>
      <c r="E47" s="75"/>
      <c r="F47" s="75"/>
      <c r="L47" s="70"/>
      <c r="M47" s="70"/>
    </row>
    <row r="49" spans="1:14" ht="17.100000000000001" customHeight="1" x14ac:dyDescent="0.15">
      <c r="A49" t="s">
        <v>204</v>
      </c>
      <c r="C49" s="1" t="s">
        <v>216</v>
      </c>
    </row>
    <row r="50" spans="1:14" ht="17.100000000000001" customHeight="1" x14ac:dyDescent="0.15">
      <c r="B50" s="73" t="s">
        <v>12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</row>
    <row r="51" spans="1:14" ht="17.100000000000001" customHeight="1" x14ac:dyDescent="0.15">
      <c r="B51" s="73" t="s">
        <v>205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</row>
    <row r="52" spans="1:14" ht="17.100000000000001" customHeight="1" x14ac:dyDescent="0.15">
      <c r="B52" s="73" t="s">
        <v>206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</row>
    <row r="53" spans="1:14" ht="17.100000000000001" customHeight="1" x14ac:dyDescent="0.15">
      <c r="B53" s="73" t="s">
        <v>207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 spans="1:14" ht="17.100000000000001" customHeight="1" x14ac:dyDescent="0.15">
      <c r="B54" s="73" t="s">
        <v>208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ht="17.100000000000001" customHeight="1" x14ac:dyDescent="0.15">
      <c r="B55" s="73" t="s">
        <v>209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ht="17.100000000000001" customHeight="1" x14ac:dyDescent="0.15">
      <c r="B56" s="73" t="s">
        <v>210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ht="17.100000000000001" customHeight="1" x14ac:dyDescent="0.15">
      <c r="B57" s="73" t="s">
        <v>211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ht="17.100000000000001" customHeight="1" x14ac:dyDescent="0.15">
      <c r="B58" s="73" t="s">
        <v>212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ht="17.100000000000001" customHeight="1" x14ac:dyDescent="0.15">
      <c r="B59" s="73" t="s">
        <v>213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  <row r="60" spans="1:14" ht="17.100000000000001" customHeight="1" x14ac:dyDescent="0.15">
      <c r="B60" s="73" t="s">
        <v>214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</row>
    <row r="61" spans="1:14" ht="17.100000000000001" customHeight="1" x14ac:dyDescent="0.15">
      <c r="B61" s="73" t="s">
        <v>215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</row>
  </sheetData>
  <mergeCells count="64">
    <mergeCell ref="E42:F42"/>
    <mergeCell ref="A8:B8"/>
    <mergeCell ref="A25:A29"/>
    <mergeCell ref="A1:O1"/>
    <mergeCell ref="A5:B5"/>
    <mergeCell ref="A7:B7"/>
    <mergeCell ref="F7:G7"/>
    <mergeCell ref="C7:E7"/>
    <mergeCell ref="C5:O5"/>
    <mergeCell ref="A4:B4"/>
    <mergeCell ref="A3:B3"/>
    <mergeCell ref="C6:E6"/>
    <mergeCell ref="A6:B6"/>
    <mergeCell ref="C3:O3"/>
    <mergeCell ref="F6:G6"/>
    <mergeCell ref="H7:O7"/>
    <mergeCell ref="C4:O4"/>
    <mergeCell ref="H6:O6"/>
    <mergeCell ref="J8:O8"/>
    <mergeCell ref="A22:A24"/>
    <mergeCell ref="A9:B9"/>
    <mergeCell ref="A14:B14"/>
    <mergeCell ref="A13:B13"/>
    <mergeCell ref="A21:B21"/>
    <mergeCell ref="A12:B12"/>
    <mergeCell ref="A18:B18"/>
    <mergeCell ref="H8:I8"/>
    <mergeCell ref="B41:B42"/>
    <mergeCell ref="A32:B32"/>
    <mergeCell ref="B36:B37"/>
    <mergeCell ref="B38:B39"/>
    <mergeCell ref="A33:A39"/>
    <mergeCell ref="B33:B35"/>
    <mergeCell ref="I41:J41"/>
    <mergeCell ref="G43:H43"/>
    <mergeCell ref="C8:G8"/>
    <mergeCell ref="I42:J42"/>
    <mergeCell ref="K41:L41"/>
    <mergeCell ref="G41:H41"/>
    <mergeCell ref="E41:F41"/>
    <mergeCell ref="F40:L40"/>
    <mergeCell ref="K42:L42"/>
    <mergeCell ref="G42:H42"/>
    <mergeCell ref="C41:D41"/>
    <mergeCell ref="C9:O9"/>
    <mergeCell ref="C42:D42"/>
    <mergeCell ref="M41:N41"/>
    <mergeCell ref="M42:N42"/>
    <mergeCell ref="M43:N43"/>
    <mergeCell ref="E43:F43"/>
    <mergeCell ref="I43:J43"/>
    <mergeCell ref="C43:D43"/>
    <mergeCell ref="K43:L43"/>
    <mergeCell ref="M44:N44"/>
    <mergeCell ref="K44:L44"/>
    <mergeCell ref="I44:J44"/>
    <mergeCell ref="G44:H44"/>
    <mergeCell ref="C47:D47"/>
    <mergeCell ref="E46:F46"/>
    <mergeCell ref="E47:F47"/>
    <mergeCell ref="C44:D44"/>
    <mergeCell ref="E44:F44"/>
    <mergeCell ref="C46:D46"/>
    <mergeCell ref="E45:K45"/>
  </mergeCells>
  <phoneticPr fontId="1"/>
  <printOptions horizontalCentered="1" verticalCentered="1"/>
  <pageMargins left="0.39370078740157483" right="0.39370078740157483" top="0.59055118110236227" bottom="0.59055118110236227" header="0" footer="0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6EEA-1A9D-4904-BFD8-A8CFF34BF712}">
  <dimension ref="A1:O44"/>
  <sheetViews>
    <sheetView showZeros="0" topLeftCell="A35" zoomScale="150" zoomScaleNormal="100" zoomScaleSheetLayoutView="120" workbookViewId="0">
      <selection activeCell="A2" sqref="A2:O2"/>
    </sheetView>
  </sheetViews>
  <sheetFormatPr defaultRowHeight="17.100000000000001" customHeight="1" x14ac:dyDescent="0.15"/>
  <cols>
    <col min="1" max="1" width="4" style="1" customWidth="1"/>
    <col min="2" max="2" width="18" style="1" customWidth="1"/>
    <col min="3" max="14" width="9.796875" style="1" bestFit="1" customWidth="1"/>
    <col min="15" max="15" width="10.3984375" style="1" bestFit="1" customWidth="1"/>
    <col min="16" max="16384" width="9.59765625" style="1"/>
  </cols>
  <sheetData>
    <row r="1" spans="1:15" ht="18.75" customHeight="1" x14ac:dyDescent="0.15">
      <c r="A1"/>
    </row>
    <row r="2" spans="1:15" ht="18.75" customHeight="1" x14ac:dyDescent="0.15">
      <c r="A2" s="114" t="str">
        <f>"令和"&amp;'[1]A-1'!$E$9-2018&amp;"年度　最終処分場維持管理状況報告書"</f>
        <v>令和9年度　最終処分場維持管理状況報告書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1:15" ht="18.75" customHeight="1" x14ac:dyDescent="0.15">
      <c r="M3"/>
      <c r="O3" t="s">
        <v>218</v>
      </c>
    </row>
    <row r="4" spans="1:15" ht="18.75" customHeight="1" x14ac:dyDescent="0.15">
      <c r="A4" s="115" t="s">
        <v>14</v>
      </c>
      <c r="B4" s="113"/>
      <c r="C4" s="121" t="s">
        <v>58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122"/>
    </row>
    <row r="5" spans="1:15" ht="18.75" customHeight="1" x14ac:dyDescent="0.15">
      <c r="A5" s="115" t="s">
        <v>23</v>
      </c>
      <c r="B5" s="113"/>
      <c r="C5" s="81" t="s">
        <v>78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4"/>
    </row>
    <row r="6" spans="1:15" ht="18.75" customHeight="1" x14ac:dyDescent="0.15">
      <c r="A6" s="115" t="s">
        <v>17</v>
      </c>
      <c r="B6" s="113"/>
      <c r="C6" s="81" t="s">
        <v>201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</row>
    <row r="7" spans="1:15" ht="18.75" customHeight="1" x14ac:dyDescent="0.15">
      <c r="A7" s="120" t="s">
        <v>15</v>
      </c>
      <c r="B7" s="80"/>
      <c r="C7" s="140">
        <v>42527</v>
      </c>
      <c r="D7" s="141"/>
      <c r="E7" s="142"/>
      <c r="F7" s="120" t="s">
        <v>24</v>
      </c>
      <c r="G7" s="80"/>
      <c r="H7" s="105" t="s">
        <v>195</v>
      </c>
      <c r="I7" s="106"/>
      <c r="J7" s="106"/>
      <c r="K7" s="106"/>
      <c r="L7" s="106"/>
      <c r="M7" s="106"/>
      <c r="N7" s="106"/>
      <c r="O7" s="107"/>
    </row>
    <row r="8" spans="1:15" ht="18.75" customHeight="1" x14ac:dyDescent="0.15">
      <c r="A8" s="76" t="s">
        <v>53</v>
      </c>
      <c r="B8" s="75"/>
      <c r="C8" s="116" t="s">
        <v>196</v>
      </c>
      <c r="D8" s="117"/>
      <c r="E8" s="118"/>
      <c r="F8" s="76" t="s">
        <v>54</v>
      </c>
      <c r="G8" s="75"/>
      <c r="H8" s="105" t="s">
        <v>61</v>
      </c>
      <c r="I8" s="138"/>
      <c r="J8" s="113"/>
      <c r="K8" s="76" t="s">
        <v>43</v>
      </c>
      <c r="L8" s="75"/>
      <c r="M8" s="105" t="s">
        <v>197</v>
      </c>
      <c r="N8" s="138"/>
      <c r="O8" s="113"/>
    </row>
    <row r="9" spans="1:15" ht="18.75" customHeight="1" x14ac:dyDescent="0.15">
      <c r="A9" s="76" t="s">
        <v>42</v>
      </c>
      <c r="B9" s="75"/>
      <c r="C9" s="116" t="s">
        <v>199</v>
      </c>
      <c r="D9" s="117"/>
      <c r="E9" s="118"/>
      <c r="F9" s="76" t="s">
        <v>26</v>
      </c>
      <c r="G9" s="75"/>
      <c r="H9" s="81" t="s">
        <v>198</v>
      </c>
      <c r="I9" s="103"/>
      <c r="J9" s="103"/>
      <c r="K9" s="82"/>
      <c r="L9" s="82"/>
      <c r="M9" s="82"/>
      <c r="N9" s="82"/>
      <c r="O9" s="83"/>
    </row>
    <row r="10" spans="1:15" s="3" customFormat="1" ht="18.75" customHeight="1" x14ac:dyDescent="0.15">
      <c r="A10" s="105" t="s">
        <v>31</v>
      </c>
      <c r="B10" s="106"/>
      <c r="C10" s="121" t="s">
        <v>200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139"/>
    </row>
    <row r="11" spans="1:15" s="3" customFormat="1" ht="18.75" customHeight="1" x14ac:dyDescent="0.15">
      <c r="A11" s="2"/>
      <c r="B11" s="2"/>
      <c r="F11" s="2"/>
      <c r="G11" s="2"/>
      <c r="K11" s="2"/>
      <c r="L11" s="2"/>
    </row>
    <row r="12" spans="1:15" ht="18.75" customHeight="1" x14ac:dyDescent="0.15">
      <c r="A12" t="s">
        <v>27</v>
      </c>
    </row>
    <row r="13" spans="1:15" ht="18.75" customHeight="1" x14ac:dyDescent="0.15">
      <c r="A13" s="109"/>
      <c r="B13" s="110"/>
      <c r="C13" s="4" t="s">
        <v>12</v>
      </c>
      <c r="D13" s="4" t="s">
        <v>11</v>
      </c>
      <c r="E13" s="4" t="s">
        <v>10</v>
      </c>
      <c r="F13" s="4" t="s">
        <v>9</v>
      </c>
      <c r="G13" s="4" t="s">
        <v>8</v>
      </c>
      <c r="H13" s="4" t="s">
        <v>7</v>
      </c>
      <c r="I13" s="4" t="s">
        <v>6</v>
      </c>
      <c r="J13" s="4" t="s">
        <v>5</v>
      </c>
      <c r="K13" s="4" t="s">
        <v>4</v>
      </c>
      <c r="L13" s="4" t="s">
        <v>3</v>
      </c>
      <c r="M13" s="4" t="s">
        <v>2</v>
      </c>
      <c r="N13" s="4" t="s">
        <v>1</v>
      </c>
      <c r="O13" s="4" t="s">
        <v>0</v>
      </c>
    </row>
    <row r="14" spans="1:15" ht="18.75" customHeight="1" x14ac:dyDescent="0.15">
      <c r="A14" s="108" t="s">
        <v>41</v>
      </c>
      <c r="B14" s="104"/>
      <c r="C14" s="30">
        <f>SUM(C15:C17)</f>
        <v>0</v>
      </c>
      <c r="D14" s="30">
        <f t="shared" ref="D14:N14" si="0">SUM(D15:D17)</f>
        <v>0</v>
      </c>
      <c r="E14" s="30">
        <f t="shared" si="0"/>
        <v>0</v>
      </c>
      <c r="F14" s="30">
        <f t="shared" si="0"/>
        <v>0</v>
      </c>
      <c r="G14" s="30">
        <f t="shared" si="0"/>
        <v>0</v>
      </c>
      <c r="H14" s="30">
        <f t="shared" si="0"/>
        <v>0</v>
      </c>
      <c r="I14" s="30">
        <f t="shared" si="0"/>
        <v>0</v>
      </c>
      <c r="J14" s="30">
        <f t="shared" si="0"/>
        <v>0</v>
      </c>
      <c r="K14" s="30">
        <f t="shared" si="0"/>
        <v>0</v>
      </c>
      <c r="L14" s="30">
        <f t="shared" si="0"/>
        <v>0</v>
      </c>
      <c r="M14" s="30">
        <f t="shared" si="0"/>
        <v>0</v>
      </c>
      <c r="N14" s="30">
        <f t="shared" si="0"/>
        <v>0</v>
      </c>
      <c r="O14" s="30">
        <f t="shared" ref="O14:O22" si="1">SUM(C14:N14)</f>
        <v>0</v>
      </c>
    </row>
    <row r="15" spans="1:15" ht="18.75" customHeight="1" x14ac:dyDescent="0.15">
      <c r="A15" s="5"/>
      <c r="B15" s="23" t="s">
        <v>57</v>
      </c>
      <c r="C15" s="8">
        <f>'[1]B-1'!$C$45</f>
        <v>0</v>
      </c>
      <c r="D15" s="8">
        <f>'[2]B-1'!$C$45</f>
        <v>0</v>
      </c>
      <c r="E15" s="8">
        <f>'[3]B-1'!$C$45</f>
        <v>0</v>
      </c>
      <c r="F15" s="8">
        <f>'[4]B-1'!$C$45</f>
        <v>0</v>
      </c>
      <c r="G15" s="8">
        <f>'[5]B-1'!$C$45</f>
        <v>0</v>
      </c>
      <c r="H15" s="8">
        <f>'[6]B-1'!$C$45</f>
        <v>0</v>
      </c>
      <c r="I15" s="8">
        <f>'[7]B-1'!$C$45</f>
        <v>0</v>
      </c>
      <c r="J15" s="8">
        <f>'[8]B-1'!$C$45</f>
        <v>0</v>
      </c>
      <c r="K15" s="8">
        <f>'[9]B-1'!$C$45</f>
        <v>0</v>
      </c>
      <c r="L15" s="8">
        <f>'[10]B-1'!$C$45</f>
        <v>0</v>
      </c>
      <c r="M15" s="8">
        <f>'[11]B-1'!$C$45</f>
        <v>0</v>
      </c>
      <c r="N15" s="8">
        <f>'[12]B-1'!$C$45</f>
        <v>0</v>
      </c>
      <c r="O15" s="8">
        <f t="shared" si="1"/>
        <v>0</v>
      </c>
    </row>
    <row r="16" spans="1:15" ht="18.75" customHeight="1" x14ac:dyDescent="0.15">
      <c r="A16" s="5"/>
      <c r="B16" s="28" t="s">
        <v>83</v>
      </c>
      <c r="C16" s="9">
        <f>'[1]B-1'!$D$45
+'[1]B-1'!$E$45
+'[1]B-1'!$F$45</f>
        <v>0</v>
      </c>
      <c r="D16" s="9">
        <f>'[2]B-1'!$D$45
+'[2]B-1'!$E$45
+'[2]B-1'!$F$45</f>
        <v>0</v>
      </c>
      <c r="E16" s="9">
        <f>'[3]B-1'!$D$45
+'[3]B-1'!$E$45
+'[3]B-1'!$F$45</f>
        <v>0</v>
      </c>
      <c r="F16" s="9">
        <f>'[4]B-1'!$D$45
+'[4]B-1'!$E$45
+'[4]B-1'!$F$45</f>
        <v>0</v>
      </c>
      <c r="G16" s="9">
        <f>'[5]B-1'!$D$45
+'[5]B-1'!$E$45
+'[5]B-1'!$F$45</f>
        <v>0</v>
      </c>
      <c r="H16" s="9">
        <f>'[6]B-1'!$D$45
+'[6]B-1'!$E$45
+'[6]B-1'!$F$45</f>
        <v>0</v>
      </c>
      <c r="I16" s="9">
        <f>'[7]B-1'!$D$45
+'[7]B-1'!$E$45
+'[7]B-1'!$F$45</f>
        <v>0</v>
      </c>
      <c r="J16" s="9">
        <f>'[8]B-1'!$D$45
+'[8]B-1'!$E$45
+'[8]B-1'!$F$45</f>
        <v>0</v>
      </c>
      <c r="K16" s="9">
        <f>'[9]B-1'!$D$45
+'[9]B-1'!$E$45
+'[9]B-1'!$F$45</f>
        <v>0</v>
      </c>
      <c r="L16" s="9">
        <f>'[10]B-1'!$D$45
+'[10]B-1'!$E$45
+'[10]B-1'!$F$45</f>
        <v>0</v>
      </c>
      <c r="M16" s="9">
        <f>'[11]B-1'!$D$45
+'[11]B-1'!$E$45
+'[11]B-1'!$F$45</f>
        <v>0</v>
      </c>
      <c r="N16" s="9">
        <f>'[12]B-1'!$D$45
+'[12]B-1'!$E$45
+'[12]B-1'!$F$45</f>
        <v>0</v>
      </c>
      <c r="O16" s="9">
        <f t="shared" si="1"/>
        <v>0</v>
      </c>
    </row>
    <row r="17" spans="1:15" ht="18.75" customHeight="1" x14ac:dyDescent="0.15">
      <c r="A17" s="48"/>
      <c r="B17" s="54" t="s">
        <v>85</v>
      </c>
      <c r="C17" s="24">
        <f>'[1]B-1'!$G$45</f>
        <v>0</v>
      </c>
      <c r="D17" s="24">
        <f>'[2]B-1'!$G$45</f>
        <v>0</v>
      </c>
      <c r="E17" s="24">
        <f>'[3]B-1'!$G$45</f>
        <v>0</v>
      </c>
      <c r="F17" s="24">
        <f>'[4]B-1'!$G$45</f>
        <v>0</v>
      </c>
      <c r="G17" s="24">
        <f>'[5]B-1'!$G$45</f>
        <v>0</v>
      </c>
      <c r="H17" s="24">
        <f>'[6]B-1'!$G$45</f>
        <v>0</v>
      </c>
      <c r="I17" s="24">
        <f>'[7]B-1'!$G$45</f>
        <v>0</v>
      </c>
      <c r="J17" s="24">
        <f>'[8]B-1'!$G$45</f>
        <v>0</v>
      </c>
      <c r="K17" s="24">
        <f>'[9]B-1'!$G$45</f>
        <v>0</v>
      </c>
      <c r="L17" s="24">
        <f>'[10]B-1'!$G$45</f>
        <v>0</v>
      </c>
      <c r="M17" s="24">
        <f>'[11]B-1'!$G$45</f>
        <v>0</v>
      </c>
      <c r="N17" s="24">
        <f>'[12]B-1'!$G$45</f>
        <v>0</v>
      </c>
      <c r="O17" s="24">
        <f t="shared" si="1"/>
        <v>0</v>
      </c>
    </row>
    <row r="18" spans="1:15" ht="18.75" customHeight="1" x14ac:dyDescent="0.15">
      <c r="A18" s="81" t="s">
        <v>40</v>
      </c>
      <c r="B18" s="83"/>
      <c r="C18" s="10">
        <f>'[1]B-1'!$H$45</f>
        <v>0</v>
      </c>
      <c r="D18" s="10">
        <f>'[2]B-1'!$H$45</f>
        <v>0</v>
      </c>
      <c r="E18" s="10">
        <f>'[3]B-1'!$H$45</f>
        <v>0</v>
      </c>
      <c r="F18" s="10">
        <f>'[4]B-1'!$H$45</f>
        <v>0</v>
      </c>
      <c r="G18" s="10">
        <f>'[5]B-1'!$H$45</f>
        <v>0</v>
      </c>
      <c r="H18" s="10">
        <f>'[6]B-1'!$H$45</f>
        <v>0</v>
      </c>
      <c r="I18" s="10">
        <f>'[7]B-1'!$H$45</f>
        <v>0</v>
      </c>
      <c r="J18" s="10">
        <f>'[8]B-1'!$H$45</f>
        <v>0</v>
      </c>
      <c r="K18" s="10">
        <f>'[9]B-1'!$H$45</f>
        <v>0</v>
      </c>
      <c r="L18" s="10">
        <f>'[10]B-1'!$H$45</f>
        <v>0</v>
      </c>
      <c r="M18" s="10">
        <f>'[11]B-1'!$H$45</f>
        <v>0</v>
      </c>
      <c r="N18" s="10">
        <f>'[12]B-1'!$H$45</f>
        <v>0</v>
      </c>
      <c r="O18" s="10">
        <f t="shared" si="1"/>
        <v>0</v>
      </c>
    </row>
    <row r="19" spans="1:15" ht="18.75" customHeight="1" x14ac:dyDescent="0.15">
      <c r="A19" s="131" t="s">
        <v>32</v>
      </c>
      <c r="B19" s="132"/>
      <c r="C19" s="25">
        <f>SUM(C15:C18)</f>
        <v>0</v>
      </c>
      <c r="D19" s="25">
        <f t="shared" ref="D19:N19" si="2">SUM(D15:D18)</f>
        <v>0</v>
      </c>
      <c r="E19" s="25">
        <f t="shared" si="2"/>
        <v>0</v>
      </c>
      <c r="F19" s="25">
        <f t="shared" si="2"/>
        <v>0</v>
      </c>
      <c r="G19" s="25">
        <f t="shared" si="2"/>
        <v>0</v>
      </c>
      <c r="H19" s="25">
        <f t="shared" si="2"/>
        <v>0</v>
      </c>
      <c r="I19" s="25">
        <f t="shared" si="2"/>
        <v>0</v>
      </c>
      <c r="J19" s="25">
        <f t="shared" si="2"/>
        <v>0</v>
      </c>
      <c r="K19" s="25">
        <f t="shared" si="2"/>
        <v>0</v>
      </c>
      <c r="L19" s="25">
        <f t="shared" si="2"/>
        <v>0</v>
      </c>
      <c r="M19" s="25">
        <f t="shared" si="2"/>
        <v>0</v>
      </c>
      <c r="N19" s="25">
        <f t="shared" si="2"/>
        <v>0</v>
      </c>
      <c r="O19" s="25">
        <f t="shared" si="1"/>
        <v>0</v>
      </c>
    </row>
    <row r="20" spans="1:15" ht="18.75" customHeight="1" x14ac:dyDescent="0.15">
      <c r="A20" s="133" t="s">
        <v>33</v>
      </c>
      <c r="B20" s="134"/>
      <c r="C20" s="46">
        <f>ROUND(C19*1.5,1)</f>
        <v>0</v>
      </c>
      <c r="D20" s="46">
        <f t="shared" ref="D20:N20" si="3">ROUND(D19*1.5,1)</f>
        <v>0</v>
      </c>
      <c r="E20" s="46">
        <f t="shared" si="3"/>
        <v>0</v>
      </c>
      <c r="F20" s="46">
        <f t="shared" si="3"/>
        <v>0</v>
      </c>
      <c r="G20" s="46">
        <f t="shared" si="3"/>
        <v>0</v>
      </c>
      <c r="H20" s="46">
        <f t="shared" si="3"/>
        <v>0</v>
      </c>
      <c r="I20" s="46">
        <f t="shared" si="3"/>
        <v>0</v>
      </c>
      <c r="J20" s="46">
        <f t="shared" si="3"/>
        <v>0</v>
      </c>
      <c r="K20" s="46">
        <f t="shared" si="3"/>
        <v>0</v>
      </c>
      <c r="L20" s="46">
        <f t="shared" si="3"/>
        <v>0</v>
      </c>
      <c r="M20" s="46">
        <f t="shared" si="3"/>
        <v>0</v>
      </c>
      <c r="N20" s="46">
        <f t="shared" si="3"/>
        <v>0</v>
      </c>
      <c r="O20" s="46">
        <f t="shared" si="1"/>
        <v>0</v>
      </c>
    </row>
    <row r="21" spans="1:15" ht="18.75" customHeight="1" x14ac:dyDescent="0.15">
      <c r="A21" s="135" t="s">
        <v>34</v>
      </c>
      <c r="B21" s="112"/>
      <c r="C21" s="47">
        <f>'[1]B-1'!$I$45</f>
        <v>0</v>
      </c>
      <c r="D21" s="47">
        <f>'[2]B-1'!$I$45</f>
        <v>0</v>
      </c>
      <c r="E21" s="47">
        <f>'[3]B-1'!$I$45</f>
        <v>0</v>
      </c>
      <c r="F21" s="47">
        <f>'[4]B-1'!$I$45</f>
        <v>0</v>
      </c>
      <c r="G21" s="47">
        <f>'[5]B-1'!$I$45</f>
        <v>0</v>
      </c>
      <c r="H21" s="47">
        <f>'[6]B-1'!$I$45</f>
        <v>0</v>
      </c>
      <c r="I21" s="47">
        <f>'[7]B-1'!$I$45</f>
        <v>0</v>
      </c>
      <c r="J21" s="47">
        <f>'[8]B-1'!$I$45</f>
        <v>0</v>
      </c>
      <c r="K21" s="47">
        <f>'[9]B-1'!$I$45</f>
        <v>0</v>
      </c>
      <c r="L21" s="47">
        <f>'[10]B-1'!$I$45</f>
        <v>0</v>
      </c>
      <c r="M21" s="47">
        <f>'[11]B-1'!$I$45</f>
        <v>0</v>
      </c>
      <c r="N21" s="47">
        <f>'[12]B-1'!$I$45</f>
        <v>0</v>
      </c>
      <c r="O21" s="47">
        <f t="shared" si="1"/>
        <v>0</v>
      </c>
    </row>
    <row r="22" spans="1:15" ht="18.75" customHeight="1" x14ac:dyDescent="0.15">
      <c r="A22" s="135" t="s">
        <v>35</v>
      </c>
      <c r="B22" s="112"/>
      <c r="C22" s="47">
        <f>SUM(C20:C21)</f>
        <v>0</v>
      </c>
      <c r="D22" s="47">
        <f t="shared" ref="D22:N22" si="4">SUM(D20:D21)</f>
        <v>0</v>
      </c>
      <c r="E22" s="47">
        <f t="shared" si="4"/>
        <v>0</v>
      </c>
      <c r="F22" s="47">
        <f t="shared" si="4"/>
        <v>0</v>
      </c>
      <c r="G22" s="47">
        <f t="shared" si="4"/>
        <v>0</v>
      </c>
      <c r="H22" s="47">
        <f t="shared" si="4"/>
        <v>0</v>
      </c>
      <c r="I22" s="47">
        <f t="shared" si="4"/>
        <v>0</v>
      </c>
      <c r="J22" s="47">
        <f t="shared" si="4"/>
        <v>0</v>
      </c>
      <c r="K22" s="47">
        <f t="shared" si="4"/>
        <v>0</v>
      </c>
      <c r="L22" s="47">
        <f t="shared" si="4"/>
        <v>0</v>
      </c>
      <c r="M22" s="47">
        <f t="shared" si="4"/>
        <v>0</v>
      </c>
      <c r="N22" s="47">
        <f t="shared" si="4"/>
        <v>0</v>
      </c>
      <c r="O22" s="47">
        <f t="shared" si="1"/>
        <v>0</v>
      </c>
    </row>
    <row r="23" spans="1:15" ht="18.75" customHeight="1" x14ac:dyDescent="0.15">
      <c r="A23" t="s">
        <v>188</v>
      </c>
      <c r="B23"/>
      <c r="D23" s="130"/>
      <c r="E23" s="130"/>
      <c r="K23" s="136"/>
      <c r="L23" s="137"/>
      <c r="M23" s="137"/>
      <c r="N23" s="136"/>
      <c r="O23" s="137"/>
    </row>
    <row r="24" spans="1:15" ht="18.75" customHeight="1" x14ac:dyDescent="0.15"/>
    <row r="25" spans="1:15" ht="18.75" customHeight="1" x14ac:dyDescent="0.15">
      <c r="A25" t="s">
        <v>108</v>
      </c>
    </row>
    <row r="26" spans="1:15" ht="18.75" customHeight="1" x14ac:dyDescent="0.15">
      <c r="A26" s="95"/>
      <c r="B26" s="96"/>
      <c r="C26" s="4" t="s">
        <v>12</v>
      </c>
      <c r="D26" s="4" t="s">
        <v>11</v>
      </c>
      <c r="E26" s="4" t="s">
        <v>10</v>
      </c>
      <c r="F26" s="4" t="s">
        <v>9</v>
      </c>
      <c r="G26" s="4" t="s">
        <v>8</v>
      </c>
      <c r="H26" s="4" t="s">
        <v>7</v>
      </c>
      <c r="I26" s="4" t="s">
        <v>6</v>
      </c>
      <c r="J26" s="4" t="s">
        <v>5</v>
      </c>
      <c r="K26" s="4" t="s">
        <v>4</v>
      </c>
      <c r="L26" s="4" t="s">
        <v>3</v>
      </c>
      <c r="M26" s="4" t="s">
        <v>2</v>
      </c>
      <c r="N26" s="4" t="s">
        <v>1</v>
      </c>
      <c r="O26" s="22" t="s">
        <v>163</v>
      </c>
    </row>
    <row r="27" spans="1:15" ht="18.75" customHeight="1" x14ac:dyDescent="0.15">
      <c r="A27" s="129" t="s">
        <v>28</v>
      </c>
      <c r="B27" s="11" t="s">
        <v>37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67" t="str">
        <f t="shared" ref="O27:O32" si="5">IF(SUM(C27:N27)=0,"",AVERAGE(C27:N27))</f>
        <v/>
      </c>
    </row>
    <row r="28" spans="1:15" ht="18.75" customHeight="1" x14ac:dyDescent="0.15">
      <c r="A28" s="101"/>
      <c r="B28" s="28" t="s">
        <v>36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71" t="str">
        <f t="shared" si="5"/>
        <v/>
      </c>
    </row>
    <row r="29" spans="1:15" ht="18.75" customHeight="1" x14ac:dyDescent="0.15">
      <c r="A29" s="101"/>
      <c r="B29" s="27" t="s">
        <v>38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71" t="str">
        <f t="shared" si="5"/>
        <v/>
      </c>
    </row>
    <row r="30" spans="1:15" ht="18.75" customHeight="1" x14ac:dyDescent="0.15">
      <c r="A30" s="129" t="s">
        <v>29</v>
      </c>
      <c r="B30" s="11" t="s">
        <v>37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67" t="str">
        <f t="shared" si="5"/>
        <v/>
      </c>
    </row>
    <row r="31" spans="1:15" ht="18.75" customHeight="1" x14ac:dyDescent="0.15">
      <c r="A31" s="101"/>
      <c r="B31" s="28" t="s">
        <v>36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71" t="str">
        <f t="shared" si="5"/>
        <v/>
      </c>
    </row>
    <row r="32" spans="1:15" ht="18.75" customHeight="1" x14ac:dyDescent="0.15">
      <c r="A32" s="102"/>
      <c r="B32" s="55" t="s">
        <v>38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72" t="str">
        <f t="shared" si="5"/>
        <v/>
      </c>
    </row>
    <row r="33" spans="1:15" ht="18.75" customHeight="1" x14ac:dyDescent="0.15">
      <c r="A33"/>
      <c r="I33" s="18"/>
    </row>
    <row r="34" spans="1:15" ht="18.75" customHeight="1" x14ac:dyDescent="0.15">
      <c r="A34"/>
      <c r="I34" s="18"/>
    </row>
    <row r="35" spans="1:15" ht="18.75" customHeight="1" x14ac:dyDescent="0.15">
      <c r="A35"/>
      <c r="I35" s="18"/>
    </row>
    <row r="36" spans="1:15" ht="18.75" customHeight="1" x14ac:dyDescent="0.15">
      <c r="A36" s="128" t="s">
        <v>92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57"/>
    </row>
    <row r="37" spans="1:15" ht="18.75" customHeight="1" x14ac:dyDescent="0.15">
      <c r="A37" s="76" t="s">
        <v>95</v>
      </c>
      <c r="B37" s="75"/>
      <c r="C37" s="76" t="s">
        <v>93</v>
      </c>
      <c r="D37" s="75"/>
      <c r="E37" s="75"/>
      <c r="F37" s="76" t="s">
        <v>94</v>
      </c>
      <c r="G37" s="76"/>
      <c r="H37" s="76"/>
      <c r="I37" s="76"/>
      <c r="J37" s="76"/>
      <c r="K37" s="76"/>
      <c r="L37" s="76"/>
      <c r="M37" s="76"/>
      <c r="N37" s="76"/>
      <c r="O37" s="76"/>
    </row>
    <row r="38" spans="1:15" ht="18.75" customHeight="1" x14ac:dyDescent="0.15">
      <c r="A38" s="127">
        <v>45036</v>
      </c>
      <c r="B38" s="127"/>
      <c r="C38" s="123"/>
      <c r="D38" s="123"/>
      <c r="E38" s="123"/>
      <c r="F38" s="124" t="s">
        <v>179</v>
      </c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8.75" customHeight="1" x14ac:dyDescent="0.15">
      <c r="A39" s="127">
        <v>45108</v>
      </c>
      <c r="B39" s="127"/>
      <c r="C39" s="123"/>
      <c r="D39" s="123"/>
      <c r="E39" s="123"/>
      <c r="F39" s="124" t="s">
        <v>179</v>
      </c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8.75" customHeight="1" x14ac:dyDescent="0.15">
      <c r="A40" s="76"/>
      <c r="B40" s="76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</row>
    <row r="41" spans="1:15" ht="18.75" customHeight="1" x14ac:dyDescent="0.15">
      <c r="A41" s="76"/>
      <c r="B41" s="76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</row>
    <row r="42" spans="1:15" ht="18.75" customHeight="1" x14ac:dyDescent="0.15">
      <c r="A42" s="76"/>
      <c r="B42" s="76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</row>
    <row r="43" spans="1:15" ht="18.75" customHeight="1" x14ac:dyDescent="0.15">
      <c r="A43"/>
      <c r="B43" s="18"/>
      <c r="E43" s="18"/>
      <c r="H43" s="18"/>
    </row>
    <row r="44" spans="1:15" ht="18.75" customHeight="1" x14ac:dyDescent="0.15">
      <c r="B44" s="29"/>
      <c r="C44" s="20"/>
      <c r="D44" s="20"/>
      <c r="E44" s="20"/>
      <c r="F44" s="20"/>
      <c r="G44" s="20"/>
      <c r="H44" s="21"/>
      <c r="I44" s="20"/>
      <c r="J44" s="20"/>
      <c r="K44" s="20"/>
      <c r="L44" s="20"/>
      <c r="M44" s="20"/>
      <c r="N44" s="20"/>
      <c r="O44" s="20"/>
    </row>
  </sheetData>
  <mergeCells count="55">
    <mergeCell ref="A2:O2"/>
    <mergeCell ref="A13:B13"/>
    <mergeCell ref="A6:B6"/>
    <mergeCell ref="A8:B8"/>
    <mergeCell ref="F8:G8"/>
    <mergeCell ref="A4:B4"/>
    <mergeCell ref="A5:B5"/>
    <mergeCell ref="C4:O4"/>
    <mergeCell ref="C5:O5"/>
    <mergeCell ref="A9:B9"/>
    <mergeCell ref="A7:B7"/>
    <mergeCell ref="C8:E8"/>
    <mergeCell ref="C6:O6"/>
    <mergeCell ref="C7:E7"/>
    <mergeCell ref="F7:G7"/>
    <mergeCell ref="H7:O7"/>
    <mergeCell ref="N23:O23"/>
    <mergeCell ref="K23:M23"/>
    <mergeCell ref="H8:J8"/>
    <mergeCell ref="C10:O10"/>
    <mergeCell ref="F9:G9"/>
    <mergeCell ref="M8:O8"/>
    <mergeCell ref="K8:L8"/>
    <mergeCell ref="H9:O9"/>
    <mergeCell ref="C9:E9"/>
    <mergeCell ref="A26:B26"/>
    <mergeCell ref="A30:A32"/>
    <mergeCell ref="D23:E23"/>
    <mergeCell ref="A10:B10"/>
    <mergeCell ref="A19:B19"/>
    <mergeCell ref="A20:B20"/>
    <mergeCell ref="A21:B21"/>
    <mergeCell ref="A22:B22"/>
    <mergeCell ref="A18:B18"/>
    <mergeCell ref="A14:B14"/>
    <mergeCell ref="A27:A29"/>
    <mergeCell ref="A39:B39"/>
    <mergeCell ref="A37:B37"/>
    <mergeCell ref="A38:B38"/>
    <mergeCell ref="A36:N36"/>
    <mergeCell ref="C37:E37"/>
    <mergeCell ref="C38:E38"/>
    <mergeCell ref="C39:E39"/>
    <mergeCell ref="A42:B42"/>
    <mergeCell ref="A41:B41"/>
    <mergeCell ref="A40:B40"/>
    <mergeCell ref="C42:E42"/>
    <mergeCell ref="C40:E40"/>
    <mergeCell ref="C41:E41"/>
    <mergeCell ref="F41:O41"/>
    <mergeCell ref="F42:O42"/>
    <mergeCell ref="F37:O37"/>
    <mergeCell ref="F38:O38"/>
    <mergeCell ref="F39:O39"/>
    <mergeCell ref="F40:O40"/>
  </mergeCells>
  <phoneticPr fontId="1"/>
  <printOptions horizontalCentered="1" verticalCentered="1"/>
  <pageMargins left="0.39370078740157483" right="0.39370078740157483" top="0.59055118110236227" bottom="0.59055118110236227" header="0" footer="0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913A-F94B-4BD4-B67B-8A15E82425C0}">
  <dimension ref="A1:F64"/>
  <sheetViews>
    <sheetView workbookViewId="0">
      <selection activeCell="N8" sqref="N8:O8"/>
    </sheetView>
  </sheetViews>
  <sheetFormatPr defaultRowHeight="12" x14ac:dyDescent="0.15"/>
  <cols>
    <col min="1" max="1" width="46" style="58" customWidth="1"/>
    <col min="2" max="2" width="16.59765625" style="58" customWidth="1"/>
    <col min="3" max="3" width="9.796875" style="58" customWidth="1"/>
    <col min="4" max="4" width="46" style="58" customWidth="1"/>
    <col min="5" max="5" width="16.59765625" style="58" customWidth="1"/>
    <col min="6" max="6" width="9.796875" style="58" customWidth="1"/>
    <col min="7" max="7" width="12.3984375" style="58" customWidth="1"/>
    <col min="8" max="16384" width="9.59765625" style="58"/>
  </cols>
  <sheetData>
    <row r="1" spans="1:6" ht="27.75" customHeight="1" x14ac:dyDescent="0.15">
      <c r="A1" s="143" t="s">
        <v>109</v>
      </c>
      <c r="B1" s="143"/>
      <c r="C1" s="143"/>
      <c r="D1" s="143"/>
      <c r="E1" s="143"/>
      <c r="F1" s="143"/>
    </row>
    <row r="2" spans="1:6" ht="27.75" customHeight="1" x14ac:dyDescent="0.15">
      <c r="A2" s="145" t="s">
        <v>203</v>
      </c>
      <c r="B2" s="145"/>
      <c r="C2" s="145"/>
      <c r="D2" s="145"/>
      <c r="E2" s="145"/>
      <c r="F2" s="145"/>
    </row>
    <row r="3" spans="1:6" ht="27.75" customHeight="1" x14ac:dyDescent="0.15">
      <c r="A3" s="59" t="s">
        <v>116</v>
      </c>
      <c r="B3" s="60" t="s">
        <v>114</v>
      </c>
      <c r="C3" s="60" t="s">
        <v>115</v>
      </c>
      <c r="D3" s="59" t="s">
        <v>158</v>
      </c>
      <c r="E3" s="60">
        <v>0</v>
      </c>
      <c r="F3" s="60" t="s">
        <v>153</v>
      </c>
    </row>
    <row r="4" spans="1:6" ht="27.75" customHeight="1" x14ac:dyDescent="0.15">
      <c r="A4" s="59" t="s">
        <v>174</v>
      </c>
      <c r="B4" s="61" t="s">
        <v>202</v>
      </c>
      <c r="C4" s="62" t="s">
        <v>157</v>
      </c>
      <c r="D4" s="59" t="s">
        <v>110</v>
      </c>
      <c r="E4" s="60" t="s">
        <v>170</v>
      </c>
      <c r="F4" s="60" t="s">
        <v>152</v>
      </c>
    </row>
    <row r="5" spans="1:6" ht="27.75" customHeight="1" x14ac:dyDescent="0.15">
      <c r="A5" s="59" t="s">
        <v>117</v>
      </c>
      <c r="B5" s="60">
        <v>0.5</v>
      </c>
      <c r="C5" s="60" t="s">
        <v>152</v>
      </c>
      <c r="D5" s="59" t="s">
        <v>111</v>
      </c>
      <c r="E5" s="60" t="s">
        <v>175</v>
      </c>
      <c r="F5" s="60" t="s">
        <v>152</v>
      </c>
    </row>
    <row r="6" spans="1:6" ht="27.75" customHeight="1" x14ac:dyDescent="0.15">
      <c r="A6" s="59" t="s">
        <v>118</v>
      </c>
      <c r="B6" s="60">
        <v>26.3</v>
      </c>
      <c r="C6" s="60" t="s">
        <v>152</v>
      </c>
      <c r="D6" s="59" t="s">
        <v>112</v>
      </c>
      <c r="E6" s="60" t="s">
        <v>166</v>
      </c>
      <c r="F6" s="60" t="s">
        <v>152</v>
      </c>
    </row>
    <row r="7" spans="1:6" ht="27.75" customHeight="1" x14ac:dyDescent="0.15">
      <c r="A7" s="59" t="s">
        <v>173</v>
      </c>
      <c r="B7" s="60">
        <v>0.5</v>
      </c>
      <c r="C7" s="60" t="s">
        <v>152</v>
      </c>
      <c r="D7" s="59" t="s">
        <v>113</v>
      </c>
      <c r="E7" s="60" t="s">
        <v>167</v>
      </c>
      <c r="F7" s="60" t="s">
        <v>152</v>
      </c>
    </row>
    <row r="8" spans="1:6" ht="27.75" customHeight="1" x14ac:dyDescent="0.15">
      <c r="A8" s="144" t="s">
        <v>193</v>
      </c>
      <c r="B8" s="144"/>
      <c r="C8" s="144"/>
      <c r="D8" s="144"/>
      <c r="E8" s="144"/>
      <c r="F8" s="144"/>
    </row>
    <row r="9" spans="1:6" ht="27.75" customHeight="1" x14ac:dyDescent="0.15">
      <c r="A9" s="59" t="s">
        <v>116</v>
      </c>
      <c r="B9" s="60" t="s">
        <v>114</v>
      </c>
      <c r="C9" s="60" t="s">
        <v>115</v>
      </c>
      <c r="D9" s="59" t="s">
        <v>116</v>
      </c>
      <c r="E9" s="60" t="s">
        <v>114</v>
      </c>
      <c r="F9" s="60" t="s">
        <v>115</v>
      </c>
    </row>
    <row r="10" spans="1:6" ht="27.75" customHeight="1" x14ac:dyDescent="0.15">
      <c r="A10" s="59" t="s">
        <v>174</v>
      </c>
      <c r="B10" s="61" t="s">
        <v>192</v>
      </c>
      <c r="C10" s="62" t="s">
        <v>157</v>
      </c>
      <c r="D10" s="59" t="s">
        <v>151</v>
      </c>
      <c r="E10" s="60" t="s">
        <v>171</v>
      </c>
      <c r="F10" s="60" t="s">
        <v>152</v>
      </c>
    </row>
    <row r="11" spans="1:6" ht="27.75" customHeight="1" x14ac:dyDescent="0.15">
      <c r="A11" s="59" t="s">
        <v>117</v>
      </c>
      <c r="B11" s="60" t="s">
        <v>194</v>
      </c>
      <c r="C11" s="60" t="s">
        <v>152</v>
      </c>
      <c r="D11" s="59" t="s">
        <v>139</v>
      </c>
      <c r="E11" s="60" t="s">
        <v>172</v>
      </c>
      <c r="F11" s="60" t="s">
        <v>152</v>
      </c>
    </row>
    <row r="12" spans="1:6" ht="27.75" customHeight="1" x14ac:dyDescent="0.15">
      <c r="A12" s="59" t="s">
        <v>164</v>
      </c>
      <c r="B12" s="60">
        <v>19</v>
      </c>
      <c r="C12" s="60" t="s">
        <v>152</v>
      </c>
      <c r="D12" s="59" t="s">
        <v>140</v>
      </c>
      <c r="E12" s="60" t="s">
        <v>175</v>
      </c>
      <c r="F12" s="60" t="s">
        <v>152</v>
      </c>
    </row>
    <row r="13" spans="1:6" ht="27.75" customHeight="1" x14ac:dyDescent="0.15">
      <c r="A13" s="59" t="s">
        <v>173</v>
      </c>
      <c r="B13" s="68">
        <v>2.7</v>
      </c>
      <c r="C13" s="60" t="s">
        <v>152</v>
      </c>
      <c r="D13" s="59" t="s">
        <v>141</v>
      </c>
      <c r="E13" s="60" t="s">
        <v>176</v>
      </c>
      <c r="F13" s="60" t="s">
        <v>152</v>
      </c>
    </row>
    <row r="14" spans="1:6" ht="27.75" customHeight="1" x14ac:dyDescent="0.15">
      <c r="A14" s="59" t="s">
        <v>136</v>
      </c>
      <c r="B14" s="60">
        <v>0</v>
      </c>
      <c r="C14" s="60" t="s">
        <v>153</v>
      </c>
      <c r="D14" s="59" t="s">
        <v>142</v>
      </c>
      <c r="E14" s="60" t="s">
        <v>171</v>
      </c>
      <c r="F14" s="60" t="s">
        <v>152</v>
      </c>
    </row>
    <row r="15" spans="1:6" ht="27.75" customHeight="1" x14ac:dyDescent="0.15">
      <c r="A15" s="59" t="s">
        <v>119</v>
      </c>
      <c r="B15" s="69" t="s">
        <v>165</v>
      </c>
      <c r="C15" s="60" t="s">
        <v>152</v>
      </c>
      <c r="D15" s="59" t="s">
        <v>125</v>
      </c>
      <c r="E15" s="60" t="s">
        <v>169</v>
      </c>
      <c r="F15" s="60" t="s">
        <v>152</v>
      </c>
    </row>
    <row r="16" spans="1:6" ht="27.75" customHeight="1" x14ac:dyDescent="0.15">
      <c r="A16" s="59" t="s">
        <v>110</v>
      </c>
      <c r="B16" s="60" t="s">
        <v>170</v>
      </c>
      <c r="C16" s="60" t="s">
        <v>152</v>
      </c>
      <c r="D16" s="59" t="s">
        <v>155</v>
      </c>
      <c r="E16" s="60" t="s">
        <v>168</v>
      </c>
      <c r="F16" s="60" t="s">
        <v>152</v>
      </c>
    </row>
    <row r="17" spans="1:6" ht="27.75" customHeight="1" x14ac:dyDescent="0.15">
      <c r="A17" s="59" t="s">
        <v>111</v>
      </c>
      <c r="B17" s="60" t="s">
        <v>175</v>
      </c>
      <c r="C17" s="60" t="s">
        <v>152</v>
      </c>
      <c r="D17" s="59" t="s">
        <v>126</v>
      </c>
      <c r="E17" s="60">
        <v>0.51</v>
      </c>
      <c r="F17" s="60" t="s">
        <v>152</v>
      </c>
    </row>
    <row r="18" spans="1:6" ht="27.75" customHeight="1" x14ac:dyDescent="0.15">
      <c r="A18" s="59" t="s">
        <v>112</v>
      </c>
      <c r="B18" s="60" t="s">
        <v>166</v>
      </c>
      <c r="C18" s="60" t="s">
        <v>152</v>
      </c>
      <c r="D18" s="59" t="s">
        <v>127</v>
      </c>
      <c r="E18" s="60">
        <v>0.06</v>
      </c>
      <c r="F18" s="60" t="s">
        <v>152</v>
      </c>
    </row>
    <row r="19" spans="1:6" ht="27.75" customHeight="1" x14ac:dyDescent="0.15">
      <c r="A19" s="59" t="s">
        <v>120</v>
      </c>
      <c r="B19" s="60" t="s">
        <v>167</v>
      </c>
      <c r="C19" s="60" t="s">
        <v>152</v>
      </c>
      <c r="D19" s="59" t="s">
        <v>128</v>
      </c>
      <c r="E19" s="60">
        <v>51.1</v>
      </c>
      <c r="F19" s="60" t="s">
        <v>152</v>
      </c>
    </row>
    <row r="20" spans="1:6" ht="27.75" customHeight="1" x14ac:dyDescent="0.15">
      <c r="A20" s="59" t="s">
        <v>121</v>
      </c>
      <c r="B20" s="60" t="s">
        <v>168</v>
      </c>
      <c r="C20" s="60" t="s">
        <v>152</v>
      </c>
      <c r="D20" s="59" t="s">
        <v>177</v>
      </c>
      <c r="E20" s="60" t="s">
        <v>178</v>
      </c>
      <c r="F20" s="60" t="s">
        <v>152</v>
      </c>
    </row>
    <row r="21" spans="1:6" ht="27.75" customHeight="1" x14ac:dyDescent="0.15">
      <c r="A21" s="59" t="s">
        <v>122</v>
      </c>
      <c r="B21" s="60" t="s">
        <v>169</v>
      </c>
      <c r="C21" s="60" t="s">
        <v>152</v>
      </c>
      <c r="D21" s="59" t="s">
        <v>129</v>
      </c>
      <c r="E21" s="60" t="s">
        <v>178</v>
      </c>
      <c r="F21" s="60" t="s">
        <v>152</v>
      </c>
    </row>
    <row r="22" spans="1:6" ht="27.75" customHeight="1" x14ac:dyDescent="0.15">
      <c r="A22" s="59" t="s">
        <v>113</v>
      </c>
      <c r="B22" s="60" t="s">
        <v>167</v>
      </c>
      <c r="C22" s="60" t="s">
        <v>152</v>
      </c>
      <c r="D22" s="59" t="s">
        <v>130</v>
      </c>
      <c r="E22" s="60" t="s">
        <v>167</v>
      </c>
      <c r="F22" s="60" t="s">
        <v>152</v>
      </c>
    </row>
    <row r="23" spans="1:6" ht="27.75" customHeight="1" x14ac:dyDescent="0.15">
      <c r="A23" s="59" t="s">
        <v>123</v>
      </c>
      <c r="B23" s="60" t="s">
        <v>170</v>
      </c>
      <c r="C23" s="60" t="s">
        <v>152</v>
      </c>
      <c r="D23" s="59" t="s">
        <v>131</v>
      </c>
      <c r="E23" s="60" t="s">
        <v>166</v>
      </c>
      <c r="F23" s="60" t="s">
        <v>152</v>
      </c>
    </row>
    <row r="24" spans="1:6" ht="27.75" customHeight="1" x14ac:dyDescent="0.15">
      <c r="A24" s="59" t="s">
        <v>143</v>
      </c>
      <c r="B24" s="60" t="s">
        <v>171</v>
      </c>
      <c r="C24" s="60" t="s">
        <v>152</v>
      </c>
      <c r="D24" s="59" t="s">
        <v>132</v>
      </c>
      <c r="E24" s="60">
        <v>0.01</v>
      </c>
      <c r="F24" s="60" t="s">
        <v>152</v>
      </c>
    </row>
    <row r="25" spans="1:6" ht="27.75" customHeight="1" x14ac:dyDescent="0.15">
      <c r="A25" s="59" t="s">
        <v>144</v>
      </c>
      <c r="B25" s="60" t="s">
        <v>171</v>
      </c>
      <c r="C25" s="60" t="s">
        <v>152</v>
      </c>
      <c r="D25" s="59" t="s">
        <v>133</v>
      </c>
      <c r="E25" s="60">
        <v>0.05</v>
      </c>
      <c r="F25" s="60" t="s">
        <v>152</v>
      </c>
    </row>
    <row r="26" spans="1:6" ht="27.75" customHeight="1" x14ac:dyDescent="0.15">
      <c r="A26" s="59" t="s">
        <v>145</v>
      </c>
      <c r="B26" s="60" t="s">
        <v>171</v>
      </c>
      <c r="C26" s="60" t="s">
        <v>152</v>
      </c>
      <c r="D26" s="59" t="s">
        <v>134</v>
      </c>
      <c r="E26" s="60">
        <v>0.45</v>
      </c>
      <c r="F26" s="60" t="s">
        <v>152</v>
      </c>
    </row>
    <row r="27" spans="1:6" ht="27.75" customHeight="1" x14ac:dyDescent="0.15">
      <c r="A27" s="59" t="s">
        <v>124</v>
      </c>
      <c r="B27" s="60" t="s">
        <v>171</v>
      </c>
      <c r="C27" s="60" t="s">
        <v>152</v>
      </c>
      <c r="D27" s="59" t="s">
        <v>135</v>
      </c>
      <c r="E27" s="60" t="s">
        <v>166</v>
      </c>
      <c r="F27" s="60" t="s">
        <v>152</v>
      </c>
    </row>
    <row r="28" spans="1:6" ht="27.75" customHeight="1" x14ac:dyDescent="0.15">
      <c r="A28" s="59" t="s">
        <v>146</v>
      </c>
      <c r="B28" s="60" t="s">
        <v>171</v>
      </c>
      <c r="C28" s="60" t="s">
        <v>152</v>
      </c>
      <c r="D28" s="59" t="s">
        <v>137</v>
      </c>
      <c r="E28" s="60">
        <v>56.1</v>
      </c>
      <c r="F28" s="60" t="s">
        <v>152</v>
      </c>
    </row>
    <row r="29" spans="1:6" ht="27.75" customHeight="1" x14ac:dyDescent="0.15">
      <c r="A29" s="59" t="s">
        <v>147</v>
      </c>
      <c r="B29" s="60" t="s">
        <v>171</v>
      </c>
      <c r="C29" s="60" t="s">
        <v>152</v>
      </c>
      <c r="D29" s="59" t="s">
        <v>138</v>
      </c>
      <c r="E29" s="60" t="s">
        <v>168</v>
      </c>
      <c r="F29" s="60" t="s">
        <v>152</v>
      </c>
    </row>
    <row r="30" spans="1:6" ht="27.75" customHeight="1" x14ac:dyDescent="0.15">
      <c r="A30" s="59" t="s">
        <v>148</v>
      </c>
      <c r="B30" s="60" t="s">
        <v>171</v>
      </c>
      <c r="C30" s="60" t="s">
        <v>152</v>
      </c>
      <c r="D30" s="59" t="s">
        <v>154</v>
      </c>
      <c r="E30" s="60">
        <v>8.1000000000000004E-5</v>
      </c>
      <c r="F30" s="60" t="s">
        <v>156</v>
      </c>
    </row>
    <row r="31" spans="1:6" ht="27.75" customHeight="1" x14ac:dyDescent="0.15">
      <c r="A31" s="59" t="s">
        <v>149</v>
      </c>
      <c r="B31" s="60" t="s">
        <v>171</v>
      </c>
      <c r="C31" s="60" t="s">
        <v>152</v>
      </c>
      <c r="D31" s="59"/>
      <c r="E31" s="60"/>
      <c r="F31" s="60"/>
    </row>
    <row r="32" spans="1:6" ht="27.75" customHeight="1" x14ac:dyDescent="0.15">
      <c r="A32" s="59" t="s">
        <v>150</v>
      </c>
      <c r="B32" s="60" t="s">
        <v>171</v>
      </c>
      <c r="C32" s="60" t="s">
        <v>152</v>
      </c>
      <c r="D32" s="59"/>
      <c r="E32" s="61"/>
      <c r="F32" s="60"/>
    </row>
    <row r="33" ht="16.5" customHeight="1" x14ac:dyDescent="0.15"/>
    <row r="34" ht="16.5" customHeight="1" x14ac:dyDescent="0.15"/>
    <row r="35" ht="16.5" customHeight="1" x14ac:dyDescent="0.15"/>
    <row r="36" ht="16.5" customHeight="1" x14ac:dyDescent="0.15"/>
    <row r="37" ht="16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</sheetData>
  <mergeCells count="4">
    <mergeCell ref="A1:F1"/>
    <mergeCell ref="A8:F8"/>
    <mergeCell ref="A2:C2"/>
    <mergeCell ref="D2:F2"/>
  </mergeCells>
  <phoneticPr fontId="6"/>
  <printOptions horizontalCentered="1" verticalCentered="1"/>
  <pageMargins left="0.39370078740157483" right="0.39370078740157483" top="0.59055118110236227" bottom="0.59055118110236227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別記様式１</vt:lpstr>
      <vt:lpstr>別記様式２</vt:lpstr>
      <vt:lpstr>一般廃棄物最終処分場水質検査状況</vt:lpstr>
      <vt:lpstr>別記様式１!Print_Area</vt:lpstr>
      <vt:lpstr>別記様式２!Print_Area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北海道　環境生活部</dc:creator>
  <cp:lastModifiedBy>Lay Hirosaki</cp:lastModifiedBy>
  <cp:lastPrinted>2023-12-01T04:14:08Z</cp:lastPrinted>
  <dcterms:created xsi:type="dcterms:W3CDTF">2002-12-05T08:41:23Z</dcterms:created>
  <dcterms:modified xsi:type="dcterms:W3CDTF">2026-04-06T03:10:30Z</dcterms:modified>
</cp:coreProperties>
</file>