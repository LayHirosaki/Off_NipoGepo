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◯年度一式\管理月報\"/>
    </mc:Choice>
  </mc:AlternateContent>
  <xr:revisionPtr revIDLastSave="0" documentId="13_ncr:1_{6AF8EFA2-F979-4CB0-ABFE-19E0AAD455DD}" xr6:coauthVersionLast="47" xr6:coauthVersionMax="47" xr10:uidLastSave="{00000000-0000-0000-0000-000000000000}"/>
  <bookViews>
    <workbookView xWindow="10620" yWindow="1020" windowWidth="18135" windowHeight="14715" tabRatio="875" firstSheet="4" activeTab="10" xr2:uid="{105D8D45-79EE-4871-A456-95B044CF70E4}"/>
  </bookViews>
  <sheets>
    <sheet name="1-1" sheetId="2" r:id="rId1"/>
    <sheet name="1-2" sheetId="7" r:id="rId2"/>
    <sheet name="1-3" sheetId="24" r:id="rId3"/>
    <sheet name="1-4" sheetId="19" r:id="rId4"/>
    <sheet name="1-5" sheetId="25" r:id="rId5"/>
    <sheet name="1-6" sheetId="21" r:id="rId6"/>
    <sheet name="1-7" sheetId="8" r:id="rId7"/>
    <sheet name="2-1" sheetId="17" r:id="rId8"/>
    <sheet name="2-2" sheetId="9" r:id="rId9"/>
    <sheet name="2-3" sheetId="22" r:id="rId10"/>
    <sheet name="3-1" sheetId="10" r:id="rId11"/>
    <sheet name="3-2" sheetId="11" r:id="rId12"/>
    <sheet name="4-1" sheetId="29" r:id="rId13"/>
    <sheet name="4-2" sheetId="12" r:id="rId14"/>
    <sheet name="4-3" sheetId="20" r:id="rId15"/>
    <sheet name="4-4" sheetId="13" r:id="rId16"/>
    <sheet name="4-5" sheetId="14" r:id="rId17"/>
    <sheet name="4-6" sheetId="27" r:id="rId18"/>
    <sheet name="4-7" sheetId="28" r:id="rId19"/>
    <sheet name="4-8" sheetId="30" r:id="rId20"/>
    <sheet name="5-1" sheetId="31" r:id="rId21"/>
    <sheet name="5-2" sheetId="16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16" l="1"/>
  <c r="A1" i="31"/>
  <c r="A1" i="30"/>
  <c r="A1" i="28"/>
  <c r="A1" i="27"/>
  <c r="A1" i="14"/>
  <c r="A1" i="13"/>
  <c r="A1" i="20"/>
  <c r="A1" i="12"/>
  <c r="A1" i="29"/>
  <c r="A1" i="11"/>
  <c r="A1" i="10"/>
  <c r="A1" i="22"/>
  <c r="A1" i="9"/>
  <c r="A1" i="17"/>
  <c r="A1" i="8"/>
  <c r="A1" i="21"/>
  <c r="A1" i="25"/>
  <c r="A1" i="19"/>
  <c r="A1" i="24"/>
  <c r="A1" i="7"/>
  <c r="A1" i="2"/>
  <c r="V29" i="16" l="1"/>
  <c r="U29" i="16"/>
  <c r="S29" i="16"/>
  <c r="R29" i="16"/>
  <c r="N29" i="16"/>
  <c r="M29" i="16"/>
  <c r="K29" i="16"/>
  <c r="J29" i="16"/>
  <c r="F29" i="16"/>
  <c r="E29" i="16"/>
  <c r="C29" i="16"/>
  <c r="B29" i="16"/>
  <c r="V27" i="16"/>
  <c r="U27" i="16"/>
  <c r="W27" i="16" s="1"/>
  <c r="S27" i="16"/>
  <c r="R27" i="16"/>
  <c r="T27" i="16" s="1"/>
  <c r="N27" i="16"/>
  <c r="M27" i="16"/>
  <c r="K27" i="16"/>
  <c r="J27" i="16"/>
  <c r="F27" i="16"/>
  <c r="E27" i="16"/>
  <c r="C27" i="16"/>
  <c r="B27" i="16"/>
  <c r="V25" i="16"/>
  <c r="U25" i="16"/>
  <c r="S25" i="16"/>
  <c r="R25" i="16"/>
  <c r="N25" i="16"/>
  <c r="M25" i="16"/>
  <c r="O25" i="16" s="1"/>
  <c r="K25" i="16"/>
  <c r="J25" i="16"/>
  <c r="L25" i="16" s="1"/>
  <c r="F25" i="16"/>
  <c r="E25" i="16"/>
  <c r="C25" i="16"/>
  <c r="B25" i="16"/>
  <c r="V23" i="16"/>
  <c r="U23" i="16"/>
  <c r="S23" i="16"/>
  <c r="R23" i="16"/>
  <c r="N23" i="16"/>
  <c r="M23" i="16"/>
  <c r="K23" i="16"/>
  <c r="J23" i="16"/>
  <c r="F23" i="16"/>
  <c r="E23" i="16"/>
  <c r="G23" i="16" s="1"/>
  <c r="C23" i="16"/>
  <c r="B23" i="16"/>
  <c r="D23" i="16" s="1"/>
  <c r="V21" i="16"/>
  <c r="U21" i="16"/>
  <c r="S21" i="16"/>
  <c r="R21" i="16"/>
  <c r="N21" i="16"/>
  <c r="M21" i="16"/>
  <c r="K21" i="16"/>
  <c r="J21" i="16"/>
  <c r="F21" i="16"/>
  <c r="E21" i="16"/>
  <c r="C21" i="16"/>
  <c r="B21" i="16"/>
  <c r="V19" i="16"/>
  <c r="U19" i="16"/>
  <c r="S19" i="16"/>
  <c r="R19" i="16"/>
  <c r="T19" i="16" s="1"/>
  <c r="N19" i="16"/>
  <c r="M19" i="16"/>
  <c r="K19" i="16"/>
  <c r="J19" i="16"/>
  <c r="F19" i="16"/>
  <c r="E19" i="16"/>
  <c r="C19" i="16"/>
  <c r="B19" i="16"/>
  <c r="V17" i="16"/>
  <c r="U17" i="16"/>
  <c r="S17" i="16"/>
  <c r="R17" i="16"/>
  <c r="N17" i="16"/>
  <c r="M17" i="16"/>
  <c r="O17" i="16" s="1"/>
  <c r="K17" i="16"/>
  <c r="J17" i="16"/>
  <c r="L17" i="16" s="1"/>
  <c r="F17" i="16"/>
  <c r="E17" i="16"/>
  <c r="C17" i="16"/>
  <c r="B17" i="16"/>
  <c r="V15" i="16"/>
  <c r="U15" i="16"/>
  <c r="S15" i="16"/>
  <c r="R15" i="16"/>
  <c r="N15" i="16"/>
  <c r="M15" i="16"/>
  <c r="K15" i="16"/>
  <c r="J15" i="16"/>
  <c r="F15" i="16"/>
  <c r="E15" i="16"/>
  <c r="G15" i="16" s="1"/>
  <c r="C15" i="16"/>
  <c r="B15" i="16"/>
  <c r="D15" i="16" s="1"/>
  <c r="V13" i="16"/>
  <c r="U13" i="16"/>
  <c r="S13" i="16"/>
  <c r="R13" i="16"/>
  <c r="N13" i="16"/>
  <c r="M13" i="16"/>
  <c r="K13" i="16"/>
  <c r="J13" i="16"/>
  <c r="F13" i="16"/>
  <c r="E13" i="16"/>
  <c r="C13" i="16"/>
  <c r="B13" i="16"/>
  <c r="V11" i="16"/>
  <c r="U11" i="16"/>
  <c r="S11" i="16"/>
  <c r="R11" i="16"/>
  <c r="T11" i="16" s="1"/>
  <c r="N11" i="16"/>
  <c r="M11" i="16"/>
  <c r="K11" i="16"/>
  <c r="J11" i="16"/>
  <c r="F11" i="16"/>
  <c r="E11" i="16"/>
  <c r="C11" i="16"/>
  <c r="B11" i="16"/>
  <c r="V9" i="16"/>
  <c r="U9" i="16"/>
  <c r="S9" i="16"/>
  <c r="R9" i="16"/>
  <c r="N9" i="16"/>
  <c r="M9" i="16"/>
  <c r="K9" i="16"/>
  <c r="J9" i="16"/>
  <c r="L9" i="16" s="1"/>
  <c r="F9" i="16"/>
  <c r="E9" i="16"/>
  <c r="C9" i="16"/>
  <c r="B9" i="16"/>
  <c r="V7" i="16"/>
  <c r="U7" i="16"/>
  <c r="S7" i="16"/>
  <c r="R7" i="16"/>
  <c r="N7" i="16"/>
  <c r="M7" i="16"/>
  <c r="K7" i="16"/>
  <c r="J7" i="16"/>
  <c r="L7" i="16" s="1"/>
  <c r="F7" i="16"/>
  <c r="E7" i="16"/>
  <c r="E32" i="16" s="1"/>
  <c r="C7" i="16"/>
  <c r="C32" i="16" s="1"/>
  <c r="B7" i="16"/>
  <c r="V29" i="31"/>
  <c r="U29" i="31"/>
  <c r="S29" i="31"/>
  <c r="R29" i="31"/>
  <c r="N29" i="31"/>
  <c r="M29" i="31"/>
  <c r="K29" i="31"/>
  <c r="J29" i="31"/>
  <c r="F29" i="31"/>
  <c r="E29" i="31"/>
  <c r="C29" i="31"/>
  <c r="B29" i="31"/>
  <c r="V27" i="31"/>
  <c r="U27" i="31"/>
  <c r="W27" i="31" s="1"/>
  <c r="S27" i="31"/>
  <c r="R27" i="31"/>
  <c r="T27" i="31" s="1"/>
  <c r="N27" i="31"/>
  <c r="M27" i="31"/>
  <c r="K27" i="31"/>
  <c r="J27" i="31"/>
  <c r="F27" i="31"/>
  <c r="E27" i="31"/>
  <c r="C27" i="31"/>
  <c r="B27" i="31"/>
  <c r="V25" i="31"/>
  <c r="U25" i="31"/>
  <c r="S25" i="31"/>
  <c r="R25" i="31"/>
  <c r="N25" i="31"/>
  <c r="M25" i="31"/>
  <c r="O25" i="31" s="1"/>
  <c r="K25" i="31"/>
  <c r="J25" i="31"/>
  <c r="L25" i="31" s="1"/>
  <c r="F25" i="31"/>
  <c r="E25" i="31"/>
  <c r="C25" i="31"/>
  <c r="B25" i="31"/>
  <c r="V23" i="31"/>
  <c r="U23" i="31"/>
  <c r="S23" i="31"/>
  <c r="R23" i="31"/>
  <c r="N23" i="31"/>
  <c r="M23" i="31"/>
  <c r="K23" i="31"/>
  <c r="J23" i="31"/>
  <c r="F23" i="31"/>
  <c r="E23" i="31"/>
  <c r="G23" i="31" s="1"/>
  <c r="C23" i="31"/>
  <c r="B23" i="31"/>
  <c r="D23" i="31" s="1"/>
  <c r="V21" i="31"/>
  <c r="U21" i="31"/>
  <c r="S21" i="31"/>
  <c r="R21" i="31"/>
  <c r="N21" i="31"/>
  <c r="M21" i="31"/>
  <c r="K21" i="31"/>
  <c r="J21" i="31"/>
  <c r="F21" i="31"/>
  <c r="E21" i="31"/>
  <c r="C21" i="31"/>
  <c r="B21" i="31"/>
  <c r="V19" i="31"/>
  <c r="U19" i="31"/>
  <c r="W19" i="31" s="1"/>
  <c r="S19" i="31"/>
  <c r="R19" i="31"/>
  <c r="T19" i="31" s="1"/>
  <c r="N19" i="31"/>
  <c r="M19" i="31"/>
  <c r="K19" i="31"/>
  <c r="J19" i="31"/>
  <c r="F19" i="31"/>
  <c r="E19" i="31"/>
  <c r="C19" i="31"/>
  <c r="B19" i="31"/>
  <c r="V17" i="31"/>
  <c r="U17" i="31"/>
  <c r="S17" i="31"/>
  <c r="R17" i="31"/>
  <c r="N17" i="31"/>
  <c r="M17" i="31"/>
  <c r="O17" i="31" s="1"/>
  <c r="K17" i="31"/>
  <c r="J17" i="31"/>
  <c r="L17" i="31" s="1"/>
  <c r="F17" i="31"/>
  <c r="E17" i="31"/>
  <c r="C17" i="31"/>
  <c r="B17" i="31"/>
  <c r="V15" i="31"/>
  <c r="U15" i="31"/>
  <c r="S15" i="31"/>
  <c r="R15" i="31"/>
  <c r="N15" i="31"/>
  <c r="M15" i="31"/>
  <c r="K15" i="31"/>
  <c r="J15" i="31"/>
  <c r="F15" i="31"/>
  <c r="E15" i="31"/>
  <c r="G15" i="31" s="1"/>
  <c r="C15" i="31"/>
  <c r="B15" i="31"/>
  <c r="D15" i="31" s="1"/>
  <c r="V13" i="31"/>
  <c r="U13" i="31"/>
  <c r="S13" i="31"/>
  <c r="R13" i="31"/>
  <c r="N13" i="31"/>
  <c r="M13" i="31"/>
  <c r="K13" i="31"/>
  <c r="J13" i="31"/>
  <c r="F13" i="31"/>
  <c r="E13" i="31"/>
  <c r="C13" i="31"/>
  <c r="B13" i="31"/>
  <c r="V11" i="31"/>
  <c r="U11" i="31"/>
  <c r="W11" i="31" s="1"/>
  <c r="S11" i="31"/>
  <c r="S32" i="31" s="1"/>
  <c r="R11" i="31"/>
  <c r="N11" i="31"/>
  <c r="M11" i="31"/>
  <c r="K11" i="31"/>
  <c r="J11" i="31"/>
  <c r="F11" i="31"/>
  <c r="E11" i="31"/>
  <c r="C11" i="31"/>
  <c r="B11" i="31"/>
  <c r="V9" i="31"/>
  <c r="U9" i="31"/>
  <c r="S9" i="31"/>
  <c r="R9" i="31"/>
  <c r="N9" i="31"/>
  <c r="M9" i="31"/>
  <c r="K9" i="31"/>
  <c r="J9" i="31"/>
  <c r="L9" i="31" s="1"/>
  <c r="F9" i="31"/>
  <c r="E9" i="31"/>
  <c r="C9" i="31"/>
  <c r="B9" i="31"/>
  <c r="V7" i="31"/>
  <c r="U7" i="31"/>
  <c r="S7" i="31"/>
  <c r="R7" i="31"/>
  <c r="N7" i="31"/>
  <c r="M7" i="31"/>
  <c r="K7" i="31"/>
  <c r="J7" i="31"/>
  <c r="L7" i="31" s="1"/>
  <c r="F7" i="31"/>
  <c r="E7" i="31"/>
  <c r="E32" i="31" s="1"/>
  <c r="C7" i="31"/>
  <c r="C32" i="31" s="1"/>
  <c r="B7" i="31"/>
  <c r="Q29" i="30"/>
  <c r="P29" i="30"/>
  <c r="M29" i="30"/>
  <c r="L29" i="30"/>
  <c r="J29" i="30"/>
  <c r="I29" i="30"/>
  <c r="Q27" i="30"/>
  <c r="P27" i="30"/>
  <c r="M27" i="30"/>
  <c r="L27" i="30"/>
  <c r="J27" i="30"/>
  <c r="I27" i="30"/>
  <c r="Q25" i="30"/>
  <c r="P25" i="30"/>
  <c r="R25" i="30" s="1"/>
  <c r="M25" i="30"/>
  <c r="L25" i="30"/>
  <c r="N25" i="30" s="1"/>
  <c r="J25" i="30"/>
  <c r="I25" i="30"/>
  <c r="Q23" i="30"/>
  <c r="P23" i="30"/>
  <c r="M23" i="30"/>
  <c r="L23" i="30"/>
  <c r="J23" i="30"/>
  <c r="I23" i="30"/>
  <c r="Q21" i="30"/>
  <c r="P21" i="30"/>
  <c r="M21" i="30"/>
  <c r="L21" i="30"/>
  <c r="J21" i="30"/>
  <c r="I21" i="30"/>
  <c r="K21" i="30" s="1"/>
  <c r="Q19" i="30"/>
  <c r="P19" i="30"/>
  <c r="R19" i="30" s="1"/>
  <c r="M19" i="30"/>
  <c r="L19" i="30"/>
  <c r="J19" i="30"/>
  <c r="I19" i="30"/>
  <c r="Q17" i="30"/>
  <c r="P17" i="30"/>
  <c r="M17" i="30"/>
  <c r="L17" i="30"/>
  <c r="J17" i="30"/>
  <c r="I17" i="30"/>
  <c r="F17" i="30"/>
  <c r="E17" i="30"/>
  <c r="C17" i="30"/>
  <c r="B17" i="30"/>
  <c r="Q15" i="30"/>
  <c r="Q32" i="30" s="1"/>
  <c r="P15" i="30"/>
  <c r="M15" i="30"/>
  <c r="L15" i="30"/>
  <c r="J15" i="30"/>
  <c r="I15" i="30"/>
  <c r="F15" i="30"/>
  <c r="E15" i="30"/>
  <c r="C15" i="30"/>
  <c r="B15" i="30"/>
  <c r="Q13" i="30"/>
  <c r="P13" i="30"/>
  <c r="M13" i="30"/>
  <c r="L13" i="30"/>
  <c r="J13" i="30"/>
  <c r="I13" i="30"/>
  <c r="K13" i="30" s="1"/>
  <c r="F13" i="30"/>
  <c r="F32" i="30" s="1"/>
  <c r="E13" i="30"/>
  <c r="E32" i="30" s="1"/>
  <c r="C13" i="30"/>
  <c r="B13" i="30"/>
  <c r="Q11" i="30"/>
  <c r="P11" i="30"/>
  <c r="M11" i="30"/>
  <c r="L11" i="30"/>
  <c r="J11" i="30"/>
  <c r="I11" i="30"/>
  <c r="F11" i="30"/>
  <c r="E11" i="30"/>
  <c r="C11" i="30"/>
  <c r="B11" i="30"/>
  <c r="Q9" i="30"/>
  <c r="P9" i="30"/>
  <c r="M9" i="30"/>
  <c r="M32" i="30" s="1"/>
  <c r="L9" i="30"/>
  <c r="L32" i="30" s="1"/>
  <c r="J9" i="30"/>
  <c r="I9" i="30"/>
  <c r="Q7" i="30"/>
  <c r="P7" i="30"/>
  <c r="M7" i="30"/>
  <c r="L7" i="30"/>
  <c r="J7" i="30"/>
  <c r="I7" i="30"/>
  <c r="F7" i="30"/>
  <c r="E7" i="30"/>
  <c r="C7" i="30"/>
  <c r="B7" i="30"/>
  <c r="O29" i="28"/>
  <c r="N29" i="28"/>
  <c r="P29" i="28" s="1"/>
  <c r="L29" i="28"/>
  <c r="K29" i="28"/>
  <c r="M29" i="28" s="1"/>
  <c r="F29" i="28"/>
  <c r="E29" i="28"/>
  <c r="C29" i="28"/>
  <c r="B29" i="28"/>
  <c r="O27" i="28"/>
  <c r="N27" i="28"/>
  <c r="L27" i="28"/>
  <c r="K27" i="28"/>
  <c r="F27" i="28"/>
  <c r="E27" i="28"/>
  <c r="C27" i="28"/>
  <c r="B27" i="28"/>
  <c r="O25" i="28"/>
  <c r="N25" i="28"/>
  <c r="P25" i="28" s="1"/>
  <c r="L25" i="28"/>
  <c r="K25" i="28"/>
  <c r="M25" i="28" s="1"/>
  <c r="F25" i="28"/>
  <c r="E25" i="28"/>
  <c r="C25" i="28"/>
  <c r="B25" i="28"/>
  <c r="O23" i="28"/>
  <c r="N23" i="28"/>
  <c r="L23" i="28"/>
  <c r="K23" i="28"/>
  <c r="F23" i="28"/>
  <c r="E23" i="28"/>
  <c r="C23" i="28"/>
  <c r="B23" i="28"/>
  <c r="O21" i="28"/>
  <c r="N21" i="28"/>
  <c r="P21" i="28" s="1"/>
  <c r="L21" i="28"/>
  <c r="K21" i="28"/>
  <c r="M21" i="28" s="1"/>
  <c r="F21" i="28"/>
  <c r="E21" i="28"/>
  <c r="C21" i="28"/>
  <c r="B21" i="28"/>
  <c r="O19" i="28"/>
  <c r="N19" i="28"/>
  <c r="L19" i="28"/>
  <c r="K19" i="28"/>
  <c r="F19" i="28"/>
  <c r="E19" i="28"/>
  <c r="C19" i="28"/>
  <c r="B19" i="28"/>
  <c r="O17" i="28"/>
  <c r="N17" i="28"/>
  <c r="P17" i="28" s="1"/>
  <c r="L17" i="28"/>
  <c r="K17" i="28"/>
  <c r="M17" i="28" s="1"/>
  <c r="F17" i="28"/>
  <c r="E17" i="28"/>
  <c r="C17" i="28"/>
  <c r="B17" i="28"/>
  <c r="O15" i="28"/>
  <c r="N15" i="28"/>
  <c r="L15" i="28"/>
  <c r="K15" i="28"/>
  <c r="F15" i="28"/>
  <c r="E15" i="28"/>
  <c r="C15" i="28"/>
  <c r="B15" i="28"/>
  <c r="O13" i="28"/>
  <c r="N13" i="28"/>
  <c r="L13" i="28"/>
  <c r="K13" i="28"/>
  <c r="M13" i="28" s="1"/>
  <c r="F13" i="28"/>
  <c r="E13" i="28"/>
  <c r="C13" i="28"/>
  <c r="B13" i="28"/>
  <c r="O11" i="28"/>
  <c r="N11" i="28"/>
  <c r="L11" i="28"/>
  <c r="K11" i="28"/>
  <c r="F11" i="28"/>
  <c r="E11" i="28"/>
  <c r="C11" i="28"/>
  <c r="B11" i="28"/>
  <c r="O9" i="28"/>
  <c r="N9" i="28"/>
  <c r="P9" i="28" s="1"/>
  <c r="L9" i="28"/>
  <c r="K9" i="28"/>
  <c r="M9" i="28" s="1"/>
  <c r="F9" i="28"/>
  <c r="E9" i="28"/>
  <c r="C9" i="28"/>
  <c r="B9" i="28"/>
  <c r="O7" i="28"/>
  <c r="N7" i="28"/>
  <c r="L7" i="28"/>
  <c r="K7" i="28"/>
  <c r="F7" i="28"/>
  <c r="E7" i="28"/>
  <c r="C7" i="28"/>
  <c r="B7" i="28"/>
  <c r="D7" i="28" s="1"/>
  <c r="V29" i="27"/>
  <c r="U29" i="27"/>
  <c r="S29" i="27"/>
  <c r="R29" i="27"/>
  <c r="T29" i="27" s="1"/>
  <c r="N29" i="27"/>
  <c r="M29" i="27"/>
  <c r="K29" i="27"/>
  <c r="J29" i="27"/>
  <c r="F29" i="27"/>
  <c r="E29" i="27"/>
  <c r="C29" i="27"/>
  <c r="B29" i="27"/>
  <c r="V27" i="27"/>
  <c r="U27" i="27"/>
  <c r="S27" i="27"/>
  <c r="R27" i="27"/>
  <c r="N27" i="27"/>
  <c r="M27" i="27"/>
  <c r="O27" i="27" s="1"/>
  <c r="K27" i="27"/>
  <c r="J27" i="27"/>
  <c r="L27" i="27" s="1"/>
  <c r="F27" i="27"/>
  <c r="E27" i="27"/>
  <c r="C27" i="27"/>
  <c r="B27" i="27"/>
  <c r="V25" i="27"/>
  <c r="U25" i="27"/>
  <c r="S25" i="27"/>
  <c r="R25" i="27"/>
  <c r="N25" i="27"/>
  <c r="M25" i="27"/>
  <c r="K25" i="27"/>
  <c r="J25" i="27"/>
  <c r="F25" i="27"/>
  <c r="E25" i="27"/>
  <c r="G25" i="27" s="1"/>
  <c r="C25" i="27"/>
  <c r="B25" i="27"/>
  <c r="D25" i="27" s="1"/>
  <c r="V23" i="27"/>
  <c r="U23" i="27"/>
  <c r="S23" i="27"/>
  <c r="R23" i="27"/>
  <c r="N23" i="27"/>
  <c r="M23" i="27"/>
  <c r="K23" i="27"/>
  <c r="J23" i="27"/>
  <c r="F23" i="27"/>
  <c r="E23" i="27"/>
  <c r="C23" i="27"/>
  <c r="B23" i="27"/>
  <c r="V21" i="27"/>
  <c r="U21" i="27"/>
  <c r="W21" i="27" s="1"/>
  <c r="S21" i="27"/>
  <c r="R21" i="27"/>
  <c r="T21" i="27" s="1"/>
  <c r="N21" i="27"/>
  <c r="M21" i="27"/>
  <c r="K21" i="27"/>
  <c r="J21" i="27"/>
  <c r="F21" i="27"/>
  <c r="E21" i="27"/>
  <c r="C21" i="27"/>
  <c r="B21" i="27"/>
  <c r="V19" i="27"/>
  <c r="U19" i="27"/>
  <c r="S19" i="27"/>
  <c r="R19" i="27"/>
  <c r="N19" i="27"/>
  <c r="M19" i="27"/>
  <c r="O19" i="27" s="1"/>
  <c r="K19" i="27"/>
  <c r="J19" i="27"/>
  <c r="L19" i="27" s="1"/>
  <c r="F19" i="27"/>
  <c r="E19" i="27"/>
  <c r="C19" i="27"/>
  <c r="B19" i="27"/>
  <c r="V17" i="27"/>
  <c r="U17" i="27"/>
  <c r="S17" i="27"/>
  <c r="R17" i="27"/>
  <c r="N17" i="27"/>
  <c r="M17" i="27"/>
  <c r="K17" i="27"/>
  <c r="J17" i="27"/>
  <c r="F17" i="27"/>
  <c r="E17" i="27"/>
  <c r="G17" i="27" s="1"/>
  <c r="C17" i="27"/>
  <c r="B17" i="27"/>
  <c r="D17" i="27" s="1"/>
  <c r="V15" i="27"/>
  <c r="U15" i="27"/>
  <c r="S15" i="27"/>
  <c r="R15" i="27"/>
  <c r="N15" i="27"/>
  <c r="M15" i="27"/>
  <c r="K15" i="27"/>
  <c r="J15" i="27"/>
  <c r="F15" i="27"/>
  <c r="E15" i="27"/>
  <c r="C15" i="27"/>
  <c r="B15" i="27"/>
  <c r="V13" i="27"/>
  <c r="U13" i="27"/>
  <c r="W13" i="27" s="1"/>
  <c r="S13" i="27"/>
  <c r="R13" i="27"/>
  <c r="T13" i="27" s="1"/>
  <c r="N13" i="27"/>
  <c r="M13" i="27"/>
  <c r="K13" i="27"/>
  <c r="J13" i="27"/>
  <c r="F13" i="27"/>
  <c r="E13" i="27"/>
  <c r="C13" i="27"/>
  <c r="B13" i="27"/>
  <c r="V11" i="27"/>
  <c r="U11" i="27"/>
  <c r="S11" i="27"/>
  <c r="R11" i="27"/>
  <c r="N11" i="27"/>
  <c r="M11" i="27"/>
  <c r="O11" i="27" s="1"/>
  <c r="K11" i="27"/>
  <c r="J11" i="27"/>
  <c r="F11" i="27"/>
  <c r="E11" i="27"/>
  <c r="C11" i="27"/>
  <c r="B11" i="27"/>
  <c r="V9" i="27"/>
  <c r="U9" i="27"/>
  <c r="S9" i="27"/>
  <c r="R9" i="27"/>
  <c r="N9" i="27"/>
  <c r="M9" i="27"/>
  <c r="K9" i="27"/>
  <c r="J9" i="27"/>
  <c r="F9" i="27"/>
  <c r="E9" i="27"/>
  <c r="C9" i="27"/>
  <c r="B9" i="27"/>
  <c r="D9" i="27" s="1"/>
  <c r="V7" i="27"/>
  <c r="U7" i="27"/>
  <c r="S7" i="27"/>
  <c r="R7" i="27"/>
  <c r="N7" i="27"/>
  <c r="M7" i="27"/>
  <c r="K7" i="27"/>
  <c r="J7" i="27"/>
  <c r="F7" i="27"/>
  <c r="E7" i="27"/>
  <c r="C7" i="27"/>
  <c r="B7" i="27"/>
  <c r="D7" i="27" s="1"/>
  <c r="O29" i="14"/>
  <c r="N29" i="14"/>
  <c r="P29" i="14" s="1"/>
  <c r="L29" i="14"/>
  <c r="K29" i="14"/>
  <c r="M29" i="14" s="1"/>
  <c r="F29" i="14"/>
  <c r="E29" i="14"/>
  <c r="C29" i="14"/>
  <c r="B29" i="14"/>
  <c r="O27" i="14"/>
  <c r="N27" i="14"/>
  <c r="L27" i="14"/>
  <c r="K27" i="14"/>
  <c r="F27" i="14"/>
  <c r="E27" i="14"/>
  <c r="C27" i="14"/>
  <c r="B27" i="14"/>
  <c r="O25" i="14"/>
  <c r="N25" i="14"/>
  <c r="P25" i="14" s="1"/>
  <c r="L25" i="14"/>
  <c r="K25" i="14"/>
  <c r="M25" i="14" s="1"/>
  <c r="F25" i="14"/>
  <c r="E25" i="14"/>
  <c r="C25" i="14"/>
  <c r="B25" i="14"/>
  <c r="O23" i="14"/>
  <c r="N23" i="14"/>
  <c r="L23" i="14"/>
  <c r="K23" i="14"/>
  <c r="F23" i="14"/>
  <c r="E23" i="14"/>
  <c r="C23" i="14"/>
  <c r="B23" i="14"/>
  <c r="O21" i="14"/>
  <c r="N21" i="14"/>
  <c r="L21" i="14"/>
  <c r="K21" i="14"/>
  <c r="M21" i="14" s="1"/>
  <c r="F21" i="14"/>
  <c r="E21" i="14"/>
  <c r="C21" i="14"/>
  <c r="B21" i="14"/>
  <c r="O19" i="14"/>
  <c r="N19" i="14"/>
  <c r="L19" i="14"/>
  <c r="K19" i="14"/>
  <c r="F19" i="14"/>
  <c r="E19" i="14"/>
  <c r="C19" i="14"/>
  <c r="B19" i="14"/>
  <c r="O17" i="14"/>
  <c r="N17" i="14"/>
  <c r="P17" i="14" s="1"/>
  <c r="L17" i="14"/>
  <c r="K17" i="14"/>
  <c r="M17" i="14" s="1"/>
  <c r="F17" i="14"/>
  <c r="E17" i="14"/>
  <c r="C17" i="14"/>
  <c r="B17" i="14"/>
  <c r="O15" i="14"/>
  <c r="N15" i="14"/>
  <c r="L15" i="14"/>
  <c r="K15" i="14"/>
  <c r="F15" i="14"/>
  <c r="E15" i="14"/>
  <c r="C15" i="14"/>
  <c r="B15" i="14"/>
  <c r="O13" i="14"/>
  <c r="N13" i="14"/>
  <c r="P13" i="14" s="1"/>
  <c r="L13" i="14"/>
  <c r="K13" i="14"/>
  <c r="M13" i="14" s="1"/>
  <c r="F13" i="14"/>
  <c r="E13" i="14"/>
  <c r="C13" i="14"/>
  <c r="B13" i="14"/>
  <c r="O11" i="14"/>
  <c r="N11" i="14"/>
  <c r="L11" i="14"/>
  <c r="K11" i="14"/>
  <c r="F11" i="14"/>
  <c r="E11" i="14"/>
  <c r="C11" i="14"/>
  <c r="B11" i="14"/>
  <c r="O9" i="14"/>
  <c r="N9" i="14"/>
  <c r="P9" i="14" s="1"/>
  <c r="L9" i="14"/>
  <c r="K9" i="14"/>
  <c r="F9" i="14"/>
  <c r="E9" i="14"/>
  <c r="C9" i="14"/>
  <c r="B9" i="14"/>
  <c r="O7" i="14"/>
  <c r="N7" i="14"/>
  <c r="L7" i="14"/>
  <c r="K7" i="14"/>
  <c r="F7" i="14"/>
  <c r="E7" i="14"/>
  <c r="C7" i="14"/>
  <c r="B7" i="14"/>
  <c r="D7" i="14" s="1"/>
  <c r="O29" i="13"/>
  <c r="N29" i="13"/>
  <c r="P29" i="13" s="1"/>
  <c r="L29" i="13"/>
  <c r="K29" i="13"/>
  <c r="M29" i="13" s="1"/>
  <c r="F29" i="13"/>
  <c r="E29" i="13"/>
  <c r="C29" i="13"/>
  <c r="B29" i="13"/>
  <c r="O27" i="13"/>
  <c r="N27" i="13"/>
  <c r="L27" i="13"/>
  <c r="K27" i="13"/>
  <c r="F27" i="13"/>
  <c r="E27" i="13"/>
  <c r="C27" i="13"/>
  <c r="B27" i="13"/>
  <c r="O25" i="13"/>
  <c r="N25" i="13"/>
  <c r="P25" i="13" s="1"/>
  <c r="L25" i="13"/>
  <c r="K25" i="13"/>
  <c r="M25" i="13" s="1"/>
  <c r="F25" i="13"/>
  <c r="E25" i="13"/>
  <c r="C25" i="13"/>
  <c r="B25" i="13"/>
  <c r="O23" i="13"/>
  <c r="N23" i="13"/>
  <c r="L23" i="13"/>
  <c r="K23" i="13"/>
  <c r="F23" i="13"/>
  <c r="E23" i="13"/>
  <c r="C23" i="13"/>
  <c r="B23" i="13"/>
  <c r="O21" i="13"/>
  <c r="N21" i="13"/>
  <c r="L21" i="13"/>
  <c r="K21" i="13"/>
  <c r="M21" i="13" s="1"/>
  <c r="F21" i="13"/>
  <c r="E21" i="13"/>
  <c r="C21" i="13"/>
  <c r="B21" i="13"/>
  <c r="O19" i="13"/>
  <c r="N19" i="13"/>
  <c r="L19" i="13"/>
  <c r="K19" i="13"/>
  <c r="F19" i="13"/>
  <c r="E19" i="13"/>
  <c r="C19" i="13"/>
  <c r="B19" i="13"/>
  <c r="O17" i="13"/>
  <c r="N17" i="13"/>
  <c r="P17" i="13" s="1"/>
  <c r="L17" i="13"/>
  <c r="K17" i="13"/>
  <c r="M17" i="13" s="1"/>
  <c r="F17" i="13"/>
  <c r="E17" i="13"/>
  <c r="C17" i="13"/>
  <c r="B17" i="13"/>
  <c r="O15" i="13"/>
  <c r="N15" i="13"/>
  <c r="L15" i="13"/>
  <c r="K15" i="13"/>
  <c r="F15" i="13"/>
  <c r="E15" i="13"/>
  <c r="C15" i="13"/>
  <c r="B15" i="13"/>
  <c r="O13" i="13"/>
  <c r="N13" i="13"/>
  <c r="P13" i="13" s="1"/>
  <c r="L13" i="13"/>
  <c r="K13" i="13"/>
  <c r="M13" i="13" s="1"/>
  <c r="F13" i="13"/>
  <c r="E13" i="13"/>
  <c r="C13" i="13"/>
  <c r="B13" i="13"/>
  <c r="O11" i="13"/>
  <c r="N11" i="13"/>
  <c r="L11" i="13"/>
  <c r="K11" i="13"/>
  <c r="F11" i="13"/>
  <c r="E11" i="13"/>
  <c r="C11" i="13"/>
  <c r="B11" i="13"/>
  <c r="O9" i="13"/>
  <c r="N9" i="13"/>
  <c r="P9" i="13" s="1"/>
  <c r="L9" i="13"/>
  <c r="K9" i="13"/>
  <c r="M9" i="13" s="1"/>
  <c r="F9" i="13"/>
  <c r="E9" i="13"/>
  <c r="C9" i="13"/>
  <c r="B9" i="13"/>
  <c r="O7" i="13"/>
  <c r="N7" i="13"/>
  <c r="L7" i="13"/>
  <c r="K7" i="13"/>
  <c r="F7" i="13"/>
  <c r="E7" i="13"/>
  <c r="C7" i="13"/>
  <c r="B7" i="13"/>
  <c r="D7" i="13" s="1"/>
  <c r="O29" i="20"/>
  <c r="N29" i="20"/>
  <c r="P29" i="20" s="1"/>
  <c r="L29" i="20"/>
  <c r="K29" i="20"/>
  <c r="M29" i="20" s="1"/>
  <c r="F29" i="20"/>
  <c r="E29" i="20"/>
  <c r="C29" i="20"/>
  <c r="B29" i="20"/>
  <c r="O27" i="20"/>
  <c r="N27" i="20"/>
  <c r="L27" i="20"/>
  <c r="K27" i="20"/>
  <c r="F27" i="20"/>
  <c r="E27" i="20"/>
  <c r="C27" i="20"/>
  <c r="B27" i="20"/>
  <c r="O25" i="20"/>
  <c r="N25" i="20"/>
  <c r="L25" i="20"/>
  <c r="K25" i="20"/>
  <c r="M25" i="20" s="1"/>
  <c r="F25" i="20"/>
  <c r="E25" i="20"/>
  <c r="C25" i="20"/>
  <c r="B25" i="20"/>
  <c r="O23" i="20"/>
  <c r="N23" i="20"/>
  <c r="L23" i="20"/>
  <c r="K23" i="20"/>
  <c r="F23" i="20"/>
  <c r="E23" i="20"/>
  <c r="C23" i="20"/>
  <c r="B23" i="20"/>
  <c r="O21" i="20"/>
  <c r="N21" i="20"/>
  <c r="P21" i="20" s="1"/>
  <c r="L21" i="20"/>
  <c r="K21" i="20"/>
  <c r="M21" i="20" s="1"/>
  <c r="F21" i="20"/>
  <c r="E21" i="20"/>
  <c r="C21" i="20"/>
  <c r="B21" i="20"/>
  <c r="O19" i="20"/>
  <c r="N19" i="20"/>
  <c r="L19" i="20"/>
  <c r="K19" i="20"/>
  <c r="F19" i="20"/>
  <c r="E19" i="20"/>
  <c r="C19" i="20"/>
  <c r="B19" i="20"/>
  <c r="O17" i="20"/>
  <c r="N17" i="20"/>
  <c r="P17" i="20" s="1"/>
  <c r="L17" i="20"/>
  <c r="K17" i="20"/>
  <c r="M17" i="20" s="1"/>
  <c r="F17" i="20"/>
  <c r="E17" i="20"/>
  <c r="C17" i="20"/>
  <c r="B17" i="20"/>
  <c r="O15" i="20"/>
  <c r="N15" i="20"/>
  <c r="L15" i="20"/>
  <c r="K15" i="20"/>
  <c r="F15" i="20"/>
  <c r="E15" i="20"/>
  <c r="C15" i="20"/>
  <c r="B15" i="20"/>
  <c r="O13" i="20"/>
  <c r="N13" i="20"/>
  <c r="L13" i="20"/>
  <c r="K13" i="20"/>
  <c r="M13" i="20" s="1"/>
  <c r="F13" i="20"/>
  <c r="E13" i="20"/>
  <c r="C13" i="20"/>
  <c r="B13" i="20"/>
  <c r="O11" i="20"/>
  <c r="N11" i="20"/>
  <c r="L11" i="20"/>
  <c r="K11" i="20"/>
  <c r="F11" i="20"/>
  <c r="E11" i="20"/>
  <c r="C11" i="20"/>
  <c r="B11" i="20"/>
  <c r="O9" i="20"/>
  <c r="N9" i="20"/>
  <c r="P9" i="20" s="1"/>
  <c r="L9" i="20"/>
  <c r="K9" i="20"/>
  <c r="M9" i="20" s="1"/>
  <c r="F9" i="20"/>
  <c r="E9" i="20"/>
  <c r="C9" i="20"/>
  <c r="B9" i="20"/>
  <c r="O7" i="20"/>
  <c r="N7" i="20"/>
  <c r="L7" i="20"/>
  <c r="K7" i="20"/>
  <c r="F7" i="20"/>
  <c r="E7" i="20"/>
  <c r="G7" i="20" s="1"/>
  <c r="C7" i="20"/>
  <c r="B7" i="20"/>
  <c r="D7" i="20" s="1"/>
  <c r="O29" i="12"/>
  <c r="N29" i="12"/>
  <c r="L29" i="12"/>
  <c r="K29" i="12"/>
  <c r="M29" i="12" s="1"/>
  <c r="F29" i="12"/>
  <c r="E29" i="12"/>
  <c r="C29" i="12"/>
  <c r="B29" i="12"/>
  <c r="O27" i="12"/>
  <c r="N27" i="12"/>
  <c r="L27" i="12"/>
  <c r="K27" i="12"/>
  <c r="F27" i="12"/>
  <c r="E27" i="12"/>
  <c r="C27" i="12"/>
  <c r="B27" i="12"/>
  <c r="O25" i="12"/>
  <c r="N25" i="12"/>
  <c r="L25" i="12"/>
  <c r="K25" i="12"/>
  <c r="M25" i="12" s="1"/>
  <c r="F25" i="12"/>
  <c r="E25" i="12"/>
  <c r="C25" i="12"/>
  <c r="B25" i="12"/>
  <c r="O23" i="12"/>
  <c r="N23" i="12"/>
  <c r="L23" i="12"/>
  <c r="K23" i="12"/>
  <c r="F23" i="12"/>
  <c r="E23" i="12"/>
  <c r="C23" i="12"/>
  <c r="B23" i="12"/>
  <c r="O21" i="12"/>
  <c r="N21" i="12"/>
  <c r="L21" i="12"/>
  <c r="K21" i="12"/>
  <c r="M21" i="12" s="1"/>
  <c r="F21" i="12"/>
  <c r="E21" i="12"/>
  <c r="C21" i="12"/>
  <c r="B21" i="12"/>
  <c r="O19" i="12"/>
  <c r="N19" i="12"/>
  <c r="L19" i="12"/>
  <c r="K19" i="12"/>
  <c r="F19" i="12"/>
  <c r="E19" i="12"/>
  <c r="C19" i="12"/>
  <c r="B19" i="12"/>
  <c r="O17" i="12"/>
  <c r="N17" i="12"/>
  <c r="L17" i="12"/>
  <c r="K17" i="12"/>
  <c r="M17" i="12" s="1"/>
  <c r="F17" i="12"/>
  <c r="E17" i="12"/>
  <c r="C17" i="12"/>
  <c r="B17" i="12"/>
  <c r="O15" i="12"/>
  <c r="N15" i="12"/>
  <c r="L15" i="12"/>
  <c r="K15" i="12"/>
  <c r="F15" i="12"/>
  <c r="E15" i="12"/>
  <c r="C15" i="12"/>
  <c r="B15" i="12"/>
  <c r="O13" i="12"/>
  <c r="N13" i="12"/>
  <c r="L13" i="12"/>
  <c r="K13" i="12"/>
  <c r="M13" i="12" s="1"/>
  <c r="F13" i="12"/>
  <c r="E13" i="12"/>
  <c r="C13" i="12"/>
  <c r="B13" i="12"/>
  <c r="O11" i="12"/>
  <c r="N11" i="12"/>
  <c r="L11" i="12"/>
  <c r="K11" i="12"/>
  <c r="F11" i="12"/>
  <c r="E11" i="12"/>
  <c r="C11" i="12"/>
  <c r="B11" i="12"/>
  <c r="O9" i="12"/>
  <c r="N9" i="12"/>
  <c r="L9" i="12"/>
  <c r="K9" i="12"/>
  <c r="M9" i="12" s="1"/>
  <c r="F9" i="12"/>
  <c r="E9" i="12"/>
  <c r="C9" i="12"/>
  <c r="B9" i="12"/>
  <c r="O7" i="12"/>
  <c r="N7" i="12"/>
  <c r="L7" i="12"/>
  <c r="K7" i="12"/>
  <c r="F7" i="12"/>
  <c r="E7" i="12"/>
  <c r="G7" i="12" s="1"/>
  <c r="C7" i="12"/>
  <c r="B7" i="12"/>
  <c r="B32" i="12" s="1"/>
  <c r="O29" i="29"/>
  <c r="N29" i="29"/>
  <c r="L29" i="29"/>
  <c r="K29" i="29"/>
  <c r="M29" i="29" s="1"/>
  <c r="F29" i="29"/>
  <c r="E29" i="29"/>
  <c r="C29" i="29"/>
  <c r="B29" i="29"/>
  <c r="O27" i="29"/>
  <c r="N27" i="29"/>
  <c r="L27" i="29"/>
  <c r="K27" i="29"/>
  <c r="F27" i="29"/>
  <c r="E27" i="29"/>
  <c r="C27" i="29"/>
  <c r="B27" i="29"/>
  <c r="O25" i="29"/>
  <c r="N25" i="29"/>
  <c r="L25" i="29"/>
  <c r="K25" i="29"/>
  <c r="M25" i="29" s="1"/>
  <c r="F25" i="29"/>
  <c r="E25" i="29"/>
  <c r="C25" i="29"/>
  <c r="B25" i="29"/>
  <c r="O23" i="29"/>
  <c r="N23" i="29"/>
  <c r="L23" i="29"/>
  <c r="K23" i="29"/>
  <c r="F23" i="29"/>
  <c r="E23" i="29"/>
  <c r="C23" i="29"/>
  <c r="B23" i="29"/>
  <c r="O21" i="29"/>
  <c r="N21" i="29"/>
  <c r="L21" i="29"/>
  <c r="K21" i="29"/>
  <c r="M21" i="29" s="1"/>
  <c r="F21" i="29"/>
  <c r="E21" i="29"/>
  <c r="C21" i="29"/>
  <c r="B21" i="29"/>
  <c r="O19" i="29"/>
  <c r="N19" i="29"/>
  <c r="L19" i="29"/>
  <c r="K19" i="29"/>
  <c r="F19" i="29"/>
  <c r="E19" i="29"/>
  <c r="C19" i="29"/>
  <c r="B19" i="29"/>
  <c r="O17" i="29"/>
  <c r="N17" i="29"/>
  <c r="L17" i="29"/>
  <c r="K17" i="29"/>
  <c r="M17" i="29" s="1"/>
  <c r="F17" i="29"/>
  <c r="E17" i="29"/>
  <c r="C17" i="29"/>
  <c r="B17" i="29"/>
  <c r="O15" i="29"/>
  <c r="N15" i="29"/>
  <c r="L15" i="29"/>
  <c r="K15" i="29"/>
  <c r="F15" i="29"/>
  <c r="E15" i="29"/>
  <c r="C15" i="29"/>
  <c r="B15" i="29"/>
  <c r="O13" i="29"/>
  <c r="N13" i="29"/>
  <c r="L13" i="29"/>
  <c r="K13" i="29"/>
  <c r="M13" i="29" s="1"/>
  <c r="F13" i="29"/>
  <c r="E13" i="29"/>
  <c r="C13" i="29"/>
  <c r="B13" i="29"/>
  <c r="O11" i="29"/>
  <c r="N11" i="29"/>
  <c r="L11" i="29"/>
  <c r="K11" i="29"/>
  <c r="F11" i="29"/>
  <c r="E11" i="29"/>
  <c r="C11" i="29"/>
  <c r="B11" i="29"/>
  <c r="O9" i="29"/>
  <c r="N9" i="29"/>
  <c r="L9" i="29"/>
  <c r="K9" i="29"/>
  <c r="F9" i="29"/>
  <c r="E9" i="29"/>
  <c r="C9" i="29"/>
  <c r="B9" i="29"/>
  <c r="O7" i="29"/>
  <c r="N7" i="29"/>
  <c r="L7" i="29"/>
  <c r="K7" i="29"/>
  <c r="F7" i="29"/>
  <c r="E7" i="29"/>
  <c r="E32" i="29" s="1"/>
  <c r="C7" i="29"/>
  <c r="B7" i="29"/>
  <c r="B32" i="29" s="1"/>
  <c r="O29" i="22"/>
  <c r="N29" i="22"/>
  <c r="L29" i="22"/>
  <c r="K29" i="22"/>
  <c r="M29" i="22" s="1"/>
  <c r="F29" i="22"/>
  <c r="E29" i="22"/>
  <c r="C29" i="22"/>
  <c r="B29" i="22"/>
  <c r="O27" i="22"/>
  <c r="N27" i="22"/>
  <c r="L27" i="22"/>
  <c r="K27" i="22"/>
  <c r="F27" i="22"/>
  <c r="E27" i="22"/>
  <c r="C27" i="22"/>
  <c r="B27" i="22"/>
  <c r="O25" i="22"/>
  <c r="N25" i="22"/>
  <c r="L25" i="22"/>
  <c r="K25" i="22"/>
  <c r="M25" i="22" s="1"/>
  <c r="F25" i="22"/>
  <c r="E25" i="22"/>
  <c r="C25" i="22"/>
  <c r="B25" i="22"/>
  <c r="O23" i="22"/>
  <c r="N23" i="22"/>
  <c r="L23" i="22"/>
  <c r="K23" i="22"/>
  <c r="F23" i="22"/>
  <c r="E23" i="22"/>
  <c r="C23" i="22"/>
  <c r="B23" i="22"/>
  <c r="O21" i="22"/>
  <c r="N21" i="22"/>
  <c r="L21" i="22"/>
  <c r="K21" i="22"/>
  <c r="M21" i="22" s="1"/>
  <c r="F21" i="22"/>
  <c r="E21" i="22"/>
  <c r="C21" i="22"/>
  <c r="B21" i="22"/>
  <c r="O19" i="22"/>
  <c r="N19" i="22"/>
  <c r="L19" i="22"/>
  <c r="K19" i="22"/>
  <c r="F19" i="22"/>
  <c r="E19" i="22"/>
  <c r="C19" i="22"/>
  <c r="B19" i="22"/>
  <c r="O17" i="22"/>
  <c r="N17" i="22"/>
  <c r="L17" i="22"/>
  <c r="K17" i="22"/>
  <c r="M17" i="22" s="1"/>
  <c r="F17" i="22"/>
  <c r="E17" i="22"/>
  <c r="C17" i="22"/>
  <c r="B17" i="22"/>
  <c r="O15" i="22"/>
  <c r="N15" i="22"/>
  <c r="L15" i="22"/>
  <c r="K15" i="22"/>
  <c r="F15" i="22"/>
  <c r="E15" i="22"/>
  <c r="C15" i="22"/>
  <c r="B15" i="22"/>
  <c r="O13" i="22"/>
  <c r="N13" i="22"/>
  <c r="L13" i="22"/>
  <c r="K13" i="22"/>
  <c r="M13" i="22" s="1"/>
  <c r="F13" i="22"/>
  <c r="E13" i="22"/>
  <c r="C13" i="22"/>
  <c r="B13" i="22"/>
  <c r="O11" i="22"/>
  <c r="N11" i="22"/>
  <c r="L11" i="22"/>
  <c r="K11" i="22"/>
  <c r="F11" i="22"/>
  <c r="E11" i="22"/>
  <c r="C11" i="22"/>
  <c r="B11" i="22"/>
  <c r="O9" i="22"/>
  <c r="N9" i="22"/>
  <c r="L9" i="22"/>
  <c r="K9" i="22"/>
  <c r="M9" i="22" s="1"/>
  <c r="F9" i="22"/>
  <c r="E9" i="22"/>
  <c r="C9" i="22"/>
  <c r="B9" i="22"/>
  <c r="O7" i="22"/>
  <c r="N7" i="22"/>
  <c r="L7" i="22"/>
  <c r="K7" i="22"/>
  <c r="F7" i="22"/>
  <c r="E7" i="22"/>
  <c r="E32" i="22" s="1"/>
  <c r="C7" i="22"/>
  <c r="B7" i="22"/>
  <c r="B32" i="22" s="1"/>
  <c r="O29" i="9"/>
  <c r="N29" i="9"/>
  <c r="L29" i="9"/>
  <c r="K29" i="9"/>
  <c r="M29" i="9" s="1"/>
  <c r="F29" i="9"/>
  <c r="E29" i="9"/>
  <c r="C29" i="9"/>
  <c r="B29" i="9"/>
  <c r="O27" i="9"/>
  <c r="N27" i="9"/>
  <c r="L27" i="9"/>
  <c r="K27" i="9"/>
  <c r="F27" i="9"/>
  <c r="E27" i="9"/>
  <c r="C27" i="9"/>
  <c r="B27" i="9"/>
  <c r="O25" i="9"/>
  <c r="N25" i="9"/>
  <c r="L25" i="9"/>
  <c r="K25" i="9"/>
  <c r="M25" i="9" s="1"/>
  <c r="F25" i="9"/>
  <c r="E25" i="9"/>
  <c r="C25" i="9"/>
  <c r="B25" i="9"/>
  <c r="O23" i="9"/>
  <c r="N23" i="9"/>
  <c r="L23" i="9"/>
  <c r="K23" i="9"/>
  <c r="F23" i="9"/>
  <c r="E23" i="9"/>
  <c r="C23" i="9"/>
  <c r="B23" i="9"/>
  <c r="O21" i="9"/>
  <c r="N21" i="9"/>
  <c r="L21" i="9"/>
  <c r="K21" i="9"/>
  <c r="M21" i="9" s="1"/>
  <c r="F21" i="9"/>
  <c r="E21" i="9"/>
  <c r="C21" i="9"/>
  <c r="B21" i="9"/>
  <c r="O19" i="9"/>
  <c r="N19" i="9"/>
  <c r="L19" i="9"/>
  <c r="K19" i="9"/>
  <c r="F19" i="9"/>
  <c r="E19" i="9"/>
  <c r="C19" i="9"/>
  <c r="B19" i="9"/>
  <c r="O17" i="9"/>
  <c r="N17" i="9"/>
  <c r="L17" i="9"/>
  <c r="K17" i="9"/>
  <c r="M17" i="9" s="1"/>
  <c r="F17" i="9"/>
  <c r="E17" i="9"/>
  <c r="C17" i="9"/>
  <c r="B17" i="9"/>
  <c r="O15" i="9"/>
  <c r="N15" i="9"/>
  <c r="L15" i="9"/>
  <c r="K15" i="9"/>
  <c r="F15" i="9"/>
  <c r="E15" i="9"/>
  <c r="C15" i="9"/>
  <c r="B15" i="9"/>
  <c r="O13" i="9"/>
  <c r="N13" i="9"/>
  <c r="L13" i="9"/>
  <c r="K13" i="9"/>
  <c r="M13" i="9" s="1"/>
  <c r="F13" i="9"/>
  <c r="E13" i="9"/>
  <c r="C13" i="9"/>
  <c r="B13" i="9"/>
  <c r="O11" i="9"/>
  <c r="N11" i="9"/>
  <c r="L11" i="9"/>
  <c r="K11" i="9"/>
  <c r="F11" i="9"/>
  <c r="E11" i="9"/>
  <c r="C11" i="9"/>
  <c r="B11" i="9"/>
  <c r="O9" i="9"/>
  <c r="N9" i="9"/>
  <c r="L9" i="9"/>
  <c r="K9" i="9"/>
  <c r="M9" i="9" s="1"/>
  <c r="F9" i="9"/>
  <c r="E9" i="9"/>
  <c r="C9" i="9"/>
  <c r="B9" i="9"/>
  <c r="O7" i="9"/>
  <c r="N7" i="9"/>
  <c r="P7" i="9" s="1"/>
  <c r="L7" i="9"/>
  <c r="K7" i="9"/>
  <c r="M7" i="9" s="1"/>
  <c r="F7" i="9"/>
  <c r="E7" i="9"/>
  <c r="G7" i="9" s="1"/>
  <c r="C7" i="9"/>
  <c r="B7" i="9"/>
  <c r="D7" i="9" s="1"/>
  <c r="H7" i="9" s="1"/>
  <c r="O29" i="17"/>
  <c r="N29" i="17"/>
  <c r="L29" i="17"/>
  <c r="K29" i="17"/>
  <c r="M29" i="17" s="1"/>
  <c r="F29" i="17"/>
  <c r="E29" i="17"/>
  <c r="C29" i="17"/>
  <c r="B29" i="17"/>
  <c r="O27" i="17"/>
  <c r="N27" i="17"/>
  <c r="L27" i="17"/>
  <c r="K27" i="17"/>
  <c r="F27" i="17"/>
  <c r="E27" i="17"/>
  <c r="C27" i="17"/>
  <c r="B27" i="17"/>
  <c r="O25" i="17"/>
  <c r="N25" i="17"/>
  <c r="L25" i="17"/>
  <c r="K25" i="17"/>
  <c r="M25" i="17" s="1"/>
  <c r="F25" i="17"/>
  <c r="E25" i="17"/>
  <c r="C25" i="17"/>
  <c r="B25" i="17"/>
  <c r="O23" i="17"/>
  <c r="N23" i="17"/>
  <c r="L23" i="17"/>
  <c r="K23" i="17"/>
  <c r="F23" i="17"/>
  <c r="E23" i="17"/>
  <c r="C23" i="17"/>
  <c r="B23" i="17"/>
  <c r="O21" i="17"/>
  <c r="N21" i="17"/>
  <c r="L21" i="17"/>
  <c r="K21" i="17"/>
  <c r="M21" i="17" s="1"/>
  <c r="F21" i="17"/>
  <c r="E21" i="17"/>
  <c r="C21" i="17"/>
  <c r="B21" i="17"/>
  <c r="O19" i="17"/>
  <c r="N19" i="17"/>
  <c r="L19" i="17"/>
  <c r="K19" i="17"/>
  <c r="F19" i="17"/>
  <c r="E19" i="17"/>
  <c r="C19" i="17"/>
  <c r="B19" i="17"/>
  <c r="O17" i="17"/>
  <c r="N17" i="17"/>
  <c r="L17" i="17"/>
  <c r="K17" i="17"/>
  <c r="M17" i="17" s="1"/>
  <c r="F17" i="17"/>
  <c r="E17" i="17"/>
  <c r="C17" i="17"/>
  <c r="B17" i="17"/>
  <c r="O15" i="17"/>
  <c r="N15" i="17"/>
  <c r="L15" i="17"/>
  <c r="K15" i="17"/>
  <c r="F15" i="17"/>
  <c r="E15" i="17"/>
  <c r="C15" i="17"/>
  <c r="B15" i="17"/>
  <c r="O13" i="17"/>
  <c r="N13" i="17"/>
  <c r="L13" i="17"/>
  <c r="K13" i="17"/>
  <c r="M13" i="17" s="1"/>
  <c r="F13" i="17"/>
  <c r="E13" i="17"/>
  <c r="C13" i="17"/>
  <c r="B13" i="17"/>
  <c r="O11" i="17"/>
  <c r="N11" i="17"/>
  <c r="L11" i="17"/>
  <c r="K11" i="17"/>
  <c r="F11" i="17"/>
  <c r="E11" i="17"/>
  <c r="C11" i="17"/>
  <c r="B11" i="17"/>
  <c r="O9" i="17"/>
  <c r="N9" i="17"/>
  <c r="L9" i="17"/>
  <c r="K9" i="17"/>
  <c r="F9" i="17"/>
  <c r="E9" i="17"/>
  <c r="C9" i="17"/>
  <c r="B9" i="17"/>
  <c r="O7" i="17"/>
  <c r="N7" i="17"/>
  <c r="L7" i="17"/>
  <c r="K7" i="17"/>
  <c r="M7" i="17" s="1"/>
  <c r="F7" i="17"/>
  <c r="E7" i="17"/>
  <c r="G7" i="17" s="1"/>
  <c r="C7" i="17"/>
  <c r="B7" i="17"/>
  <c r="D7" i="17" s="1"/>
  <c r="H7" i="17" s="1"/>
  <c r="Q29" i="8"/>
  <c r="O29" i="8"/>
  <c r="N29" i="8"/>
  <c r="L29" i="8"/>
  <c r="M29" i="8" s="1"/>
  <c r="K29" i="8"/>
  <c r="F29" i="8"/>
  <c r="E29" i="8"/>
  <c r="C29" i="8"/>
  <c r="B29" i="8"/>
  <c r="Q27" i="8"/>
  <c r="O27" i="8"/>
  <c r="N27" i="8"/>
  <c r="L27" i="8"/>
  <c r="K27" i="8"/>
  <c r="F27" i="8"/>
  <c r="E27" i="8"/>
  <c r="G27" i="8" s="1"/>
  <c r="C27" i="8"/>
  <c r="B27" i="8"/>
  <c r="Q25" i="8"/>
  <c r="O25" i="8"/>
  <c r="P25" i="8" s="1"/>
  <c r="N25" i="8"/>
  <c r="L25" i="8"/>
  <c r="K25" i="8"/>
  <c r="F25" i="8"/>
  <c r="E25" i="8"/>
  <c r="C25" i="8"/>
  <c r="B25" i="8"/>
  <c r="D25" i="8" s="1"/>
  <c r="Q23" i="8"/>
  <c r="O23" i="8"/>
  <c r="N23" i="8"/>
  <c r="L23" i="8"/>
  <c r="K23" i="8"/>
  <c r="M23" i="8" s="1"/>
  <c r="F23" i="8"/>
  <c r="E23" i="8"/>
  <c r="C23" i="8"/>
  <c r="B23" i="8"/>
  <c r="D23" i="8" s="1"/>
  <c r="Q21" i="8"/>
  <c r="O21" i="8"/>
  <c r="N21" i="8"/>
  <c r="L21" i="8"/>
  <c r="K21" i="8"/>
  <c r="F21" i="8"/>
  <c r="E21" i="8"/>
  <c r="C21" i="8"/>
  <c r="B21" i="8"/>
  <c r="Q19" i="8"/>
  <c r="O19" i="8"/>
  <c r="N19" i="8"/>
  <c r="P19" i="8" s="1"/>
  <c r="L19" i="8"/>
  <c r="K19" i="8"/>
  <c r="F19" i="8"/>
  <c r="E19" i="8"/>
  <c r="G19" i="8" s="1"/>
  <c r="C19" i="8"/>
  <c r="B19" i="8"/>
  <c r="Q17" i="8"/>
  <c r="O17" i="8"/>
  <c r="N17" i="8"/>
  <c r="L17" i="8"/>
  <c r="K17" i="8"/>
  <c r="F17" i="8"/>
  <c r="G17" i="8" s="1"/>
  <c r="E17" i="8"/>
  <c r="C17" i="8"/>
  <c r="B17" i="8"/>
  <c r="Q15" i="8"/>
  <c r="O15" i="8"/>
  <c r="N15" i="8"/>
  <c r="L15" i="8"/>
  <c r="K15" i="8"/>
  <c r="F15" i="8"/>
  <c r="E15" i="8"/>
  <c r="C15" i="8"/>
  <c r="B15" i="8"/>
  <c r="Q13" i="8"/>
  <c r="O13" i="8"/>
  <c r="N13" i="8"/>
  <c r="L13" i="8"/>
  <c r="K13" i="8"/>
  <c r="F13" i="8"/>
  <c r="E13" i="8"/>
  <c r="C13" i="8"/>
  <c r="D13" i="8" s="1"/>
  <c r="B13" i="8"/>
  <c r="Q11" i="8"/>
  <c r="O11" i="8"/>
  <c r="N11" i="8"/>
  <c r="P11" i="8" s="1"/>
  <c r="L11" i="8"/>
  <c r="K11" i="8"/>
  <c r="F11" i="8"/>
  <c r="E11" i="8"/>
  <c r="C11" i="8"/>
  <c r="B11" i="8"/>
  <c r="Q9" i="8"/>
  <c r="O9" i="8"/>
  <c r="N9" i="8"/>
  <c r="L9" i="8"/>
  <c r="K9" i="8"/>
  <c r="F9" i="8"/>
  <c r="E9" i="8"/>
  <c r="C9" i="8"/>
  <c r="B9" i="8"/>
  <c r="Q7" i="8"/>
  <c r="O7" i="8"/>
  <c r="N7" i="8"/>
  <c r="L7" i="8"/>
  <c r="K7" i="8"/>
  <c r="F7" i="8"/>
  <c r="E7" i="8"/>
  <c r="C7" i="8"/>
  <c r="B7" i="8"/>
  <c r="O29" i="21"/>
  <c r="N29" i="21"/>
  <c r="L29" i="21"/>
  <c r="K29" i="21"/>
  <c r="F29" i="21"/>
  <c r="E29" i="21"/>
  <c r="C29" i="21"/>
  <c r="B29" i="21"/>
  <c r="D29" i="21" s="1"/>
  <c r="O27" i="21"/>
  <c r="N27" i="21"/>
  <c r="L27" i="21"/>
  <c r="K27" i="21"/>
  <c r="F27" i="21"/>
  <c r="E27" i="21"/>
  <c r="C27" i="21"/>
  <c r="B27" i="21"/>
  <c r="D27" i="21" s="1"/>
  <c r="O25" i="21"/>
  <c r="N25" i="21"/>
  <c r="L25" i="21"/>
  <c r="K25" i="21"/>
  <c r="M25" i="21" s="1"/>
  <c r="F25" i="21"/>
  <c r="E25" i="21"/>
  <c r="C25" i="21"/>
  <c r="B25" i="21"/>
  <c r="D25" i="21" s="1"/>
  <c r="O23" i="21"/>
  <c r="N23" i="21"/>
  <c r="L23" i="21"/>
  <c r="K23" i="21"/>
  <c r="F23" i="21"/>
  <c r="E23" i="21"/>
  <c r="C23" i="21"/>
  <c r="B23" i="21"/>
  <c r="O21" i="21"/>
  <c r="N21" i="21"/>
  <c r="L21" i="21"/>
  <c r="K21" i="21"/>
  <c r="M21" i="21" s="1"/>
  <c r="F21" i="21"/>
  <c r="E21" i="21"/>
  <c r="C21" i="21"/>
  <c r="B21" i="21"/>
  <c r="D21" i="21" s="1"/>
  <c r="O19" i="21"/>
  <c r="N19" i="21"/>
  <c r="L19" i="21"/>
  <c r="K19" i="21"/>
  <c r="F19" i="21"/>
  <c r="E19" i="21"/>
  <c r="C19" i="21"/>
  <c r="B19" i="21"/>
  <c r="O17" i="21"/>
  <c r="N17" i="21"/>
  <c r="L17" i="21"/>
  <c r="K17" i="21"/>
  <c r="M17" i="21" s="1"/>
  <c r="F17" i="21"/>
  <c r="E17" i="21"/>
  <c r="C17" i="21"/>
  <c r="B17" i="21"/>
  <c r="D17" i="21" s="1"/>
  <c r="O15" i="21"/>
  <c r="N15" i="21"/>
  <c r="L15" i="21"/>
  <c r="K15" i="21"/>
  <c r="F15" i="21"/>
  <c r="E15" i="21"/>
  <c r="C15" i="21"/>
  <c r="B15" i="21"/>
  <c r="O13" i="21"/>
  <c r="N13" i="21"/>
  <c r="L13" i="21"/>
  <c r="K13" i="21"/>
  <c r="M13" i="21" s="1"/>
  <c r="F13" i="21"/>
  <c r="E13" i="21"/>
  <c r="C13" i="21"/>
  <c r="B13" i="21"/>
  <c r="D13" i="21" s="1"/>
  <c r="O11" i="21"/>
  <c r="N11" i="21"/>
  <c r="L11" i="21"/>
  <c r="K11" i="21"/>
  <c r="F11" i="21"/>
  <c r="E11" i="21"/>
  <c r="C11" i="21"/>
  <c r="B11" i="21"/>
  <c r="D11" i="21" s="1"/>
  <c r="O9" i="21"/>
  <c r="P9" i="21" s="1"/>
  <c r="N9" i="21"/>
  <c r="L9" i="21"/>
  <c r="K9" i="21"/>
  <c r="M9" i="21" s="1"/>
  <c r="F9" i="21"/>
  <c r="E9" i="21"/>
  <c r="C9" i="21"/>
  <c r="B9" i="21"/>
  <c r="O7" i="21"/>
  <c r="N7" i="21"/>
  <c r="P7" i="21" s="1"/>
  <c r="L7" i="21"/>
  <c r="K7" i="21"/>
  <c r="F7" i="21"/>
  <c r="E7" i="21"/>
  <c r="C7" i="21"/>
  <c r="B7" i="21"/>
  <c r="O29" i="25"/>
  <c r="P29" i="25" s="1"/>
  <c r="N29" i="25"/>
  <c r="L29" i="25"/>
  <c r="K29" i="25"/>
  <c r="M29" i="25" s="1"/>
  <c r="F29" i="25"/>
  <c r="E29" i="25"/>
  <c r="C29" i="25"/>
  <c r="B29" i="25"/>
  <c r="D29" i="25" s="1"/>
  <c r="O27" i="25"/>
  <c r="N27" i="25"/>
  <c r="L27" i="25"/>
  <c r="K27" i="25"/>
  <c r="F27" i="25"/>
  <c r="E27" i="25"/>
  <c r="C27" i="25"/>
  <c r="B27" i="25"/>
  <c r="O25" i="25"/>
  <c r="P25" i="25" s="1"/>
  <c r="N25" i="25"/>
  <c r="L25" i="25"/>
  <c r="K25" i="25"/>
  <c r="F25" i="25"/>
  <c r="E25" i="25"/>
  <c r="C25" i="25"/>
  <c r="B25" i="25"/>
  <c r="D25" i="25" s="1"/>
  <c r="O23" i="25"/>
  <c r="N23" i="25"/>
  <c r="L23" i="25"/>
  <c r="K23" i="25"/>
  <c r="F23" i="25"/>
  <c r="E23" i="25"/>
  <c r="C23" i="25"/>
  <c r="B23" i="25"/>
  <c r="D23" i="25" s="1"/>
  <c r="O21" i="25"/>
  <c r="P21" i="25" s="1"/>
  <c r="N21" i="25"/>
  <c r="L21" i="25"/>
  <c r="K21" i="25"/>
  <c r="F21" i="25"/>
  <c r="E21" i="25"/>
  <c r="C21" i="25"/>
  <c r="B21" i="25"/>
  <c r="D21" i="25" s="1"/>
  <c r="O19" i="25"/>
  <c r="N19" i="25"/>
  <c r="L19" i="25"/>
  <c r="K19" i="25"/>
  <c r="F19" i="25"/>
  <c r="E19" i="25"/>
  <c r="C19" i="25"/>
  <c r="B19" i="25"/>
  <c r="D19" i="25" s="1"/>
  <c r="O17" i="25"/>
  <c r="N17" i="25"/>
  <c r="L17" i="25"/>
  <c r="K17" i="25"/>
  <c r="M17" i="25" s="1"/>
  <c r="F17" i="25"/>
  <c r="E17" i="25"/>
  <c r="C17" i="25"/>
  <c r="B17" i="25"/>
  <c r="D17" i="25" s="1"/>
  <c r="O15" i="25"/>
  <c r="N15" i="25"/>
  <c r="L15" i="25"/>
  <c r="K15" i="25"/>
  <c r="F15" i="25"/>
  <c r="E15" i="25"/>
  <c r="C15" i="25"/>
  <c r="B15" i="25"/>
  <c r="O13" i="25"/>
  <c r="N13" i="25"/>
  <c r="L13" i="25"/>
  <c r="K13" i="25"/>
  <c r="F13" i="25"/>
  <c r="E13" i="25"/>
  <c r="C13" i="25"/>
  <c r="B13" i="25"/>
  <c r="D13" i="25" s="1"/>
  <c r="O11" i="25"/>
  <c r="N11" i="25"/>
  <c r="L11" i="25"/>
  <c r="K11" i="25"/>
  <c r="F11" i="25"/>
  <c r="E11" i="25"/>
  <c r="C11" i="25"/>
  <c r="B11" i="25"/>
  <c r="D11" i="25" s="1"/>
  <c r="O9" i="25"/>
  <c r="O32" i="25" s="1"/>
  <c r="N9" i="25"/>
  <c r="L9" i="25"/>
  <c r="K9" i="25"/>
  <c r="K32" i="25" s="1"/>
  <c r="F9" i="25"/>
  <c r="E9" i="25"/>
  <c r="C9" i="25"/>
  <c r="B9" i="25"/>
  <c r="O7" i="25"/>
  <c r="N7" i="25"/>
  <c r="L7" i="25"/>
  <c r="K7" i="25"/>
  <c r="F7" i="25"/>
  <c r="E7" i="25"/>
  <c r="C7" i="25"/>
  <c r="B7" i="25"/>
  <c r="O29" i="19"/>
  <c r="N29" i="19"/>
  <c r="L29" i="19"/>
  <c r="K29" i="19"/>
  <c r="M29" i="19" s="1"/>
  <c r="F29" i="19"/>
  <c r="E29" i="19"/>
  <c r="C29" i="19"/>
  <c r="B29" i="19"/>
  <c r="D29" i="19" s="1"/>
  <c r="O27" i="19"/>
  <c r="N27" i="19"/>
  <c r="L27" i="19"/>
  <c r="K27" i="19"/>
  <c r="F27" i="19"/>
  <c r="E27" i="19"/>
  <c r="C27" i="19"/>
  <c r="B27" i="19"/>
  <c r="O25" i="19"/>
  <c r="P25" i="19" s="1"/>
  <c r="N25" i="19"/>
  <c r="L25" i="19"/>
  <c r="K25" i="19"/>
  <c r="M25" i="19" s="1"/>
  <c r="F25" i="19"/>
  <c r="E25" i="19"/>
  <c r="C25" i="19"/>
  <c r="B25" i="19"/>
  <c r="D25" i="19" s="1"/>
  <c r="O23" i="19"/>
  <c r="N23" i="19"/>
  <c r="L23" i="19"/>
  <c r="K23" i="19"/>
  <c r="F23" i="19"/>
  <c r="E23" i="19"/>
  <c r="C23" i="19"/>
  <c r="B23" i="19"/>
  <c r="O21" i="19"/>
  <c r="P21" i="19" s="1"/>
  <c r="N21" i="19"/>
  <c r="L21" i="19"/>
  <c r="K21" i="19"/>
  <c r="M21" i="19" s="1"/>
  <c r="Q21" i="19" s="1"/>
  <c r="F21" i="19"/>
  <c r="E21" i="19"/>
  <c r="C21" i="19"/>
  <c r="B21" i="19"/>
  <c r="D21" i="19" s="1"/>
  <c r="O19" i="19"/>
  <c r="N19" i="19"/>
  <c r="L19" i="19"/>
  <c r="K19" i="19"/>
  <c r="F19" i="19"/>
  <c r="E19" i="19"/>
  <c r="C19" i="19"/>
  <c r="B19" i="19"/>
  <c r="O17" i="19"/>
  <c r="P17" i="19" s="1"/>
  <c r="N17" i="19"/>
  <c r="L17" i="19"/>
  <c r="K17" i="19"/>
  <c r="F17" i="19"/>
  <c r="E17" i="19"/>
  <c r="C17" i="19"/>
  <c r="B17" i="19"/>
  <c r="D17" i="19" s="1"/>
  <c r="O15" i="19"/>
  <c r="N15" i="19"/>
  <c r="L15" i="19"/>
  <c r="K15" i="19"/>
  <c r="F15" i="19"/>
  <c r="E15" i="19"/>
  <c r="C15" i="19"/>
  <c r="B15" i="19"/>
  <c r="O13" i="19"/>
  <c r="N13" i="19"/>
  <c r="L13" i="19"/>
  <c r="K13" i="19"/>
  <c r="M13" i="19" s="1"/>
  <c r="F13" i="19"/>
  <c r="E13" i="19"/>
  <c r="C13" i="19"/>
  <c r="B13" i="19"/>
  <c r="D13" i="19" s="1"/>
  <c r="O11" i="19"/>
  <c r="N11" i="19"/>
  <c r="L11" i="19"/>
  <c r="K11" i="19"/>
  <c r="F11" i="19"/>
  <c r="E11" i="19"/>
  <c r="C11" i="19"/>
  <c r="B11" i="19"/>
  <c r="D11" i="19" s="1"/>
  <c r="O9" i="19"/>
  <c r="O32" i="19" s="1"/>
  <c r="N9" i="19"/>
  <c r="L9" i="19"/>
  <c r="K9" i="19"/>
  <c r="M9" i="19" s="1"/>
  <c r="F9" i="19"/>
  <c r="E9" i="19"/>
  <c r="C9" i="19"/>
  <c r="B9" i="19"/>
  <c r="O7" i="19"/>
  <c r="N7" i="19"/>
  <c r="N32" i="19" s="1"/>
  <c r="L7" i="19"/>
  <c r="K7" i="19"/>
  <c r="F7" i="19"/>
  <c r="E7" i="19"/>
  <c r="G7" i="19" s="1"/>
  <c r="C7" i="19"/>
  <c r="B7" i="19"/>
  <c r="O29" i="24"/>
  <c r="P29" i="24" s="1"/>
  <c r="N29" i="24"/>
  <c r="L29" i="24"/>
  <c r="K29" i="24"/>
  <c r="M29" i="24" s="1"/>
  <c r="Q29" i="24" s="1"/>
  <c r="F29" i="24"/>
  <c r="E29" i="24"/>
  <c r="C29" i="24"/>
  <c r="B29" i="24"/>
  <c r="D29" i="24" s="1"/>
  <c r="O27" i="24"/>
  <c r="N27" i="24"/>
  <c r="L27" i="24"/>
  <c r="K27" i="24"/>
  <c r="F27" i="24"/>
  <c r="E27" i="24"/>
  <c r="C27" i="24"/>
  <c r="B27" i="24"/>
  <c r="D27" i="24" s="1"/>
  <c r="O25" i="24"/>
  <c r="P25" i="24" s="1"/>
  <c r="N25" i="24"/>
  <c r="L25" i="24"/>
  <c r="K25" i="24"/>
  <c r="M25" i="24" s="1"/>
  <c r="F25" i="24"/>
  <c r="E25" i="24"/>
  <c r="C25" i="24"/>
  <c r="B25" i="24"/>
  <c r="D25" i="24" s="1"/>
  <c r="O23" i="24"/>
  <c r="N23" i="24"/>
  <c r="L23" i="24"/>
  <c r="K23" i="24"/>
  <c r="F23" i="24"/>
  <c r="E23" i="24"/>
  <c r="C23" i="24"/>
  <c r="B23" i="24"/>
  <c r="O21" i="24"/>
  <c r="N21" i="24"/>
  <c r="L21" i="24"/>
  <c r="K21" i="24"/>
  <c r="F21" i="24"/>
  <c r="E21" i="24"/>
  <c r="C21" i="24"/>
  <c r="B21" i="24"/>
  <c r="D21" i="24" s="1"/>
  <c r="O19" i="24"/>
  <c r="N19" i="24"/>
  <c r="L19" i="24"/>
  <c r="K19" i="24"/>
  <c r="F19" i="24"/>
  <c r="E19" i="24"/>
  <c r="C19" i="24"/>
  <c r="B19" i="24"/>
  <c r="O17" i="24"/>
  <c r="N17" i="24"/>
  <c r="L17" i="24"/>
  <c r="K17" i="24"/>
  <c r="M17" i="24" s="1"/>
  <c r="F17" i="24"/>
  <c r="E17" i="24"/>
  <c r="C17" i="24"/>
  <c r="B17" i="24"/>
  <c r="D17" i="24" s="1"/>
  <c r="O15" i="24"/>
  <c r="N15" i="24"/>
  <c r="L15" i="24"/>
  <c r="K15" i="24"/>
  <c r="F15" i="24"/>
  <c r="E15" i="24"/>
  <c r="C15" i="24"/>
  <c r="B15" i="24"/>
  <c r="O13" i="24"/>
  <c r="N13" i="24"/>
  <c r="L13" i="24"/>
  <c r="K13" i="24"/>
  <c r="M13" i="24" s="1"/>
  <c r="F13" i="24"/>
  <c r="E13" i="24"/>
  <c r="C13" i="24"/>
  <c r="B13" i="24"/>
  <c r="D13" i="24" s="1"/>
  <c r="O11" i="24"/>
  <c r="N11" i="24"/>
  <c r="L11" i="24"/>
  <c r="K11" i="24"/>
  <c r="F11" i="24"/>
  <c r="E11" i="24"/>
  <c r="C11" i="24"/>
  <c r="B11" i="24"/>
  <c r="D11" i="24" s="1"/>
  <c r="O9" i="24"/>
  <c r="N9" i="24"/>
  <c r="L9" i="24"/>
  <c r="K9" i="24"/>
  <c r="M9" i="24" s="1"/>
  <c r="F9" i="24"/>
  <c r="E9" i="24"/>
  <c r="C9" i="24"/>
  <c r="B9" i="24"/>
  <c r="D9" i="24" s="1"/>
  <c r="O7" i="24"/>
  <c r="N7" i="24"/>
  <c r="L7" i="24"/>
  <c r="M7" i="24" s="1"/>
  <c r="K7" i="24"/>
  <c r="F7" i="24"/>
  <c r="E7" i="24"/>
  <c r="C7" i="24"/>
  <c r="B7" i="24"/>
  <c r="O29" i="7"/>
  <c r="P29" i="7" s="1"/>
  <c r="N29" i="7"/>
  <c r="L29" i="7"/>
  <c r="K29" i="7"/>
  <c r="F29" i="7"/>
  <c r="E29" i="7"/>
  <c r="C29" i="7"/>
  <c r="B29" i="7"/>
  <c r="D29" i="7" s="1"/>
  <c r="O27" i="7"/>
  <c r="N27" i="7"/>
  <c r="P27" i="7" s="1"/>
  <c r="L27" i="7"/>
  <c r="K27" i="7"/>
  <c r="F27" i="7"/>
  <c r="E27" i="7"/>
  <c r="C27" i="7"/>
  <c r="B27" i="7"/>
  <c r="O25" i="7"/>
  <c r="N25" i="7"/>
  <c r="L25" i="7"/>
  <c r="K25" i="7"/>
  <c r="M25" i="7" s="1"/>
  <c r="F25" i="7"/>
  <c r="E25" i="7"/>
  <c r="C25" i="7"/>
  <c r="B25" i="7"/>
  <c r="D25" i="7" s="1"/>
  <c r="O23" i="7"/>
  <c r="N23" i="7"/>
  <c r="P23" i="7" s="1"/>
  <c r="L23" i="7"/>
  <c r="K23" i="7"/>
  <c r="F23" i="7"/>
  <c r="E23" i="7"/>
  <c r="C23" i="7"/>
  <c r="B23" i="7"/>
  <c r="O21" i="7"/>
  <c r="P21" i="7" s="1"/>
  <c r="N21" i="7"/>
  <c r="L21" i="7"/>
  <c r="K21" i="7"/>
  <c r="M21" i="7" s="1"/>
  <c r="F21" i="7"/>
  <c r="E21" i="7"/>
  <c r="C21" i="7"/>
  <c r="B21" i="7"/>
  <c r="D21" i="7" s="1"/>
  <c r="O19" i="7"/>
  <c r="N19" i="7"/>
  <c r="P19" i="7" s="1"/>
  <c r="L19" i="7"/>
  <c r="K19" i="7"/>
  <c r="F19" i="7"/>
  <c r="E19" i="7"/>
  <c r="C19" i="7"/>
  <c r="B19" i="7"/>
  <c r="O17" i="7"/>
  <c r="P17" i="7" s="1"/>
  <c r="N17" i="7"/>
  <c r="L17" i="7"/>
  <c r="K17" i="7"/>
  <c r="M17" i="7" s="1"/>
  <c r="F17" i="7"/>
  <c r="E17" i="7"/>
  <c r="C17" i="7"/>
  <c r="B17" i="7"/>
  <c r="D17" i="7" s="1"/>
  <c r="O15" i="7"/>
  <c r="N15" i="7"/>
  <c r="P15" i="7" s="1"/>
  <c r="L15" i="7"/>
  <c r="K15" i="7"/>
  <c r="F15" i="7"/>
  <c r="E15" i="7"/>
  <c r="C15" i="7"/>
  <c r="B15" i="7"/>
  <c r="O13" i="7"/>
  <c r="P13" i="7" s="1"/>
  <c r="N13" i="7"/>
  <c r="L13" i="7"/>
  <c r="K13" i="7"/>
  <c r="F13" i="7"/>
  <c r="E13" i="7"/>
  <c r="C13" i="7"/>
  <c r="B13" i="7"/>
  <c r="D13" i="7" s="1"/>
  <c r="O11" i="7"/>
  <c r="N11" i="7"/>
  <c r="P11" i="7" s="1"/>
  <c r="L11" i="7"/>
  <c r="K11" i="7"/>
  <c r="F11" i="7"/>
  <c r="E11" i="7"/>
  <c r="C11" i="7"/>
  <c r="B11" i="7"/>
  <c r="O9" i="7"/>
  <c r="P9" i="7" s="1"/>
  <c r="N9" i="7"/>
  <c r="L9" i="7"/>
  <c r="K9" i="7"/>
  <c r="K32" i="7" s="1"/>
  <c r="F9" i="7"/>
  <c r="E9" i="7"/>
  <c r="C9" i="7"/>
  <c r="B9" i="7"/>
  <c r="O7" i="7"/>
  <c r="N7" i="7"/>
  <c r="P7" i="7" s="1"/>
  <c r="L7" i="7"/>
  <c r="K7" i="7"/>
  <c r="F7" i="7"/>
  <c r="E7" i="7"/>
  <c r="C7" i="7"/>
  <c r="B7" i="7"/>
  <c r="O29" i="2"/>
  <c r="N29" i="2"/>
  <c r="L29" i="2"/>
  <c r="K29" i="2"/>
  <c r="F29" i="2"/>
  <c r="E29" i="2"/>
  <c r="C29" i="2"/>
  <c r="B29" i="2"/>
  <c r="D29" i="2" s="1"/>
  <c r="O27" i="2"/>
  <c r="N27" i="2"/>
  <c r="L27" i="2"/>
  <c r="K27" i="2"/>
  <c r="F27" i="2"/>
  <c r="E27" i="2"/>
  <c r="C27" i="2"/>
  <c r="B27" i="2"/>
  <c r="O25" i="2"/>
  <c r="N25" i="2"/>
  <c r="L25" i="2"/>
  <c r="K25" i="2"/>
  <c r="M25" i="2" s="1"/>
  <c r="F25" i="2"/>
  <c r="E25" i="2"/>
  <c r="C25" i="2"/>
  <c r="B25" i="2"/>
  <c r="D25" i="2" s="1"/>
  <c r="O23" i="2"/>
  <c r="N23" i="2"/>
  <c r="P23" i="2" s="1"/>
  <c r="L23" i="2"/>
  <c r="K23" i="2"/>
  <c r="F23" i="2"/>
  <c r="E23" i="2"/>
  <c r="C23" i="2"/>
  <c r="B23" i="2"/>
  <c r="O21" i="2"/>
  <c r="N21" i="2"/>
  <c r="L21" i="2"/>
  <c r="K21" i="2"/>
  <c r="M21" i="2" s="1"/>
  <c r="F21" i="2"/>
  <c r="E21" i="2"/>
  <c r="C21" i="2"/>
  <c r="B21" i="2"/>
  <c r="O19" i="2"/>
  <c r="N19" i="2"/>
  <c r="L19" i="2"/>
  <c r="K19" i="2"/>
  <c r="F19" i="2"/>
  <c r="E19" i="2"/>
  <c r="C19" i="2"/>
  <c r="B19" i="2"/>
  <c r="O17" i="2"/>
  <c r="N17" i="2"/>
  <c r="L17" i="2"/>
  <c r="K17" i="2"/>
  <c r="M17" i="2" s="1"/>
  <c r="F17" i="2"/>
  <c r="E17" i="2"/>
  <c r="C17" i="2"/>
  <c r="B17" i="2"/>
  <c r="D17" i="2" s="1"/>
  <c r="O15" i="2"/>
  <c r="N15" i="2"/>
  <c r="L15" i="2"/>
  <c r="K15" i="2"/>
  <c r="F15" i="2"/>
  <c r="E15" i="2"/>
  <c r="C15" i="2"/>
  <c r="B15" i="2"/>
  <c r="O13" i="2"/>
  <c r="N13" i="2"/>
  <c r="L13" i="2"/>
  <c r="K13" i="2"/>
  <c r="F13" i="2"/>
  <c r="E13" i="2"/>
  <c r="C13" i="2"/>
  <c r="B13" i="2"/>
  <c r="D13" i="2" s="1"/>
  <c r="O11" i="2"/>
  <c r="N11" i="2"/>
  <c r="L11" i="2"/>
  <c r="K11" i="2"/>
  <c r="F11" i="2"/>
  <c r="E11" i="2"/>
  <c r="C11" i="2"/>
  <c r="B11" i="2"/>
  <c r="O9" i="2"/>
  <c r="N9" i="2"/>
  <c r="L9" i="2"/>
  <c r="K9" i="2"/>
  <c r="M9" i="2" s="1"/>
  <c r="F9" i="2"/>
  <c r="E9" i="2"/>
  <c r="C9" i="2"/>
  <c r="B9" i="2"/>
  <c r="O7" i="2"/>
  <c r="N7" i="2"/>
  <c r="L7" i="2"/>
  <c r="K7" i="2"/>
  <c r="F7" i="2"/>
  <c r="E7" i="2"/>
  <c r="C7" i="2"/>
  <c r="B7" i="2"/>
  <c r="M19" i="7"/>
  <c r="M29" i="7"/>
  <c r="P11" i="24"/>
  <c r="M15" i="24"/>
  <c r="M19" i="24"/>
  <c r="M7" i="19"/>
  <c r="P11" i="19"/>
  <c r="P15" i="19"/>
  <c r="M17" i="19"/>
  <c r="D19" i="19"/>
  <c r="P19" i="19"/>
  <c r="P23" i="19"/>
  <c r="D27" i="19"/>
  <c r="M11" i="25"/>
  <c r="Q11" i="25" s="1"/>
  <c r="P11" i="25"/>
  <c r="M13" i="25"/>
  <c r="Q13" i="25" s="1"/>
  <c r="P13" i="25"/>
  <c r="P17" i="25"/>
  <c r="P19" i="25"/>
  <c r="P23" i="25"/>
  <c r="D27" i="25"/>
  <c r="P27" i="25"/>
  <c r="D7" i="21"/>
  <c r="P11" i="21"/>
  <c r="P13" i="21"/>
  <c r="P15" i="21"/>
  <c r="L32" i="21"/>
  <c r="P17" i="21"/>
  <c r="D19" i="21"/>
  <c r="M19" i="21"/>
  <c r="D23" i="21"/>
  <c r="P23" i="21"/>
  <c r="P25" i="21"/>
  <c r="P27" i="21"/>
  <c r="M7" i="8"/>
  <c r="P7" i="8"/>
  <c r="M9" i="8"/>
  <c r="G11" i="8"/>
  <c r="M11" i="8"/>
  <c r="D15" i="8"/>
  <c r="G15" i="8"/>
  <c r="D17" i="8"/>
  <c r="M17" i="8"/>
  <c r="D21" i="8"/>
  <c r="G21" i="8"/>
  <c r="M21" i="8"/>
  <c r="P21" i="8"/>
  <c r="P23" i="8"/>
  <c r="G25" i="8"/>
  <c r="M25" i="8"/>
  <c r="M27" i="8"/>
  <c r="D29" i="8"/>
  <c r="G29" i="8"/>
  <c r="G9" i="17"/>
  <c r="D11" i="17"/>
  <c r="P15" i="17"/>
  <c r="G17" i="17"/>
  <c r="D19" i="17"/>
  <c r="G19" i="17"/>
  <c r="D21" i="17"/>
  <c r="H21" i="17" s="1"/>
  <c r="G21" i="17"/>
  <c r="D23" i="17"/>
  <c r="G23" i="17"/>
  <c r="G25" i="17"/>
  <c r="D27" i="17"/>
  <c r="M27" i="17"/>
  <c r="D9" i="9"/>
  <c r="H9" i="9" s="1"/>
  <c r="G9" i="9"/>
  <c r="M11" i="9"/>
  <c r="P11" i="9"/>
  <c r="G13" i="9"/>
  <c r="D15" i="9"/>
  <c r="G15" i="9"/>
  <c r="P15" i="9"/>
  <c r="D17" i="9"/>
  <c r="H17" i="9" s="1"/>
  <c r="G17" i="9"/>
  <c r="G19" i="9"/>
  <c r="M19" i="9"/>
  <c r="P19" i="9"/>
  <c r="G21" i="9"/>
  <c r="G23" i="9"/>
  <c r="M23" i="9"/>
  <c r="P23" i="9"/>
  <c r="D25" i="9"/>
  <c r="G25" i="9"/>
  <c r="G27" i="9"/>
  <c r="M27" i="9"/>
  <c r="D29" i="9"/>
  <c r="M7" i="22"/>
  <c r="D9" i="22"/>
  <c r="H9" i="22" s="1"/>
  <c r="G9" i="22"/>
  <c r="D11" i="22"/>
  <c r="G11" i="22"/>
  <c r="M11" i="22"/>
  <c r="P11" i="22"/>
  <c r="G13" i="22"/>
  <c r="D15" i="22"/>
  <c r="M15" i="22"/>
  <c r="D17" i="22"/>
  <c r="G17" i="22"/>
  <c r="D19" i="22"/>
  <c r="G19" i="22"/>
  <c r="M19" i="22"/>
  <c r="P19" i="22"/>
  <c r="G21" i="22"/>
  <c r="D23" i="22"/>
  <c r="H23" i="22" s="1"/>
  <c r="G23" i="22"/>
  <c r="M23" i="22"/>
  <c r="D25" i="22"/>
  <c r="H25" i="22" s="1"/>
  <c r="G25" i="22"/>
  <c r="D27" i="22"/>
  <c r="G27" i="22"/>
  <c r="P27" i="22"/>
  <c r="G29" i="22"/>
  <c r="D7" i="10"/>
  <c r="H7" i="10"/>
  <c r="G7" i="10"/>
  <c r="M7" i="10"/>
  <c r="M32" i="10"/>
  <c r="P7" i="10"/>
  <c r="D9" i="10"/>
  <c r="G9" i="10"/>
  <c r="H9" i="10"/>
  <c r="M9" i="10"/>
  <c r="Q9" i="10"/>
  <c r="P9" i="10"/>
  <c r="D11" i="10"/>
  <c r="H11" i="10"/>
  <c r="G11" i="10"/>
  <c r="M11" i="10"/>
  <c r="Q11" i="10"/>
  <c r="P11" i="10"/>
  <c r="D13" i="10"/>
  <c r="G13" i="10"/>
  <c r="M13" i="10"/>
  <c r="Q13" i="10"/>
  <c r="P13" i="10"/>
  <c r="D15" i="10"/>
  <c r="G15" i="10"/>
  <c r="M15" i="10"/>
  <c r="P15" i="10"/>
  <c r="Q15" i="10"/>
  <c r="D17" i="10"/>
  <c r="G17" i="10"/>
  <c r="H17" i="10"/>
  <c r="M17" i="10"/>
  <c r="Q17" i="10"/>
  <c r="P17" i="10"/>
  <c r="D19" i="10"/>
  <c r="G19" i="10"/>
  <c r="H19" i="10"/>
  <c r="M19" i="10"/>
  <c r="P19" i="10"/>
  <c r="Q19" i="10"/>
  <c r="D21" i="10"/>
  <c r="H21" i="10"/>
  <c r="G21" i="10"/>
  <c r="M21" i="10"/>
  <c r="P21" i="10"/>
  <c r="D23" i="10"/>
  <c r="H23" i="10"/>
  <c r="G23" i="10"/>
  <c r="M23" i="10"/>
  <c r="P23" i="10"/>
  <c r="Q23" i="10"/>
  <c r="D25" i="10"/>
  <c r="H25" i="10"/>
  <c r="G25" i="10"/>
  <c r="M25" i="10"/>
  <c r="Q25" i="10"/>
  <c r="P25" i="10"/>
  <c r="D27" i="10"/>
  <c r="H27" i="10"/>
  <c r="G27" i="10"/>
  <c r="M27" i="10"/>
  <c r="Q27" i="10"/>
  <c r="P27" i="10"/>
  <c r="D29" i="10"/>
  <c r="G29" i="10"/>
  <c r="H29" i="10"/>
  <c r="M29" i="10"/>
  <c r="Q29" i="10"/>
  <c r="P29" i="10"/>
  <c r="B32" i="10"/>
  <c r="C32" i="10"/>
  <c r="E32" i="10"/>
  <c r="F32" i="10"/>
  <c r="K32" i="10"/>
  <c r="L32" i="10"/>
  <c r="N32" i="10"/>
  <c r="O32" i="10"/>
  <c r="D7" i="11"/>
  <c r="G7" i="11"/>
  <c r="H7" i="11"/>
  <c r="M7" i="11"/>
  <c r="P7" i="11"/>
  <c r="D9" i="11"/>
  <c r="G9" i="11"/>
  <c r="M9" i="11"/>
  <c r="P9" i="11"/>
  <c r="Q9" i="11"/>
  <c r="D11" i="11"/>
  <c r="G11" i="11"/>
  <c r="H11" i="11"/>
  <c r="M11" i="11"/>
  <c r="P11" i="11"/>
  <c r="D13" i="11"/>
  <c r="G13" i="11"/>
  <c r="M13" i="11"/>
  <c r="Q13" i="11"/>
  <c r="P13" i="11"/>
  <c r="D15" i="11"/>
  <c r="G15" i="11"/>
  <c r="H15" i="11"/>
  <c r="M15" i="11"/>
  <c r="Q15" i="11"/>
  <c r="P15" i="11"/>
  <c r="D17" i="11"/>
  <c r="G17" i="11"/>
  <c r="M17" i="11"/>
  <c r="P17" i="11"/>
  <c r="Q17" i="11"/>
  <c r="D19" i="11"/>
  <c r="G19" i="11"/>
  <c r="H19" i="11"/>
  <c r="M19" i="11"/>
  <c r="Q19" i="11"/>
  <c r="P19" i="11"/>
  <c r="D21" i="11"/>
  <c r="G21" i="11"/>
  <c r="M21" i="11"/>
  <c r="Q21" i="11"/>
  <c r="P21" i="11"/>
  <c r="D23" i="11"/>
  <c r="H23" i="11"/>
  <c r="G23" i="11"/>
  <c r="M23" i="11"/>
  <c r="Q23" i="11"/>
  <c r="P23" i="11"/>
  <c r="D25" i="11"/>
  <c r="G25" i="11"/>
  <c r="M25" i="11"/>
  <c r="P25" i="11"/>
  <c r="D27" i="11"/>
  <c r="H27" i="11"/>
  <c r="G27" i="11"/>
  <c r="M27" i="11"/>
  <c r="P27" i="11"/>
  <c r="D29" i="11"/>
  <c r="G29" i="11"/>
  <c r="M29" i="11"/>
  <c r="P29" i="11"/>
  <c r="B32" i="11"/>
  <c r="C32" i="11"/>
  <c r="E32" i="11"/>
  <c r="F32" i="11"/>
  <c r="K32" i="11"/>
  <c r="L32" i="11"/>
  <c r="N32" i="11"/>
  <c r="O32" i="11"/>
  <c r="G7" i="29"/>
  <c r="P7" i="29"/>
  <c r="D9" i="29"/>
  <c r="G9" i="29"/>
  <c r="M11" i="29"/>
  <c r="D13" i="29"/>
  <c r="H13" i="29" s="1"/>
  <c r="G13" i="29"/>
  <c r="D15" i="29"/>
  <c r="H15" i="29" s="1"/>
  <c r="P15" i="29"/>
  <c r="D17" i="29"/>
  <c r="G17" i="29"/>
  <c r="D19" i="29"/>
  <c r="G19" i="29"/>
  <c r="D21" i="29"/>
  <c r="G21" i="29"/>
  <c r="D23" i="29"/>
  <c r="M23" i="29"/>
  <c r="P23" i="29"/>
  <c r="D25" i="29"/>
  <c r="G27" i="29"/>
  <c r="M27" i="29"/>
  <c r="D29" i="29"/>
  <c r="G29" i="29"/>
  <c r="D9" i="12"/>
  <c r="H9" i="12" s="1"/>
  <c r="M11" i="12"/>
  <c r="Q11" i="12" s="1"/>
  <c r="P11" i="12"/>
  <c r="G13" i="12"/>
  <c r="D17" i="12"/>
  <c r="G17" i="12"/>
  <c r="D19" i="12"/>
  <c r="G19" i="12"/>
  <c r="M19" i="12"/>
  <c r="P19" i="12"/>
  <c r="G21" i="12"/>
  <c r="D23" i="12"/>
  <c r="D25" i="12"/>
  <c r="H25" i="12" s="1"/>
  <c r="G25" i="12"/>
  <c r="D27" i="12"/>
  <c r="M27" i="12"/>
  <c r="P27" i="12"/>
  <c r="G29" i="12"/>
  <c r="M7" i="20"/>
  <c r="G9" i="20"/>
  <c r="C32" i="20"/>
  <c r="G11" i="20"/>
  <c r="M11" i="20"/>
  <c r="P11" i="20"/>
  <c r="D13" i="20"/>
  <c r="D15" i="20"/>
  <c r="G15" i="20"/>
  <c r="M15" i="20"/>
  <c r="P15" i="20"/>
  <c r="D17" i="20"/>
  <c r="G17" i="20"/>
  <c r="G19" i="20"/>
  <c r="D21" i="20"/>
  <c r="G21" i="20"/>
  <c r="D23" i="20"/>
  <c r="M23" i="20"/>
  <c r="P23" i="20"/>
  <c r="D25" i="20"/>
  <c r="G27" i="20"/>
  <c r="D29" i="20"/>
  <c r="G7" i="13"/>
  <c r="P7" i="13"/>
  <c r="D9" i="13"/>
  <c r="F32" i="13"/>
  <c r="M11" i="13"/>
  <c r="D13" i="13"/>
  <c r="G15" i="13"/>
  <c r="M15" i="13"/>
  <c r="P15" i="13"/>
  <c r="D19" i="13"/>
  <c r="G19" i="13"/>
  <c r="D21" i="13"/>
  <c r="G21" i="13"/>
  <c r="P21" i="13"/>
  <c r="D23" i="13"/>
  <c r="G23" i="13"/>
  <c r="M23" i="13"/>
  <c r="P23" i="13"/>
  <c r="D25" i="13"/>
  <c r="G25" i="13"/>
  <c r="D27" i="13"/>
  <c r="G27" i="13"/>
  <c r="G29" i="13"/>
  <c r="M7" i="14"/>
  <c r="P7" i="14"/>
  <c r="G9" i="14"/>
  <c r="M11" i="14"/>
  <c r="P11" i="14"/>
  <c r="G13" i="14"/>
  <c r="G15" i="14"/>
  <c r="M15" i="14"/>
  <c r="P15" i="14"/>
  <c r="D19" i="14"/>
  <c r="G19" i="14"/>
  <c r="H19" i="14" s="1"/>
  <c r="M19" i="14"/>
  <c r="Q19" i="14" s="1"/>
  <c r="P19" i="14"/>
  <c r="D21" i="14"/>
  <c r="G21" i="14"/>
  <c r="P21" i="14"/>
  <c r="D23" i="14"/>
  <c r="G23" i="14"/>
  <c r="M23" i="14"/>
  <c r="P23" i="14"/>
  <c r="Q23" i="14" s="1"/>
  <c r="D25" i="14"/>
  <c r="G25" i="14"/>
  <c r="D27" i="14"/>
  <c r="G27" i="14"/>
  <c r="D29" i="14"/>
  <c r="G29" i="14"/>
  <c r="L7" i="27"/>
  <c r="L9" i="27"/>
  <c r="O9" i="27"/>
  <c r="T9" i="27"/>
  <c r="G11" i="27"/>
  <c r="T11" i="27"/>
  <c r="W11" i="27"/>
  <c r="D13" i="27"/>
  <c r="D15" i="27"/>
  <c r="L15" i="27"/>
  <c r="W15" i="27"/>
  <c r="L17" i="27"/>
  <c r="O17" i="27"/>
  <c r="T17" i="27"/>
  <c r="G19" i="27"/>
  <c r="N32" i="27"/>
  <c r="T19" i="27"/>
  <c r="W19" i="27"/>
  <c r="D21" i="27"/>
  <c r="G21" i="27"/>
  <c r="L21" i="27"/>
  <c r="G23" i="27"/>
  <c r="L23" i="27"/>
  <c r="O23" i="27"/>
  <c r="T23" i="27"/>
  <c r="W23" i="27"/>
  <c r="L25" i="27"/>
  <c r="O25" i="27"/>
  <c r="T25" i="27"/>
  <c r="W25" i="27"/>
  <c r="T27" i="27"/>
  <c r="W27" i="27"/>
  <c r="D29" i="27"/>
  <c r="G29" i="27"/>
  <c r="L29" i="27"/>
  <c r="O29" i="27"/>
  <c r="M7" i="28"/>
  <c r="D9" i="28"/>
  <c r="G9" i="28"/>
  <c r="D11" i="28"/>
  <c r="G11" i="28"/>
  <c r="M11" i="28"/>
  <c r="P11" i="28"/>
  <c r="D13" i="28"/>
  <c r="P13" i="28"/>
  <c r="D17" i="28"/>
  <c r="G17" i="28"/>
  <c r="D19" i="28"/>
  <c r="G19" i="28"/>
  <c r="M19" i="28"/>
  <c r="Q19" i="28" s="1"/>
  <c r="P19" i="28"/>
  <c r="D21" i="28"/>
  <c r="G21" i="28"/>
  <c r="D23" i="28"/>
  <c r="P23" i="28"/>
  <c r="D25" i="28"/>
  <c r="G25" i="28"/>
  <c r="H25" i="28" s="1"/>
  <c r="M27" i="28"/>
  <c r="P27" i="28"/>
  <c r="D29" i="28"/>
  <c r="C32" i="28"/>
  <c r="G29" i="28"/>
  <c r="D7" i="30"/>
  <c r="G7" i="30"/>
  <c r="K7" i="30"/>
  <c r="D9" i="30"/>
  <c r="H9" i="30"/>
  <c r="G9" i="30"/>
  <c r="C32" i="30"/>
  <c r="G11" i="30"/>
  <c r="K11" i="30"/>
  <c r="N11" i="30"/>
  <c r="R11" i="30"/>
  <c r="D13" i="30"/>
  <c r="N13" i="30"/>
  <c r="R13" i="30"/>
  <c r="D15" i="30"/>
  <c r="G15" i="30"/>
  <c r="K17" i="30"/>
  <c r="N17" i="30"/>
  <c r="D19" i="30"/>
  <c r="H19" i="30"/>
  <c r="G19" i="30"/>
  <c r="K19" i="30"/>
  <c r="D21" i="30"/>
  <c r="G21" i="30"/>
  <c r="H21" i="30"/>
  <c r="N21" i="30"/>
  <c r="D23" i="30"/>
  <c r="H23" i="30"/>
  <c r="G23" i="30"/>
  <c r="K23" i="30"/>
  <c r="N23" i="30"/>
  <c r="R23" i="30"/>
  <c r="D25" i="30"/>
  <c r="H25" i="30"/>
  <c r="G25" i="30"/>
  <c r="K25" i="30"/>
  <c r="D27" i="30"/>
  <c r="G27" i="30"/>
  <c r="N27" i="30"/>
  <c r="D29" i="30"/>
  <c r="G29" i="30"/>
  <c r="H29" i="30"/>
  <c r="K29" i="30"/>
  <c r="N29" i="30"/>
  <c r="O7" i="31"/>
  <c r="T7" i="31"/>
  <c r="D9" i="31"/>
  <c r="O9" i="31"/>
  <c r="T9" i="31"/>
  <c r="U32" i="31"/>
  <c r="W9" i="31"/>
  <c r="D11" i="31"/>
  <c r="L11" i="31"/>
  <c r="D13" i="31"/>
  <c r="L13" i="31"/>
  <c r="T13" i="31"/>
  <c r="T15" i="31"/>
  <c r="W15" i="31"/>
  <c r="G17" i="31"/>
  <c r="T17" i="31"/>
  <c r="W17" i="31"/>
  <c r="G19" i="31"/>
  <c r="L19" i="31"/>
  <c r="O19" i="31"/>
  <c r="G21" i="31"/>
  <c r="L21" i="31"/>
  <c r="T21" i="31"/>
  <c r="L23" i="31"/>
  <c r="O23" i="31"/>
  <c r="T23" i="31"/>
  <c r="W23" i="31"/>
  <c r="X23" i="31" s="1"/>
  <c r="D25" i="31"/>
  <c r="T25" i="31"/>
  <c r="W25" i="31"/>
  <c r="D27" i="31"/>
  <c r="G27" i="31"/>
  <c r="D29" i="31"/>
  <c r="L29" i="31"/>
  <c r="O29" i="31"/>
  <c r="T29" i="31"/>
  <c r="W29" i="31"/>
  <c r="O7" i="16"/>
  <c r="T7" i="16"/>
  <c r="G9" i="16"/>
  <c r="O9" i="16"/>
  <c r="W9" i="16"/>
  <c r="D11" i="16"/>
  <c r="G11" i="16"/>
  <c r="D13" i="16"/>
  <c r="G13" i="16"/>
  <c r="L13" i="16"/>
  <c r="T13" i="16"/>
  <c r="W13" i="16"/>
  <c r="O15" i="16"/>
  <c r="T15" i="16"/>
  <c r="W15" i="16"/>
  <c r="D17" i="16"/>
  <c r="G17" i="16"/>
  <c r="T17" i="16"/>
  <c r="D19" i="16"/>
  <c r="G19" i="16"/>
  <c r="H19" i="16" s="1"/>
  <c r="L19" i="16"/>
  <c r="G21" i="16"/>
  <c r="L21" i="16"/>
  <c r="O21" i="16"/>
  <c r="T21" i="16"/>
  <c r="W21" i="16"/>
  <c r="L23" i="16"/>
  <c r="O23" i="16"/>
  <c r="T23" i="16"/>
  <c r="W23" i="16"/>
  <c r="D25" i="16"/>
  <c r="G25" i="16"/>
  <c r="T25" i="16"/>
  <c r="W25" i="16"/>
  <c r="D27" i="16"/>
  <c r="G27" i="16"/>
  <c r="L27" i="16"/>
  <c r="O27" i="16"/>
  <c r="D29" i="16"/>
  <c r="G29" i="16"/>
  <c r="L29" i="16"/>
  <c r="O29" i="16"/>
  <c r="T29" i="16"/>
  <c r="N32" i="16"/>
  <c r="W17" i="16"/>
  <c r="T9" i="16"/>
  <c r="W29" i="16"/>
  <c r="W21" i="31"/>
  <c r="O21" i="31"/>
  <c r="O11" i="31"/>
  <c r="R29" i="30"/>
  <c r="R7" i="30"/>
  <c r="M23" i="28"/>
  <c r="G15" i="28"/>
  <c r="W29" i="27"/>
  <c r="W17" i="27"/>
  <c r="T15" i="27"/>
  <c r="O13" i="27"/>
  <c r="G13" i="27"/>
  <c r="D11" i="27"/>
  <c r="O7" i="27"/>
  <c r="C32" i="9"/>
  <c r="H23" i="17"/>
  <c r="F32" i="27"/>
  <c r="G25" i="29"/>
  <c r="D13" i="9"/>
  <c r="N7" i="30"/>
  <c r="G23" i="28"/>
  <c r="M15" i="28"/>
  <c r="D15" i="28"/>
  <c r="H15" i="28" s="1"/>
  <c r="G7" i="28"/>
  <c r="D19" i="27"/>
  <c r="O15" i="27"/>
  <c r="P15" i="27" s="1"/>
  <c r="L13" i="27"/>
  <c r="W9" i="27"/>
  <c r="P7" i="20"/>
  <c r="Q7" i="20" s="1"/>
  <c r="O32" i="20"/>
  <c r="P27" i="9"/>
  <c r="Q27" i="9" s="1"/>
  <c r="D13" i="14"/>
  <c r="G9" i="13"/>
  <c r="M27" i="20"/>
  <c r="D27" i="20"/>
  <c r="G23" i="20"/>
  <c r="M19" i="20"/>
  <c r="P13" i="20"/>
  <c r="D29" i="12"/>
  <c r="P23" i="12"/>
  <c r="P15" i="12"/>
  <c r="D13" i="12"/>
  <c r="G9" i="12"/>
  <c r="P7" i="12"/>
  <c r="D27" i="29"/>
  <c r="G23" i="29"/>
  <c r="M19" i="29"/>
  <c r="G15" i="29"/>
  <c r="D29" i="22"/>
  <c r="H29" i="22" s="1"/>
  <c r="M27" i="22"/>
  <c r="P23" i="22"/>
  <c r="D21" i="22"/>
  <c r="P15" i="22"/>
  <c r="Q15" i="22" s="1"/>
  <c r="G15" i="22"/>
  <c r="D13" i="22"/>
  <c r="H13" i="22" s="1"/>
  <c r="P7" i="22"/>
  <c r="G7" i="22"/>
  <c r="D27" i="9"/>
  <c r="P27" i="17"/>
  <c r="G27" i="17"/>
  <c r="D25" i="17"/>
  <c r="H25" i="17" s="1"/>
  <c r="M23" i="17"/>
  <c r="D11" i="14"/>
  <c r="G7" i="14"/>
  <c r="G17" i="13"/>
  <c r="P11" i="13"/>
  <c r="P27" i="20"/>
  <c r="P19" i="20"/>
  <c r="D9" i="20"/>
  <c r="H9" i="20" s="1"/>
  <c r="D11" i="12"/>
  <c r="P27" i="29"/>
  <c r="P19" i="29"/>
  <c r="P11" i="29"/>
  <c r="F32" i="9"/>
  <c r="G29" i="9"/>
  <c r="D23" i="9"/>
  <c r="H23" i="9" s="1"/>
  <c r="D19" i="9"/>
  <c r="D11" i="9"/>
  <c r="D29" i="17"/>
  <c r="D17" i="14"/>
  <c r="D9" i="14"/>
  <c r="H9" i="14" s="1"/>
  <c r="D29" i="13"/>
  <c r="P19" i="13"/>
  <c r="Q23" i="20"/>
  <c r="M15" i="9"/>
  <c r="G11" i="9"/>
  <c r="G29" i="17"/>
  <c r="P23" i="17"/>
  <c r="P19" i="17"/>
  <c r="M15" i="17"/>
  <c r="D13" i="17"/>
  <c r="M11" i="17"/>
  <c r="D9" i="17"/>
  <c r="D19" i="8"/>
  <c r="M29" i="21"/>
  <c r="P27" i="19"/>
  <c r="M23" i="19"/>
  <c r="D23" i="19"/>
  <c r="G15" i="19"/>
  <c r="P13" i="19"/>
  <c r="P15" i="24"/>
  <c r="Q15" i="24" s="1"/>
  <c r="M27" i="7"/>
  <c r="M11" i="7"/>
  <c r="Q11" i="7" s="1"/>
  <c r="M27" i="25"/>
  <c r="M19" i="25"/>
  <c r="Q19" i="25" s="1"/>
  <c r="G15" i="25"/>
  <c r="M19" i="17"/>
  <c r="G11" i="17"/>
  <c r="H11" i="17" s="1"/>
  <c r="M25" i="25"/>
  <c r="M9" i="25"/>
  <c r="D15" i="19"/>
  <c r="P23" i="24"/>
  <c r="M15" i="7"/>
  <c r="M13" i="2"/>
  <c r="C32" i="17"/>
  <c r="G27" i="21"/>
  <c r="M23" i="21"/>
  <c r="Q23" i="21" s="1"/>
  <c r="P19" i="21"/>
  <c r="Q19" i="21" s="1"/>
  <c r="G19" i="21"/>
  <c r="H19" i="21" s="1"/>
  <c r="G11" i="21"/>
  <c r="M7" i="21"/>
  <c r="G27" i="25"/>
  <c r="M23" i="25"/>
  <c r="Q23" i="25" s="1"/>
  <c r="P19" i="24"/>
  <c r="D21" i="16"/>
  <c r="L15" i="16"/>
  <c r="P15" i="16" s="1"/>
  <c r="W11" i="16"/>
  <c r="O27" i="31"/>
  <c r="D17" i="31"/>
  <c r="H17" i="31" s="1"/>
  <c r="O13" i="31"/>
  <c r="S32" i="27"/>
  <c r="O21" i="27"/>
  <c r="C32" i="14"/>
  <c r="V32" i="27"/>
  <c r="H25" i="11"/>
  <c r="H17" i="11"/>
  <c r="H9" i="11"/>
  <c r="H29" i="11"/>
  <c r="H21" i="11"/>
  <c r="H13" i="11"/>
  <c r="Q7" i="11"/>
  <c r="M32" i="11"/>
  <c r="G32" i="11"/>
  <c r="D32" i="10"/>
  <c r="F32" i="22"/>
  <c r="P7" i="17"/>
  <c r="G23" i="19"/>
  <c r="W7" i="31"/>
  <c r="M7" i="13"/>
  <c r="P7" i="25"/>
  <c r="D15" i="12"/>
  <c r="C32" i="12"/>
  <c r="G15" i="12"/>
  <c r="D15" i="21"/>
  <c r="G15" i="21"/>
  <c r="D15" i="25"/>
  <c r="L32" i="19"/>
  <c r="L15" i="31"/>
  <c r="N15" i="30"/>
  <c r="M15" i="29"/>
  <c r="Q15" i="29" s="1"/>
  <c r="M15" i="12"/>
  <c r="F32" i="31"/>
  <c r="K15" i="30"/>
  <c r="O15" i="30" s="1"/>
  <c r="G15" i="17"/>
  <c r="P15" i="25"/>
  <c r="M13" i="8"/>
  <c r="G13" i="20"/>
  <c r="G13" i="17"/>
  <c r="H13" i="17" s="1"/>
  <c r="E32" i="17"/>
  <c r="G13" i="28"/>
  <c r="H13" i="28" s="1"/>
  <c r="N32" i="24"/>
  <c r="G13" i="31"/>
  <c r="H11" i="9"/>
  <c r="P27" i="14"/>
  <c r="D27" i="28"/>
  <c r="H15" i="9"/>
  <c r="G27" i="28"/>
  <c r="G23" i="12"/>
  <c r="E32" i="28"/>
  <c r="H21" i="14"/>
  <c r="G27" i="12"/>
  <c r="G7" i="2"/>
  <c r="M29" i="2"/>
  <c r="L32" i="24"/>
  <c r="C32" i="29"/>
  <c r="D11" i="29"/>
  <c r="W7" i="27"/>
  <c r="M7" i="12"/>
  <c r="D11" i="30"/>
  <c r="F32" i="25"/>
  <c r="G15" i="27"/>
  <c r="H15" i="27" s="1"/>
  <c r="E32" i="13"/>
  <c r="G13" i="13"/>
  <c r="N32" i="20"/>
  <c r="D19" i="20"/>
  <c r="H27" i="22"/>
  <c r="V32" i="31"/>
  <c r="W13" i="31"/>
  <c r="X13" i="31" s="1"/>
  <c r="J32" i="30"/>
  <c r="M7" i="29"/>
  <c r="D17" i="17"/>
  <c r="P11" i="17"/>
  <c r="Q29" i="11"/>
  <c r="P32" i="11"/>
  <c r="Q32" i="11"/>
  <c r="O15" i="31"/>
  <c r="E32" i="14"/>
  <c r="G17" i="14"/>
  <c r="C32" i="22"/>
  <c r="L11" i="16"/>
  <c r="N19" i="30"/>
  <c r="B32" i="28"/>
  <c r="D17" i="13"/>
  <c r="G29" i="20"/>
  <c r="G11" i="12"/>
  <c r="F32" i="12"/>
  <c r="D23" i="24"/>
  <c r="P13" i="8"/>
  <c r="N32" i="31"/>
  <c r="D11" i="8"/>
  <c r="O13" i="16"/>
  <c r="P13" i="16" s="1"/>
  <c r="R9" i="30"/>
  <c r="M19" i="13"/>
  <c r="G25" i="20"/>
  <c r="H25" i="20" s="1"/>
  <c r="N32" i="17"/>
  <c r="P15" i="28"/>
  <c r="K32" i="31"/>
  <c r="O19" i="16"/>
  <c r="P19" i="16" s="1"/>
  <c r="D9" i="16"/>
  <c r="R21" i="30"/>
  <c r="F32" i="20"/>
  <c r="Q27" i="11"/>
  <c r="D11" i="20"/>
  <c r="V32" i="16"/>
  <c r="G13" i="8"/>
  <c r="P9" i="8"/>
  <c r="M27" i="21"/>
  <c r="W7" i="16"/>
  <c r="R27" i="30"/>
  <c r="D32" i="11"/>
  <c r="H32" i="11"/>
  <c r="T7" i="27"/>
  <c r="R17" i="30"/>
  <c r="K9" i="30"/>
  <c r="F32" i="28"/>
  <c r="G7" i="27"/>
  <c r="G11" i="13"/>
  <c r="D21" i="12"/>
  <c r="H21" i="12" s="1"/>
  <c r="P25" i="29"/>
  <c r="D15" i="17"/>
  <c r="P27" i="8"/>
  <c r="G11" i="19"/>
  <c r="D15" i="24"/>
  <c r="P29" i="19"/>
  <c r="O32" i="28"/>
  <c r="Q25" i="11"/>
  <c r="Q21" i="10"/>
  <c r="H15" i="10"/>
  <c r="P29" i="21"/>
  <c r="M27" i="24"/>
  <c r="C32" i="13"/>
  <c r="L27" i="31"/>
  <c r="P7" i="28"/>
  <c r="Q7" i="28" s="1"/>
  <c r="M27" i="14"/>
  <c r="Q27" i="14" s="1"/>
  <c r="D15" i="13"/>
  <c r="D11" i="13"/>
  <c r="Q7" i="10"/>
  <c r="H29" i="9"/>
  <c r="D19" i="31"/>
  <c r="G9" i="31"/>
  <c r="H9" i="31" s="1"/>
  <c r="K27" i="30"/>
  <c r="O27" i="30"/>
  <c r="O32" i="14"/>
  <c r="D15" i="14"/>
  <c r="H15" i="14" s="1"/>
  <c r="G11" i="14"/>
  <c r="L32" i="14"/>
  <c r="P27" i="13"/>
  <c r="M23" i="12"/>
  <c r="Q11" i="11"/>
  <c r="P32" i="10"/>
  <c r="Q32" i="10"/>
  <c r="M7" i="25"/>
  <c r="L32" i="25"/>
  <c r="O32" i="13"/>
  <c r="G29" i="31"/>
  <c r="G25" i="31"/>
  <c r="D21" i="31"/>
  <c r="G11" i="31"/>
  <c r="H27" i="30"/>
  <c r="G27" i="27"/>
  <c r="D23" i="27"/>
  <c r="F32" i="14"/>
  <c r="M27" i="13"/>
  <c r="E32" i="20"/>
  <c r="H13" i="10"/>
  <c r="G32" i="10"/>
  <c r="H32" i="10"/>
  <c r="P17" i="8"/>
  <c r="O32" i="21"/>
  <c r="M27" i="19"/>
  <c r="N32" i="25"/>
  <c r="G11" i="29"/>
  <c r="F32" i="29"/>
  <c r="E32" i="9"/>
  <c r="O11" i="16"/>
  <c r="P11" i="16" s="1"/>
  <c r="M32" i="16"/>
  <c r="F32" i="16"/>
  <c r="G17" i="30"/>
  <c r="D27" i="27"/>
  <c r="H27" i="27" s="1"/>
  <c r="P25" i="20"/>
  <c r="D21" i="9"/>
  <c r="H21" i="9" s="1"/>
  <c r="Q32" i="8" l="1"/>
  <c r="K32" i="8"/>
  <c r="H19" i="8"/>
  <c r="Q25" i="29"/>
  <c r="Q13" i="28"/>
  <c r="C32" i="19"/>
  <c r="C32" i="25"/>
  <c r="C32" i="21"/>
  <c r="L32" i="9"/>
  <c r="L32" i="22"/>
  <c r="L32" i="29"/>
  <c r="L32" i="12"/>
  <c r="L32" i="20"/>
  <c r="C32" i="27"/>
  <c r="K32" i="27"/>
  <c r="L32" i="28"/>
  <c r="P9" i="27"/>
  <c r="Q15" i="20"/>
  <c r="H9" i="29"/>
  <c r="G21" i="24"/>
  <c r="P13" i="17"/>
  <c r="P29" i="29"/>
  <c r="Q13" i="19"/>
  <c r="Q13" i="21"/>
  <c r="Q17" i="21"/>
  <c r="H7" i="13"/>
  <c r="H11" i="19"/>
  <c r="Q7" i="25"/>
  <c r="Q19" i="13"/>
  <c r="P7" i="27"/>
  <c r="Q11" i="13"/>
  <c r="X25" i="16"/>
  <c r="P21" i="31"/>
  <c r="X9" i="31"/>
  <c r="Q19" i="12"/>
  <c r="H17" i="22"/>
  <c r="Q17" i="7"/>
  <c r="O32" i="24"/>
  <c r="Q17" i="19"/>
  <c r="F32" i="17"/>
  <c r="X9" i="16"/>
  <c r="H15" i="30"/>
  <c r="H17" i="28"/>
  <c r="H27" i="14"/>
  <c r="H23" i="13"/>
  <c r="Q27" i="17"/>
  <c r="D7" i="2"/>
  <c r="D23" i="2"/>
  <c r="D7" i="7"/>
  <c r="D11" i="7"/>
  <c r="D15" i="7"/>
  <c r="D19" i="7"/>
  <c r="D23" i="7"/>
  <c r="D27" i="7"/>
  <c r="D7" i="24"/>
  <c r="D7" i="19"/>
  <c r="D7" i="25"/>
  <c r="D7" i="8"/>
  <c r="X23" i="16"/>
  <c r="P29" i="31"/>
  <c r="H29" i="28"/>
  <c r="Q27" i="22"/>
  <c r="H15" i="22"/>
  <c r="H27" i="25"/>
  <c r="H9" i="17"/>
  <c r="H27" i="29"/>
  <c r="E32" i="7"/>
  <c r="G27" i="24"/>
  <c r="H27" i="24" s="1"/>
  <c r="G7" i="8"/>
  <c r="H13" i="27"/>
  <c r="X13" i="16"/>
  <c r="H25" i="14"/>
  <c r="H21" i="13"/>
  <c r="H17" i="29"/>
  <c r="Q19" i="24"/>
  <c r="P13" i="27"/>
  <c r="Q19" i="9"/>
  <c r="P29" i="16"/>
  <c r="X21" i="16"/>
  <c r="P7" i="24"/>
  <c r="Q7" i="24" s="1"/>
  <c r="P27" i="24"/>
  <c r="Q7" i="14"/>
  <c r="Q15" i="13"/>
  <c r="H29" i="29"/>
  <c r="X7" i="27"/>
  <c r="N32" i="21"/>
  <c r="B32" i="13"/>
  <c r="D7" i="22"/>
  <c r="D32" i="22" s="1"/>
  <c r="B32" i="20"/>
  <c r="P7" i="19"/>
  <c r="Q7" i="19" s="1"/>
  <c r="D7" i="29"/>
  <c r="H7" i="29" s="1"/>
  <c r="E32" i="12"/>
  <c r="B32" i="9"/>
  <c r="B32" i="17"/>
  <c r="D7" i="12"/>
  <c r="H7" i="12" s="1"/>
  <c r="D7" i="31"/>
  <c r="L32" i="13"/>
  <c r="K32" i="16"/>
  <c r="S32" i="16"/>
  <c r="B32" i="14"/>
  <c r="Q7" i="21"/>
  <c r="E32" i="25"/>
  <c r="E32" i="21"/>
  <c r="N32" i="22"/>
  <c r="N32" i="12"/>
  <c r="E32" i="27"/>
  <c r="B32" i="30"/>
  <c r="M32" i="31"/>
  <c r="F32" i="24"/>
  <c r="F32" i="19"/>
  <c r="F32" i="21"/>
  <c r="O32" i="9"/>
  <c r="O32" i="22"/>
  <c r="O32" i="29"/>
  <c r="Q7" i="12"/>
  <c r="F32" i="8"/>
  <c r="L32" i="17"/>
  <c r="H11" i="13"/>
  <c r="Q15" i="12"/>
  <c r="H27" i="9"/>
  <c r="X15" i="16"/>
  <c r="G9" i="7"/>
  <c r="G17" i="21"/>
  <c r="Q25" i="25"/>
  <c r="H29" i="27"/>
  <c r="X19" i="27"/>
  <c r="Q7" i="13"/>
  <c r="Q15" i="9"/>
  <c r="P9" i="19"/>
  <c r="G9" i="8"/>
  <c r="O32" i="12"/>
  <c r="H23" i="12"/>
  <c r="X15" i="27"/>
  <c r="X25" i="27"/>
  <c r="P9" i="25"/>
  <c r="P32" i="25" s="1"/>
  <c r="K32" i="24"/>
  <c r="H7" i="28"/>
  <c r="Q27" i="21"/>
  <c r="M9" i="7"/>
  <c r="Q9" i="7" s="1"/>
  <c r="P9" i="2"/>
  <c r="Q9" i="2" s="1"/>
  <c r="P21" i="2"/>
  <c r="Q21" i="2" s="1"/>
  <c r="P29" i="2"/>
  <c r="Q29" i="2" s="1"/>
  <c r="P25" i="7"/>
  <c r="H19" i="17"/>
  <c r="P27" i="31"/>
  <c r="X23" i="27"/>
  <c r="H21" i="29"/>
  <c r="G32" i="9"/>
  <c r="Q11" i="9"/>
  <c r="Q27" i="25"/>
  <c r="H13" i="16"/>
  <c r="X15" i="31"/>
  <c r="H17" i="12"/>
  <c r="H29" i="31"/>
  <c r="Q23" i="22"/>
  <c r="H23" i="28"/>
  <c r="H29" i="16"/>
  <c r="P21" i="16"/>
  <c r="H19" i="13"/>
  <c r="H17" i="17"/>
  <c r="Q27" i="19"/>
  <c r="H11" i="20"/>
  <c r="H29" i="13"/>
  <c r="H23" i="20"/>
  <c r="P27" i="16"/>
  <c r="H11" i="16"/>
  <c r="H21" i="20"/>
  <c r="H15" i="25"/>
  <c r="H11" i="8"/>
  <c r="H21" i="22"/>
  <c r="H17" i="14"/>
  <c r="O32" i="7"/>
  <c r="H7" i="19"/>
  <c r="Q27" i="7"/>
  <c r="P23" i="31"/>
  <c r="H13" i="13"/>
  <c r="H17" i="20"/>
  <c r="H21" i="31"/>
  <c r="K32" i="19"/>
  <c r="H13" i="9"/>
  <c r="O19" i="30"/>
  <c r="H19" i="31"/>
  <c r="Q11" i="17"/>
  <c r="H15" i="19"/>
  <c r="X17" i="16"/>
  <c r="X7" i="16"/>
  <c r="X21" i="31"/>
  <c r="H21" i="27"/>
  <c r="X9" i="27"/>
  <c r="H27" i="13"/>
  <c r="O32" i="17"/>
  <c r="H11" i="27"/>
  <c r="Q27" i="12"/>
  <c r="H19" i="29"/>
  <c r="Q23" i="9"/>
  <c r="Q29" i="25"/>
  <c r="G9" i="2"/>
  <c r="G13" i="2"/>
  <c r="H13" i="2" s="1"/>
  <c r="G17" i="2"/>
  <c r="G21" i="2"/>
  <c r="G17" i="7"/>
  <c r="G21" i="7"/>
  <c r="H21" i="7" s="1"/>
  <c r="G29" i="7"/>
  <c r="H29" i="7" s="1"/>
  <c r="G9" i="24"/>
  <c r="H9" i="24" s="1"/>
  <c r="G13" i="24"/>
  <c r="G17" i="24"/>
  <c r="G25" i="24"/>
  <c r="G29" i="24"/>
  <c r="H29" i="24" s="1"/>
  <c r="G9" i="19"/>
  <c r="G13" i="19"/>
  <c r="G17" i="19"/>
  <c r="G21" i="19"/>
  <c r="G25" i="19"/>
  <c r="H25" i="19" s="1"/>
  <c r="G29" i="19"/>
  <c r="G32" i="19" s="1"/>
  <c r="G13" i="25"/>
  <c r="H13" i="25" s="1"/>
  <c r="G17" i="25"/>
  <c r="G21" i="25"/>
  <c r="G25" i="25"/>
  <c r="H25" i="25" s="1"/>
  <c r="G29" i="25"/>
  <c r="G13" i="21"/>
  <c r="G21" i="21"/>
  <c r="G25" i="21"/>
  <c r="H25" i="21" s="1"/>
  <c r="G29" i="21"/>
  <c r="H29" i="21" s="1"/>
  <c r="D9" i="8"/>
  <c r="P15" i="8"/>
  <c r="M19" i="8"/>
  <c r="G23" i="8"/>
  <c r="H23" i="8" s="1"/>
  <c r="D27" i="8"/>
  <c r="P29" i="8"/>
  <c r="P32" i="8" s="1"/>
  <c r="P9" i="17"/>
  <c r="P17" i="17"/>
  <c r="Q17" i="17" s="1"/>
  <c r="P21" i="17"/>
  <c r="P25" i="17"/>
  <c r="P29" i="17"/>
  <c r="Q29" i="17" s="1"/>
  <c r="P9" i="9"/>
  <c r="P13" i="9"/>
  <c r="Q13" i="9" s="1"/>
  <c r="P17" i="9"/>
  <c r="P21" i="9"/>
  <c r="Q21" i="9" s="1"/>
  <c r="P25" i="9"/>
  <c r="P29" i="9"/>
  <c r="Q29" i="9" s="1"/>
  <c r="P13" i="22"/>
  <c r="P17" i="22"/>
  <c r="Q17" i="22" s="1"/>
  <c r="P21" i="22"/>
  <c r="P25" i="22"/>
  <c r="P29" i="22"/>
  <c r="P9" i="29"/>
  <c r="P32" i="29" s="1"/>
  <c r="P13" i="29"/>
  <c r="Q13" i="29" s="1"/>
  <c r="P17" i="29"/>
  <c r="P21" i="29"/>
  <c r="P13" i="12"/>
  <c r="Q13" i="12" s="1"/>
  <c r="P17" i="12"/>
  <c r="Q17" i="12" s="1"/>
  <c r="P21" i="12"/>
  <c r="Q21" i="12" s="1"/>
  <c r="P25" i="12"/>
  <c r="Q25" i="12" s="1"/>
  <c r="P29" i="12"/>
  <c r="Q29" i="12" s="1"/>
  <c r="P32" i="14"/>
  <c r="W32" i="27"/>
  <c r="O13" i="30"/>
  <c r="O21" i="30"/>
  <c r="U32" i="16"/>
  <c r="K32" i="14"/>
  <c r="B32" i="16"/>
  <c r="H17" i="13"/>
  <c r="G9" i="21"/>
  <c r="Q15" i="17"/>
  <c r="H29" i="17"/>
  <c r="H11" i="14"/>
  <c r="H27" i="20"/>
  <c r="X17" i="27"/>
  <c r="X29" i="31"/>
  <c r="H17" i="16"/>
  <c r="H15" i="12"/>
  <c r="Q19" i="17"/>
  <c r="Q23" i="17"/>
  <c r="Q27" i="20"/>
  <c r="X29" i="16"/>
  <c r="P23" i="16"/>
  <c r="P19" i="31"/>
  <c r="O17" i="30"/>
  <c r="Q11" i="22"/>
  <c r="Q7" i="9"/>
  <c r="Q25" i="19"/>
  <c r="B32" i="21"/>
  <c r="Q7" i="17"/>
  <c r="G32" i="13"/>
  <c r="H7" i="30"/>
  <c r="H19" i="28"/>
  <c r="G32" i="20"/>
  <c r="H17" i="8"/>
  <c r="P9" i="24"/>
  <c r="P17" i="24"/>
  <c r="H11" i="29"/>
  <c r="P7" i="16"/>
  <c r="G32" i="29"/>
  <c r="P9" i="22"/>
  <c r="P32" i="22" s="1"/>
  <c r="X17" i="31"/>
  <c r="X7" i="31"/>
  <c r="Q23" i="13"/>
  <c r="N32" i="9"/>
  <c r="P21" i="21"/>
  <c r="Q21" i="21" s="1"/>
  <c r="H25" i="16"/>
  <c r="H9" i="28"/>
  <c r="H13" i="8"/>
  <c r="H27" i="21"/>
  <c r="Q23" i="28"/>
  <c r="O23" i="30"/>
  <c r="X27" i="27"/>
  <c r="Q15" i="14"/>
  <c r="H13" i="20"/>
  <c r="H15" i="8"/>
  <c r="D19" i="24"/>
  <c r="B32" i="7"/>
  <c r="Q11" i="29"/>
  <c r="H19" i="9"/>
  <c r="H21" i="24"/>
  <c r="K32" i="29"/>
  <c r="C32" i="24"/>
  <c r="H21" i="16"/>
  <c r="H23" i="27"/>
  <c r="Q21" i="7"/>
  <c r="Q15" i="7"/>
  <c r="G32" i="22"/>
  <c r="P11" i="31"/>
  <c r="X25" i="31"/>
  <c r="O29" i="30"/>
  <c r="Q27" i="28"/>
  <c r="H19" i="12"/>
  <c r="H25" i="29"/>
  <c r="G11" i="2"/>
  <c r="G19" i="2"/>
  <c r="G7" i="7"/>
  <c r="H7" i="7" s="1"/>
  <c r="G15" i="7"/>
  <c r="G27" i="7"/>
  <c r="H27" i="7" s="1"/>
  <c r="G7" i="24"/>
  <c r="G15" i="24"/>
  <c r="H15" i="24" s="1"/>
  <c r="G19" i="19"/>
  <c r="H19" i="19" s="1"/>
  <c r="G27" i="19"/>
  <c r="G7" i="25"/>
  <c r="H7" i="25" s="1"/>
  <c r="G19" i="25"/>
  <c r="H19" i="25" s="1"/>
  <c r="G23" i="25"/>
  <c r="H23" i="25" s="1"/>
  <c r="G7" i="21"/>
  <c r="G23" i="21"/>
  <c r="H23" i="21" s="1"/>
  <c r="X11" i="27"/>
  <c r="H27" i="19"/>
  <c r="H13" i="12"/>
  <c r="H7" i="22"/>
  <c r="Q29" i="7"/>
  <c r="Q13" i="17"/>
  <c r="H11" i="12"/>
  <c r="Q11" i="14"/>
  <c r="L32" i="2"/>
  <c r="L32" i="7"/>
  <c r="B32" i="2"/>
  <c r="H21" i="19"/>
  <c r="H29" i="25"/>
  <c r="R32" i="31"/>
  <c r="Q9" i="25"/>
  <c r="H11" i="31"/>
  <c r="P13" i="31"/>
  <c r="H11" i="30"/>
  <c r="H19" i="22"/>
  <c r="N32" i="7"/>
  <c r="B32" i="25"/>
  <c r="K32" i="17"/>
  <c r="J32" i="27"/>
  <c r="H29" i="12"/>
  <c r="H13" i="31"/>
  <c r="D32" i="20"/>
  <c r="H21" i="25"/>
  <c r="Q17" i="13"/>
  <c r="H23" i="16"/>
  <c r="H17" i="2"/>
  <c r="H7" i="21"/>
  <c r="O32" i="16"/>
  <c r="H17" i="25"/>
  <c r="Q21" i="17"/>
  <c r="Q17" i="9"/>
  <c r="Q13" i="22"/>
  <c r="Q21" i="22"/>
  <c r="Q29" i="22"/>
  <c r="Q17" i="20"/>
  <c r="Q21" i="20"/>
  <c r="Q25" i="20"/>
  <c r="Q29" i="20"/>
  <c r="Q13" i="13"/>
  <c r="Q21" i="13"/>
  <c r="Q25" i="13"/>
  <c r="Q25" i="14"/>
  <c r="P19" i="27"/>
  <c r="P27" i="27"/>
  <c r="P25" i="31"/>
  <c r="P25" i="16"/>
  <c r="H13" i="19"/>
  <c r="H17" i="21"/>
  <c r="H21" i="21"/>
  <c r="Q25" i="17"/>
  <c r="Q25" i="9"/>
  <c r="Q25" i="22"/>
  <c r="Q17" i="29"/>
  <c r="Q21" i="29"/>
  <c r="Q29" i="29"/>
  <c r="Q13" i="20"/>
  <c r="Q29" i="13"/>
  <c r="Q13" i="14"/>
  <c r="Q17" i="14"/>
  <c r="Q21" i="14"/>
  <c r="Q29" i="14"/>
  <c r="H17" i="27"/>
  <c r="X21" i="27"/>
  <c r="H25" i="27"/>
  <c r="X29" i="27"/>
  <c r="Q17" i="28"/>
  <c r="Q21" i="28"/>
  <c r="Q25" i="28"/>
  <c r="Q29" i="28"/>
  <c r="P32" i="30"/>
  <c r="H15" i="31"/>
  <c r="P17" i="31"/>
  <c r="X19" i="31"/>
  <c r="H23" i="31"/>
  <c r="X27" i="31"/>
  <c r="P9" i="16"/>
  <c r="H15" i="16"/>
  <c r="P17" i="16"/>
  <c r="X27" i="16"/>
  <c r="D32" i="9"/>
  <c r="N32" i="14"/>
  <c r="K32" i="30"/>
  <c r="H7" i="20"/>
  <c r="D32" i="14"/>
  <c r="O25" i="30"/>
  <c r="H23" i="14"/>
  <c r="P9" i="12"/>
  <c r="Q9" i="12" s="1"/>
  <c r="Q19" i="22"/>
  <c r="D9" i="7"/>
  <c r="H9" i="7" s="1"/>
  <c r="P32" i="20"/>
  <c r="H21" i="8"/>
  <c r="Q23" i="19"/>
  <c r="G13" i="7"/>
  <c r="H13" i="7" s="1"/>
  <c r="G25" i="7"/>
  <c r="H25" i="7" s="1"/>
  <c r="H15" i="21"/>
  <c r="G9" i="25"/>
  <c r="H19" i="27"/>
  <c r="G9" i="27"/>
  <c r="G32" i="27" s="1"/>
  <c r="M13" i="7"/>
  <c r="Q13" i="7" s="1"/>
  <c r="M21" i="24"/>
  <c r="Q29" i="19"/>
  <c r="Q17" i="25"/>
  <c r="M21" i="25"/>
  <c r="Q21" i="25" s="1"/>
  <c r="K32" i="21"/>
  <c r="Q25" i="21"/>
  <c r="H27" i="8"/>
  <c r="G7" i="16"/>
  <c r="G32" i="16" s="1"/>
  <c r="D9" i="25"/>
  <c r="D32" i="25" s="1"/>
  <c r="H29" i="20"/>
  <c r="Q7" i="22"/>
  <c r="G32" i="12"/>
  <c r="Q19" i="20"/>
  <c r="Q11" i="28"/>
  <c r="N32" i="13"/>
  <c r="H27" i="17"/>
  <c r="H11" i="21"/>
  <c r="E32" i="19"/>
  <c r="N32" i="28"/>
  <c r="P7" i="31"/>
  <c r="D17" i="30"/>
  <c r="O7" i="30"/>
  <c r="D9" i="21"/>
  <c r="D32" i="21" s="1"/>
  <c r="Q25" i="7"/>
  <c r="Q9" i="24"/>
  <c r="P21" i="24"/>
  <c r="H17" i="7"/>
  <c r="N32" i="29"/>
  <c r="G13" i="30"/>
  <c r="H13" i="30" s="1"/>
  <c r="Q17" i="2"/>
  <c r="Q23" i="12"/>
  <c r="H21" i="28"/>
  <c r="P25" i="27"/>
  <c r="P17" i="27"/>
  <c r="H29" i="14"/>
  <c r="P17" i="2"/>
  <c r="P25" i="2"/>
  <c r="Q25" i="2" s="1"/>
  <c r="P13" i="24"/>
  <c r="Q13" i="24" s="1"/>
  <c r="Q25" i="24"/>
  <c r="H25" i="24"/>
  <c r="Q27" i="29"/>
  <c r="H15" i="7"/>
  <c r="O32" i="27"/>
  <c r="W32" i="31"/>
  <c r="U32" i="27"/>
  <c r="G7" i="31"/>
  <c r="D32" i="28"/>
  <c r="I32" i="30"/>
  <c r="H15" i="17"/>
  <c r="E32" i="24"/>
  <c r="Q29" i="21"/>
  <c r="H25" i="13"/>
  <c r="H25" i="9"/>
  <c r="H29" i="8"/>
  <c r="D19" i="2"/>
  <c r="C32" i="7"/>
  <c r="B32" i="19"/>
  <c r="H15" i="13"/>
  <c r="Q19" i="7"/>
  <c r="G27" i="2"/>
  <c r="G11" i="7"/>
  <c r="H11" i="7" s="1"/>
  <c r="G19" i="7"/>
  <c r="G23" i="7"/>
  <c r="H23" i="7" s="1"/>
  <c r="G11" i="24"/>
  <c r="H11" i="24" s="1"/>
  <c r="G19" i="24"/>
  <c r="H19" i="24" s="1"/>
  <c r="G23" i="24"/>
  <c r="H23" i="24" s="1"/>
  <c r="G11" i="25"/>
  <c r="H27" i="16"/>
  <c r="C32" i="8"/>
  <c r="H17" i="24"/>
  <c r="W32" i="16"/>
  <c r="H23" i="19"/>
  <c r="B32" i="31"/>
  <c r="H7" i="14"/>
  <c r="D9" i="2"/>
  <c r="H9" i="2" s="1"/>
  <c r="W19" i="16"/>
  <c r="X19" i="16" s="1"/>
  <c r="P23" i="27"/>
  <c r="Q23" i="29"/>
  <c r="H25" i="8"/>
  <c r="M11" i="2"/>
  <c r="M15" i="2"/>
  <c r="M27" i="2"/>
  <c r="M7" i="7"/>
  <c r="Q7" i="7" s="1"/>
  <c r="M23" i="7"/>
  <c r="Q23" i="7" s="1"/>
  <c r="M11" i="24"/>
  <c r="M23" i="24"/>
  <c r="Q23" i="24" s="1"/>
  <c r="M11" i="19"/>
  <c r="Q11" i="19" s="1"/>
  <c r="M15" i="19"/>
  <c r="Q15" i="19" s="1"/>
  <c r="M19" i="19"/>
  <c r="Q19" i="19" s="1"/>
  <c r="M15" i="25"/>
  <c r="M11" i="21"/>
  <c r="Q11" i="21" s="1"/>
  <c r="M15" i="21"/>
  <c r="Q15" i="21" s="1"/>
  <c r="H13" i="24"/>
  <c r="H25" i="31"/>
  <c r="P32" i="13"/>
  <c r="G32" i="14"/>
  <c r="M32" i="27"/>
  <c r="H23" i="29"/>
  <c r="H32" i="29" s="1"/>
  <c r="H19" i="7"/>
  <c r="Q15" i="28"/>
  <c r="H27" i="31"/>
  <c r="P29" i="27"/>
  <c r="H11" i="22"/>
  <c r="H17" i="19"/>
  <c r="B32" i="27"/>
  <c r="H27" i="28"/>
  <c r="P15" i="31"/>
  <c r="Q19" i="29"/>
  <c r="P21" i="27"/>
  <c r="H27" i="12"/>
  <c r="P32" i="7"/>
  <c r="Q27" i="24"/>
  <c r="Q27" i="13"/>
  <c r="H19" i="20"/>
  <c r="O11" i="30"/>
  <c r="H9" i="13"/>
  <c r="P7" i="2"/>
  <c r="P11" i="2"/>
  <c r="D32" i="24"/>
  <c r="Q9" i="9"/>
  <c r="M32" i="9"/>
  <c r="M32" i="22"/>
  <c r="Q9" i="22"/>
  <c r="M32" i="12"/>
  <c r="Q9" i="20"/>
  <c r="M32" i="20"/>
  <c r="Q9" i="13"/>
  <c r="M32" i="13"/>
  <c r="D32" i="27"/>
  <c r="X13" i="27"/>
  <c r="T32" i="27"/>
  <c r="M32" i="28"/>
  <c r="Q9" i="28"/>
  <c r="D32" i="31"/>
  <c r="P9" i="31"/>
  <c r="L32" i="31"/>
  <c r="X11" i="16"/>
  <c r="T32" i="16"/>
  <c r="G32" i="8"/>
  <c r="Q9" i="19"/>
  <c r="Q9" i="21"/>
  <c r="H11" i="25"/>
  <c r="H7" i="24"/>
  <c r="Q17" i="24"/>
  <c r="M15" i="8"/>
  <c r="M32" i="8" s="1"/>
  <c r="H7" i="27"/>
  <c r="K32" i="22"/>
  <c r="B32" i="8"/>
  <c r="K32" i="12"/>
  <c r="B32" i="24"/>
  <c r="H15" i="20"/>
  <c r="N9" i="30"/>
  <c r="H13" i="14"/>
  <c r="L32" i="8"/>
  <c r="R32" i="16"/>
  <c r="J32" i="31"/>
  <c r="H7" i="8"/>
  <c r="L11" i="27"/>
  <c r="T11" i="31"/>
  <c r="M9" i="17"/>
  <c r="K32" i="28"/>
  <c r="R15" i="30"/>
  <c r="R32" i="30" s="1"/>
  <c r="Q7" i="29"/>
  <c r="D7" i="16"/>
  <c r="K32" i="20"/>
  <c r="M9" i="29"/>
  <c r="N32" i="8"/>
  <c r="H9" i="16"/>
  <c r="G32" i="17"/>
  <c r="D32" i="17"/>
  <c r="R32" i="27"/>
  <c r="G32" i="28"/>
  <c r="K32" i="9"/>
  <c r="Q11" i="20"/>
  <c r="K32" i="13"/>
  <c r="O32" i="8"/>
  <c r="M9" i="14"/>
  <c r="D32" i="12"/>
  <c r="J32" i="16"/>
  <c r="H11" i="28"/>
  <c r="P32" i="19"/>
  <c r="D32" i="29"/>
  <c r="O32" i="31"/>
  <c r="D9" i="19"/>
  <c r="L32" i="16"/>
  <c r="D32" i="13"/>
  <c r="P32" i="28"/>
  <c r="E32" i="8"/>
  <c r="D32" i="7"/>
  <c r="G32" i="7"/>
  <c r="F32" i="7"/>
  <c r="N32" i="2"/>
  <c r="M19" i="2"/>
  <c r="G23" i="2"/>
  <c r="H23" i="2" s="1"/>
  <c r="P15" i="2"/>
  <c r="P19" i="2"/>
  <c r="M23" i="2"/>
  <c r="Q23" i="2" s="1"/>
  <c r="P27" i="2"/>
  <c r="G25" i="2"/>
  <c r="H25" i="2" s="1"/>
  <c r="P13" i="2"/>
  <c r="G29" i="2"/>
  <c r="H29" i="2" s="1"/>
  <c r="D21" i="2"/>
  <c r="H21" i="2" s="1"/>
  <c r="D11" i="2"/>
  <c r="H11" i="2" s="1"/>
  <c r="D15" i="2"/>
  <c r="E32" i="2"/>
  <c r="C32" i="2"/>
  <c r="F32" i="2"/>
  <c r="G15" i="2"/>
  <c r="D27" i="2"/>
  <c r="H27" i="2" s="1"/>
  <c r="O32" i="2"/>
  <c r="K32" i="2"/>
  <c r="H7" i="2"/>
  <c r="M7" i="2"/>
  <c r="G32" i="21" l="1"/>
  <c r="H32" i="9"/>
  <c r="Q11" i="2"/>
  <c r="H9" i="25"/>
  <c r="H29" i="19"/>
  <c r="Q9" i="29"/>
  <c r="Q32" i="29" s="1"/>
  <c r="M32" i="25"/>
  <c r="H9" i="8"/>
  <c r="H7" i="31"/>
  <c r="P32" i="9"/>
  <c r="H19" i="2"/>
  <c r="M32" i="24"/>
  <c r="Q32" i="7"/>
  <c r="D32" i="8"/>
  <c r="M32" i="21"/>
  <c r="H13" i="21"/>
  <c r="Q32" i="20"/>
  <c r="H32" i="12"/>
  <c r="H32" i="17"/>
  <c r="P32" i="17"/>
  <c r="Q15" i="2"/>
  <c r="H32" i="20"/>
  <c r="G32" i="24"/>
  <c r="P32" i="12"/>
  <c r="G32" i="25"/>
  <c r="Q21" i="24"/>
  <c r="X32" i="27"/>
  <c r="H32" i="13"/>
  <c r="H32" i="22"/>
  <c r="P32" i="21"/>
  <c r="H9" i="21"/>
  <c r="H32" i="21" s="1"/>
  <c r="H32" i="8"/>
  <c r="P32" i="24"/>
  <c r="Q15" i="25"/>
  <c r="Q32" i="25" s="1"/>
  <c r="X32" i="16"/>
  <c r="P32" i="16"/>
  <c r="G32" i="30"/>
  <c r="Q32" i="12"/>
  <c r="H32" i="14"/>
  <c r="Q11" i="24"/>
  <c r="Q32" i="24" s="1"/>
  <c r="P32" i="31"/>
  <c r="Q32" i="9"/>
  <c r="H32" i="31"/>
  <c r="G32" i="31"/>
  <c r="H9" i="27"/>
  <c r="H32" i="27" s="1"/>
  <c r="M32" i="7"/>
  <c r="M32" i="19"/>
  <c r="H32" i="28"/>
  <c r="Q32" i="19"/>
  <c r="Q32" i="13"/>
  <c r="H32" i="7"/>
  <c r="P32" i="2"/>
  <c r="Q32" i="22"/>
  <c r="Q27" i="2"/>
  <c r="H32" i="24"/>
  <c r="H32" i="25"/>
  <c r="M32" i="29"/>
  <c r="Q32" i="21"/>
  <c r="D32" i="30"/>
  <c r="H17" i="30"/>
  <c r="H32" i="30" s="1"/>
  <c r="Q32" i="28"/>
  <c r="D32" i="19"/>
  <c r="H9" i="19"/>
  <c r="H32" i="19" s="1"/>
  <c r="H7" i="16"/>
  <c r="H32" i="16" s="1"/>
  <c r="D32" i="16"/>
  <c r="O9" i="30"/>
  <c r="O32" i="30" s="1"/>
  <c r="N32" i="30"/>
  <c r="Q9" i="14"/>
  <c r="Q32" i="14" s="1"/>
  <c r="M32" i="14"/>
  <c r="M32" i="17"/>
  <c r="Q9" i="17"/>
  <c r="Q32" i="17" s="1"/>
  <c r="X11" i="31"/>
  <c r="X32" i="31" s="1"/>
  <c r="T32" i="31"/>
  <c r="L32" i="27"/>
  <c r="P11" i="27"/>
  <c r="P32" i="27" s="1"/>
  <c r="Q13" i="2"/>
  <c r="D32" i="2"/>
  <c r="G32" i="2"/>
  <c r="Q19" i="2"/>
  <c r="H15" i="2"/>
  <c r="M32" i="2"/>
  <c r="Q7" i="2"/>
  <c r="H32" i="2" l="1"/>
  <c r="Q32" i="2"/>
</calcChain>
</file>

<file path=xl/sharedStrings.xml><?xml version="1.0" encoding="utf-8"?>
<sst xmlns="http://schemas.openxmlformats.org/spreadsheetml/2006/main" count="496" uniqueCount="45">
  <si>
    <t>合計</t>
    <rPh sb="0" eb="2">
      <t>ゴウケイ</t>
    </rPh>
    <phoneticPr fontId="2"/>
  </si>
  <si>
    <t>単位：トン</t>
    <rPh sb="0" eb="2">
      <t>タンイ</t>
    </rPh>
    <phoneticPr fontId="2"/>
  </si>
  <si>
    <t>月別</t>
    <rPh sb="0" eb="1">
      <t>ツキ</t>
    </rPh>
    <rPh sb="1" eb="2">
      <t>ベツ</t>
    </rPh>
    <phoneticPr fontId="2"/>
  </si>
  <si>
    <t>利尻富士計</t>
    <rPh sb="0" eb="4">
      <t>リシリフジ</t>
    </rPh>
    <rPh sb="4" eb="5">
      <t>ケイ</t>
    </rPh>
    <phoneticPr fontId="2"/>
  </si>
  <si>
    <t>仙法志</t>
    <rPh sb="0" eb="1">
      <t>セン</t>
    </rPh>
    <rPh sb="1" eb="2">
      <t>ホウ</t>
    </rPh>
    <rPh sb="2" eb="3">
      <t>シ</t>
    </rPh>
    <phoneticPr fontId="2"/>
  </si>
  <si>
    <t>利尻計</t>
    <rPh sb="0" eb="2">
      <t>リシリ</t>
    </rPh>
    <rPh sb="2" eb="3">
      <t>ケイ</t>
    </rPh>
    <phoneticPr fontId="2"/>
  </si>
  <si>
    <t>鬼　脇</t>
    <rPh sb="0" eb="1">
      <t>オニ</t>
    </rPh>
    <rPh sb="2" eb="3">
      <t>ワキ</t>
    </rPh>
    <phoneticPr fontId="2"/>
  </si>
  <si>
    <t>沓　形</t>
    <rPh sb="0" eb="1">
      <t>クツ</t>
    </rPh>
    <rPh sb="2" eb="3">
      <t>カタ</t>
    </rPh>
    <phoneticPr fontId="2"/>
  </si>
  <si>
    <t>合　計</t>
    <rPh sb="0" eb="1">
      <t>ゴウ</t>
    </rPh>
    <rPh sb="2" eb="3">
      <t>ケイ</t>
    </rPh>
    <phoneticPr fontId="2"/>
  </si>
  <si>
    <t>【収集可燃ごみ】</t>
    <rPh sb="1" eb="3">
      <t>シュウシュウ</t>
    </rPh>
    <rPh sb="3" eb="5">
      <t>カネン</t>
    </rPh>
    <phoneticPr fontId="2"/>
  </si>
  <si>
    <t>【直搬可燃ごみ】</t>
    <rPh sb="1" eb="2">
      <t>チョク</t>
    </rPh>
    <rPh sb="2" eb="3">
      <t>ハン</t>
    </rPh>
    <rPh sb="3" eb="5">
      <t>カネン</t>
    </rPh>
    <phoneticPr fontId="2"/>
  </si>
  <si>
    <t>鴛　泊</t>
    <rPh sb="0" eb="1">
      <t>オシ</t>
    </rPh>
    <rPh sb="2" eb="3">
      <t>ハク</t>
    </rPh>
    <phoneticPr fontId="2"/>
  </si>
  <si>
    <t>【収集不燃ごみ】</t>
    <rPh sb="1" eb="3">
      <t>シュウシュウ</t>
    </rPh>
    <rPh sb="3" eb="5">
      <t>フネン</t>
    </rPh>
    <phoneticPr fontId="2"/>
  </si>
  <si>
    <t>【直搬不燃ごみ】</t>
    <rPh sb="1" eb="2">
      <t>チョク</t>
    </rPh>
    <rPh sb="2" eb="3">
      <t>ハン</t>
    </rPh>
    <rPh sb="3" eb="5">
      <t>フネン</t>
    </rPh>
    <phoneticPr fontId="2"/>
  </si>
  <si>
    <t>【収集粗大ごみ】</t>
    <rPh sb="1" eb="3">
      <t>シュウシュウ</t>
    </rPh>
    <rPh sb="3" eb="5">
      <t>ソダイ</t>
    </rPh>
    <phoneticPr fontId="2"/>
  </si>
  <si>
    <t>【直搬粗大ごみ】</t>
    <rPh sb="1" eb="2">
      <t>チョク</t>
    </rPh>
    <rPh sb="2" eb="3">
      <t>ハン</t>
    </rPh>
    <rPh sb="3" eb="5">
      <t>ソダイ</t>
    </rPh>
    <phoneticPr fontId="2"/>
  </si>
  <si>
    <t>【水産系産廃】</t>
    <rPh sb="1" eb="3">
      <t>スイサン</t>
    </rPh>
    <rPh sb="3" eb="4">
      <t>ケイ</t>
    </rPh>
    <rPh sb="4" eb="6">
      <t>サンパイ</t>
    </rPh>
    <phoneticPr fontId="2"/>
  </si>
  <si>
    <t>【医療系産廃】</t>
    <rPh sb="1" eb="3">
      <t>イリョウ</t>
    </rPh>
    <rPh sb="3" eb="4">
      <t>ケイ</t>
    </rPh>
    <rPh sb="4" eb="6">
      <t>サンパイ</t>
    </rPh>
    <phoneticPr fontId="2"/>
  </si>
  <si>
    <t>【下水道汚泥】</t>
    <rPh sb="1" eb="4">
      <t>ゲスイドウ</t>
    </rPh>
    <rPh sb="4" eb="6">
      <t>オデイ</t>
    </rPh>
    <phoneticPr fontId="2"/>
  </si>
  <si>
    <t>【粗大ごみ収集時】</t>
    <rPh sb="1" eb="3">
      <t>ソダイ</t>
    </rPh>
    <rPh sb="5" eb="7">
      <t>シュウシュウ</t>
    </rPh>
    <rPh sb="7" eb="8">
      <t>トキ</t>
    </rPh>
    <phoneticPr fontId="2"/>
  </si>
  <si>
    <t>【粗大ごみ直接搬入時】</t>
    <rPh sb="1" eb="3">
      <t>ソダイ</t>
    </rPh>
    <rPh sb="5" eb="7">
      <t>チョクセツ</t>
    </rPh>
    <rPh sb="7" eb="9">
      <t>ハンニュウ</t>
    </rPh>
    <rPh sb="9" eb="10">
      <t>トキ</t>
    </rPh>
    <phoneticPr fontId="2"/>
  </si>
  <si>
    <t>富士計</t>
    <rPh sb="0" eb="2">
      <t>フジ</t>
    </rPh>
    <rPh sb="2" eb="3">
      <t>ケイ</t>
    </rPh>
    <phoneticPr fontId="2"/>
  </si>
  <si>
    <t>【収集缶類】</t>
    <rPh sb="1" eb="3">
      <t>シュウシュウ</t>
    </rPh>
    <rPh sb="3" eb="4">
      <t>カン</t>
    </rPh>
    <rPh sb="4" eb="5">
      <t>ルイ</t>
    </rPh>
    <phoneticPr fontId="2"/>
  </si>
  <si>
    <t>【直搬缶類】</t>
    <rPh sb="1" eb="2">
      <t>チョク</t>
    </rPh>
    <rPh sb="2" eb="3">
      <t>ハン</t>
    </rPh>
    <rPh sb="3" eb="4">
      <t>カン</t>
    </rPh>
    <rPh sb="4" eb="5">
      <t>ルイ</t>
    </rPh>
    <phoneticPr fontId="2"/>
  </si>
  <si>
    <t>【収集びん類】</t>
    <rPh sb="1" eb="3">
      <t>シュウシュウ</t>
    </rPh>
    <rPh sb="5" eb="6">
      <t>ルイ</t>
    </rPh>
    <phoneticPr fontId="2"/>
  </si>
  <si>
    <t>【直搬びん類】</t>
    <rPh sb="1" eb="2">
      <t>チョク</t>
    </rPh>
    <rPh sb="2" eb="3">
      <t>ハン</t>
    </rPh>
    <rPh sb="5" eb="6">
      <t>ルイ</t>
    </rPh>
    <phoneticPr fontId="2"/>
  </si>
  <si>
    <t>【収集缶類】</t>
    <rPh sb="1" eb="3">
      <t>シュウシュウ</t>
    </rPh>
    <rPh sb="3" eb="5">
      <t>カンルイ</t>
    </rPh>
    <phoneticPr fontId="2"/>
  </si>
  <si>
    <t>【直搬缶類】</t>
    <rPh sb="1" eb="2">
      <t>チョク</t>
    </rPh>
    <rPh sb="2" eb="3">
      <t>ハン</t>
    </rPh>
    <rPh sb="3" eb="5">
      <t>カンルイ</t>
    </rPh>
    <phoneticPr fontId="2"/>
  </si>
  <si>
    <t>【収集紙類】</t>
    <rPh sb="1" eb="3">
      <t>シュウシュウ</t>
    </rPh>
    <rPh sb="3" eb="4">
      <t>カミ</t>
    </rPh>
    <rPh sb="4" eb="5">
      <t>ルイ</t>
    </rPh>
    <phoneticPr fontId="2"/>
  </si>
  <si>
    <t>【直搬紙類】</t>
    <rPh sb="1" eb="2">
      <t>チョク</t>
    </rPh>
    <rPh sb="2" eb="3">
      <t>ハン</t>
    </rPh>
    <rPh sb="3" eb="4">
      <t>カミ</t>
    </rPh>
    <rPh sb="4" eb="5">
      <t>ルイ</t>
    </rPh>
    <phoneticPr fontId="2"/>
  </si>
  <si>
    <t>【収集紙類】</t>
    <rPh sb="1" eb="3">
      <t>シュウシュウ</t>
    </rPh>
    <rPh sb="3" eb="5">
      <t>カミルイ</t>
    </rPh>
    <phoneticPr fontId="2"/>
  </si>
  <si>
    <t>【直搬紙類】</t>
    <rPh sb="1" eb="2">
      <t>チョク</t>
    </rPh>
    <rPh sb="2" eb="3">
      <t>ハン</t>
    </rPh>
    <rPh sb="3" eb="5">
      <t>カミルイ</t>
    </rPh>
    <phoneticPr fontId="2"/>
  </si>
  <si>
    <t>【木くず埋立】</t>
    <rPh sb="1" eb="2">
      <t>キ</t>
    </rPh>
    <rPh sb="4" eb="6">
      <t>ウメタテ</t>
    </rPh>
    <phoneticPr fontId="2"/>
  </si>
  <si>
    <t>【缶類収集・搬入時】</t>
    <rPh sb="1" eb="3">
      <t>カンルイ</t>
    </rPh>
    <rPh sb="3" eb="5">
      <t>シュウシュウ</t>
    </rPh>
    <rPh sb="6" eb="8">
      <t>ハンニュウ</t>
    </rPh>
    <rPh sb="8" eb="9">
      <t>トキ</t>
    </rPh>
    <phoneticPr fontId="2"/>
  </si>
  <si>
    <t>【一般（うに殻等）】</t>
    <rPh sb="1" eb="3">
      <t>イッパン</t>
    </rPh>
    <rPh sb="6" eb="7">
      <t>カラ</t>
    </rPh>
    <rPh sb="7" eb="8">
      <t>ナド</t>
    </rPh>
    <phoneticPr fontId="2"/>
  </si>
  <si>
    <t>富士町</t>
    <rPh sb="0" eb="3">
      <t>フジチョウ</t>
    </rPh>
    <phoneticPr fontId="2"/>
  </si>
  <si>
    <t>利尻町</t>
    <rPh sb="0" eb="3">
      <t>リシリチョウ</t>
    </rPh>
    <phoneticPr fontId="2"/>
  </si>
  <si>
    <t>【併せ産廃（動植物性）】</t>
    <rPh sb="1" eb="2">
      <t>ヘイ</t>
    </rPh>
    <rPh sb="3" eb="5">
      <t>サンパイ</t>
    </rPh>
    <rPh sb="6" eb="9">
      <t>ドウショクブツ</t>
    </rPh>
    <rPh sb="9" eb="10">
      <t>セイ</t>
    </rPh>
    <phoneticPr fontId="2"/>
  </si>
  <si>
    <t>富士町計</t>
    <rPh sb="0" eb="3">
      <t>フジチョウ</t>
    </rPh>
    <rPh sb="3" eb="4">
      <t>ケイ</t>
    </rPh>
    <phoneticPr fontId="2"/>
  </si>
  <si>
    <t>【収集ペットボトル】</t>
    <rPh sb="1" eb="3">
      <t>シュウシュウ</t>
    </rPh>
    <phoneticPr fontId="2"/>
  </si>
  <si>
    <t>【直搬ペットボトル】</t>
    <rPh sb="1" eb="2">
      <t>チョク</t>
    </rPh>
    <rPh sb="2" eb="3">
      <t>ハン</t>
    </rPh>
    <phoneticPr fontId="2"/>
  </si>
  <si>
    <t>【ペットボトル収集・搬入時】</t>
    <rPh sb="7" eb="9">
      <t>シュウシュウ</t>
    </rPh>
    <rPh sb="10" eb="12">
      <t>ハンニュウ</t>
    </rPh>
    <rPh sb="12" eb="13">
      <t>トキ</t>
    </rPh>
    <phoneticPr fontId="2"/>
  </si>
  <si>
    <t>【紙類収集・搬入時】</t>
    <rPh sb="1" eb="3">
      <t>カミルイ</t>
    </rPh>
    <rPh sb="3" eb="5">
      <t>シュウシュウ</t>
    </rPh>
    <rPh sb="6" eb="8">
      <t>ハンニュウ</t>
    </rPh>
    <rPh sb="8" eb="9">
      <t>トキ</t>
    </rPh>
    <phoneticPr fontId="2"/>
  </si>
  <si>
    <t>【道路・海岸清掃搬入埋立】</t>
    <rPh sb="1" eb="3">
      <t>ドウロ</t>
    </rPh>
    <rPh sb="4" eb="6">
      <t>カイガン</t>
    </rPh>
    <rPh sb="6" eb="8">
      <t>セイソウ</t>
    </rPh>
    <rPh sb="8" eb="10">
      <t>ハンニュウ</t>
    </rPh>
    <rPh sb="10" eb="12">
      <t>ウメタテ</t>
    </rPh>
    <phoneticPr fontId="2"/>
  </si>
  <si>
    <t>【道路・海岸清掃搬入時】</t>
    <rPh sb="1" eb="3">
      <t>ドウロ</t>
    </rPh>
    <rPh sb="4" eb="6">
      <t>カイガン</t>
    </rPh>
    <rPh sb="6" eb="8">
      <t>セイソウ</t>
    </rPh>
    <rPh sb="8" eb="10">
      <t>ハンニュウ</t>
    </rPh>
    <rPh sb="10" eb="11">
      <t>トキ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</si>
</sst>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;[Red]0.0"/>
    <numFmt numFmtId="177" formatCode="#,##0.0;[Red]#,##0.0"/>
    <numFmt numFmtId="178" formatCode="#,##0.00;[Red]#,##0.00"/>
    <numFmt numFmtId="179" formatCode="#,##0.0;;&quot;- &quot;"/>
    <numFmt numFmtId="180" formatCode="#,##0.00;;&quot;- &quot;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0" xfId="0" applyBorder="1" applyAlignment="1">
      <alignment horizontal="right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/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0" xfId="0" applyFont="1"/>
    <xf numFmtId="0" fontId="6" fillId="0" borderId="12" xfId="0" applyFont="1" applyBorder="1" applyAlignment="1">
      <alignment horizontal="right" vertical="center"/>
    </xf>
    <xf numFmtId="178" fontId="5" fillId="0" borderId="2" xfId="0" applyNumberFormat="1" applyFont="1" applyBorder="1" applyAlignment="1">
      <alignment vertical="center"/>
    </xf>
    <xf numFmtId="0" fontId="0" fillId="0" borderId="0" xfId="0" applyBorder="1"/>
    <xf numFmtId="0" fontId="4" fillId="0" borderId="0" xfId="0" applyFont="1" applyAlignment="1">
      <alignment horizontal="right"/>
    </xf>
    <xf numFmtId="180" fontId="5" fillId="0" borderId="2" xfId="0" applyNumberFormat="1" applyFont="1" applyBorder="1" applyAlignment="1">
      <alignment vertical="center"/>
    </xf>
    <xf numFmtId="180" fontId="0" fillId="0" borderId="2" xfId="0" applyNumberFormat="1" applyBorder="1" applyAlignment="1">
      <alignment vertical="center"/>
    </xf>
    <xf numFmtId="180" fontId="5" fillId="0" borderId="1" xfId="0" applyNumberFormat="1" applyFont="1" applyBorder="1" applyAlignment="1">
      <alignment vertical="center"/>
    </xf>
    <xf numFmtId="180" fontId="0" fillId="0" borderId="3" xfId="0" applyNumberFormat="1" applyBorder="1" applyAlignment="1">
      <alignment vertical="center"/>
    </xf>
    <xf numFmtId="180" fontId="0" fillId="0" borderId="5" xfId="0" applyNumberFormat="1" applyBorder="1" applyAlignment="1">
      <alignment vertical="center"/>
    </xf>
    <xf numFmtId="179" fontId="5" fillId="0" borderId="0" xfId="0" applyNumberFormat="1" applyFont="1" applyBorder="1" applyAlignment="1">
      <alignment vertical="center"/>
    </xf>
    <xf numFmtId="179" fontId="0" fillId="0" borderId="0" xfId="0" applyNumberFormat="1" applyBorder="1" applyAlignment="1">
      <alignment vertical="center"/>
    </xf>
    <xf numFmtId="179" fontId="5" fillId="0" borderId="13" xfId="0" applyNumberFormat="1" applyFont="1" applyBorder="1" applyAlignment="1">
      <alignment vertical="center"/>
    </xf>
    <xf numFmtId="179" fontId="0" fillId="0" borderId="3" xfId="0" applyNumberFormat="1" applyBorder="1" applyAlignment="1">
      <alignment vertical="center"/>
    </xf>
    <xf numFmtId="179" fontId="0" fillId="0" borderId="14" xfId="0" applyNumberFormat="1" applyBorder="1" applyAlignment="1">
      <alignment vertical="center"/>
    </xf>
    <xf numFmtId="179" fontId="5" fillId="0" borderId="15" xfId="0" applyNumberFormat="1" applyFont="1" applyBorder="1" applyAlignment="1">
      <alignment vertical="center"/>
    </xf>
    <xf numFmtId="179" fontId="0" fillId="0" borderId="16" xfId="0" applyNumberFormat="1" applyBorder="1" applyAlignment="1">
      <alignment vertical="center"/>
    </xf>
    <xf numFmtId="179" fontId="5" fillId="0" borderId="17" xfId="0" applyNumberFormat="1" applyFont="1" applyBorder="1" applyAlignment="1">
      <alignment vertical="center"/>
    </xf>
    <xf numFmtId="179" fontId="0" fillId="0" borderId="18" xfId="0" applyNumberFormat="1" applyBorder="1" applyAlignment="1">
      <alignment vertical="center"/>
    </xf>
    <xf numFmtId="179" fontId="5" fillId="0" borderId="16" xfId="0" applyNumberFormat="1" applyFont="1" applyBorder="1" applyAlignment="1">
      <alignment vertical="center"/>
    </xf>
    <xf numFmtId="179" fontId="0" fillId="0" borderId="19" xfId="0" applyNumberFormat="1" applyBorder="1" applyAlignment="1">
      <alignment vertical="center"/>
    </xf>
    <xf numFmtId="179" fontId="6" fillId="0" borderId="0" xfId="0" applyNumberFormat="1" applyFont="1" applyBorder="1" applyAlignment="1">
      <alignment vertical="center"/>
    </xf>
    <xf numFmtId="179" fontId="6" fillId="0" borderId="20" xfId="0" applyNumberFormat="1" applyFont="1" applyBorder="1" applyAlignment="1">
      <alignment vertical="center"/>
    </xf>
    <xf numFmtId="179" fontId="6" fillId="0" borderId="21" xfId="0" applyNumberFormat="1" applyFont="1" applyBorder="1" applyAlignment="1">
      <alignment vertical="center"/>
    </xf>
    <xf numFmtId="179" fontId="6" fillId="0" borderId="22" xfId="0" applyNumberFormat="1" applyFont="1" applyBorder="1" applyAlignment="1">
      <alignment vertical="center"/>
    </xf>
    <xf numFmtId="179" fontId="6" fillId="0" borderId="23" xfId="0" applyNumberFormat="1" applyFont="1" applyBorder="1" applyAlignment="1">
      <alignment vertical="center"/>
    </xf>
    <xf numFmtId="179" fontId="6" fillId="0" borderId="12" xfId="0" applyNumberFormat="1" applyFont="1" applyBorder="1" applyAlignment="1">
      <alignment vertical="center"/>
    </xf>
    <xf numFmtId="179" fontId="6" fillId="0" borderId="14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 shrinkToFit="1"/>
    </xf>
    <xf numFmtId="179" fontId="6" fillId="0" borderId="3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shrinkToFit="1"/>
    </xf>
    <xf numFmtId="0" fontId="4" fillId="0" borderId="0" xfId="0" applyFont="1" applyAlignment="1">
      <alignment shrinkToFit="1"/>
    </xf>
    <xf numFmtId="0" fontId="4" fillId="0" borderId="0" xfId="0" applyFont="1" applyAlignment="1">
      <alignment horizontal="right" shrinkToFit="1"/>
    </xf>
    <xf numFmtId="0" fontId="6" fillId="0" borderId="7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179" fontId="6" fillId="0" borderId="0" xfId="0" applyNumberFormat="1" applyFont="1" applyBorder="1" applyAlignment="1">
      <alignment vertical="center" shrinkToFit="1"/>
    </xf>
    <xf numFmtId="179" fontId="6" fillId="0" borderId="13" xfId="0" applyNumberFormat="1" applyFont="1" applyBorder="1" applyAlignment="1">
      <alignment vertical="center" shrinkToFit="1"/>
    </xf>
    <xf numFmtId="179" fontId="6" fillId="0" borderId="23" xfId="0" applyNumberFormat="1" applyFont="1" applyBorder="1" applyAlignment="1">
      <alignment vertical="center" shrinkToFit="1"/>
    </xf>
    <xf numFmtId="0" fontId="6" fillId="0" borderId="0" xfId="0" applyFont="1" applyBorder="1" applyAlignment="1">
      <alignment horizontal="right" vertical="center" shrinkToFit="1"/>
    </xf>
    <xf numFmtId="179" fontId="6" fillId="0" borderId="14" xfId="0" applyNumberFormat="1" applyFont="1" applyBorder="1" applyAlignment="1">
      <alignment vertical="center" shrinkToFit="1"/>
    </xf>
    <xf numFmtId="179" fontId="6" fillId="0" borderId="24" xfId="0" applyNumberFormat="1" applyFont="1" applyBorder="1" applyAlignment="1">
      <alignment vertical="center" shrinkToFit="1"/>
    </xf>
    <xf numFmtId="179" fontId="6" fillId="0" borderId="2" xfId="0" applyNumberFormat="1" applyFont="1" applyBorder="1" applyAlignment="1">
      <alignment vertical="center" shrinkToFit="1"/>
    </xf>
    <xf numFmtId="179" fontId="6" fillId="0" borderId="1" xfId="0" applyNumberFormat="1" applyFont="1" applyBorder="1" applyAlignment="1">
      <alignment vertical="center" shrinkToFit="1"/>
    </xf>
    <xf numFmtId="179" fontId="6" fillId="0" borderId="3" xfId="0" applyNumberFormat="1" applyFont="1" applyBorder="1" applyAlignment="1">
      <alignment vertical="center" shrinkToFit="1"/>
    </xf>
    <xf numFmtId="179" fontId="6" fillId="0" borderId="5" xfId="0" applyNumberFormat="1" applyFont="1" applyBorder="1" applyAlignment="1">
      <alignment vertical="center" shrinkToFit="1"/>
    </xf>
    <xf numFmtId="176" fontId="0" fillId="0" borderId="19" xfId="0" applyNumberFormat="1" applyBorder="1" applyAlignment="1">
      <alignment vertical="center"/>
    </xf>
    <xf numFmtId="179" fontId="5" fillId="0" borderId="21" xfId="0" applyNumberFormat="1" applyFont="1" applyBorder="1" applyAlignment="1">
      <alignment vertical="center"/>
    </xf>
    <xf numFmtId="179" fontId="0" fillId="0" borderId="23" xfId="0" applyNumberFormat="1" applyBorder="1" applyAlignment="1">
      <alignment vertical="center"/>
    </xf>
    <xf numFmtId="179" fontId="1" fillId="0" borderId="16" xfId="0" applyNumberFormat="1" applyFont="1" applyBorder="1" applyAlignment="1">
      <alignment vertical="center"/>
    </xf>
    <xf numFmtId="179" fontId="1" fillId="0" borderId="17" xfId="0" applyNumberFormat="1" applyFont="1" applyBorder="1" applyAlignment="1">
      <alignment vertical="center"/>
    </xf>
    <xf numFmtId="179" fontId="1" fillId="0" borderId="18" xfId="0" applyNumberFormat="1" applyFont="1" applyBorder="1" applyAlignment="1">
      <alignment vertical="center"/>
    </xf>
    <xf numFmtId="179" fontId="1" fillId="0" borderId="19" xfId="0" applyNumberFormat="1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0" fillId="0" borderId="2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176" fontId="5" fillId="0" borderId="13" xfId="0" applyNumberFormat="1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0" fillId="0" borderId="16" xfId="0" applyNumberFormat="1" applyBorder="1" applyAlignment="1">
      <alignment vertical="center"/>
    </xf>
    <xf numFmtId="176" fontId="5" fillId="0" borderId="17" xfId="0" applyNumberFormat="1" applyFont="1" applyBorder="1" applyAlignment="1">
      <alignment vertical="center"/>
    </xf>
    <xf numFmtId="176" fontId="1" fillId="0" borderId="3" xfId="0" applyNumberFormat="1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177" fontId="5" fillId="0" borderId="1" xfId="0" applyNumberFormat="1" applyFont="1" applyBorder="1" applyAlignment="1">
      <alignment vertical="center"/>
    </xf>
    <xf numFmtId="177" fontId="1" fillId="0" borderId="3" xfId="0" applyNumberFormat="1" applyFont="1" applyBorder="1" applyAlignment="1">
      <alignment vertical="center"/>
    </xf>
    <xf numFmtId="177" fontId="0" fillId="0" borderId="2" xfId="0" applyNumberFormat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176" fontId="1" fillId="0" borderId="18" xfId="0" applyNumberFormat="1" applyFont="1" applyBorder="1" applyAlignment="1">
      <alignment vertical="center"/>
    </xf>
    <xf numFmtId="176" fontId="5" fillId="0" borderId="2" xfId="0" applyNumberFormat="1" applyFont="1" applyBorder="1" applyAlignment="1">
      <alignment vertical="center"/>
    </xf>
    <xf numFmtId="179" fontId="0" fillId="0" borderId="2" xfId="0" applyNumberForma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179" fontId="5" fillId="0" borderId="2" xfId="0" applyNumberFormat="1" applyFont="1" applyBorder="1" applyAlignment="1">
      <alignment vertical="center"/>
    </xf>
    <xf numFmtId="179" fontId="0" fillId="0" borderId="5" xfId="0" applyNumberFormat="1" applyBorder="1" applyAlignment="1">
      <alignment vertical="center"/>
    </xf>
    <xf numFmtId="179" fontId="1" fillId="0" borderId="2" xfId="0" applyNumberFormat="1" applyFont="1" applyBorder="1" applyAlignment="1">
      <alignment vertical="center"/>
    </xf>
    <xf numFmtId="179" fontId="1" fillId="0" borderId="24" xfId="0" applyNumberFormat="1" applyFont="1" applyBorder="1" applyAlignment="1">
      <alignment vertical="center"/>
    </xf>
    <xf numFmtId="179" fontId="1" fillId="0" borderId="1" xfId="0" applyNumberFormat="1" applyFont="1" applyBorder="1" applyAlignment="1">
      <alignment vertical="center"/>
    </xf>
    <xf numFmtId="179" fontId="1" fillId="0" borderId="3" xfId="0" applyNumberFormat="1" applyFont="1" applyBorder="1" applyAlignment="1">
      <alignment vertical="center"/>
    </xf>
    <xf numFmtId="179" fontId="1" fillId="0" borderId="5" xfId="0" applyNumberFormat="1" applyFont="1" applyBorder="1" applyAlignment="1">
      <alignment vertical="center"/>
    </xf>
    <xf numFmtId="179" fontId="5" fillId="0" borderId="22" xfId="0" applyNumberFormat="1" applyFont="1" applyBorder="1" applyAlignment="1">
      <alignment vertical="center"/>
    </xf>
    <xf numFmtId="179" fontId="1" fillId="0" borderId="22" xfId="0" applyNumberFormat="1" applyFont="1" applyBorder="1" applyAlignment="1">
      <alignment vertical="center"/>
    </xf>
    <xf numFmtId="179" fontId="1" fillId="0" borderId="20" xfId="0" applyNumberFormat="1" applyFont="1" applyBorder="1" applyAlignment="1">
      <alignment vertical="center"/>
    </xf>
    <xf numFmtId="179" fontId="0" fillId="0" borderId="22" xfId="0" applyNumberFormat="1" applyBorder="1" applyAlignment="1">
      <alignment vertical="center"/>
    </xf>
    <xf numFmtId="179" fontId="6" fillId="0" borderId="2" xfId="0" applyNumberFormat="1" applyFont="1" applyBorder="1" applyAlignment="1">
      <alignment vertical="center"/>
    </xf>
    <xf numFmtId="179" fontId="6" fillId="0" borderId="1" xfId="0" applyNumberFormat="1" applyFont="1" applyBorder="1" applyAlignment="1">
      <alignment vertical="center"/>
    </xf>
    <xf numFmtId="179" fontId="6" fillId="0" borderId="5" xfId="0" applyNumberFormat="1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79" fontId="6" fillId="0" borderId="13" xfId="0" applyNumberFormat="1" applyFont="1" applyBorder="1" applyAlignment="1">
      <alignment vertical="center"/>
    </xf>
    <xf numFmtId="179" fontId="6" fillId="0" borderId="25" xfId="0" applyNumberFormat="1" applyFont="1" applyBorder="1" applyAlignment="1">
      <alignment vertical="center"/>
    </xf>
    <xf numFmtId="179" fontId="6" fillId="0" borderId="26" xfId="0" applyNumberFormat="1" applyFont="1" applyBorder="1" applyAlignment="1">
      <alignment vertical="center"/>
    </xf>
    <xf numFmtId="0" fontId="0" fillId="0" borderId="4" xfId="0" applyBorder="1"/>
    <xf numFmtId="0" fontId="6" fillId="0" borderId="27" xfId="0" applyFont="1" applyBorder="1" applyAlignment="1">
      <alignment horizontal="right" vertical="center"/>
    </xf>
    <xf numFmtId="179" fontId="5" fillId="0" borderId="28" xfId="0" applyNumberFormat="1" applyFont="1" applyBorder="1" applyAlignment="1">
      <alignment vertical="center"/>
    </xf>
    <xf numFmtId="179" fontId="0" fillId="0" borderId="29" xfId="0" applyNumberFormat="1" applyBorder="1" applyAlignment="1">
      <alignment vertical="center"/>
    </xf>
    <xf numFmtId="179" fontId="0" fillId="0" borderId="26" xfId="0" applyNumberFormat="1" applyBorder="1" applyAlignment="1">
      <alignment vertical="center"/>
    </xf>
    <xf numFmtId="0" fontId="6" fillId="0" borderId="30" xfId="0" applyFont="1" applyBorder="1" applyAlignment="1">
      <alignment horizontal="center" vertical="center"/>
    </xf>
    <xf numFmtId="0" fontId="5" fillId="0" borderId="0" xfId="0" applyFont="1" applyBorder="1"/>
    <xf numFmtId="179" fontId="1" fillId="0" borderId="21" xfId="0" applyNumberFormat="1" applyFont="1" applyBorder="1" applyAlignment="1">
      <alignment vertical="center"/>
    </xf>
    <xf numFmtId="179" fontId="1" fillId="0" borderId="31" xfId="0" applyNumberFormat="1" applyFont="1" applyBorder="1" applyAlignment="1">
      <alignment vertical="center"/>
    </xf>
    <xf numFmtId="179" fontId="1" fillId="0" borderId="15" xfId="0" applyNumberFormat="1" applyFont="1" applyBorder="1" applyAlignment="1">
      <alignment vertical="center"/>
    </xf>
    <xf numFmtId="179" fontId="0" fillId="0" borderId="20" xfId="0" applyNumberFormat="1" applyBorder="1" applyAlignment="1">
      <alignment vertical="center"/>
    </xf>
    <xf numFmtId="179" fontId="6" fillId="0" borderId="16" xfId="0" applyNumberFormat="1" applyFont="1" applyBorder="1" applyAlignment="1">
      <alignment vertical="center" shrinkToFit="1"/>
    </xf>
    <xf numFmtId="179" fontId="6" fillId="0" borderId="17" xfId="0" applyNumberFormat="1" applyFont="1" applyBorder="1" applyAlignment="1">
      <alignment vertical="center" shrinkToFit="1"/>
    </xf>
    <xf numFmtId="179" fontId="6" fillId="0" borderId="18" xfId="0" applyNumberFormat="1" applyFont="1" applyBorder="1" applyAlignment="1">
      <alignment vertical="center" shrinkToFit="1"/>
    </xf>
    <xf numFmtId="179" fontId="6" fillId="0" borderId="19" xfId="0" applyNumberFormat="1" applyFont="1" applyBorder="1" applyAlignment="1">
      <alignment vertical="center" shrinkToFit="1"/>
    </xf>
    <xf numFmtId="179" fontId="6" fillId="0" borderId="16" xfId="0" applyNumberFormat="1" applyFont="1" applyBorder="1" applyAlignment="1">
      <alignment vertical="center"/>
    </xf>
    <xf numFmtId="179" fontId="6" fillId="0" borderId="18" xfId="0" applyNumberFormat="1" applyFont="1" applyBorder="1" applyAlignment="1">
      <alignment vertical="center"/>
    </xf>
    <xf numFmtId="179" fontId="6" fillId="0" borderId="17" xfId="0" applyNumberFormat="1" applyFont="1" applyBorder="1" applyAlignment="1">
      <alignment vertical="center"/>
    </xf>
    <xf numFmtId="179" fontId="6" fillId="0" borderId="32" xfId="0" applyNumberFormat="1" applyFont="1" applyBorder="1" applyAlignment="1">
      <alignment vertical="center"/>
    </xf>
    <xf numFmtId="179" fontId="6" fillId="0" borderId="19" xfId="0" applyNumberFormat="1" applyFont="1" applyBorder="1" applyAlignment="1">
      <alignment vertical="center"/>
    </xf>
    <xf numFmtId="0" fontId="0" fillId="0" borderId="0" xfId="0" applyAlignment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 shrinkToFit="1"/>
    </xf>
    <xf numFmtId="0" fontId="0" fillId="0" borderId="0" xfId="0" applyAlignment="1">
      <alignment horizontal="left" shrinkToFit="1"/>
    </xf>
    <xf numFmtId="0" fontId="6" fillId="0" borderId="28" xfId="0" applyFont="1" applyBorder="1" applyAlignment="1">
      <alignment horizontal="center" vertical="center" shrinkToFit="1"/>
    </xf>
    <xf numFmtId="0" fontId="6" fillId="0" borderId="33" xfId="0" applyFont="1" applyBorder="1" applyAlignment="1">
      <alignment horizontal="center" vertical="center" shrinkToFit="1"/>
    </xf>
    <xf numFmtId="0" fontId="6" fillId="0" borderId="34" xfId="0" applyFont="1" applyBorder="1" applyAlignment="1">
      <alignment horizontal="center" vertical="center" shrinkToFit="1"/>
    </xf>
    <xf numFmtId="0" fontId="6" fillId="0" borderId="29" xfId="0" applyFont="1" applyBorder="1" applyAlignment="1">
      <alignment horizontal="center" vertical="center" shrinkToFit="1"/>
    </xf>
    <xf numFmtId="0" fontId="6" fillId="0" borderId="35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right" vertical="center" shrinkToFit="1"/>
    </xf>
    <xf numFmtId="0" fontId="6" fillId="0" borderId="5" xfId="0" applyFont="1" applyBorder="1" applyAlignment="1">
      <alignment horizontal="right" vertical="center" shrinkToFit="1"/>
    </xf>
    <xf numFmtId="0" fontId="6" fillId="0" borderId="38" xfId="0" applyFont="1" applyBorder="1" applyAlignment="1">
      <alignment horizontal="center" vertical="center" shrinkToFit="1"/>
    </xf>
    <xf numFmtId="0" fontId="6" fillId="0" borderId="3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4" fillId="0" borderId="3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9711;&#24180;&#24230;&#19968;&#24335;\&#31649;&#29702;&#26376;&#22577;\&#31649;&#29702;&#26376;&#22577;04.xlsx" TargetMode="External"/><Relationship Id="rId1" Type="http://schemas.openxmlformats.org/officeDocument/2006/relationships/externalLinkPath" Target="&#31649;&#29702;&#26376;&#22577;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9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1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649;&#29702;&#26376;&#22577;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>
        <row r="9">
          <cell r="E9">
            <v>2027</v>
          </cell>
        </row>
      </sheetData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"/>
      <sheetName val="A-2"/>
      <sheetName val="B-1"/>
      <sheetName val="収集（全般）"/>
      <sheetName val="可燃"/>
      <sheetName val="不燃・木くず・海岸清掃"/>
      <sheetName val="ビン類"/>
      <sheetName val="缶類"/>
      <sheetName val="ペットボトル"/>
      <sheetName val="紙類"/>
      <sheetName val="粗大"/>
      <sheetName val="産廃水産・医療・汚泥"/>
    </sheetNames>
    <sheetDataSet>
      <sheetData sheetId="0"/>
      <sheetData sheetId="1"/>
      <sheetData sheetId="2"/>
      <sheetData sheetId="3"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</row>
      </sheetData>
      <sheetData sheetId="4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5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</sheetData>
      <sheetData sheetId="6"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7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8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9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</sheetData>
      <sheetData sheetId="10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</sheetData>
      <sheetData sheetId="11"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H43">
            <v>0</v>
          </cell>
          <cell r="J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72DB-2EF4-4F87-9731-F77E71F783BB}">
  <sheetPr codeName="Sheet2"/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【第1－1表】"</f>
        <v>令和9年度　一般廃棄物（ごみ）収集地区別集計表　　【第1－1表】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9</v>
      </c>
      <c r="K3" t="s">
        <v>10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76">
        <f>'[1]収集（全般）'!$B$44</f>
        <v>0</v>
      </c>
      <c r="C7" s="76">
        <f>'[1]収集（全般）'!$C$44</f>
        <v>0</v>
      </c>
      <c r="D7" s="76">
        <f>SUM(B7:C7)</f>
        <v>0</v>
      </c>
      <c r="E7" s="76">
        <f>'[1]収集（全般）'!$D$44</f>
        <v>0</v>
      </c>
      <c r="F7" s="76">
        <f>'[1]収集（全般）'!$E$44</f>
        <v>0</v>
      </c>
      <c r="G7" s="76">
        <f>SUM(E7:F7)</f>
        <v>0</v>
      </c>
      <c r="H7" s="77">
        <f>ROUND(D7+G7,1)</f>
        <v>0</v>
      </c>
      <c r="I7" s="2"/>
      <c r="J7" s="143"/>
      <c r="K7" s="88">
        <f>[1]可燃!$M$43
+[1]可燃!$R$43</f>
        <v>0</v>
      </c>
      <c r="L7" s="88">
        <f>[1]可燃!$N$43
+[1]可燃!$S$43</f>
        <v>0</v>
      </c>
      <c r="M7" s="88">
        <f>SUM(K7:L7)</f>
        <v>0</v>
      </c>
      <c r="N7" s="88">
        <f>[1]可燃!$O$43
+[1]可燃!$T$43</f>
        <v>0</v>
      </c>
      <c r="O7" s="88">
        <f>[1]可燃!$P$43
+[1]可燃!$U$43</f>
        <v>0</v>
      </c>
      <c r="P7" s="88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78"/>
      <c r="C8" s="78"/>
      <c r="D8" s="78"/>
      <c r="E8" s="78"/>
      <c r="F8" s="78"/>
      <c r="G8" s="78"/>
      <c r="H8" s="79"/>
      <c r="I8" s="1"/>
      <c r="J8" s="141">
        <v>5</v>
      </c>
      <c r="K8" s="89"/>
      <c r="L8" s="89"/>
      <c r="M8" s="89"/>
      <c r="N8" s="89"/>
      <c r="O8" s="89"/>
      <c r="P8" s="89"/>
      <c r="Q8" s="35"/>
    </row>
    <row r="9" spans="1:17" ht="17.25" customHeight="1" x14ac:dyDescent="0.15">
      <c r="A9" s="145"/>
      <c r="B9" s="76">
        <f>'[2]収集（全般）'!$B$44</f>
        <v>0</v>
      </c>
      <c r="C9" s="76">
        <f>'[2]収集（全般）'!$C$44</f>
        <v>0</v>
      </c>
      <c r="D9" s="76">
        <f>SUM(B9:C9)</f>
        <v>0</v>
      </c>
      <c r="E9" s="76">
        <f>'[2]収集（全般）'!$D$44</f>
        <v>0</v>
      </c>
      <c r="F9" s="76">
        <f>'[2]収集（全般）'!$E$44</f>
        <v>0</v>
      </c>
      <c r="G9" s="76">
        <f>SUM(E9:F9)</f>
        <v>0</v>
      </c>
      <c r="H9" s="77">
        <f>ROUND(D9+G9,1)</f>
        <v>0</v>
      </c>
      <c r="I9" s="3"/>
      <c r="J9" s="142"/>
      <c r="K9" s="88">
        <f>[2]可燃!$M$43
+[2]可燃!$R$43</f>
        <v>0</v>
      </c>
      <c r="L9" s="88">
        <f>[2]可燃!$N$43
+[2]可燃!$S$43</f>
        <v>0</v>
      </c>
      <c r="M9" s="88">
        <f>SUM(K9:L9)</f>
        <v>0</v>
      </c>
      <c r="N9" s="88">
        <f>[2]可燃!$O$43
+[2]可燃!$T$43</f>
        <v>0</v>
      </c>
      <c r="O9" s="88">
        <f>[2]可燃!$P$43
+[2]可燃!$U$43</f>
        <v>0</v>
      </c>
      <c r="P9" s="88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78"/>
      <c r="C10" s="78"/>
      <c r="D10" s="78"/>
      <c r="E10" s="78"/>
      <c r="F10" s="78"/>
      <c r="G10" s="78"/>
      <c r="H10" s="79"/>
      <c r="I10" s="2"/>
      <c r="J10" s="143">
        <v>6</v>
      </c>
      <c r="K10" s="89"/>
      <c r="L10" s="89"/>
      <c r="M10" s="89"/>
      <c r="N10" s="89"/>
      <c r="O10" s="89"/>
      <c r="P10" s="89"/>
      <c r="Q10" s="35"/>
    </row>
    <row r="11" spans="1:17" ht="17.25" customHeight="1" x14ac:dyDescent="0.15">
      <c r="A11" s="138"/>
      <c r="B11" s="76">
        <f>'[3]収集（全般）'!$B$44</f>
        <v>0</v>
      </c>
      <c r="C11" s="76">
        <f>'[3]収集（全般）'!$C$44</f>
        <v>0</v>
      </c>
      <c r="D11" s="76">
        <f>SUM(B11:C11)</f>
        <v>0</v>
      </c>
      <c r="E11" s="76">
        <f>'[3]収集（全般）'!$D$44</f>
        <v>0</v>
      </c>
      <c r="F11" s="76">
        <f>'[3]収集（全般）'!$E$44</f>
        <v>0</v>
      </c>
      <c r="G11" s="76">
        <f>SUM(E11:F11)</f>
        <v>0</v>
      </c>
      <c r="H11" s="77">
        <f>ROUND(D11+G11,1)</f>
        <v>0</v>
      </c>
      <c r="I11" s="2"/>
      <c r="J11" s="143"/>
      <c r="K11" s="88">
        <f>[3]可燃!$M$43
+[3]可燃!$R$43</f>
        <v>0</v>
      </c>
      <c r="L11" s="88">
        <f>[3]可燃!$N$43
+[3]可燃!$S$43</f>
        <v>0</v>
      </c>
      <c r="M11" s="88">
        <f>SUM(K11:L11)</f>
        <v>0</v>
      </c>
      <c r="N11" s="88">
        <f>[3]可燃!$O$43
+[3]可燃!$T$43</f>
        <v>0</v>
      </c>
      <c r="O11" s="88">
        <f>[3]可燃!$P$43
+[3]可燃!$U$43</f>
        <v>0</v>
      </c>
      <c r="P11" s="88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78"/>
      <c r="C12" s="78"/>
      <c r="D12" s="78"/>
      <c r="E12" s="78"/>
      <c r="F12" s="78"/>
      <c r="G12" s="78"/>
      <c r="H12" s="79"/>
      <c r="I12" s="1"/>
      <c r="J12" s="141">
        <v>7</v>
      </c>
      <c r="K12" s="89"/>
      <c r="L12" s="89"/>
      <c r="M12" s="89"/>
      <c r="N12" s="89"/>
      <c r="O12" s="89"/>
      <c r="P12" s="89"/>
      <c r="Q12" s="35"/>
    </row>
    <row r="13" spans="1:17" ht="17.25" customHeight="1" x14ac:dyDescent="0.15">
      <c r="A13" s="145"/>
      <c r="B13" s="76">
        <f>'[4]収集（全般）'!$B$44</f>
        <v>0</v>
      </c>
      <c r="C13" s="76">
        <f>'[4]収集（全般）'!$C$44</f>
        <v>0</v>
      </c>
      <c r="D13" s="76">
        <f>SUM(B13:C13)</f>
        <v>0</v>
      </c>
      <c r="E13" s="76">
        <f>'[4]収集（全般）'!$D$44</f>
        <v>0</v>
      </c>
      <c r="F13" s="76">
        <f>'[4]収集（全般）'!$E$44</f>
        <v>0</v>
      </c>
      <c r="G13" s="76">
        <f>SUM(E13:F13)</f>
        <v>0</v>
      </c>
      <c r="H13" s="77">
        <f>ROUND(D13+G13,1)</f>
        <v>0</v>
      </c>
      <c r="I13" s="3"/>
      <c r="J13" s="142"/>
      <c r="K13" s="88">
        <f>[4]可燃!$M$43
+[4]可燃!$R$43</f>
        <v>0</v>
      </c>
      <c r="L13" s="88">
        <f>[4]可燃!$N$43
+[4]可燃!$S$43</f>
        <v>0</v>
      </c>
      <c r="M13" s="88">
        <f>SUM(K13:L13)</f>
        <v>0</v>
      </c>
      <c r="N13" s="88">
        <f>[4]可燃!$O$43
+[4]可燃!$T$43</f>
        <v>0</v>
      </c>
      <c r="O13" s="88">
        <f>[4]可燃!$P$43
+[4]可燃!$U$43</f>
        <v>0</v>
      </c>
      <c r="P13" s="88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78"/>
      <c r="C14" s="78"/>
      <c r="D14" s="78"/>
      <c r="E14" s="78"/>
      <c r="F14" s="78"/>
      <c r="G14" s="78"/>
      <c r="H14" s="79"/>
      <c r="I14" s="2"/>
      <c r="J14" s="143">
        <v>8</v>
      </c>
      <c r="K14" s="89"/>
      <c r="L14" s="89"/>
      <c r="M14" s="89"/>
      <c r="N14" s="89"/>
      <c r="O14" s="89"/>
      <c r="P14" s="89"/>
      <c r="Q14" s="35"/>
    </row>
    <row r="15" spans="1:17" ht="17.25" customHeight="1" x14ac:dyDescent="0.15">
      <c r="A15" s="138"/>
      <c r="B15" s="76">
        <f>'[5]収集（全般）'!$B$44</f>
        <v>0</v>
      </c>
      <c r="C15" s="76">
        <f>'[5]収集（全般）'!$C$44</f>
        <v>0</v>
      </c>
      <c r="D15" s="76">
        <f>SUM(B15:C15)</f>
        <v>0</v>
      </c>
      <c r="E15" s="76">
        <f>'[5]収集（全般）'!$D$44</f>
        <v>0</v>
      </c>
      <c r="F15" s="76">
        <f>'[5]収集（全般）'!$E$44</f>
        <v>0</v>
      </c>
      <c r="G15" s="76">
        <f>SUM(E15:F15)</f>
        <v>0</v>
      </c>
      <c r="H15" s="77">
        <f>ROUND(D15+G15,1)</f>
        <v>0</v>
      </c>
      <c r="I15" s="2"/>
      <c r="J15" s="143"/>
      <c r="K15" s="88">
        <f>[5]可燃!$M$43
+[5]可燃!$R$43</f>
        <v>0</v>
      </c>
      <c r="L15" s="88">
        <f>[5]可燃!$N$43
+[5]可燃!$S$43</f>
        <v>0</v>
      </c>
      <c r="M15" s="88">
        <f>SUM(K15:L15)</f>
        <v>0</v>
      </c>
      <c r="N15" s="88">
        <f>[5]可燃!$O$43
+[5]可燃!$T$43</f>
        <v>0</v>
      </c>
      <c r="O15" s="88">
        <f>[5]可燃!$P$43
+[5]可燃!$U$43</f>
        <v>0</v>
      </c>
      <c r="P15" s="88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78"/>
      <c r="C16" s="78"/>
      <c r="D16" s="78"/>
      <c r="E16" s="78"/>
      <c r="F16" s="78"/>
      <c r="G16" s="78"/>
      <c r="H16" s="79"/>
      <c r="I16" s="1"/>
      <c r="J16" s="141">
        <v>9</v>
      </c>
      <c r="K16" s="89"/>
      <c r="L16" s="89"/>
      <c r="M16" s="89"/>
      <c r="N16" s="89"/>
      <c r="O16" s="89"/>
      <c r="P16" s="89"/>
      <c r="Q16" s="35"/>
    </row>
    <row r="17" spans="1:17" ht="17.25" customHeight="1" x14ac:dyDescent="0.15">
      <c r="A17" s="145"/>
      <c r="B17" s="76">
        <f>'[6]収集（全般）'!$B$44</f>
        <v>0</v>
      </c>
      <c r="C17" s="76">
        <f>'[6]収集（全般）'!$C$44</f>
        <v>0</v>
      </c>
      <c r="D17" s="76">
        <f>SUM(B17:C17)</f>
        <v>0</v>
      </c>
      <c r="E17" s="76">
        <f>'[6]収集（全般）'!$D$44</f>
        <v>0</v>
      </c>
      <c r="F17" s="76">
        <f>'[6]収集（全般）'!$E$44</f>
        <v>0</v>
      </c>
      <c r="G17" s="76">
        <f>SUM(E17:F17)</f>
        <v>0</v>
      </c>
      <c r="H17" s="77">
        <f>ROUND(D17+G17,1)</f>
        <v>0</v>
      </c>
      <c r="I17" s="3"/>
      <c r="J17" s="142"/>
      <c r="K17" s="88">
        <f>[6]可燃!$M$43
+[6]可燃!$R$43</f>
        <v>0</v>
      </c>
      <c r="L17" s="88">
        <f>[6]可燃!$N$43
+[6]可燃!$S$43</f>
        <v>0</v>
      </c>
      <c r="M17" s="88">
        <f>SUM(K17:L17)</f>
        <v>0</v>
      </c>
      <c r="N17" s="88">
        <f>[6]可燃!$O$43
+[6]可燃!$T$43</f>
        <v>0</v>
      </c>
      <c r="O17" s="88">
        <f>[6]可燃!$P$43
+[6]可燃!$U$43</f>
        <v>0</v>
      </c>
      <c r="P17" s="88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78"/>
      <c r="C18" s="78"/>
      <c r="D18" s="78"/>
      <c r="E18" s="78"/>
      <c r="F18" s="78"/>
      <c r="G18" s="78"/>
      <c r="H18" s="79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7" ht="17.25" customHeight="1" x14ac:dyDescent="0.15">
      <c r="A19" s="138"/>
      <c r="B19" s="76">
        <f>'[7]収集（全般）'!$B$44</f>
        <v>0</v>
      </c>
      <c r="C19" s="76">
        <f>'[7]収集（全般）'!$C$44</f>
        <v>0</v>
      </c>
      <c r="D19" s="76">
        <f>SUM(B19:C19)</f>
        <v>0</v>
      </c>
      <c r="E19" s="76">
        <f>'[7]収集（全般）'!$D$44</f>
        <v>0</v>
      </c>
      <c r="F19" s="76">
        <f>'[7]収集（全般）'!$E$44</f>
        <v>0</v>
      </c>
      <c r="G19" s="76">
        <f>SUM(E19:F19)</f>
        <v>0</v>
      </c>
      <c r="H19" s="77">
        <f>ROUND(D19+G19,1)</f>
        <v>0</v>
      </c>
      <c r="I19" s="2"/>
      <c r="J19" s="143"/>
      <c r="K19" s="88">
        <f>[7]可燃!$M$43
+[7]可燃!$R$43</f>
        <v>0</v>
      </c>
      <c r="L19" s="88">
        <f>[7]可燃!$N$43
+[7]可燃!$S$43</f>
        <v>0</v>
      </c>
      <c r="M19" s="88">
        <f>SUM(K19:L19)</f>
        <v>0</v>
      </c>
      <c r="N19" s="88">
        <f>[7]可燃!$O$43
+[7]可燃!$T$43</f>
        <v>0</v>
      </c>
      <c r="O19" s="88">
        <f>[7]可燃!$P$43
+[7]可燃!$U$43</f>
        <v>0</v>
      </c>
      <c r="P19" s="88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78"/>
      <c r="C20" s="78"/>
      <c r="D20" s="78"/>
      <c r="E20" s="78"/>
      <c r="F20" s="78"/>
      <c r="G20" s="78"/>
      <c r="H20" s="79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7" ht="17.25" customHeight="1" x14ac:dyDescent="0.15">
      <c r="A21" s="145"/>
      <c r="B21" s="76">
        <f>'[8]収集（全般）'!$B$44</f>
        <v>0</v>
      </c>
      <c r="C21" s="76">
        <f>'[8]収集（全般）'!$C$44</f>
        <v>0</v>
      </c>
      <c r="D21" s="76">
        <f>SUM(B21:C21)</f>
        <v>0</v>
      </c>
      <c r="E21" s="76">
        <f>'[8]収集（全般）'!$D$44</f>
        <v>0</v>
      </c>
      <c r="F21" s="76">
        <f>'[8]収集（全般）'!$E$44</f>
        <v>0</v>
      </c>
      <c r="G21" s="76">
        <f>SUM(E21:F21)</f>
        <v>0</v>
      </c>
      <c r="H21" s="77">
        <f>ROUND(D21+G21,1)</f>
        <v>0</v>
      </c>
      <c r="I21" s="3"/>
      <c r="J21" s="142"/>
      <c r="K21" s="88">
        <f>[8]可燃!$M$43
+[8]可燃!$R$43</f>
        <v>0</v>
      </c>
      <c r="L21" s="88">
        <f>[8]可燃!$N$43
+[8]可燃!$S$43</f>
        <v>0</v>
      </c>
      <c r="M21" s="88">
        <f>SUM(K21:L21)</f>
        <v>0</v>
      </c>
      <c r="N21" s="88">
        <f>[8]可燃!$O$43
+[8]可燃!$T$43</f>
        <v>0</v>
      </c>
      <c r="O21" s="88">
        <f>[8]可燃!$P$43
+[8]可燃!$U$43</f>
        <v>0</v>
      </c>
      <c r="P21" s="88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78"/>
      <c r="C22" s="78"/>
      <c r="D22" s="78"/>
      <c r="E22" s="78"/>
      <c r="F22" s="78"/>
      <c r="G22" s="78"/>
      <c r="H22" s="79"/>
      <c r="I22" s="2"/>
      <c r="J22" s="143">
        <v>12</v>
      </c>
      <c r="K22" s="89"/>
      <c r="L22" s="89"/>
      <c r="M22" s="89"/>
      <c r="N22" s="89"/>
      <c r="O22" s="89"/>
      <c r="P22" s="89"/>
      <c r="Q22" s="35"/>
    </row>
    <row r="23" spans="1:17" ht="17.25" customHeight="1" x14ac:dyDescent="0.15">
      <c r="A23" s="138"/>
      <c r="B23" s="76">
        <f>'[9]収集（全般）'!$B$44</f>
        <v>0</v>
      </c>
      <c r="C23" s="76">
        <f>'[9]収集（全般）'!$C$44</f>
        <v>0</v>
      </c>
      <c r="D23" s="76">
        <f>SUM(B23:C23)</f>
        <v>0</v>
      </c>
      <c r="E23" s="76">
        <f>'[9]収集（全般）'!$D$44</f>
        <v>0</v>
      </c>
      <c r="F23" s="76">
        <f>'[9]収集（全般）'!$E$44</f>
        <v>0</v>
      </c>
      <c r="G23" s="76">
        <f>SUM(E23:F23)</f>
        <v>0</v>
      </c>
      <c r="H23" s="77">
        <f>ROUND(D23+G23,1)</f>
        <v>0</v>
      </c>
      <c r="I23" s="2"/>
      <c r="J23" s="143"/>
      <c r="K23" s="88">
        <f>[9]可燃!$M$43
+[9]可燃!$R$43</f>
        <v>0</v>
      </c>
      <c r="L23" s="88">
        <f>[9]可燃!$N$43
+[9]可燃!$S$43</f>
        <v>0</v>
      </c>
      <c r="M23" s="88">
        <f>SUM(K23:L23)</f>
        <v>0</v>
      </c>
      <c r="N23" s="88">
        <f>[9]可燃!$O$43
+[9]可燃!$T$43</f>
        <v>0</v>
      </c>
      <c r="O23" s="88">
        <f>[9]可燃!$P$43
+[9]可燃!$U$43</f>
        <v>0</v>
      </c>
      <c r="P23" s="88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78"/>
      <c r="C24" s="78"/>
      <c r="D24" s="78"/>
      <c r="E24" s="78"/>
      <c r="F24" s="78"/>
      <c r="G24" s="78"/>
      <c r="H24" s="79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7" ht="17.25" customHeight="1" x14ac:dyDescent="0.15">
      <c r="A25" s="145"/>
      <c r="B25" s="76">
        <f>'[10]収集（全般）'!$B$44</f>
        <v>0</v>
      </c>
      <c r="C25" s="76">
        <f>'[10]収集（全般）'!$C$44</f>
        <v>0</v>
      </c>
      <c r="D25" s="76">
        <f>SUM(B25:C25)</f>
        <v>0</v>
      </c>
      <c r="E25" s="76">
        <f>'[10]収集（全般）'!$D$44</f>
        <v>0</v>
      </c>
      <c r="F25" s="76">
        <f>'[10]収集（全般）'!$E$44</f>
        <v>0</v>
      </c>
      <c r="G25" s="76">
        <f>SUM(E25:F25)</f>
        <v>0</v>
      </c>
      <c r="H25" s="77">
        <f>ROUND(D25+G25,1)</f>
        <v>0</v>
      </c>
      <c r="I25" s="3"/>
      <c r="J25" s="142"/>
      <c r="K25" s="88">
        <f>[10]可燃!$M$43
+[10]可燃!$R$43</f>
        <v>0</v>
      </c>
      <c r="L25" s="88">
        <f>[10]可燃!$N$43
+[10]可燃!$S$43</f>
        <v>0</v>
      </c>
      <c r="M25" s="88">
        <f>SUM(K25:L25)</f>
        <v>0</v>
      </c>
      <c r="N25" s="88">
        <f>[10]可燃!$O$43
+[10]可燃!$T$43</f>
        <v>0</v>
      </c>
      <c r="O25" s="88">
        <f>[10]可燃!$P$43
+[10]可燃!$U$43</f>
        <v>0</v>
      </c>
      <c r="P25" s="88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78"/>
      <c r="C26" s="78"/>
      <c r="D26" s="78"/>
      <c r="E26" s="78"/>
      <c r="F26" s="78"/>
      <c r="G26" s="78"/>
      <c r="H26" s="79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7" ht="17.25" customHeight="1" x14ac:dyDescent="0.15">
      <c r="A27" s="138"/>
      <c r="B27" s="76">
        <f>'[11]収集（全般）'!$B$44</f>
        <v>0</v>
      </c>
      <c r="C27" s="76">
        <f>'[11]収集（全般）'!$C$44</f>
        <v>0</v>
      </c>
      <c r="D27" s="76">
        <f>SUM(B27:C27)</f>
        <v>0</v>
      </c>
      <c r="E27" s="76">
        <f>'[11]収集（全般）'!$D$44</f>
        <v>0</v>
      </c>
      <c r="F27" s="76">
        <f>'[11]収集（全般）'!$E$44</f>
        <v>0</v>
      </c>
      <c r="G27" s="76">
        <f>SUM(E27:F27)</f>
        <v>0</v>
      </c>
      <c r="H27" s="77">
        <f>ROUND(D27+G27,1)</f>
        <v>0</v>
      </c>
      <c r="I27" s="2"/>
      <c r="J27" s="143"/>
      <c r="K27" s="88">
        <f>[11]可燃!$M$43
+[11]可燃!$R$43</f>
        <v>0</v>
      </c>
      <c r="L27" s="88">
        <f>[11]可燃!$N$43
+[11]可燃!$S$43</f>
        <v>0</v>
      </c>
      <c r="M27" s="88">
        <f>SUM(K27:L27)</f>
        <v>0</v>
      </c>
      <c r="N27" s="88">
        <f>[11]可燃!$O$43
+[11]可燃!$T$43</f>
        <v>0</v>
      </c>
      <c r="O27" s="88">
        <f>[11]可燃!$P$43
+[11]可燃!$U$43</f>
        <v>0</v>
      </c>
      <c r="P27" s="88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78"/>
      <c r="C28" s="78"/>
      <c r="D28" s="78"/>
      <c r="E28" s="78"/>
      <c r="F28" s="78"/>
      <c r="G28" s="78"/>
      <c r="H28" s="8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7" ht="17.25" customHeight="1" x14ac:dyDescent="0.15">
      <c r="A29" s="145"/>
      <c r="B29" s="81">
        <f>'[12]収集（全般）'!$B$44</f>
        <v>0</v>
      </c>
      <c r="C29" s="81">
        <f>'[12]収集（全般）'!$C$44</f>
        <v>0</v>
      </c>
      <c r="D29" s="81">
        <f>SUM(B29:C29)</f>
        <v>0</v>
      </c>
      <c r="E29" s="81">
        <f>'[12]収集（全般）'!$D$44</f>
        <v>0</v>
      </c>
      <c r="F29" s="81">
        <f>'[12]収集（全般）'!$E$44</f>
        <v>0</v>
      </c>
      <c r="G29" s="81">
        <f>SUM(E29:F29)</f>
        <v>0</v>
      </c>
      <c r="H29" s="81">
        <f>ROUND(D29+G29,1)</f>
        <v>0</v>
      </c>
      <c r="I29" s="3"/>
      <c r="J29" s="142"/>
      <c r="K29" s="90">
        <f>[12]可燃!$M$43
+[12]可燃!$R$43</f>
        <v>0</v>
      </c>
      <c r="L29" s="90">
        <f>[12]可燃!$N$43
+[12]可燃!$S$43</f>
        <v>0</v>
      </c>
      <c r="M29" s="90">
        <f>SUM(K29:L29)</f>
        <v>0</v>
      </c>
      <c r="N29" s="90">
        <f>[12]可燃!$O$43
+[12]可燃!$T$43</f>
        <v>0</v>
      </c>
      <c r="O29" s="90">
        <f>[12]可燃!$P$43
+[12]可燃!$U$43</f>
        <v>0</v>
      </c>
      <c r="P29" s="90">
        <f>SUM(N29:O29)</f>
        <v>0</v>
      </c>
      <c r="Q29" s="36">
        <f>ROUND(M29+P29,1)</f>
        <v>0</v>
      </c>
    </row>
    <row r="30" spans="1:17" ht="6" customHeight="1" x14ac:dyDescent="0.15">
      <c r="A30" s="5"/>
      <c r="B30" s="76"/>
      <c r="C30" s="76"/>
      <c r="D30" s="76"/>
      <c r="E30" s="76"/>
      <c r="F30" s="76"/>
      <c r="G30" s="76"/>
      <c r="H30" s="77"/>
      <c r="I30" s="2"/>
      <c r="J30" s="7"/>
      <c r="K30" s="91"/>
      <c r="L30" s="91"/>
      <c r="M30" s="91"/>
      <c r="N30" s="91"/>
      <c r="O30" s="91"/>
      <c r="P30" s="91"/>
      <c r="Q30" s="34"/>
    </row>
    <row r="31" spans="1:17" ht="17.25" customHeight="1" x14ac:dyDescent="0.15">
      <c r="A31" s="144" t="s">
        <v>0</v>
      </c>
      <c r="B31" s="78"/>
      <c r="C31" s="78"/>
      <c r="D31" s="78"/>
      <c r="E31" s="78"/>
      <c r="F31" s="78"/>
      <c r="G31" s="78"/>
      <c r="H31" s="79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7" ht="24" customHeight="1" x14ac:dyDescent="0.15">
      <c r="A32" s="146"/>
      <c r="B32" s="82">
        <f t="shared" ref="B32:G32" si="0">SUM(B7+B9+B11+B13+B15+B17+B19+B21+B23+B25+B27+B29)</f>
        <v>0</v>
      </c>
      <c r="C32" s="82">
        <f t="shared" si="0"/>
        <v>0</v>
      </c>
      <c r="D32" s="82">
        <f t="shared" si="0"/>
        <v>0</v>
      </c>
      <c r="E32" s="82">
        <f t="shared" si="0"/>
        <v>0</v>
      </c>
      <c r="F32" s="82">
        <f t="shared" si="0"/>
        <v>0</v>
      </c>
      <c r="G32" s="82">
        <f t="shared" si="0"/>
        <v>0</v>
      </c>
      <c r="H32" s="83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7">
    <mergeCell ref="J16:J17"/>
    <mergeCell ref="A12:A13"/>
    <mergeCell ref="A16:A17"/>
    <mergeCell ref="A20:A21"/>
    <mergeCell ref="A10:A11"/>
    <mergeCell ref="J12:J13"/>
    <mergeCell ref="J14:J15"/>
    <mergeCell ref="A14:A15"/>
    <mergeCell ref="J18:J19"/>
    <mergeCell ref="A18:A19"/>
    <mergeCell ref="A1:K1"/>
    <mergeCell ref="J6:J7"/>
    <mergeCell ref="J8:J9"/>
    <mergeCell ref="J10:J11"/>
    <mergeCell ref="A6:A7"/>
    <mergeCell ref="A8:A9"/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6:A2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10FA-DB76-4506-9CB7-FABFAA58CCD4}">
  <sheetPr codeName="Sheet3"/>
  <dimension ref="A1:Q32"/>
  <sheetViews>
    <sheetView workbookViewId="0">
      <selection activeCell="L1" sqref="L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【第1－2表】"</f>
        <v>令和9年度　一般廃棄物（ごみ）収集地区別集計表　　【第1－2表】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12</v>
      </c>
      <c r="K3" t="s">
        <v>13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91">
        <f>'[1]収集（全般）'!$G$44</f>
        <v>0</v>
      </c>
      <c r="C7" s="91">
        <f>'[1]収集（全般）'!$H$44</f>
        <v>0</v>
      </c>
      <c r="D7" s="91">
        <f>SUM(B7:C7)</f>
        <v>0</v>
      </c>
      <c r="E7" s="91">
        <f>'[1]収集（全般）'!$I$44</f>
        <v>0</v>
      </c>
      <c r="F7" s="91">
        <f>'[1]収集（全般）'!$J$44</f>
        <v>0</v>
      </c>
      <c r="G7" s="91">
        <f>SUM(E7:F7)</f>
        <v>0</v>
      </c>
      <c r="H7" s="29">
        <f>ROUND(D7+G7,1)</f>
        <v>0</v>
      </c>
      <c r="I7" s="2"/>
      <c r="J7" s="143"/>
      <c r="K7" s="88">
        <f>[1]不燃・木くず・海岸清掃!$G$43</f>
        <v>0</v>
      </c>
      <c r="L7" s="88">
        <f>[1]不燃・木くず・海岸清掃!$H$43</f>
        <v>0</v>
      </c>
      <c r="M7" s="88">
        <f>SUM(K7:L7)</f>
        <v>0</v>
      </c>
      <c r="N7" s="88">
        <f>[1]不燃・木くず・海岸清掃!$I$43</f>
        <v>0</v>
      </c>
      <c r="O7" s="88">
        <f>[1]不燃・木くず・海岸清掃!$J$43</f>
        <v>0</v>
      </c>
      <c r="P7" s="88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</row>
    <row r="9" spans="1:17" ht="17.25" customHeight="1" x14ac:dyDescent="0.15">
      <c r="A9" s="145"/>
      <c r="B9" s="91">
        <f>'[2]収集（全般）'!$G$44</f>
        <v>0</v>
      </c>
      <c r="C9" s="91">
        <f>'[2]収集（全般）'!$H$44</f>
        <v>0</v>
      </c>
      <c r="D9" s="91">
        <f>SUM(B9:C9)</f>
        <v>0</v>
      </c>
      <c r="E9" s="91">
        <f>'[2]収集（全般）'!$I$44</f>
        <v>0</v>
      </c>
      <c r="F9" s="91">
        <f>'[2]収集（全般）'!$J$44</f>
        <v>0</v>
      </c>
      <c r="G9" s="91">
        <f>SUM(E9:F9)</f>
        <v>0</v>
      </c>
      <c r="H9" s="29">
        <f>ROUND(D9+G9,1)</f>
        <v>0</v>
      </c>
      <c r="I9" s="3"/>
      <c r="J9" s="142"/>
      <c r="K9" s="88">
        <f>[2]不燃・木くず・海岸清掃!$G$43</f>
        <v>0</v>
      </c>
      <c r="L9" s="88">
        <f>[2]不燃・木くず・海岸清掃!$H$43</f>
        <v>0</v>
      </c>
      <c r="M9" s="88">
        <f>SUM(K9:L9)</f>
        <v>0</v>
      </c>
      <c r="N9" s="88">
        <f>[2]不燃・木くず・海岸清掃!$I$43</f>
        <v>0</v>
      </c>
      <c r="O9" s="88">
        <f>[2]不燃・木くず・海岸清掃!$J$43</f>
        <v>0</v>
      </c>
      <c r="P9" s="91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</row>
    <row r="11" spans="1:17" ht="17.25" customHeight="1" x14ac:dyDescent="0.15">
      <c r="A11" s="138"/>
      <c r="B11" s="91">
        <f>'[3]収集（全般）'!$G$44</f>
        <v>0</v>
      </c>
      <c r="C11" s="91">
        <f>'[3]収集（全般）'!$H$44</f>
        <v>0</v>
      </c>
      <c r="D11" s="91">
        <f>SUM(B11:C11)</f>
        <v>0</v>
      </c>
      <c r="E11" s="91">
        <f>'[3]収集（全般）'!$I$44</f>
        <v>0</v>
      </c>
      <c r="F11" s="91">
        <f>'[3]収集（全般）'!$J$44</f>
        <v>0</v>
      </c>
      <c r="G11" s="91">
        <f>SUM(E11:F11)</f>
        <v>0</v>
      </c>
      <c r="H11" s="29">
        <f>ROUND(D11+G11,1)</f>
        <v>0</v>
      </c>
      <c r="I11" s="2"/>
      <c r="J11" s="143"/>
      <c r="K11" s="88">
        <f>[3]不燃・木くず・海岸清掃!$G$43</f>
        <v>0</v>
      </c>
      <c r="L11" s="88">
        <f>[3]不燃・木くず・海岸清掃!$H$43</f>
        <v>0</v>
      </c>
      <c r="M11" s="88">
        <f>SUM(K11:L11)</f>
        <v>0</v>
      </c>
      <c r="N11" s="88">
        <f>[3]不燃・木くず・海岸清掃!$I$43</f>
        <v>0</v>
      </c>
      <c r="O11" s="88">
        <f>[3]不燃・木くず・海岸清掃!$J$43</f>
        <v>0</v>
      </c>
      <c r="P11" s="91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</row>
    <row r="13" spans="1:17" ht="17.25" customHeight="1" x14ac:dyDescent="0.15">
      <c r="A13" s="145"/>
      <c r="B13" s="91">
        <f>'[4]収集（全般）'!$G$44</f>
        <v>0</v>
      </c>
      <c r="C13" s="91">
        <f>'[4]収集（全般）'!$H$44</f>
        <v>0</v>
      </c>
      <c r="D13" s="91">
        <f>SUM(B13:C13)</f>
        <v>0</v>
      </c>
      <c r="E13" s="91">
        <f>'[4]収集（全般）'!$I$44</f>
        <v>0</v>
      </c>
      <c r="F13" s="91">
        <f>'[4]収集（全般）'!$J$44</f>
        <v>0</v>
      </c>
      <c r="G13" s="93">
        <f>SUM(E13:F13)</f>
        <v>0</v>
      </c>
      <c r="H13" s="29">
        <f>ROUND(D13+G13,1)</f>
        <v>0</v>
      </c>
      <c r="I13" s="3"/>
      <c r="J13" s="142"/>
      <c r="K13" s="88">
        <f>[4]不燃・木くず・海岸清掃!$G$43</f>
        <v>0</v>
      </c>
      <c r="L13" s="88">
        <f>[4]不燃・木くず・海岸清掃!$H$43</f>
        <v>0</v>
      </c>
      <c r="M13" s="88">
        <f>SUM(K13:L13)</f>
        <v>0</v>
      </c>
      <c r="N13" s="88">
        <f>[4]不燃・木くず・海岸清掃!$I$43</f>
        <v>0</v>
      </c>
      <c r="O13" s="88">
        <f>[4]不燃・木くず・海岸清掃!$J$43</f>
        <v>0</v>
      </c>
      <c r="P13" s="93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</row>
    <row r="15" spans="1:17" ht="17.25" customHeight="1" x14ac:dyDescent="0.15">
      <c r="A15" s="138"/>
      <c r="B15" s="91">
        <f>'[5]収集（全般）'!$G$44</f>
        <v>0</v>
      </c>
      <c r="C15" s="91">
        <f>'[5]収集（全般）'!$H$44</f>
        <v>0</v>
      </c>
      <c r="D15" s="91">
        <f>SUM(B15:C15)</f>
        <v>0</v>
      </c>
      <c r="E15" s="91">
        <f>'[5]収集（全般）'!$I$44</f>
        <v>0</v>
      </c>
      <c r="F15" s="91">
        <f>'[5]収集（全般）'!$J$44</f>
        <v>0</v>
      </c>
      <c r="G15" s="91">
        <f>SUM(E15:F15)</f>
        <v>0</v>
      </c>
      <c r="H15" s="29">
        <f>ROUND(D15+G15,1)</f>
        <v>0</v>
      </c>
      <c r="I15" s="2"/>
      <c r="J15" s="143"/>
      <c r="K15" s="88">
        <f>[5]不燃・木くず・海岸清掃!$G$43</f>
        <v>0</v>
      </c>
      <c r="L15" s="88">
        <f>[5]不燃・木くず・海岸清掃!$H$43</f>
        <v>0</v>
      </c>
      <c r="M15" s="88">
        <f>SUM(K15:L15)</f>
        <v>0</v>
      </c>
      <c r="N15" s="88">
        <f>[5]不燃・木くず・海岸清掃!$I$43</f>
        <v>0</v>
      </c>
      <c r="O15" s="88">
        <f>[5]不燃・木くず・海岸清掃!$J$43</f>
        <v>0</v>
      </c>
      <c r="P15" s="91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</row>
    <row r="17" spans="1:17" ht="17.25" customHeight="1" x14ac:dyDescent="0.15">
      <c r="A17" s="145"/>
      <c r="B17" s="91">
        <f>'[6]収集（全般）'!$G$44</f>
        <v>0</v>
      </c>
      <c r="C17" s="91">
        <f>'[6]収集（全般）'!$H$44</f>
        <v>0</v>
      </c>
      <c r="D17" s="91">
        <f>SUM(B17:C17)</f>
        <v>0</v>
      </c>
      <c r="E17" s="91">
        <f>'[6]収集（全般）'!$I$44</f>
        <v>0</v>
      </c>
      <c r="F17" s="91">
        <f>'[6]収集（全般）'!$J$44</f>
        <v>0</v>
      </c>
      <c r="G17" s="91">
        <f>SUM(E17:F17)</f>
        <v>0</v>
      </c>
      <c r="H17" s="29">
        <f>ROUND(D17+G17,1)</f>
        <v>0</v>
      </c>
      <c r="I17" s="3"/>
      <c r="J17" s="142"/>
      <c r="K17" s="88">
        <f>[6]不燃・木くず・海岸清掃!$G$43</f>
        <v>0</v>
      </c>
      <c r="L17" s="88">
        <f>[6]不燃・木くず・海岸清掃!$H$43</f>
        <v>0</v>
      </c>
      <c r="M17" s="88">
        <f>SUM(K17:L17)</f>
        <v>0</v>
      </c>
      <c r="N17" s="88">
        <f>[6]不燃・木くず・海岸清掃!$I$43</f>
        <v>0</v>
      </c>
      <c r="O17" s="88">
        <f>[6]不燃・木くず・海岸清掃!$J$43</f>
        <v>0</v>
      </c>
      <c r="P17" s="91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7" ht="17.25" customHeight="1" x14ac:dyDescent="0.15">
      <c r="A19" s="138"/>
      <c r="B19" s="91">
        <f>'[7]収集（全般）'!$G$44</f>
        <v>0</v>
      </c>
      <c r="C19" s="91">
        <f>'[7]収集（全般）'!$H$44</f>
        <v>0</v>
      </c>
      <c r="D19" s="91">
        <f>SUM(B19:C19)</f>
        <v>0</v>
      </c>
      <c r="E19" s="91">
        <f>'[7]収集（全般）'!$I$44</f>
        <v>0</v>
      </c>
      <c r="F19" s="91">
        <f>'[7]収集（全般）'!$J$44</f>
        <v>0</v>
      </c>
      <c r="G19" s="91">
        <f>SUM(E19:F19)</f>
        <v>0</v>
      </c>
      <c r="H19" s="29">
        <f>ROUND(D19+G19,1)</f>
        <v>0</v>
      </c>
      <c r="I19" s="2"/>
      <c r="J19" s="143"/>
      <c r="K19" s="88">
        <f>[7]不燃・木くず・海岸清掃!$G$43</f>
        <v>0</v>
      </c>
      <c r="L19" s="88">
        <f>[7]不燃・木くず・海岸清掃!$H$43</f>
        <v>0</v>
      </c>
      <c r="M19" s="88">
        <f>SUM(K19:L19)</f>
        <v>0</v>
      </c>
      <c r="N19" s="88">
        <f>[7]不燃・木くず・海岸清掃!$I$43</f>
        <v>0</v>
      </c>
      <c r="O19" s="88">
        <f>[7]不燃・木くず・海岸清掃!$J$43</f>
        <v>0</v>
      </c>
      <c r="P19" s="91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7" ht="17.25" customHeight="1" x14ac:dyDescent="0.15">
      <c r="A21" s="145"/>
      <c r="B21" s="91">
        <f>'[8]収集（全般）'!$G$44</f>
        <v>0</v>
      </c>
      <c r="C21" s="91">
        <f>'[8]収集（全般）'!$H$44</f>
        <v>0</v>
      </c>
      <c r="D21" s="91">
        <f>SUM(B21:C21)</f>
        <v>0</v>
      </c>
      <c r="E21" s="91">
        <f>'[8]収集（全般）'!$I$44</f>
        <v>0</v>
      </c>
      <c r="F21" s="91">
        <f>'[8]収集（全般）'!$J$44</f>
        <v>0</v>
      </c>
      <c r="G21" s="91">
        <f>SUM(E21:F21)</f>
        <v>0</v>
      </c>
      <c r="H21" s="29">
        <f>ROUND(D21+G21,1)</f>
        <v>0</v>
      </c>
      <c r="I21" s="3"/>
      <c r="J21" s="142"/>
      <c r="K21" s="88">
        <f>[8]不燃・木くず・海岸清掃!$G$43</f>
        <v>0</v>
      </c>
      <c r="L21" s="88">
        <f>[8]不燃・木くず・海岸清掃!$H$43</f>
        <v>0</v>
      </c>
      <c r="M21" s="88">
        <f>SUM(K21:L21)</f>
        <v>0</v>
      </c>
      <c r="N21" s="88">
        <f>[8]不燃・木くず・海岸清掃!$I$43</f>
        <v>0</v>
      </c>
      <c r="O21" s="88">
        <f>[8]不燃・木くず・海岸清掃!$J$43</f>
        <v>0</v>
      </c>
      <c r="P21" s="93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7" ht="17.25" customHeight="1" x14ac:dyDescent="0.15">
      <c r="A23" s="138"/>
      <c r="B23" s="91">
        <f>'[9]収集（全般）'!$G$44</f>
        <v>0</v>
      </c>
      <c r="C23" s="91">
        <f>'[9]収集（全般）'!$H$44</f>
        <v>0</v>
      </c>
      <c r="D23" s="91">
        <f>SUM(B23:C23)</f>
        <v>0</v>
      </c>
      <c r="E23" s="91">
        <f>'[9]収集（全般）'!$I$44</f>
        <v>0</v>
      </c>
      <c r="F23" s="91">
        <f>'[9]収集（全般）'!$J$44</f>
        <v>0</v>
      </c>
      <c r="G23" s="91">
        <f>SUM(E23:F23)</f>
        <v>0</v>
      </c>
      <c r="H23" s="29">
        <f>ROUND(D23+G23,1)</f>
        <v>0</v>
      </c>
      <c r="I23" s="2"/>
      <c r="J23" s="143"/>
      <c r="K23" s="88">
        <f>[9]不燃・木くず・海岸清掃!$G$43</f>
        <v>0</v>
      </c>
      <c r="L23" s="88">
        <f>[9]不燃・木くず・海岸清掃!$H$43</f>
        <v>0</v>
      </c>
      <c r="M23" s="88">
        <f>SUM(K23:L23)</f>
        <v>0</v>
      </c>
      <c r="N23" s="88">
        <f>[9]不燃・木くず・海岸清掃!$I$43</f>
        <v>0</v>
      </c>
      <c r="O23" s="88">
        <f>[9]不燃・木くず・海岸清掃!$J$43</f>
        <v>0</v>
      </c>
      <c r="P23" s="91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7" ht="17.25" customHeight="1" x14ac:dyDescent="0.15">
      <c r="A25" s="145"/>
      <c r="B25" s="91">
        <f>'[10]収集（全般）'!$G$44</f>
        <v>0</v>
      </c>
      <c r="C25" s="91">
        <f>'[10]収集（全般）'!$H$44</f>
        <v>0</v>
      </c>
      <c r="D25" s="91">
        <f>SUM(B25:C25)</f>
        <v>0</v>
      </c>
      <c r="E25" s="91">
        <f>'[10]収集（全般）'!$I$44</f>
        <v>0</v>
      </c>
      <c r="F25" s="91">
        <f>'[10]収集（全般）'!$J$44</f>
        <v>0</v>
      </c>
      <c r="G25" s="93">
        <f>SUM(E25:F25)</f>
        <v>0</v>
      </c>
      <c r="H25" s="29">
        <f>ROUND(D25+G25,1)</f>
        <v>0</v>
      </c>
      <c r="I25" s="3"/>
      <c r="J25" s="142"/>
      <c r="K25" s="88">
        <f>[10]不燃・木くず・海岸清掃!$G$43</f>
        <v>0</v>
      </c>
      <c r="L25" s="88">
        <f>[10]不燃・木くず・海岸清掃!$H$43</f>
        <v>0</v>
      </c>
      <c r="M25" s="88">
        <f>SUM(K25:L25)</f>
        <v>0</v>
      </c>
      <c r="N25" s="88">
        <f>[10]不燃・木くず・海岸清掃!$I$43</f>
        <v>0</v>
      </c>
      <c r="O25" s="88">
        <f>[10]不燃・木くず・海岸清掃!$J$43</f>
        <v>0</v>
      </c>
      <c r="P25" s="91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7" ht="17.25" customHeight="1" x14ac:dyDescent="0.15">
      <c r="A27" s="138"/>
      <c r="B27" s="91">
        <f>'[11]収集（全般）'!$G$44</f>
        <v>0</v>
      </c>
      <c r="C27" s="91">
        <f>'[11]収集（全般）'!$H$44</f>
        <v>0</v>
      </c>
      <c r="D27" s="91">
        <f>SUM(B27:C27)</f>
        <v>0</v>
      </c>
      <c r="E27" s="91">
        <f>'[11]収集（全般）'!$I$44</f>
        <v>0</v>
      </c>
      <c r="F27" s="91">
        <f>'[11]収集（全般）'!$J$44</f>
        <v>0</v>
      </c>
      <c r="G27" s="93">
        <f>SUM(E27:F27)</f>
        <v>0</v>
      </c>
      <c r="H27" s="29">
        <f>ROUND(D27+G27,1)</f>
        <v>0</v>
      </c>
      <c r="I27" s="2"/>
      <c r="J27" s="143"/>
      <c r="K27" s="88">
        <f>[11]不燃・木くず・海岸清掃!$G$43</f>
        <v>0</v>
      </c>
      <c r="L27" s="88">
        <f>[11]不燃・木くず・海岸清掃!$H$43</f>
        <v>0</v>
      </c>
      <c r="M27" s="88">
        <f>SUM(K27:L27)</f>
        <v>0</v>
      </c>
      <c r="N27" s="88">
        <f>[11]不燃・木くず・海岸清掃!$I$43</f>
        <v>0</v>
      </c>
      <c r="O27" s="88">
        <f>[11]不燃・木くず・海岸清掃!$J$43</f>
        <v>0</v>
      </c>
      <c r="P27" s="91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7" ht="17.25" customHeight="1" x14ac:dyDescent="0.15">
      <c r="A29" s="145"/>
      <c r="B29" s="93">
        <f>'[12]収集（全般）'!$G$44</f>
        <v>0</v>
      </c>
      <c r="C29" s="93">
        <f>'[12]収集（全般）'!$H$44</f>
        <v>0</v>
      </c>
      <c r="D29" s="93">
        <f>SUM(B29:C29)</f>
        <v>0</v>
      </c>
      <c r="E29" s="93">
        <f>'[12]収集（全般）'!$I$44</f>
        <v>0</v>
      </c>
      <c r="F29" s="93">
        <f>'[12]収集（全般）'!$J$44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[12]不燃・木くず・海岸清掃!$G$43</f>
        <v>0</v>
      </c>
      <c r="L29" s="90">
        <f>[12]不燃・木くず・海岸清掃!$H$43</f>
        <v>0</v>
      </c>
      <c r="M29" s="90">
        <f>SUM(K29:L29)</f>
        <v>0</v>
      </c>
      <c r="N29" s="90">
        <f>[12]不燃・木くず・海岸清掃!$I$43</f>
        <v>0</v>
      </c>
      <c r="O29" s="90">
        <f>[12]不燃・木くず・海岸清掃!$J$43</f>
        <v>0</v>
      </c>
      <c r="P29" s="93">
        <f>SUM(N29:O29)</f>
        <v>0</v>
      </c>
      <c r="Q29" s="36">
        <f>ROUND(M29+P29,1)</f>
        <v>0</v>
      </c>
    </row>
    <row r="30" spans="1:17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7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7" ht="24" customHeight="1" x14ac:dyDescent="0.15">
      <c r="A32" s="146"/>
      <c r="B32" s="92">
        <f t="shared" ref="B32:G32" si="0">SUM(B7+B9+B11+B13+B15+B17+B19+B21+B23+B25+B27+B29)</f>
        <v>0</v>
      </c>
      <c r="C32" s="92">
        <f t="shared" si="0"/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7">
    <mergeCell ref="J31:J32"/>
    <mergeCell ref="J28:J29"/>
    <mergeCell ref="A26:A27"/>
    <mergeCell ref="J20:J21"/>
    <mergeCell ref="J22:J23"/>
    <mergeCell ref="J24:J25"/>
    <mergeCell ref="A22:A23"/>
    <mergeCell ref="A20:A21"/>
    <mergeCell ref="A31:A32"/>
    <mergeCell ref="A28:A29"/>
    <mergeCell ref="J26:J27"/>
    <mergeCell ref="A24:A25"/>
    <mergeCell ref="A1:K1"/>
    <mergeCell ref="J6:J7"/>
    <mergeCell ref="J8:J9"/>
    <mergeCell ref="J10:J11"/>
    <mergeCell ref="A6:A7"/>
    <mergeCell ref="A8:A9"/>
    <mergeCell ref="A10:A11"/>
    <mergeCell ref="J12:J13"/>
    <mergeCell ref="A12:A13"/>
    <mergeCell ref="J14:J15"/>
    <mergeCell ref="A14:A15"/>
    <mergeCell ref="J18:J19"/>
    <mergeCell ref="J16:J17"/>
    <mergeCell ref="A18:A19"/>
    <mergeCell ref="A16:A1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C61D-D087-4CE7-8A51-8FB953D8E289}"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【第1－3表】"</f>
        <v>令和9年度　一般廃棄物（ごみ）収集地区別集計表　　【第1－3表】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s="149" t="s">
        <v>24</v>
      </c>
      <c r="C3" s="149"/>
      <c r="K3" s="149" t="s">
        <v>25</v>
      </c>
      <c r="L3" s="149"/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91">
        <f>'[1]収集（全般）'!$L$44</f>
        <v>0</v>
      </c>
      <c r="C7" s="91">
        <f>'[1]収集（全般）'!$M$44</f>
        <v>0</v>
      </c>
      <c r="D7" s="91">
        <f>SUM(B7:C7)</f>
        <v>0</v>
      </c>
      <c r="E7" s="91">
        <f>'[1]収集（全般）'!$N$44</f>
        <v>0</v>
      </c>
      <c r="F7" s="91">
        <f>'[1]収集（全般）'!$O$44</f>
        <v>0</v>
      </c>
      <c r="G7" s="91">
        <f>SUM(E7:F7)</f>
        <v>0</v>
      </c>
      <c r="H7" s="29">
        <f>ROUND(D7+G7,1)</f>
        <v>0</v>
      </c>
      <c r="I7" s="2"/>
      <c r="J7" s="143"/>
      <c r="K7" s="88">
        <f>[1]ビン類!$M$43
+[1]ビン類!$R$43</f>
        <v>0</v>
      </c>
      <c r="L7" s="88">
        <f>[1]ビン類!$N$43
+[1]ビン類!$S$43</f>
        <v>0</v>
      </c>
      <c r="M7" s="88">
        <f>SUM(K7:L7)</f>
        <v>0</v>
      </c>
      <c r="N7" s="88">
        <f>[1]ビン類!$O$43
+[1]ビン類!$T$43</f>
        <v>0</v>
      </c>
      <c r="O7" s="88">
        <f>[1]ビン類!$P$43
+[1]ビン類!$U$43</f>
        <v>0</v>
      </c>
      <c r="P7" s="88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</row>
    <row r="9" spans="1:17" ht="17.25" customHeight="1" x14ac:dyDescent="0.15">
      <c r="A9" s="145"/>
      <c r="B9" s="91">
        <f>'[2]収集（全般）'!$L$44</f>
        <v>0</v>
      </c>
      <c r="C9" s="91">
        <f>'[2]収集（全般）'!$M$44</f>
        <v>0</v>
      </c>
      <c r="D9" s="91">
        <f>SUM(B9:C9)</f>
        <v>0</v>
      </c>
      <c r="E9" s="91">
        <f>'[2]収集（全般）'!$N$44</f>
        <v>0</v>
      </c>
      <c r="F9" s="91">
        <f>'[2]収集（全般）'!$O$44</f>
        <v>0</v>
      </c>
      <c r="G9" s="91">
        <f>SUM(E9:F9)</f>
        <v>0</v>
      </c>
      <c r="H9" s="29">
        <f>ROUND(D9+G9,1)</f>
        <v>0</v>
      </c>
      <c r="I9" s="3"/>
      <c r="J9" s="142"/>
      <c r="K9" s="88">
        <f>[2]ビン類!$M$43
+[2]ビン類!$R$43</f>
        <v>0</v>
      </c>
      <c r="L9" s="88">
        <f>[2]ビン類!$N$43
+[2]ビン類!$S$43</f>
        <v>0</v>
      </c>
      <c r="M9" s="88">
        <f>SUM(K9:L9)</f>
        <v>0</v>
      </c>
      <c r="N9" s="88">
        <f>[2]ビン類!$O$43
+[2]ビン類!$T$43</f>
        <v>0</v>
      </c>
      <c r="O9" s="88">
        <f>[2]ビン類!$P$43
+[2]ビン類!$U$43</f>
        <v>0</v>
      </c>
      <c r="P9" s="88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</row>
    <row r="11" spans="1:17" ht="17.25" customHeight="1" x14ac:dyDescent="0.15">
      <c r="A11" s="138"/>
      <c r="B11" s="91">
        <f>'[3]収集（全般）'!$L$44</f>
        <v>0</v>
      </c>
      <c r="C11" s="91">
        <f>'[3]収集（全般）'!$M$44</f>
        <v>0</v>
      </c>
      <c r="D11" s="91">
        <f>SUM(B11:C11)</f>
        <v>0</v>
      </c>
      <c r="E11" s="91">
        <f>'[3]収集（全般）'!$N$44</f>
        <v>0</v>
      </c>
      <c r="F11" s="91">
        <f>'[3]収集（全般）'!$O$44</f>
        <v>0</v>
      </c>
      <c r="G11" s="91">
        <f>SUM(E11:F11)</f>
        <v>0</v>
      </c>
      <c r="H11" s="29">
        <f>ROUND(D11+G11,1)</f>
        <v>0</v>
      </c>
      <c r="I11" s="2"/>
      <c r="J11" s="143"/>
      <c r="K11" s="88">
        <f>[3]ビン類!$M$43
+[3]ビン類!$R$43</f>
        <v>0</v>
      </c>
      <c r="L11" s="88">
        <f>[3]ビン類!$N$43
+[3]ビン類!$S$43</f>
        <v>0</v>
      </c>
      <c r="M11" s="88">
        <f>SUM(K11:L11)</f>
        <v>0</v>
      </c>
      <c r="N11" s="88">
        <f>[3]ビン類!$O$43
+[3]ビン類!$T$43</f>
        <v>0</v>
      </c>
      <c r="O11" s="88">
        <f>[3]ビン類!$P$43
+[3]ビン類!$U$43</f>
        <v>0</v>
      </c>
      <c r="P11" s="88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</row>
    <row r="13" spans="1:17" ht="17.25" customHeight="1" x14ac:dyDescent="0.15">
      <c r="A13" s="145"/>
      <c r="B13" s="91">
        <f>'[4]収集（全般）'!$L$44</f>
        <v>0</v>
      </c>
      <c r="C13" s="91">
        <f>'[4]収集（全般）'!$M$44</f>
        <v>0</v>
      </c>
      <c r="D13" s="91">
        <f>SUM(B13:C13)</f>
        <v>0</v>
      </c>
      <c r="E13" s="91">
        <f>'[4]収集（全般）'!$N$44</f>
        <v>0</v>
      </c>
      <c r="F13" s="91">
        <f>'[4]収集（全般）'!$O$44</f>
        <v>0</v>
      </c>
      <c r="G13" s="93">
        <f>SUM(E13:F13)</f>
        <v>0</v>
      </c>
      <c r="H13" s="29">
        <f>ROUND(D13+G13,1)</f>
        <v>0</v>
      </c>
      <c r="I13" s="3"/>
      <c r="J13" s="142"/>
      <c r="K13" s="88">
        <f>[4]ビン類!$M$43
+[4]ビン類!$R$43</f>
        <v>0</v>
      </c>
      <c r="L13" s="88">
        <f>[4]ビン類!$N$43
+[4]ビン類!$S$43</f>
        <v>0</v>
      </c>
      <c r="M13" s="88">
        <f>SUM(K13:L13)</f>
        <v>0</v>
      </c>
      <c r="N13" s="88">
        <f>[4]ビン類!$O$43
+[4]ビン類!$T$43</f>
        <v>0</v>
      </c>
      <c r="O13" s="88">
        <f>[4]ビン類!$P$43
+[4]ビン類!$U$43</f>
        <v>0</v>
      </c>
      <c r="P13" s="90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</row>
    <row r="15" spans="1:17" ht="17.25" customHeight="1" x14ac:dyDescent="0.15">
      <c r="A15" s="138"/>
      <c r="B15" s="91">
        <f>'[5]収集（全般）'!$L$44</f>
        <v>0</v>
      </c>
      <c r="C15" s="91">
        <f>'[5]収集（全般）'!$M$44</f>
        <v>0</v>
      </c>
      <c r="D15" s="91">
        <f>SUM(B15:C15)</f>
        <v>0</v>
      </c>
      <c r="E15" s="91">
        <f>'[5]収集（全般）'!$N$44</f>
        <v>0</v>
      </c>
      <c r="F15" s="91">
        <f>'[5]収集（全般）'!$O$44</f>
        <v>0</v>
      </c>
      <c r="G15" s="91">
        <f>SUM(E15:F15)</f>
        <v>0</v>
      </c>
      <c r="H15" s="29">
        <f>ROUND(D15+G15,1)</f>
        <v>0</v>
      </c>
      <c r="I15" s="2"/>
      <c r="J15" s="143"/>
      <c r="K15" s="88">
        <f>[5]ビン類!$M$43
+[5]ビン類!$R$43</f>
        <v>0</v>
      </c>
      <c r="L15" s="88">
        <f>[5]ビン類!$N$43
+[5]ビン類!$S$43</f>
        <v>0</v>
      </c>
      <c r="M15" s="88">
        <f>SUM(K15:L15)</f>
        <v>0</v>
      </c>
      <c r="N15" s="88">
        <f>[5]ビン類!$O$43
+[5]ビン類!$T$43</f>
        <v>0</v>
      </c>
      <c r="O15" s="88">
        <f>[5]ビン類!$P$43
+[5]ビン類!$U$43</f>
        <v>0</v>
      </c>
      <c r="P15" s="88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</row>
    <row r="17" spans="1:17" ht="17.25" customHeight="1" x14ac:dyDescent="0.15">
      <c r="A17" s="145"/>
      <c r="B17" s="91">
        <f>'[6]収集（全般）'!$L$44</f>
        <v>0</v>
      </c>
      <c r="C17" s="91">
        <f>'[6]収集（全般）'!$M$44</f>
        <v>0</v>
      </c>
      <c r="D17" s="91">
        <f>SUM(B17:C17)</f>
        <v>0</v>
      </c>
      <c r="E17" s="91">
        <f>'[6]収集（全般）'!$N$44</f>
        <v>0</v>
      </c>
      <c r="F17" s="91">
        <f>'[6]収集（全般）'!$O$44</f>
        <v>0</v>
      </c>
      <c r="G17" s="91">
        <f>SUM(E17:F17)</f>
        <v>0</v>
      </c>
      <c r="H17" s="29">
        <f>ROUND(D17+G17,1)</f>
        <v>0</v>
      </c>
      <c r="I17" s="3"/>
      <c r="J17" s="142"/>
      <c r="K17" s="88">
        <f>[6]ビン類!$M$43
+[6]ビン類!$R$43</f>
        <v>0</v>
      </c>
      <c r="L17" s="88">
        <f>[6]ビン類!$N$43
+[6]ビン類!$S$43</f>
        <v>0</v>
      </c>
      <c r="M17" s="88">
        <f>SUM(K17:L17)</f>
        <v>0</v>
      </c>
      <c r="N17" s="88">
        <f>[6]ビン類!$O$43
+[6]ビン類!$T$43</f>
        <v>0</v>
      </c>
      <c r="O17" s="88">
        <f>[6]ビン類!$P$43
+[6]ビン類!$U$43</f>
        <v>0</v>
      </c>
      <c r="P17" s="88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7" ht="17.25" customHeight="1" x14ac:dyDescent="0.15">
      <c r="A19" s="138"/>
      <c r="B19" s="91">
        <f>'[7]収集（全般）'!$L$44</f>
        <v>0</v>
      </c>
      <c r="C19" s="91">
        <f>'[7]収集（全般）'!$M$44</f>
        <v>0</v>
      </c>
      <c r="D19" s="91">
        <f>SUM(B19:C19)</f>
        <v>0</v>
      </c>
      <c r="E19" s="91">
        <f>'[7]収集（全般）'!$N$44</f>
        <v>0</v>
      </c>
      <c r="F19" s="91">
        <f>'[7]収集（全般）'!$O$44</f>
        <v>0</v>
      </c>
      <c r="G19" s="91">
        <f>SUM(E19:F19)</f>
        <v>0</v>
      </c>
      <c r="H19" s="29">
        <f>ROUND(D19+G19,1)</f>
        <v>0</v>
      </c>
      <c r="I19" s="2"/>
      <c r="J19" s="143"/>
      <c r="K19" s="88">
        <f>[7]ビン類!$M$43
+[7]ビン類!$R$43</f>
        <v>0</v>
      </c>
      <c r="L19" s="88">
        <f>[7]ビン類!$N$43
+[7]ビン類!$S$43</f>
        <v>0</v>
      </c>
      <c r="M19" s="88">
        <f>SUM(K19:L19)</f>
        <v>0</v>
      </c>
      <c r="N19" s="88">
        <f>[7]ビン類!$O$43
+[7]ビン類!$T$43</f>
        <v>0</v>
      </c>
      <c r="O19" s="88">
        <f>[7]ビン類!$P$43
+[7]ビン類!$U$43</f>
        <v>0</v>
      </c>
      <c r="P19" s="88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7" ht="17.25" customHeight="1" x14ac:dyDescent="0.15">
      <c r="A21" s="145"/>
      <c r="B21" s="91">
        <f>'[8]収集（全般）'!$L$44</f>
        <v>0</v>
      </c>
      <c r="C21" s="91">
        <f>'[8]収集（全般）'!$M$44</f>
        <v>0</v>
      </c>
      <c r="D21" s="91">
        <f>SUM(B21:C21)</f>
        <v>0</v>
      </c>
      <c r="E21" s="91">
        <f>'[8]収集（全般）'!$N$44</f>
        <v>0</v>
      </c>
      <c r="F21" s="91">
        <f>'[8]収集（全般）'!$O$44</f>
        <v>0</v>
      </c>
      <c r="G21" s="91">
        <f>SUM(E21:F21)</f>
        <v>0</v>
      </c>
      <c r="H21" s="29">
        <f>ROUND(D21+G21,1)</f>
        <v>0</v>
      </c>
      <c r="I21" s="3"/>
      <c r="J21" s="142"/>
      <c r="K21" s="88">
        <f>[8]ビン類!$M$43
+[8]ビン類!$R$43</f>
        <v>0</v>
      </c>
      <c r="L21" s="88">
        <f>[8]ビン類!$N$43
+[8]ビン類!$S$43</f>
        <v>0</v>
      </c>
      <c r="M21" s="88">
        <f>SUM(K21:L21)</f>
        <v>0</v>
      </c>
      <c r="N21" s="88">
        <f>[8]ビン類!$O$43
+[8]ビン類!$T$43</f>
        <v>0</v>
      </c>
      <c r="O21" s="88">
        <f>[8]ビン類!$P$43
+[8]ビン類!$U$43</f>
        <v>0</v>
      </c>
      <c r="P21" s="90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7" ht="17.25" customHeight="1" x14ac:dyDescent="0.15">
      <c r="A23" s="138"/>
      <c r="B23" s="91">
        <f>'[9]収集（全般）'!$L$44</f>
        <v>0</v>
      </c>
      <c r="C23" s="91">
        <f>'[9]収集（全般）'!$M$44</f>
        <v>0</v>
      </c>
      <c r="D23" s="91">
        <f>SUM(B23:C23)</f>
        <v>0</v>
      </c>
      <c r="E23" s="91">
        <f>'[9]収集（全般）'!$N$44</f>
        <v>0</v>
      </c>
      <c r="F23" s="91">
        <f>'[9]収集（全般）'!$O$44</f>
        <v>0</v>
      </c>
      <c r="G23" s="91">
        <f>SUM(E23:F23)</f>
        <v>0</v>
      </c>
      <c r="H23" s="29">
        <f>ROUND(D23+G23,1)</f>
        <v>0</v>
      </c>
      <c r="I23" s="2"/>
      <c r="J23" s="143"/>
      <c r="K23" s="88">
        <f>[9]ビン類!$M$43
+[9]ビン類!$R$43</f>
        <v>0</v>
      </c>
      <c r="L23" s="88">
        <f>[9]ビン類!$N$43
+[9]ビン類!$S$43</f>
        <v>0</v>
      </c>
      <c r="M23" s="88">
        <f>SUM(K23:L23)</f>
        <v>0</v>
      </c>
      <c r="N23" s="88">
        <f>[9]ビン類!$O$43
+[9]ビン類!$T$43</f>
        <v>0</v>
      </c>
      <c r="O23" s="88">
        <f>[9]ビン類!$P$43
+[9]ビン類!$U$43</f>
        <v>0</v>
      </c>
      <c r="P23" s="88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7" ht="17.25" customHeight="1" x14ac:dyDescent="0.15">
      <c r="A25" s="145"/>
      <c r="B25" s="91">
        <f>'[10]収集（全般）'!$L$44</f>
        <v>0</v>
      </c>
      <c r="C25" s="91">
        <f>'[10]収集（全般）'!$M$44</f>
        <v>0</v>
      </c>
      <c r="D25" s="91">
        <f>SUM(B25:C25)</f>
        <v>0</v>
      </c>
      <c r="E25" s="91">
        <f>'[10]収集（全般）'!$N$44</f>
        <v>0</v>
      </c>
      <c r="F25" s="91">
        <f>'[10]収集（全般）'!$O$44</f>
        <v>0</v>
      </c>
      <c r="G25" s="93">
        <f>SUM(E25:F25)</f>
        <v>0</v>
      </c>
      <c r="H25" s="29">
        <f>ROUND(D25+G25,1)</f>
        <v>0</v>
      </c>
      <c r="I25" s="3"/>
      <c r="J25" s="142"/>
      <c r="K25" s="88">
        <f>[10]ビン類!$M$43
+[10]ビン類!$R$43</f>
        <v>0</v>
      </c>
      <c r="L25" s="88">
        <f>[10]ビン類!$N$43
+[10]ビン類!$S$43</f>
        <v>0</v>
      </c>
      <c r="M25" s="88">
        <f>SUM(K25:L25)</f>
        <v>0</v>
      </c>
      <c r="N25" s="88">
        <f>[10]ビン類!$O$43
+[10]ビン類!$T$43</f>
        <v>0</v>
      </c>
      <c r="O25" s="88">
        <f>[10]ビン類!$P$43
+[10]ビン類!$U$43</f>
        <v>0</v>
      </c>
      <c r="P25" s="88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7" ht="17.25" customHeight="1" x14ac:dyDescent="0.15">
      <c r="A27" s="138"/>
      <c r="B27" s="91">
        <f>'[11]収集（全般）'!$L$44</f>
        <v>0</v>
      </c>
      <c r="C27" s="91">
        <f>'[11]収集（全般）'!$M$44</f>
        <v>0</v>
      </c>
      <c r="D27" s="91">
        <f>SUM(B27:C27)</f>
        <v>0</v>
      </c>
      <c r="E27" s="91">
        <f>'[11]収集（全般）'!$N$44</f>
        <v>0</v>
      </c>
      <c r="F27" s="91">
        <f>'[11]収集（全般）'!$O$44</f>
        <v>0</v>
      </c>
      <c r="G27" s="93">
        <f>SUM(E27:F27)</f>
        <v>0</v>
      </c>
      <c r="H27" s="29">
        <f>ROUND(D27+G27,1)</f>
        <v>0</v>
      </c>
      <c r="I27" s="2"/>
      <c r="J27" s="143"/>
      <c r="K27" s="88">
        <f>[11]ビン類!$M$43
+[11]ビン類!$R$43</f>
        <v>0</v>
      </c>
      <c r="L27" s="88">
        <f>[11]ビン類!$N$43
+[11]ビン類!$S$43</f>
        <v>0</v>
      </c>
      <c r="M27" s="88">
        <f>SUM(K27:L27)</f>
        <v>0</v>
      </c>
      <c r="N27" s="88">
        <f>[11]ビン類!$O$43
+[11]ビン類!$T$43</f>
        <v>0</v>
      </c>
      <c r="O27" s="88">
        <f>[11]ビン類!$P$43
+[11]ビン類!$U$43</f>
        <v>0</v>
      </c>
      <c r="P27" s="88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7" ht="17.25" customHeight="1" x14ac:dyDescent="0.15">
      <c r="A29" s="145"/>
      <c r="B29" s="93">
        <f>'[12]収集（全般）'!$L$44</f>
        <v>0</v>
      </c>
      <c r="C29" s="93">
        <f>'[12]収集（全般）'!$M$44</f>
        <v>0</v>
      </c>
      <c r="D29" s="93">
        <f>SUM(B29:C29)</f>
        <v>0</v>
      </c>
      <c r="E29" s="93">
        <f>'[12]収集（全般）'!$N$44</f>
        <v>0</v>
      </c>
      <c r="F29" s="93">
        <f>'[12]収集（全般）'!$O$44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[12]ビン類!$M$43
+[12]ビン類!$R$43</f>
        <v>0</v>
      </c>
      <c r="L29" s="90">
        <f>[12]ビン類!$N$43
+[12]ビン類!$S$43</f>
        <v>0</v>
      </c>
      <c r="M29" s="90">
        <f>SUM(K29:L29)</f>
        <v>0</v>
      </c>
      <c r="N29" s="90">
        <f>[12]ビン類!$O$43
+[12]ビン類!$T$43</f>
        <v>0</v>
      </c>
      <c r="O29" s="90">
        <f>[12]ビン類!$P$43
+[12]ビン類!$U$43</f>
        <v>0</v>
      </c>
      <c r="P29" s="90">
        <f>SUM(N29:O29)</f>
        <v>0</v>
      </c>
      <c r="Q29" s="36">
        <f>ROUND(M29+P29,1)</f>
        <v>0</v>
      </c>
    </row>
    <row r="30" spans="1:17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7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7" ht="24" customHeight="1" x14ac:dyDescent="0.15">
      <c r="A32" s="146"/>
      <c r="B32" s="92">
        <f t="shared" ref="B32:G32" si="0">SUM(B7+B9+B11+B13+B15+B17+B19+B21+B23+B25+B27+B29)</f>
        <v>0</v>
      </c>
      <c r="C32" s="92">
        <f t="shared" si="0"/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9">
    <mergeCell ref="A1:K1"/>
    <mergeCell ref="A6:A7"/>
    <mergeCell ref="J6:J7"/>
    <mergeCell ref="A8:A9"/>
    <mergeCell ref="J8:J9"/>
    <mergeCell ref="A10:A11"/>
    <mergeCell ref="J10:J11"/>
    <mergeCell ref="B3:C3"/>
    <mergeCell ref="K3:L3"/>
    <mergeCell ref="J26:J27"/>
    <mergeCell ref="A12:A13"/>
    <mergeCell ref="J12:J13"/>
    <mergeCell ref="A14:A15"/>
    <mergeCell ref="J14:J15"/>
    <mergeCell ref="A22:A23"/>
    <mergeCell ref="J22:J23"/>
    <mergeCell ref="J20:J21"/>
    <mergeCell ref="A16:A17"/>
    <mergeCell ref="J16:J17"/>
    <mergeCell ref="A31:A32"/>
    <mergeCell ref="J31:J32"/>
    <mergeCell ref="A24:A25"/>
    <mergeCell ref="J24:J25"/>
    <mergeCell ref="A18:A19"/>
    <mergeCell ref="J18:J19"/>
    <mergeCell ref="A20:A21"/>
    <mergeCell ref="A26:A27"/>
    <mergeCell ref="A28:A29"/>
    <mergeCell ref="J28:J29"/>
  </mergeCells>
  <phoneticPr fontId="2"/>
  <printOptions horizontalCentered="1" verticalCentered="1"/>
  <pageMargins left="0.39370078740157483" right="0.39370078740157483" top="0.39370078740157483" bottom="0.39370078740157483" header="0.51181102362204722" footer="0.51181102362204722"/>
  <pageSetup paperSize="9" orientation="landscape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8CBA-66A2-48D3-9334-566579DCC01E}"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【第1－4表】"</f>
        <v>令和9年度　一般廃棄物（ごみ）収集地区別集計表　　【第1－4表】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s="149" t="s">
        <v>22</v>
      </c>
      <c r="C3" s="149"/>
      <c r="K3" s="149" t="s">
        <v>23</v>
      </c>
      <c r="L3" s="149"/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91">
        <f>'[1]収集（全般）'!$Q$44</f>
        <v>0</v>
      </c>
      <c r="C7" s="91">
        <f>'[1]収集（全般）'!$R$44</f>
        <v>0</v>
      </c>
      <c r="D7" s="91">
        <f>SUM(B7:C7)</f>
        <v>0</v>
      </c>
      <c r="E7" s="91">
        <f>'[1]収集（全般）'!$S$44</f>
        <v>0</v>
      </c>
      <c r="F7" s="91">
        <f>'[1]収集（全般）'!$T$44</f>
        <v>0</v>
      </c>
      <c r="G7" s="91">
        <f>SUM(E7:F7)</f>
        <v>0</v>
      </c>
      <c r="H7" s="29">
        <f>ROUND(D7+G7,1)</f>
        <v>0</v>
      </c>
      <c r="I7" s="2"/>
      <c r="J7" s="143"/>
      <c r="K7" s="88">
        <f>[1]缶類!$M$43
+[1]缶類!$R$43</f>
        <v>0</v>
      </c>
      <c r="L7" s="88">
        <f>[1]缶類!$N$43
+[1]缶類!$S$43</f>
        <v>0</v>
      </c>
      <c r="M7" s="88">
        <f>SUM(K7:L7)</f>
        <v>0</v>
      </c>
      <c r="N7" s="88">
        <f>[1]缶類!$O$43
+[1]缶類!$T$43</f>
        <v>0</v>
      </c>
      <c r="O7" s="88">
        <f>[1]缶類!$P$43
+[1]缶類!$U$43</f>
        <v>0</v>
      </c>
      <c r="P7" s="88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</row>
    <row r="9" spans="1:17" ht="17.25" customHeight="1" x14ac:dyDescent="0.15">
      <c r="A9" s="145"/>
      <c r="B9" s="91">
        <f>'[2]収集（全般）'!$Q$44</f>
        <v>0</v>
      </c>
      <c r="C9" s="91">
        <f>'[2]収集（全般）'!$R$44</f>
        <v>0</v>
      </c>
      <c r="D9" s="91">
        <f>SUM(B9:C9)</f>
        <v>0</v>
      </c>
      <c r="E9" s="91">
        <f>'[2]収集（全般）'!$S$44</f>
        <v>0</v>
      </c>
      <c r="F9" s="91">
        <f>'[2]収集（全般）'!$T$44</f>
        <v>0</v>
      </c>
      <c r="G9" s="91">
        <f>SUM(E9:F9)</f>
        <v>0</v>
      </c>
      <c r="H9" s="29">
        <f>ROUND(D9+G9,1)</f>
        <v>0</v>
      </c>
      <c r="I9" s="3"/>
      <c r="J9" s="142"/>
      <c r="K9" s="88">
        <f>[2]缶類!$M$43
+[2]缶類!$R$43</f>
        <v>0</v>
      </c>
      <c r="L9" s="88">
        <f>[2]缶類!$N$43
+[2]缶類!$S$43</f>
        <v>0</v>
      </c>
      <c r="M9" s="88">
        <f>SUM(K9:L9)</f>
        <v>0</v>
      </c>
      <c r="N9" s="88">
        <f>[2]缶類!$O$43
+[2]缶類!$T$43</f>
        <v>0</v>
      </c>
      <c r="O9" s="88">
        <f>[2]缶類!$P$43
+[2]缶類!$U$43</f>
        <v>0</v>
      </c>
      <c r="P9" s="88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</row>
    <row r="11" spans="1:17" ht="17.25" customHeight="1" x14ac:dyDescent="0.15">
      <c r="A11" s="138"/>
      <c r="B11" s="91">
        <f>'[3]収集（全般）'!$Q$44</f>
        <v>0</v>
      </c>
      <c r="C11" s="91">
        <f>'[3]収集（全般）'!$R$44</f>
        <v>0</v>
      </c>
      <c r="D11" s="91">
        <f>SUM(B11:C11)</f>
        <v>0</v>
      </c>
      <c r="E11" s="91">
        <f>'[3]収集（全般）'!$S$44</f>
        <v>0</v>
      </c>
      <c r="F11" s="91">
        <f>'[3]収集（全般）'!$T$44</f>
        <v>0</v>
      </c>
      <c r="G11" s="91">
        <f>SUM(E11:F11)</f>
        <v>0</v>
      </c>
      <c r="H11" s="29">
        <f>ROUND(D11+G11,1)</f>
        <v>0</v>
      </c>
      <c r="I11" s="2"/>
      <c r="J11" s="143"/>
      <c r="K11" s="88">
        <f>[3]缶類!$M$43
+[3]缶類!$R$43</f>
        <v>0</v>
      </c>
      <c r="L11" s="88">
        <f>[3]缶類!$N$43
+[3]缶類!$S$43</f>
        <v>0</v>
      </c>
      <c r="M11" s="88">
        <f>SUM(K11:L11)</f>
        <v>0</v>
      </c>
      <c r="N11" s="88">
        <f>[3]缶類!$O$43
+[3]缶類!$T$43</f>
        <v>0</v>
      </c>
      <c r="O11" s="88">
        <f>[3]缶類!$P$43
+[3]缶類!$U$43</f>
        <v>0</v>
      </c>
      <c r="P11" s="88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</row>
    <row r="13" spans="1:17" ht="17.25" customHeight="1" x14ac:dyDescent="0.15">
      <c r="A13" s="145"/>
      <c r="B13" s="91">
        <f>'[4]収集（全般）'!$Q$44</f>
        <v>0</v>
      </c>
      <c r="C13" s="91">
        <f>'[4]収集（全般）'!$R$44</f>
        <v>0</v>
      </c>
      <c r="D13" s="91">
        <f>SUM(B13:C13)</f>
        <v>0</v>
      </c>
      <c r="E13" s="91">
        <f>'[4]収集（全般）'!$S$44</f>
        <v>0</v>
      </c>
      <c r="F13" s="91">
        <f>'[4]収集（全般）'!$T$44</f>
        <v>0</v>
      </c>
      <c r="G13" s="93">
        <f>SUM(E13:F13)</f>
        <v>0</v>
      </c>
      <c r="H13" s="29">
        <f>ROUND(D13+G13,1)</f>
        <v>0</v>
      </c>
      <c r="I13" s="3"/>
      <c r="J13" s="142"/>
      <c r="K13" s="88">
        <f>[4]缶類!$M$43
+[4]缶類!$R$43</f>
        <v>0</v>
      </c>
      <c r="L13" s="88">
        <f>[4]缶類!$N$43
+[4]缶類!$S$43</f>
        <v>0</v>
      </c>
      <c r="M13" s="88">
        <f>SUM(K13:L13)</f>
        <v>0</v>
      </c>
      <c r="N13" s="88">
        <f>[4]缶類!$O$43
+[4]缶類!$T$43</f>
        <v>0</v>
      </c>
      <c r="O13" s="88">
        <f>[4]缶類!$P$43
+[4]缶類!$U$43</f>
        <v>0</v>
      </c>
      <c r="P13" s="90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</row>
    <row r="15" spans="1:17" ht="17.25" customHeight="1" x14ac:dyDescent="0.15">
      <c r="A15" s="138"/>
      <c r="B15" s="91">
        <f>'[5]収集（全般）'!$Q$44</f>
        <v>0</v>
      </c>
      <c r="C15" s="91">
        <f>'[5]収集（全般）'!$R$44</f>
        <v>0</v>
      </c>
      <c r="D15" s="91">
        <f>SUM(B15:C15)</f>
        <v>0</v>
      </c>
      <c r="E15" s="91">
        <f>'[5]収集（全般）'!$S$44</f>
        <v>0</v>
      </c>
      <c r="F15" s="91">
        <f>'[5]収集（全般）'!$T$44</f>
        <v>0</v>
      </c>
      <c r="G15" s="91">
        <f>SUM(E15:F15)</f>
        <v>0</v>
      </c>
      <c r="H15" s="29">
        <f>ROUND(D15+G15,1)</f>
        <v>0</v>
      </c>
      <c r="I15" s="2"/>
      <c r="J15" s="143"/>
      <c r="K15" s="88">
        <f>[5]缶類!$M$43
+[5]缶類!$R$43</f>
        <v>0</v>
      </c>
      <c r="L15" s="88">
        <f>[5]缶類!$N$43
+[5]缶類!$S$43</f>
        <v>0</v>
      </c>
      <c r="M15" s="88">
        <f>SUM(K15:L15)</f>
        <v>0</v>
      </c>
      <c r="N15" s="88">
        <f>[5]缶類!$O$43
+[5]缶類!$T$43</f>
        <v>0</v>
      </c>
      <c r="O15" s="88">
        <f>[5]缶類!$P$43
+[5]缶類!$U$43</f>
        <v>0</v>
      </c>
      <c r="P15" s="88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</row>
    <row r="17" spans="1:17" ht="17.25" customHeight="1" x14ac:dyDescent="0.15">
      <c r="A17" s="145"/>
      <c r="B17" s="91">
        <f>'[6]収集（全般）'!$Q$44</f>
        <v>0</v>
      </c>
      <c r="C17" s="91">
        <f>'[6]収集（全般）'!$R$44</f>
        <v>0</v>
      </c>
      <c r="D17" s="91">
        <f>SUM(B17:C17)</f>
        <v>0</v>
      </c>
      <c r="E17" s="91">
        <f>'[6]収集（全般）'!$S$44</f>
        <v>0</v>
      </c>
      <c r="F17" s="91">
        <f>'[6]収集（全般）'!$T$44</f>
        <v>0</v>
      </c>
      <c r="G17" s="91">
        <f>SUM(E17:F17)</f>
        <v>0</v>
      </c>
      <c r="H17" s="29">
        <f>ROUND(D17+G17,1)</f>
        <v>0</v>
      </c>
      <c r="I17" s="3"/>
      <c r="J17" s="142"/>
      <c r="K17" s="88">
        <f>[6]缶類!$M$43
+[6]缶類!$R$43</f>
        <v>0</v>
      </c>
      <c r="L17" s="88">
        <f>[6]缶類!$N$43
+[6]缶類!$S$43</f>
        <v>0</v>
      </c>
      <c r="M17" s="88">
        <f>SUM(K17:L17)</f>
        <v>0</v>
      </c>
      <c r="N17" s="88">
        <f>[6]缶類!$O$43
+[6]缶類!$T$43</f>
        <v>0</v>
      </c>
      <c r="O17" s="88">
        <f>[6]缶類!$P$43
+[6]缶類!$U$43</f>
        <v>0</v>
      </c>
      <c r="P17" s="88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7" ht="17.25" customHeight="1" x14ac:dyDescent="0.15">
      <c r="A19" s="138"/>
      <c r="B19" s="91">
        <f>'[7]収集（全般）'!$Q$44</f>
        <v>0</v>
      </c>
      <c r="C19" s="91">
        <f>'[7]収集（全般）'!$R$44</f>
        <v>0</v>
      </c>
      <c r="D19" s="91">
        <f>SUM(B19:C19)</f>
        <v>0</v>
      </c>
      <c r="E19" s="91">
        <f>'[7]収集（全般）'!$S$44</f>
        <v>0</v>
      </c>
      <c r="F19" s="91">
        <f>'[7]収集（全般）'!$T$44</f>
        <v>0</v>
      </c>
      <c r="G19" s="91">
        <f>SUM(E19:F19)</f>
        <v>0</v>
      </c>
      <c r="H19" s="29">
        <f>ROUND(D19+G19,1)</f>
        <v>0</v>
      </c>
      <c r="I19" s="2"/>
      <c r="J19" s="143"/>
      <c r="K19" s="88">
        <f>[7]缶類!$M$43
+[7]缶類!$R$43</f>
        <v>0</v>
      </c>
      <c r="L19" s="88">
        <f>[7]缶類!$N$43
+[7]缶類!$S$43</f>
        <v>0</v>
      </c>
      <c r="M19" s="88">
        <f>SUM(K19:L19)</f>
        <v>0</v>
      </c>
      <c r="N19" s="88">
        <f>[7]缶類!$O$43
+[7]缶類!$T$43</f>
        <v>0</v>
      </c>
      <c r="O19" s="88">
        <f>[7]缶類!$P$43
+[7]缶類!$U$43</f>
        <v>0</v>
      </c>
      <c r="P19" s="88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7" ht="17.25" customHeight="1" x14ac:dyDescent="0.15">
      <c r="A21" s="145"/>
      <c r="B21" s="91">
        <f>'[8]収集（全般）'!$Q$44</f>
        <v>0</v>
      </c>
      <c r="C21" s="91">
        <f>'[8]収集（全般）'!$R$44</f>
        <v>0</v>
      </c>
      <c r="D21" s="91">
        <f>SUM(B21:C21)</f>
        <v>0</v>
      </c>
      <c r="E21" s="91">
        <f>'[8]収集（全般）'!$S$44</f>
        <v>0</v>
      </c>
      <c r="F21" s="91">
        <f>'[8]収集（全般）'!$T$44</f>
        <v>0</v>
      </c>
      <c r="G21" s="91">
        <f>SUM(E21:F21)</f>
        <v>0</v>
      </c>
      <c r="H21" s="29">
        <f>ROUND(D21+G21,1)</f>
        <v>0</v>
      </c>
      <c r="I21" s="3"/>
      <c r="J21" s="142"/>
      <c r="K21" s="88">
        <f>[8]缶類!$M$43
+[8]缶類!$R$43</f>
        <v>0</v>
      </c>
      <c r="L21" s="88">
        <f>[8]缶類!$N$43
+[8]缶類!$S$43</f>
        <v>0</v>
      </c>
      <c r="M21" s="88">
        <f>SUM(K21:L21)</f>
        <v>0</v>
      </c>
      <c r="N21" s="88">
        <f>[8]缶類!$O$43
+[8]缶類!$T$43</f>
        <v>0</v>
      </c>
      <c r="O21" s="88">
        <f>[8]缶類!$P$43
+[8]缶類!$U$43</f>
        <v>0</v>
      </c>
      <c r="P21" s="90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7" ht="17.25" customHeight="1" x14ac:dyDescent="0.15">
      <c r="A23" s="138"/>
      <c r="B23" s="91">
        <f>'[9]収集（全般）'!$Q$44</f>
        <v>0</v>
      </c>
      <c r="C23" s="91">
        <f>'[9]収集（全般）'!$R$44</f>
        <v>0</v>
      </c>
      <c r="D23" s="91">
        <f>SUM(B23:C23)</f>
        <v>0</v>
      </c>
      <c r="E23" s="91">
        <f>'[9]収集（全般）'!$S$44</f>
        <v>0</v>
      </c>
      <c r="F23" s="91">
        <f>'[9]収集（全般）'!$T$44</f>
        <v>0</v>
      </c>
      <c r="G23" s="91">
        <f>SUM(E23:F23)</f>
        <v>0</v>
      </c>
      <c r="H23" s="29">
        <f>ROUND(D23+G23,1)</f>
        <v>0</v>
      </c>
      <c r="I23" s="2"/>
      <c r="J23" s="143"/>
      <c r="K23" s="88">
        <f>[9]缶類!$M$43
+[9]缶類!$R$43</f>
        <v>0</v>
      </c>
      <c r="L23" s="88">
        <f>[9]缶類!$N$43
+[9]缶類!$S$43</f>
        <v>0</v>
      </c>
      <c r="M23" s="88">
        <f>SUM(K23:L23)</f>
        <v>0</v>
      </c>
      <c r="N23" s="88">
        <f>[9]缶類!$O$43
+[9]缶類!$T$43</f>
        <v>0</v>
      </c>
      <c r="O23" s="88">
        <f>[9]缶類!$P$43
+[9]缶類!$U$43</f>
        <v>0</v>
      </c>
      <c r="P23" s="88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7" ht="17.25" customHeight="1" x14ac:dyDescent="0.15">
      <c r="A25" s="145"/>
      <c r="B25" s="91">
        <f>'[10]収集（全般）'!$Q$44</f>
        <v>0</v>
      </c>
      <c r="C25" s="91">
        <f>'[10]収集（全般）'!$R$44</f>
        <v>0</v>
      </c>
      <c r="D25" s="91">
        <f>SUM(B25:C25)</f>
        <v>0</v>
      </c>
      <c r="E25" s="91">
        <f>'[10]収集（全般）'!$S$44</f>
        <v>0</v>
      </c>
      <c r="F25" s="91">
        <f>'[10]収集（全般）'!$T$44</f>
        <v>0</v>
      </c>
      <c r="G25" s="93">
        <f>SUM(E25:F25)</f>
        <v>0</v>
      </c>
      <c r="H25" s="29">
        <f>ROUND(D25+G25,1)</f>
        <v>0</v>
      </c>
      <c r="I25" s="3"/>
      <c r="J25" s="142"/>
      <c r="K25" s="88">
        <f>[10]缶類!$M$43
+[10]缶類!$R$43</f>
        <v>0</v>
      </c>
      <c r="L25" s="88">
        <f>[10]缶類!$N$43
+[10]缶類!$S$43</f>
        <v>0</v>
      </c>
      <c r="M25" s="88">
        <f>SUM(K25:L25)</f>
        <v>0</v>
      </c>
      <c r="N25" s="88">
        <f>[10]缶類!$O$43
+[10]缶類!$T$43</f>
        <v>0</v>
      </c>
      <c r="O25" s="88">
        <f>[10]缶類!$P$43
+[10]缶類!$U$43</f>
        <v>0</v>
      </c>
      <c r="P25" s="88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7" ht="17.25" customHeight="1" x14ac:dyDescent="0.15">
      <c r="A27" s="138"/>
      <c r="B27" s="91">
        <f>'[11]収集（全般）'!$Q$44</f>
        <v>0</v>
      </c>
      <c r="C27" s="91">
        <f>'[11]収集（全般）'!$R$44</f>
        <v>0</v>
      </c>
      <c r="D27" s="91">
        <f>SUM(B27:C27)</f>
        <v>0</v>
      </c>
      <c r="E27" s="91">
        <f>'[11]収集（全般）'!$S$44</f>
        <v>0</v>
      </c>
      <c r="F27" s="91">
        <f>'[11]収集（全般）'!$T$44</f>
        <v>0</v>
      </c>
      <c r="G27" s="93">
        <f>SUM(E27:F27)</f>
        <v>0</v>
      </c>
      <c r="H27" s="29">
        <f>ROUND(D27+G27,1)</f>
        <v>0</v>
      </c>
      <c r="I27" s="2"/>
      <c r="J27" s="143"/>
      <c r="K27" s="88">
        <f>[11]缶類!$M$43
+[11]缶類!$R$43</f>
        <v>0</v>
      </c>
      <c r="L27" s="88">
        <f>[11]缶類!$N$43
+[11]缶類!$S$43</f>
        <v>0</v>
      </c>
      <c r="M27" s="88">
        <f>SUM(K27:L27)</f>
        <v>0</v>
      </c>
      <c r="N27" s="88">
        <f>[11]缶類!$O$43
+[11]缶類!$T$43</f>
        <v>0</v>
      </c>
      <c r="O27" s="88">
        <f>[11]缶類!$P$43
+[11]缶類!$U$43</f>
        <v>0</v>
      </c>
      <c r="P27" s="88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7" ht="17.25" customHeight="1" x14ac:dyDescent="0.15">
      <c r="A29" s="145"/>
      <c r="B29" s="93">
        <f>'[12]収集（全般）'!$Q$44</f>
        <v>0</v>
      </c>
      <c r="C29" s="93">
        <f>'[12]収集（全般）'!$R$44</f>
        <v>0</v>
      </c>
      <c r="D29" s="93">
        <f>SUM(B29:C29)</f>
        <v>0</v>
      </c>
      <c r="E29" s="93">
        <f>'[12]収集（全般）'!$S$44</f>
        <v>0</v>
      </c>
      <c r="F29" s="93">
        <f>'[12]収集（全般）'!$T$44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[12]缶類!$M$43
+[12]缶類!$R$43</f>
        <v>0</v>
      </c>
      <c r="L29" s="90">
        <f>[12]缶類!$N$43
+[12]缶類!$S$43</f>
        <v>0</v>
      </c>
      <c r="M29" s="90">
        <f>SUM(K29:L29)</f>
        <v>0</v>
      </c>
      <c r="N29" s="90">
        <f>[12]缶類!$O$43
+[12]缶類!$T$43</f>
        <v>0</v>
      </c>
      <c r="O29" s="90">
        <f>[12]缶類!$P$43
+[12]缶類!$U$43</f>
        <v>0</v>
      </c>
      <c r="P29" s="90">
        <f>SUM(N29:O29)</f>
        <v>0</v>
      </c>
      <c r="Q29" s="36">
        <f>ROUND(M29+P29,1)</f>
        <v>0</v>
      </c>
    </row>
    <row r="30" spans="1:17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7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7" ht="24" customHeight="1" x14ac:dyDescent="0.15">
      <c r="A32" s="146"/>
      <c r="B32" s="92">
        <f t="shared" ref="B32:G32" si="0">SUM(B7+B9+B11+B13+B15+B17+B19+B21+B23+B25+B27+B29)</f>
        <v>0</v>
      </c>
      <c r="C32" s="92">
        <f>SUM(C7+C9+C11+C13+C15+C17+C19+C21+C23+C25+C27+C29)</f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9">
    <mergeCell ref="A31:A32"/>
    <mergeCell ref="J31:J32"/>
    <mergeCell ref="A24:A25"/>
    <mergeCell ref="J24:J25"/>
    <mergeCell ref="A18:A19"/>
    <mergeCell ref="J18:J19"/>
    <mergeCell ref="A20:A21"/>
    <mergeCell ref="A26:A27"/>
    <mergeCell ref="J26:J27"/>
    <mergeCell ref="A28:A29"/>
    <mergeCell ref="J28:J29"/>
    <mergeCell ref="A12:A13"/>
    <mergeCell ref="J12:J13"/>
    <mergeCell ref="A14:A15"/>
    <mergeCell ref="J14:J15"/>
    <mergeCell ref="A22:A23"/>
    <mergeCell ref="J22:J23"/>
    <mergeCell ref="J20:J21"/>
    <mergeCell ref="A16:A17"/>
    <mergeCell ref="J16:J17"/>
    <mergeCell ref="A10:A11"/>
    <mergeCell ref="J10:J11"/>
    <mergeCell ref="B3:C3"/>
    <mergeCell ref="K3:L3"/>
    <mergeCell ref="A1:K1"/>
    <mergeCell ref="A6:A7"/>
    <mergeCell ref="J6:J7"/>
    <mergeCell ref="A8:A9"/>
    <mergeCell ref="J8:J9"/>
  </mergeCells>
  <phoneticPr fontId="2"/>
  <printOptions horizontalCentered="1" verticalCentered="1"/>
  <pageMargins left="0.39370078740157483" right="0.39370078740157483" top="0.39370078740157483" bottom="0.39370078740157483" header="0.51181102362204722" footer="0.51181102362204722"/>
  <pageSetup paperSize="9" orientation="landscape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DBCA-D823-46C4-92FC-DBC534D33539}"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【第1－5表】"</f>
        <v>令和9年度　一般廃棄物（ごみ）収集地区別集計表　　【第1－5表】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s="149" t="s">
        <v>39</v>
      </c>
      <c r="C3" s="149"/>
      <c r="K3" s="149" t="s">
        <v>40</v>
      </c>
      <c r="L3" s="149"/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91">
        <f>'[1]収集（全般）'!$V$44</f>
        <v>0</v>
      </c>
      <c r="C7" s="91">
        <f>'[1]収集（全般）'!$W$44</f>
        <v>0</v>
      </c>
      <c r="D7" s="91">
        <f>SUM(B7:C7)</f>
        <v>0</v>
      </c>
      <c r="E7" s="91">
        <f>'[1]収集（全般）'!$X$44</f>
        <v>0</v>
      </c>
      <c r="F7" s="91">
        <f>'[1]収集（全般）'!$Y$44</f>
        <v>0</v>
      </c>
      <c r="G7" s="91">
        <f>SUM(E7:F7)</f>
        <v>0</v>
      </c>
      <c r="H7" s="29">
        <f>ROUND(D7+G7,1)</f>
        <v>0</v>
      </c>
      <c r="I7" s="2"/>
      <c r="J7" s="143"/>
      <c r="K7" s="88">
        <f>[1]ペットボトル!$M$43
+[1]ペットボトル!$R$43</f>
        <v>0</v>
      </c>
      <c r="L7" s="88">
        <f>[1]ペットボトル!$N$43
+[1]ペットボトル!$S$43</f>
        <v>0</v>
      </c>
      <c r="M7" s="88">
        <f>SUM(K7:L7)</f>
        <v>0</v>
      </c>
      <c r="N7" s="88">
        <f>[1]ペットボトル!$O$43
+[1]ペットボトル!$T$43</f>
        <v>0</v>
      </c>
      <c r="O7" s="88">
        <f>[1]ペットボトル!$P$43
+[1]ペットボトル!$U$43</f>
        <v>0</v>
      </c>
      <c r="P7" s="88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</row>
    <row r="9" spans="1:17" ht="17.25" customHeight="1" x14ac:dyDescent="0.15">
      <c r="A9" s="145"/>
      <c r="B9" s="91">
        <f>'[2]収集（全般）'!$V$44</f>
        <v>0</v>
      </c>
      <c r="C9" s="91">
        <f>'[2]収集（全般）'!$W$44</f>
        <v>0</v>
      </c>
      <c r="D9" s="91">
        <f>SUM(B9:C9)</f>
        <v>0</v>
      </c>
      <c r="E9" s="91">
        <f>'[2]収集（全般）'!$X$44</f>
        <v>0</v>
      </c>
      <c r="F9" s="91">
        <f>'[2]収集（全般）'!$Y$44</f>
        <v>0</v>
      </c>
      <c r="G9" s="91">
        <f>SUM(E9:F9)</f>
        <v>0</v>
      </c>
      <c r="H9" s="29">
        <f>ROUND(D9+G9,1)</f>
        <v>0</v>
      </c>
      <c r="I9" s="3"/>
      <c r="J9" s="142"/>
      <c r="K9" s="88">
        <f>[2]ペットボトル!$M$43
+[2]ペットボトル!$R$43</f>
        <v>0</v>
      </c>
      <c r="L9" s="88">
        <f>[2]ペットボトル!$N$43
+[2]ペットボトル!$S$43</f>
        <v>0</v>
      </c>
      <c r="M9" s="88">
        <f>SUM(K9:L9)</f>
        <v>0</v>
      </c>
      <c r="N9" s="88">
        <f>[2]ペットボトル!$O$43
+[2]ペットボトル!$T$43</f>
        <v>0</v>
      </c>
      <c r="O9" s="88">
        <f>[2]ペットボトル!$P$43
+[2]ペットボトル!$U$43</f>
        <v>0</v>
      </c>
      <c r="P9" s="88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</row>
    <row r="11" spans="1:17" ht="17.25" customHeight="1" x14ac:dyDescent="0.15">
      <c r="A11" s="138"/>
      <c r="B11" s="91">
        <f>'[3]収集（全般）'!$V$44</f>
        <v>0</v>
      </c>
      <c r="C11" s="91">
        <f>'[3]収集（全般）'!$W$44</f>
        <v>0</v>
      </c>
      <c r="D11" s="91">
        <f>SUM(B11:C11)</f>
        <v>0</v>
      </c>
      <c r="E11" s="91">
        <f>'[3]収集（全般）'!$X$44</f>
        <v>0</v>
      </c>
      <c r="F11" s="91">
        <f>'[3]収集（全般）'!$Y$44</f>
        <v>0</v>
      </c>
      <c r="G11" s="91">
        <f>SUM(E11:F11)</f>
        <v>0</v>
      </c>
      <c r="H11" s="29">
        <f>ROUND(D11+G11,1)</f>
        <v>0</v>
      </c>
      <c r="I11" s="2"/>
      <c r="J11" s="143"/>
      <c r="K11" s="88">
        <f>[3]ペットボトル!$M$43
+[2]ペットボトル!$R$43</f>
        <v>0</v>
      </c>
      <c r="L11" s="88">
        <f>[3]ペットボトル!$N$43
+[2]ペットボトル!$S$43</f>
        <v>0</v>
      </c>
      <c r="M11" s="88">
        <f>SUM(K11:L11)</f>
        <v>0</v>
      </c>
      <c r="N11" s="88">
        <f>[3]ペットボトル!$O$43
+[2]ペットボトル!$T$43</f>
        <v>0</v>
      </c>
      <c r="O11" s="88">
        <f>[3]ペットボトル!$P$43
+[2]ペットボトル!$U$43</f>
        <v>0</v>
      </c>
      <c r="P11" s="88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</row>
    <row r="13" spans="1:17" ht="17.25" customHeight="1" x14ac:dyDescent="0.15">
      <c r="A13" s="145"/>
      <c r="B13" s="91">
        <f>'[4]収集（全般）'!$V$44</f>
        <v>0</v>
      </c>
      <c r="C13" s="91">
        <f>'[4]収集（全般）'!$W$44</f>
        <v>0</v>
      </c>
      <c r="D13" s="91">
        <f>SUM(B13:C13)</f>
        <v>0</v>
      </c>
      <c r="E13" s="91">
        <f>'[4]収集（全般）'!$X$44</f>
        <v>0</v>
      </c>
      <c r="F13" s="91">
        <f>'[4]収集（全般）'!$Y$44</f>
        <v>0</v>
      </c>
      <c r="G13" s="93">
        <f>SUM(E13:F13)</f>
        <v>0</v>
      </c>
      <c r="H13" s="29">
        <f>ROUND(D13+G13,1)</f>
        <v>0</v>
      </c>
      <c r="I13" s="3"/>
      <c r="J13" s="142"/>
      <c r="K13" s="88">
        <f>[4]ペットボトル!$M$43
+[4]ペットボトル!$R$43</f>
        <v>0</v>
      </c>
      <c r="L13" s="88">
        <f>[4]ペットボトル!$N$43
+[4]ペットボトル!$S$43</f>
        <v>0</v>
      </c>
      <c r="M13" s="88">
        <f>SUM(K13:L13)</f>
        <v>0</v>
      </c>
      <c r="N13" s="88">
        <f>[4]ペットボトル!$O$43
+[4]ペットボトル!$T$43</f>
        <v>0</v>
      </c>
      <c r="O13" s="88">
        <f>[4]ペットボトル!$P$43
+[4]ペットボトル!$U$43</f>
        <v>0</v>
      </c>
      <c r="P13" s="90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</row>
    <row r="15" spans="1:17" ht="17.25" customHeight="1" x14ac:dyDescent="0.15">
      <c r="A15" s="138"/>
      <c r="B15" s="91">
        <f>'[5]収集（全般）'!$V$44</f>
        <v>0</v>
      </c>
      <c r="C15" s="91">
        <f>'[5]収集（全般）'!$W$44</f>
        <v>0</v>
      </c>
      <c r="D15" s="91">
        <f>SUM(B15:C15)</f>
        <v>0</v>
      </c>
      <c r="E15" s="91">
        <f>'[5]収集（全般）'!$X$44</f>
        <v>0</v>
      </c>
      <c r="F15" s="91">
        <f>'[5]収集（全般）'!$Y$44</f>
        <v>0</v>
      </c>
      <c r="G15" s="91">
        <f>SUM(E15:F15)</f>
        <v>0</v>
      </c>
      <c r="H15" s="29">
        <f>ROUND(D15+G15,1)</f>
        <v>0</v>
      </c>
      <c r="I15" s="2"/>
      <c r="J15" s="143"/>
      <c r="K15" s="88">
        <f>[5]ペットボトル!$M$43
+[5]ペットボトル!$R$43</f>
        <v>0</v>
      </c>
      <c r="L15" s="88">
        <f>[5]ペットボトル!$N$43
+[5]ペットボトル!$S$43</f>
        <v>0</v>
      </c>
      <c r="M15" s="88">
        <f>SUM(K15:L15)</f>
        <v>0</v>
      </c>
      <c r="N15" s="88">
        <f>[5]ペットボトル!$O$43
+[5]ペットボトル!$T$43</f>
        <v>0</v>
      </c>
      <c r="O15" s="88">
        <f>[5]ペットボトル!$P$43
+[5]ペットボトル!$U$43</f>
        <v>0</v>
      </c>
      <c r="P15" s="88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</row>
    <row r="17" spans="1:17" ht="17.25" customHeight="1" x14ac:dyDescent="0.15">
      <c r="A17" s="145"/>
      <c r="B17" s="91">
        <f>'[6]収集（全般）'!$V$44</f>
        <v>0</v>
      </c>
      <c r="C17" s="91">
        <f>'[6]収集（全般）'!$W$44</f>
        <v>0</v>
      </c>
      <c r="D17" s="91">
        <f>SUM(B17:C17)</f>
        <v>0</v>
      </c>
      <c r="E17" s="91">
        <f>'[6]収集（全般）'!$X$44</f>
        <v>0</v>
      </c>
      <c r="F17" s="91">
        <f>'[6]収集（全般）'!$Y$44</f>
        <v>0</v>
      </c>
      <c r="G17" s="91">
        <f>SUM(E17:F17)</f>
        <v>0</v>
      </c>
      <c r="H17" s="29">
        <f>ROUND(D17+G17,1)</f>
        <v>0</v>
      </c>
      <c r="I17" s="3"/>
      <c r="J17" s="142"/>
      <c r="K17" s="88">
        <f>[6]ペットボトル!$M$43
+[6]ペットボトル!$R$43</f>
        <v>0</v>
      </c>
      <c r="L17" s="88">
        <f>[6]ペットボトル!$N$43
+[6]ペットボトル!$S$43</f>
        <v>0</v>
      </c>
      <c r="M17" s="88">
        <f>SUM(K17:L17)</f>
        <v>0</v>
      </c>
      <c r="N17" s="88">
        <f>[6]ペットボトル!$O$43
+[6]ペットボトル!$T$43</f>
        <v>0</v>
      </c>
      <c r="O17" s="88">
        <f>[6]ペットボトル!$P$43
+[6]ペットボトル!$U$43</f>
        <v>0</v>
      </c>
      <c r="P17" s="88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7" ht="17.25" customHeight="1" x14ac:dyDescent="0.15">
      <c r="A19" s="138"/>
      <c r="B19" s="91">
        <f>'[7]収集（全般）'!$V$44</f>
        <v>0</v>
      </c>
      <c r="C19" s="91">
        <f>'[7]収集（全般）'!$W$44</f>
        <v>0</v>
      </c>
      <c r="D19" s="91">
        <f>SUM(B19:C19)</f>
        <v>0</v>
      </c>
      <c r="E19" s="91">
        <f>'[7]収集（全般）'!$X$44</f>
        <v>0</v>
      </c>
      <c r="F19" s="91">
        <f>'[7]収集（全般）'!$Y$44</f>
        <v>0</v>
      </c>
      <c r="G19" s="91">
        <f>SUM(E19:F19)</f>
        <v>0</v>
      </c>
      <c r="H19" s="29">
        <f>ROUND(D19+G19,1)</f>
        <v>0</v>
      </c>
      <c r="I19" s="2"/>
      <c r="J19" s="143"/>
      <c r="K19" s="88">
        <f>[7]ペットボトル!$M$43
+[6]ペットボトル!$R$43</f>
        <v>0</v>
      </c>
      <c r="L19" s="88">
        <f>[7]ペットボトル!$M$43
+[6]ペットボトル!$R$43</f>
        <v>0</v>
      </c>
      <c r="M19" s="88">
        <f>SUM(K19:L19)</f>
        <v>0</v>
      </c>
      <c r="N19" s="88">
        <f>[7]ペットボトル!$M$43
+[6]ペットボトル!$R$43</f>
        <v>0</v>
      </c>
      <c r="O19" s="88">
        <f>[7]ペットボトル!$M$43
+[6]ペットボトル!$R$43</f>
        <v>0</v>
      </c>
      <c r="P19" s="88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7" ht="17.25" customHeight="1" x14ac:dyDescent="0.15">
      <c r="A21" s="145"/>
      <c r="B21" s="91">
        <f>'[8]収集（全般）'!$V$44</f>
        <v>0</v>
      </c>
      <c r="C21" s="91">
        <f>'[8]収集（全般）'!$W$44</f>
        <v>0</v>
      </c>
      <c r="D21" s="91">
        <f>SUM(B21:C21)</f>
        <v>0</v>
      </c>
      <c r="E21" s="91">
        <f>'[8]収集（全般）'!$X$44</f>
        <v>0</v>
      </c>
      <c r="F21" s="91">
        <f>'[8]収集（全般）'!$Y$44</f>
        <v>0</v>
      </c>
      <c r="G21" s="91">
        <f>SUM(E21:F21)</f>
        <v>0</v>
      </c>
      <c r="H21" s="29">
        <f>ROUND(D21+G21,1)</f>
        <v>0</v>
      </c>
      <c r="I21" s="3"/>
      <c r="J21" s="142"/>
      <c r="K21" s="88">
        <f>[8]ペットボトル!$M$43
+[8]ペットボトル!$R$43</f>
        <v>0</v>
      </c>
      <c r="L21" s="88">
        <f>[8]ペットボトル!$N$43
+[8]ペットボトル!$S$43</f>
        <v>0</v>
      </c>
      <c r="M21" s="88">
        <f>SUM(K21:L21)</f>
        <v>0</v>
      </c>
      <c r="N21" s="88">
        <f>[8]ペットボトル!$O$43
+[8]ペットボトル!$T$43</f>
        <v>0</v>
      </c>
      <c r="O21" s="88">
        <f>[8]ペットボトル!$P$43
+[8]ペットボトル!$U$43</f>
        <v>0</v>
      </c>
      <c r="P21" s="90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7" ht="17.25" customHeight="1" x14ac:dyDescent="0.15">
      <c r="A23" s="138"/>
      <c r="B23" s="91">
        <f>'[9]収集（全般）'!$V$44</f>
        <v>0</v>
      </c>
      <c r="C23" s="91">
        <f>'[9]収集（全般）'!$W$44</f>
        <v>0</v>
      </c>
      <c r="D23" s="91">
        <f>SUM(B23:C23)</f>
        <v>0</v>
      </c>
      <c r="E23" s="91">
        <f>'[9]収集（全般）'!$X$44</f>
        <v>0</v>
      </c>
      <c r="F23" s="91">
        <f>'[9]収集（全般）'!$Y$44</f>
        <v>0</v>
      </c>
      <c r="G23" s="91">
        <f>SUM(E23:F23)</f>
        <v>0</v>
      </c>
      <c r="H23" s="29">
        <f>ROUND(D23+G23,1)</f>
        <v>0</v>
      </c>
      <c r="I23" s="2"/>
      <c r="J23" s="143"/>
      <c r="K23" s="88">
        <f>[9]ペットボトル!$M$43
+[9]ペットボトル!$R$43</f>
        <v>0</v>
      </c>
      <c r="L23" s="88">
        <f>[9]ペットボトル!$N$43
+[9]ペットボトル!$S$43</f>
        <v>0</v>
      </c>
      <c r="M23" s="88">
        <f>SUM(K23:L23)</f>
        <v>0</v>
      </c>
      <c r="N23" s="88">
        <f>[9]ペットボトル!$O$43
+[9]ペットボトル!$T$43</f>
        <v>0</v>
      </c>
      <c r="O23" s="88">
        <f>[9]ペットボトル!$P$43
+[9]ペットボトル!$U$43</f>
        <v>0</v>
      </c>
      <c r="P23" s="88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7" ht="17.25" customHeight="1" x14ac:dyDescent="0.15">
      <c r="A25" s="145"/>
      <c r="B25" s="91">
        <f>'[10]収集（全般）'!$V$44</f>
        <v>0</v>
      </c>
      <c r="C25" s="91">
        <f>'[10]収集（全般）'!$W$44</f>
        <v>0</v>
      </c>
      <c r="D25" s="91">
        <f>SUM(B25:C25)</f>
        <v>0</v>
      </c>
      <c r="E25" s="91">
        <f>'[10]収集（全般）'!$X$44</f>
        <v>0</v>
      </c>
      <c r="F25" s="91">
        <f>'[10]収集（全般）'!$Y$44</f>
        <v>0</v>
      </c>
      <c r="G25" s="93">
        <f>SUM(E25:F25)</f>
        <v>0</v>
      </c>
      <c r="H25" s="29">
        <f>ROUND(D25+G25,1)</f>
        <v>0</v>
      </c>
      <c r="I25" s="3"/>
      <c r="J25" s="142"/>
      <c r="K25" s="88">
        <f>[10]ペットボトル!$M$43
+[10]ペットボトル!$R$43</f>
        <v>0</v>
      </c>
      <c r="L25" s="88">
        <f>[10]ペットボトル!$N$43
+[10]ペットボトル!$S$43</f>
        <v>0</v>
      </c>
      <c r="M25" s="88">
        <f>SUM(K25:L25)</f>
        <v>0</v>
      </c>
      <c r="N25" s="88">
        <f>[10]ペットボトル!$O$43
+[10]ペットボトル!$T$43</f>
        <v>0</v>
      </c>
      <c r="O25" s="88">
        <f>[10]ペットボトル!$P$43
+[10]ペットボトル!$U$43</f>
        <v>0</v>
      </c>
      <c r="P25" s="88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7" ht="17.25" customHeight="1" x14ac:dyDescent="0.15">
      <c r="A27" s="138"/>
      <c r="B27" s="91">
        <f>'[11]収集（全般）'!$V$44</f>
        <v>0</v>
      </c>
      <c r="C27" s="91">
        <f>'[11]収集（全般）'!$W$44</f>
        <v>0</v>
      </c>
      <c r="D27" s="91">
        <f>SUM(B27:C27)</f>
        <v>0</v>
      </c>
      <c r="E27" s="91">
        <f>'[11]収集（全般）'!$X$44</f>
        <v>0</v>
      </c>
      <c r="F27" s="91">
        <f>'[11]収集（全般）'!$Y$44</f>
        <v>0</v>
      </c>
      <c r="G27" s="93">
        <f>SUM(E27:F27)</f>
        <v>0</v>
      </c>
      <c r="H27" s="29">
        <f>ROUND(D27+G27,1)</f>
        <v>0</v>
      </c>
      <c r="I27" s="2"/>
      <c r="J27" s="143"/>
      <c r="K27" s="88">
        <f>[11]ペットボトル!$M$43
+[11]ペットボトル!$R$43</f>
        <v>0</v>
      </c>
      <c r="L27" s="88">
        <f>[11]ペットボトル!$N$43
+[11]ペットボトル!$S$43</f>
        <v>0</v>
      </c>
      <c r="M27" s="88">
        <f>SUM(K27:L27)</f>
        <v>0</v>
      </c>
      <c r="N27" s="88">
        <f>[11]ペットボトル!$O$43
+[11]ペットボトル!$T$43</f>
        <v>0</v>
      </c>
      <c r="O27" s="88">
        <f>[11]ペットボトル!$P$43
+[11]ペットボトル!$U$43</f>
        <v>0</v>
      </c>
      <c r="P27" s="88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7" ht="17.25" customHeight="1" x14ac:dyDescent="0.15">
      <c r="A29" s="145"/>
      <c r="B29" s="93">
        <f>'[12]収集（全般）'!$V$44</f>
        <v>0</v>
      </c>
      <c r="C29" s="93">
        <f>'[12]収集（全般）'!$W$44</f>
        <v>0</v>
      </c>
      <c r="D29" s="93">
        <f>SUM(B29:C29)</f>
        <v>0</v>
      </c>
      <c r="E29" s="93">
        <f>'[12]収集（全般）'!$X$44</f>
        <v>0</v>
      </c>
      <c r="F29" s="93">
        <f>'[12]収集（全般）'!$Y$44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[12]ペットボトル!$M$43
+[12]ペットボトル!$R$43</f>
        <v>0</v>
      </c>
      <c r="L29" s="90">
        <f>[12]ペットボトル!$N$43
+[12]ペットボトル!$S$43</f>
        <v>0</v>
      </c>
      <c r="M29" s="90">
        <f>SUM(K29:L29)</f>
        <v>0</v>
      </c>
      <c r="N29" s="90">
        <f>[12]ペットボトル!$O$43
+[12]ペットボトル!$T$43</f>
        <v>0</v>
      </c>
      <c r="O29" s="90">
        <f>[12]ペットボトル!$P$43
+[12]ペットボトル!$U$43</f>
        <v>0</v>
      </c>
      <c r="P29" s="90">
        <f>SUM(N29:O29)</f>
        <v>0</v>
      </c>
      <c r="Q29" s="36">
        <f>ROUND(M29+P29,1)</f>
        <v>0</v>
      </c>
    </row>
    <row r="30" spans="1:17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7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7" ht="24" customHeight="1" x14ac:dyDescent="0.15">
      <c r="A32" s="146"/>
      <c r="B32" s="92">
        <f t="shared" ref="B32:G32" si="0">SUM(B7+B9+B11+B13+B15+B17+B19+B21+B23+B25+B27+B29)</f>
        <v>0</v>
      </c>
      <c r="C32" s="92">
        <f t="shared" si="0"/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9">
    <mergeCell ref="A1:K1"/>
    <mergeCell ref="A6:A7"/>
    <mergeCell ref="J6:J7"/>
    <mergeCell ref="A8:A9"/>
    <mergeCell ref="J8:J9"/>
    <mergeCell ref="A10:A11"/>
    <mergeCell ref="J10:J11"/>
    <mergeCell ref="B3:C3"/>
    <mergeCell ref="K3:L3"/>
    <mergeCell ref="J26:J27"/>
    <mergeCell ref="A12:A13"/>
    <mergeCell ref="J12:J13"/>
    <mergeCell ref="A14:A15"/>
    <mergeCell ref="J14:J15"/>
    <mergeCell ref="A22:A23"/>
    <mergeCell ref="J22:J23"/>
    <mergeCell ref="J20:J21"/>
    <mergeCell ref="A16:A17"/>
    <mergeCell ref="J16:J17"/>
    <mergeCell ref="A31:A32"/>
    <mergeCell ref="J31:J32"/>
    <mergeCell ref="A24:A25"/>
    <mergeCell ref="J24:J25"/>
    <mergeCell ref="A18:A19"/>
    <mergeCell ref="J18:J19"/>
    <mergeCell ref="A20:A21"/>
    <mergeCell ref="A26:A27"/>
    <mergeCell ref="A28:A29"/>
    <mergeCell ref="J28:J29"/>
  </mergeCells>
  <phoneticPr fontId="2"/>
  <printOptions horizontalCentered="1" verticalCentered="1"/>
  <pageMargins left="0.39370078740157483" right="0.39370078740157483" top="0.39370078740157483" bottom="0.39370078740157483" header="0.51181102362204722" footer="0.51181102362204722"/>
  <pageSetup paperSize="9" orientation="landscape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9FFC-698D-49B4-8547-AFDC672978DB}"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【第1－6表】"</f>
        <v>令和9年度　一般廃棄物（ごみ）収集地区別集計表　　【第1－6表】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s="149" t="s">
        <v>28</v>
      </c>
      <c r="C3" s="149"/>
      <c r="K3" s="149" t="s">
        <v>29</v>
      </c>
      <c r="L3" s="149"/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91">
        <f>'[1]収集（全般）'!$AA$44</f>
        <v>0</v>
      </c>
      <c r="C7" s="91">
        <f>'[1]収集（全般）'!$AB$44</f>
        <v>0</v>
      </c>
      <c r="D7" s="91">
        <f>SUM(B7:C7)</f>
        <v>0</v>
      </c>
      <c r="E7" s="91">
        <f>'[1]収集（全般）'!$AC$44</f>
        <v>0</v>
      </c>
      <c r="F7" s="91">
        <f>'[1]収集（全般）'!$AD$44</f>
        <v>0</v>
      </c>
      <c r="G7" s="91">
        <f>SUM(E7:F7)</f>
        <v>0</v>
      </c>
      <c r="H7" s="29">
        <f>ROUND(D7+G7,1)</f>
        <v>0</v>
      </c>
      <c r="I7" s="2"/>
      <c r="J7" s="143"/>
      <c r="K7" s="88">
        <f>[1]紙類!$R$43</f>
        <v>0</v>
      </c>
      <c r="L7" s="88">
        <f>[1]紙類!$S$43</f>
        <v>0</v>
      </c>
      <c r="M7" s="88">
        <f>SUM(K7:L7)</f>
        <v>0</v>
      </c>
      <c r="N7" s="88">
        <f>[1]紙類!$T$43</f>
        <v>0</v>
      </c>
      <c r="O7" s="88">
        <f>[1]紙類!$U$43</f>
        <v>0</v>
      </c>
      <c r="P7" s="88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</row>
    <row r="9" spans="1:17" ht="17.25" customHeight="1" x14ac:dyDescent="0.15">
      <c r="A9" s="145"/>
      <c r="B9" s="91">
        <f>'[2]収集（全般）'!$AA$44</f>
        <v>0</v>
      </c>
      <c r="C9" s="91">
        <f>'[2]収集（全般）'!$AB$44</f>
        <v>0</v>
      </c>
      <c r="D9" s="91">
        <f>SUM(B9:C9)</f>
        <v>0</v>
      </c>
      <c r="E9" s="91">
        <f>'[2]収集（全般）'!$AC$44</f>
        <v>0</v>
      </c>
      <c r="F9" s="91">
        <f>'[2]収集（全般）'!$AD$44</f>
        <v>0</v>
      </c>
      <c r="G9" s="91">
        <f>SUM(E9:F9)</f>
        <v>0</v>
      </c>
      <c r="H9" s="29">
        <f>ROUND(D9+G9,1)</f>
        <v>0</v>
      </c>
      <c r="I9" s="3"/>
      <c r="J9" s="142"/>
      <c r="K9" s="88">
        <f>[2]紙類!$R$43</f>
        <v>0</v>
      </c>
      <c r="L9" s="88">
        <f>[2]紙類!$S$43</f>
        <v>0</v>
      </c>
      <c r="M9" s="88">
        <f>SUM(K9:L9)</f>
        <v>0</v>
      </c>
      <c r="N9" s="88">
        <f>[2]紙類!$T$43</f>
        <v>0</v>
      </c>
      <c r="O9" s="88">
        <f>[2]紙類!$U$43</f>
        <v>0</v>
      </c>
      <c r="P9" s="88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</row>
    <row r="11" spans="1:17" ht="17.25" customHeight="1" x14ac:dyDescent="0.15">
      <c r="A11" s="138"/>
      <c r="B11" s="91">
        <f>'[3]収集（全般）'!$AA$44</f>
        <v>0</v>
      </c>
      <c r="C11" s="91">
        <f>'[3]収集（全般）'!$AB$44</f>
        <v>0</v>
      </c>
      <c r="D11" s="91">
        <f>SUM(B11:C11)</f>
        <v>0</v>
      </c>
      <c r="E11" s="91">
        <f>'[3]収集（全般）'!$AC$44</f>
        <v>0</v>
      </c>
      <c r="F11" s="91">
        <f>'[3]収集（全般）'!$AD$44</f>
        <v>0</v>
      </c>
      <c r="G11" s="91">
        <f>SUM(E11:F11)</f>
        <v>0</v>
      </c>
      <c r="H11" s="29">
        <f>ROUND(D11+G11,1)</f>
        <v>0</v>
      </c>
      <c r="I11" s="2"/>
      <c r="J11" s="143"/>
      <c r="K11" s="88">
        <f>[3]紙類!$R$43</f>
        <v>0</v>
      </c>
      <c r="L11" s="88">
        <f>[3]紙類!$S$43</f>
        <v>0</v>
      </c>
      <c r="M11" s="88">
        <f>SUM(K11:L11)</f>
        <v>0</v>
      </c>
      <c r="N11" s="88">
        <f>[3]紙類!$T$43</f>
        <v>0</v>
      </c>
      <c r="O11" s="88">
        <f>[3]紙類!$U$43</f>
        <v>0</v>
      </c>
      <c r="P11" s="88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</row>
    <row r="13" spans="1:17" ht="17.25" customHeight="1" x14ac:dyDescent="0.15">
      <c r="A13" s="145"/>
      <c r="B13" s="91">
        <f>'[4]収集（全般）'!$AA$44</f>
        <v>0</v>
      </c>
      <c r="C13" s="91">
        <f>'[4]収集（全般）'!$AB$44</f>
        <v>0</v>
      </c>
      <c r="D13" s="91">
        <f>SUM(B13:C13)</f>
        <v>0</v>
      </c>
      <c r="E13" s="91">
        <f>'[4]収集（全般）'!$AC$44</f>
        <v>0</v>
      </c>
      <c r="F13" s="91">
        <f>'[4]収集（全般）'!$AD$44</f>
        <v>0</v>
      </c>
      <c r="G13" s="93">
        <f>SUM(E13:F13)</f>
        <v>0</v>
      </c>
      <c r="H13" s="29">
        <f>ROUND(D13+G13,1)</f>
        <v>0</v>
      </c>
      <c r="I13" s="3"/>
      <c r="J13" s="142"/>
      <c r="K13" s="88">
        <f>[4]紙類!$R$43</f>
        <v>0</v>
      </c>
      <c r="L13" s="88">
        <f>[4]紙類!$S$43</f>
        <v>0</v>
      </c>
      <c r="M13" s="88">
        <f>SUM(K13:L13)</f>
        <v>0</v>
      </c>
      <c r="N13" s="88">
        <f>[4]紙類!$T$43</f>
        <v>0</v>
      </c>
      <c r="O13" s="88">
        <f>[4]紙類!$U$43</f>
        <v>0</v>
      </c>
      <c r="P13" s="90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</row>
    <row r="15" spans="1:17" ht="17.25" customHeight="1" x14ac:dyDescent="0.15">
      <c r="A15" s="138"/>
      <c r="B15" s="91">
        <f>'[5]収集（全般）'!$AA$44</f>
        <v>0</v>
      </c>
      <c r="C15" s="91">
        <f>'[5]収集（全般）'!$AB$44</f>
        <v>0</v>
      </c>
      <c r="D15" s="91">
        <f>SUM(B15:C15)</f>
        <v>0</v>
      </c>
      <c r="E15" s="91">
        <f>'[5]収集（全般）'!$AC$44</f>
        <v>0</v>
      </c>
      <c r="F15" s="91">
        <f>'[5]収集（全般）'!$AD$44</f>
        <v>0</v>
      </c>
      <c r="G15" s="91">
        <f>SUM(E15:F15)</f>
        <v>0</v>
      </c>
      <c r="H15" s="29">
        <f>ROUND(D15+G15,1)</f>
        <v>0</v>
      </c>
      <c r="I15" s="2"/>
      <c r="J15" s="143"/>
      <c r="K15" s="88">
        <f>[5]紙類!$R$43</f>
        <v>0</v>
      </c>
      <c r="L15" s="88">
        <f>[5]紙類!$S$43</f>
        <v>0</v>
      </c>
      <c r="M15" s="88">
        <f>SUM(K15:L15)</f>
        <v>0</v>
      </c>
      <c r="N15" s="88">
        <f>[5]紙類!$T$43</f>
        <v>0</v>
      </c>
      <c r="O15" s="88">
        <f>[5]紙類!$U$43</f>
        <v>0</v>
      </c>
      <c r="P15" s="88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</row>
    <row r="17" spans="1:17" ht="17.25" customHeight="1" x14ac:dyDescent="0.15">
      <c r="A17" s="145"/>
      <c r="B17" s="91">
        <f>'[6]収集（全般）'!$AA$44</f>
        <v>0</v>
      </c>
      <c r="C17" s="91">
        <f>'[6]収集（全般）'!$AB$44</f>
        <v>0</v>
      </c>
      <c r="D17" s="91">
        <f>SUM(B17:C17)</f>
        <v>0</v>
      </c>
      <c r="E17" s="91">
        <f>'[6]収集（全般）'!$AC$44</f>
        <v>0</v>
      </c>
      <c r="F17" s="91">
        <f>'[6]収集（全般）'!$AD$44</f>
        <v>0</v>
      </c>
      <c r="G17" s="91">
        <f>SUM(E17:F17)</f>
        <v>0</v>
      </c>
      <c r="H17" s="29">
        <f>ROUND(D17+G17,1)</f>
        <v>0</v>
      </c>
      <c r="I17" s="3"/>
      <c r="J17" s="142"/>
      <c r="K17" s="88">
        <f>[6]紙類!$R$43</f>
        <v>0</v>
      </c>
      <c r="L17" s="88">
        <f>[6]紙類!$S$43</f>
        <v>0</v>
      </c>
      <c r="M17" s="88">
        <f>SUM(K17:L17)</f>
        <v>0</v>
      </c>
      <c r="N17" s="88">
        <f>[6]紙類!$T$43</f>
        <v>0</v>
      </c>
      <c r="O17" s="88">
        <f>[6]紙類!$U$43</f>
        <v>0</v>
      </c>
      <c r="P17" s="88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7" ht="17.25" customHeight="1" x14ac:dyDescent="0.15">
      <c r="A19" s="138"/>
      <c r="B19" s="91">
        <f>'[7]収集（全般）'!$AA$44</f>
        <v>0</v>
      </c>
      <c r="C19" s="91">
        <f>'[7]収集（全般）'!$AB$44</f>
        <v>0</v>
      </c>
      <c r="D19" s="91">
        <f>SUM(B19:C19)</f>
        <v>0</v>
      </c>
      <c r="E19" s="91">
        <f>'[7]収集（全般）'!$AC$44</f>
        <v>0</v>
      </c>
      <c r="F19" s="91">
        <f>'[7]収集（全般）'!$AD$44</f>
        <v>0</v>
      </c>
      <c r="G19" s="91">
        <f>SUM(E19:F19)</f>
        <v>0</v>
      </c>
      <c r="H19" s="29">
        <f>ROUND(D19+G19,1)</f>
        <v>0</v>
      </c>
      <c r="I19" s="2"/>
      <c r="J19" s="143"/>
      <c r="K19" s="88">
        <f>[7]紙類!$R$43</f>
        <v>0</v>
      </c>
      <c r="L19" s="88">
        <f>[7]紙類!$S$43</f>
        <v>0</v>
      </c>
      <c r="M19" s="88">
        <f>SUM(K19:L19)</f>
        <v>0</v>
      </c>
      <c r="N19" s="88">
        <f>[7]紙類!$T$43</f>
        <v>0</v>
      </c>
      <c r="O19" s="88">
        <f>[7]紙類!$U$43</f>
        <v>0</v>
      </c>
      <c r="P19" s="88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7" ht="17.25" customHeight="1" x14ac:dyDescent="0.15">
      <c r="A21" s="145"/>
      <c r="B21" s="91">
        <f>'[8]収集（全般）'!$AA$44</f>
        <v>0</v>
      </c>
      <c r="C21" s="91">
        <f>'[8]収集（全般）'!$AB$44</f>
        <v>0</v>
      </c>
      <c r="D21" s="91">
        <f>SUM(B21:C21)</f>
        <v>0</v>
      </c>
      <c r="E21" s="91">
        <f>'[8]収集（全般）'!$AC$44</f>
        <v>0</v>
      </c>
      <c r="F21" s="91">
        <f>'[8]収集（全般）'!$AD$44</f>
        <v>0</v>
      </c>
      <c r="G21" s="91">
        <f>SUM(E21:F21)</f>
        <v>0</v>
      </c>
      <c r="H21" s="29">
        <f>ROUND(D21+G21,1)</f>
        <v>0</v>
      </c>
      <c r="I21" s="3"/>
      <c r="J21" s="142"/>
      <c r="K21" s="88">
        <f>[8]紙類!$R$43</f>
        <v>0</v>
      </c>
      <c r="L21" s="88">
        <f>[8]紙類!$S$43</f>
        <v>0</v>
      </c>
      <c r="M21" s="88">
        <f>SUM(K21:L21)</f>
        <v>0</v>
      </c>
      <c r="N21" s="88">
        <f>[8]紙類!$T$43</f>
        <v>0</v>
      </c>
      <c r="O21" s="88">
        <f>[8]紙類!$U$43</f>
        <v>0</v>
      </c>
      <c r="P21" s="90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7" ht="17.25" customHeight="1" x14ac:dyDescent="0.15">
      <c r="A23" s="138"/>
      <c r="B23" s="91">
        <f>'[9]収集（全般）'!$AA$44</f>
        <v>0</v>
      </c>
      <c r="C23" s="91">
        <f>'[9]収集（全般）'!$AB$44</f>
        <v>0</v>
      </c>
      <c r="D23" s="91">
        <f>SUM(B23:C23)</f>
        <v>0</v>
      </c>
      <c r="E23" s="91">
        <f>'[9]収集（全般）'!$AC$44</f>
        <v>0</v>
      </c>
      <c r="F23" s="91">
        <f>'[9]収集（全般）'!$AD$44</f>
        <v>0</v>
      </c>
      <c r="G23" s="91">
        <f>SUM(E23:F23)</f>
        <v>0</v>
      </c>
      <c r="H23" s="29">
        <f>ROUND(D23+G23,1)</f>
        <v>0</v>
      </c>
      <c r="I23" s="2"/>
      <c r="J23" s="143"/>
      <c r="K23" s="88">
        <f>[9]紙類!$R$43</f>
        <v>0</v>
      </c>
      <c r="L23" s="88">
        <f>[9]紙類!$S$43</f>
        <v>0</v>
      </c>
      <c r="M23" s="88">
        <f>SUM(K23:L23)</f>
        <v>0</v>
      </c>
      <c r="N23" s="88">
        <f>[9]紙類!$T$43</f>
        <v>0</v>
      </c>
      <c r="O23" s="88">
        <f>[9]紙類!$U$43</f>
        <v>0</v>
      </c>
      <c r="P23" s="88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7" ht="17.25" customHeight="1" x14ac:dyDescent="0.15">
      <c r="A25" s="145"/>
      <c r="B25" s="91">
        <f>'[10]収集（全般）'!$AA$44</f>
        <v>0</v>
      </c>
      <c r="C25" s="91">
        <f>'[10]収集（全般）'!$AB$44</f>
        <v>0</v>
      </c>
      <c r="D25" s="91">
        <f>SUM(B25:C25)</f>
        <v>0</v>
      </c>
      <c r="E25" s="91">
        <f>'[10]収集（全般）'!$AC$44</f>
        <v>0</v>
      </c>
      <c r="F25" s="91">
        <f>'[10]収集（全般）'!$AD$44</f>
        <v>0</v>
      </c>
      <c r="G25" s="93">
        <f>SUM(E25:F25)</f>
        <v>0</v>
      </c>
      <c r="H25" s="29">
        <f>ROUND(D25+G25,1)</f>
        <v>0</v>
      </c>
      <c r="I25" s="3"/>
      <c r="J25" s="142"/>
      <c r="K25" s="88">
        <f>[10]紙類!$R$43</f>
        <v>0</v>
      </c>
      <c r="L25" s="88">
        <f>[10]紙類!$S$43</f>
        <v>0</v>
      </c>
      <c r="M25" s="88">
        <f>SUM(K25:L25)</f>
        <v>0</v>
      </c>
      <c r="N25" s="88">
        <f>[10]紙類!$T$43</f>
        <v>0</v>
      </c>
      <c r="O25" s="88">
        <f>[10]紙類!$U$43</f>
        <v>0</v>
      </c>
      <c r="P25" s="88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7" ht="17.25" customHeight="1" x14ac:dyDescent="0.15">
      <c r="A27" s="138"/>
      <c r="B27" s="91">
        <f>'[11]収集（全般）'!$AA$44</f>
        <v>0</v>
      </c>
      <c r="C27" s="91">
        <f>'[11]収集（全般）'!$AB$44</f>
        <v>0</v>
      </c>
      <c r="D27" s="91">
        <f>SUM(B27:C27)</f>
        <v>0</v>
      </c>
      <c r="E27" s="91">
        <f>'[11]収集（全般）'!$AC$44</f>
        <v>0</v>
      </c>
      <c r="F27" s="91">
        <f>'[11]収集（全般）'!$AD$44</f>
        <v>0</v>
      </c>
      <c r="G27" s="93">
        <f>SUM(E27:F27)</f>
        <v>0</v>
      </c>
      <c r="H27" s="29">
        <f>ROUND(D27+G27,1)</f>
        <v>0</v>
      </c>
      <c r="I27" s="2"/>
      <c r="J27" s="143"/>
      <c r="K27" s="88">
        <f>[11]紙類!$R$43</f>
        <v>0</v>
      </c>
      <c r="L27" s="88">
        <f>[11]紙類!$S$43</f>
        <v>0</v>
      </c>
      <c r="M27" s="88">
        <f>SUM(K27:L27)</f>
        <v>0</v>
      </c>
      <c r="N27" s="88">
        <f>[11]紙類!$T$43</f>
        <v>0</v>
      </c>
      <c r="O27" s="88">
        <f>[11]紙類!$U$43</f>
        <v>0</v>
      </c>
      <c r="P27" s="88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7" ht="17.25" customHeight="1" x14ac:dyDescent="0.15">
      <c r="A29" s="145"/>
      <c r="B29" s="93">
        <f>'[12]収集（全般）'!$AA$44</f>
        <v>0</v>
      </c>
      <c r="C29" s="93">
        <f>'[12]収集（全般）'!$AB$44</f>
        <v>0</v>
      </c>
      <c r="D29" s="93">
        <f>SUM(B29:C29)</f>
        <v>0</v>
      </c>
      <c r="E29" s="93">
        <f>'[12]収集（全般）'!$AC$44</f>
        <v>0</v>
      </c>
      <c r="F29" s="93">
        <f>'[12]収集（全般）'!$AD$44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[12]紙類!$R$43</f>
        <v>0</v>
      </c>
      <c r="L29" s="90">
        <f>[12]紙類!$S$43</f>
        <v>0</v>
      </c>
      <c r="M29" s="90">
        <f>SUM(K29:L29)</f>
        <v>0</v>
      </c>
      <c r="N29" s="90">
        <f>[12]紙類!$T$43</f>
        <v>0</v>
      </c>
      <c r="O29" s="90">
        <f>[12]紙類!$U$43</f>
        <v>0</v>
      </c>
      <c r="P29" s="90">
        <f>SUM(N29:O29)</f>
        <v>0</v>
      </c>
      <c r="Q29" s="36">
        <f>ROUND(M29+P29,1)</f>
        <v>0</v>
      </c>
    </row>
    <row r="30" spans="1:17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7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7" ht="24" customHeight="1" x14ac:dyDescent="0.15">
      <c r="A32" s="146"/>
      <c r="B32" s="92">
        <f t="shared" ref="B32:G32" si="0">SUM(B7+B9+B11+B13+B15+B17+B19+B21+B23+B25+B27+B29)</f>
        <v>0</v>
      </c>
      <c r="C32" s="92">
        <f t="shared" si="0"/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9">
    <mergeCell ref="A1:K1"/>
    <mergeCell ref="A6:A7"/>
    <mergeCell ref="J6:J7"/>
    <mergeCell ref="A8:A9"/>
    <mergeCell ref="J8:J9"/>
    <mergeCell ref="A10:A11"/>
    <mergeCell ref="J10:J11"/>
    <mergeCell ref="B3:C3"/>
    <mergeCell ref="K3:L3"/>
    <mergeCell ref="J26:J27"/>
    <mergeCell ref="A12:A13"/>
    <mergeCell ref="J12:J13"/>
    <mergeCell ref="A14:A15"/>
    <mergeCell ref="J14:J15"/>
    <mergeCell ref="A22:A23"/>
    <mergeCell ref="J22:J23"/>
    <mergeCell ref="J20:J21"/>
    <mergeCell ref="A16:A17"/>
    <mergeCell ref="J16:J17"/>
    <mergeCell ref="A31:A32"/>
    <mergeCell ref="J31:J32"/>
    <mergeCell ref="A24:A25"/>
    <mergeCell ref="J24:J25"/>
    <mergeCell ref="A18:A19"/>
    <mergeCell ref="J18:J19"/>
    <mergeCell ref="A20:A21"/>
    <mergeCell ref="A26:A27"/>
    <mergeCell ref="A28:A29"/>
    <mergeCell ref="J28:J29"/>
  </mergeCells>
  <phoneticPr fontId="2"/>
  <printOptions horizontalCentered="1" verticalCentered="1"/>
  <pageMargins left="0.39370078740157483" right="0.39370078740157483" top="0.39370078740157483" bottom="0.39370078740157483" header="0.51181102362204722" footer="0.51181102362204722"/>
  <pageSetup paperSize="9" orientation="landscape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7A3C-0C15-4420-AE97-36A5816A5610}">
  <sheetPr codeName="Sheet4"/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9" max="9" width="2" customWidth="1"/>
    <col min="10" max="10" width="5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一般廃棄物（ごみ）収集地区別集計表　　【第1－7表】"</f>
        <v>令和9年度　一般廃棄物（ごみ）収集地区別集計表　　【第1－7表】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14</v>
      </c>
      <c r="K3" t="s">
        <v>15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7" ht="17.25" customHeight="1" x14ac:dyDescent="0.15">
      <c r="A7" s="138"/>
      <c r="B7" s="91">
        <f>[1]粗大!$B$43</f>
        <v>0</v>
      </c>
      <c r="C7" s="91">
        <f>[1]粗大!$C$43</f>
        <v>0</v>
      </c>
      <c r="D7" s="91">
        <f>SUM(B7:C7)</f>
        <v>0</v>
      </c>
      <c r="E7" s="91">
        <f>[1]粗大!$D$43</f>
        <v>0</v>
      </c>
      <c r="F7" s="91">
        <f>[1]粗大!$E$43</f>
        <v>0</v>
      </c>
      <c r="G7" s="91">
        <f>SUM(E7:F7)</f>
        <v>0</v>
      </c>
      <c r="H7" s="29">
        <f>ROUND(D7+G7,1)</f>
        <v>0</v>
      </c>
      <c r="I7" s="2"/>
      <c r="J7" s="143"/>
      <c r="K7" s="84">
        <f>[1]粗大!$Q$43
+[1]粗大!$V$43</f>
        <v>0</v>
      </c>
      <c r="L7" s="84">
        <f>[1]粗大!$R$43
+[1]粗大!$W$43</f>
        <v>0</v>
      </c>
      <c r="M7" s="84">
        <f>SUM(K7:L7)</f>
        <v>0</v>
      </c>
      <c r="N7" s="84">
        <f>[1]粗大!$S$43
+[1]粗大!$X$43</f>
        <v>0</v>
      </c>
      <c r="O7" s="84">
        <f>[1]粗大!$T$43
+[1]粗大!$Y$43</f>
        <v>0</v>
      </c>
      <c r="P7" s="84">
        <f>SUM(N7:O7)</f>
        <v>0</v>
      </c>
      <c r="Q7" s="95">
        <f>[1]粗大!$U$43
+[1]粗大!$Z$43</f>
        <v>0</v>
      </c>
    </row>
    <row r="8" spans="1:17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78"/>
      <c r="L8" s="78"/>
      <c r="M8" s="78"/>
      <c r="N8" s="78"/>
      <c r="O8" s="78"/>
      <c r="P8" s="78"/>
      <c r="Q8" s="86"/>
    </row>
    <row r="9" spans="1:17" ht="17.25" customHeight="1" x14ac:dyDescent="0.15">
      <c r="A9" s="145"/>
      <c r="B9" s="91">
        <f>[2]粗大!$B$43</f>
        <v>0</v>
      </c>
      <c r="C9" s="91">
        <f>[2]粗大!$C$43</f>
        <v>0</v>
      </c>
      <c r="D9" s="91">
        <f>SUM(B9:C9)</f>
        <v>0</v>
      </c>
      <c r="E9" s="91">
        <f>[2]粗大!$D$43</f>
        <v>0</v>
      </c>
      <c r="F9" s="91">
        <f>[2]粗大!$E$43</f>
        <v>0</v>
      </c>
      <c r="G9" s="91">
        <f>SUM(E9:F9)</f>
        <v>0</v>
      </c>
      <c r="H9" s="29">
        <f>ROUND(D9+G9,1)</f>
        <v>0</v>
      </c>
      <c r="I9" s="3"/>
      <c r="J9" s="142"/>
      <c r="K9" s="84">
        <f>[2]粗大!$Q$43
+[2]粗大!$V$43</f>
        <v>0</v>
      </c>
      <c r="L9" s="84">
        <f>[2]粗大!$R$43
+[2]粗大!$W$43</f>
        <v>0</v>
      </c>
      <c r="M9" s="84">
        <f>SUM(K9:L9)</f>
        <v>0</v>
      </c>
      <c r="N9" s="84">
        <f>[2]粗大!$S$43
+[2]粗大!$X$43</f>
        <v>0</v>
      </c>
      <c r="O9" s="84">
        <f>[2]粗大!$T$43
+[2]粗大!$Y$43</f>
        <v>0</v>
      </c>
      <c r="P9" s="84">
        <f>SUM(N9:O9)</f>
        <v>0</v>
      </c>
      <c r="Q9" s="95">
        <f>[2]粗大!$U$43
+[2]粗大!$Z$43</f>
        <v>0</v>
      </c>
    </row>
    <row r="10" spans="1:17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78"/>
      <c r="L10" s="78"/>
      <c r="M10" s="78"/>
      <c r="N10" s="78"/>
      <c r="O10" s="78"/>
      <c r="P10" s="78"/>
      <c r="Q10" s="86"/>
    </row>
    <row r="11" spans="1:17" ht="17.25" customHeight="1" x14ac:dyDescent="0.15">
      <c r="A11" s="138"/>
      <c r="B11" s="91">
        <f>[3]粗大!$B$43</f>
        <v>0</v>
      </c>
      <c r="C11" s="91">
        <f>[3]粗大!$C$43</f>
        <v>0</v>
      </c>
      <c r="D11" s="91">
        <f>SUM(B11:C11)</f>
        <v>0</v>
      </c>
      <c r="E11" s="91">
        <f>[3]粗大!$D$43</f>
        <v>0</v>
      </c>
      <c r="F11" s="91">
        <f>[3]粗大!$E$43</f>
        <v>0</v>
      </c>
      <c r="G11" s="91">
        <f>SUM(E11:F11)</f>
        <v>0</v>
      </c>
      <c r="H11" s="29">
        <f>ROUND(D11+G11,1)</f>
        <v>0</v>
      </c>
      <c r="I11" s="2"/>
      <c r="J11" s="143"/>
      <c r="K11" s="84">
        <f>[3]粗大!$Q$43
+[3]粗大!$V$43</f>
        <v>0</v>
      </c>
      <c r="L11" s="84">
        <f>[3]粗大!$R$43
+[3]粗大!$W$43</f>
        <v>0</v>
      </c>
      <c r="M11" s="84">
        <f>SUM(K11:L11)</f>
        <v>0</v>
      </c>
      <c r="N11" s="84">
        <f>[3]粗大!$S$43
+[3]粗大!$X$43</f>
        <v>0</v>
      </c>
      <c r="O11" s="84">
        <f>[3]粗大!$T$43
+[3]粗大!$Y$43</f>
        <v>0</v>
      </c>
      <c r="P11" s="84">
        <f>SUM(N11:O11)</f>
        <v>0</v>
      </c>
      <c r="Q11" s="95">
        <f>[3]粗大!$U$43
+[3]粗大!$Z$43</f>
        <v>0</v>
      </c>
    </row>
    <row r="12" spans="1:17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78"/>
      <c r="L12" s="78"/>
      <c r="M12" s="78"/>
      <c r="N12" s="78"/>
      <c r="O12" s="78"/>
      <c r="P12" s="78"/>
      <c r="Q12" s="86"/>
    </row>
    <row r="13" spans="1:17" ht="17.25" customHeight="1" x14ac:dyDescent="0.15">
      <c r="A13" s="145"/>
      <c r="B13" s="91">
        <f>[4]粗大!$B$43</f>
        <v>0</v>
      </c>
      <c r="C13" s="91">
        <f>[4]粗大!$C$43</f>
        <v>0</v>
      </c>
      <c r="D13" s="91">
        <f>SUM(B13:C13)</f>
        <v>0</v>
      </c>
      <c r="E13" s="91">
        <f>[4]粗大!$D$43</f>
        <v>0</v>
      </c>
      <c r="F13" s="91">
        <f>[4]粗大!$E$43</f>
        <v>0</v>
      </c>
      <c r="G13" s="93">
        <f>SUM(E13:F13)</f>
        <v>0</v>
      </c>
      <c r="H13" s="29">
        <f>ROUND(D13+G13,1)</f>
        <v>0</v>
      </c>
      <c r="I13" s="3"/>
      <c r="J13" s="142"/>
      <c r="K13" s="84">
        <f>[4]粗大!$Q$43
+[4]粗大!$V$43</f>
        <v>0</v>
      </c>
      <c r="L13" s="84">
        <f>[4]粗大!$R$43
+[4]粗大!$W$43</f>
        <v>0</v>
      </c>
      <c r="M13" s="84">
        <f>SUM(K13:L13)</f>
        <v>0</v>
      </c>
      <c r="N13" s="84">
        <f>[4]粗大!$S$43
+[4]粗大!$X$43</f>
        <v>0</v>
      </c>
      <c r="O13" s="84">
        <f>[4]粗大!$T$43
+[4]粗大!$Y$43</f>
        <v>0</v>
      </c>
      <c r="P13" s="81">
        <f>SUM(N13:O13)</f>
        <v>0</v>
      </c>
      <c r="Q13" s="95">
        <f>[4]粗大!$U$43
+[4]粗大!$Z$43</f>
        <v>0</v>
      </c>
    </row>
    <row r="14" spans="1:17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78"/>
      <c r="L14" s="78"/>
      <c r="M14" s="78"/>
      <c r="N14" s="78"/>
      <c r="O14" s="78"/>
      <c r="P14" s="96"/>
      <c r="Q14" s="86"/>
    </row>
    <row r="15" spans="1:17" ht="17.25" customHeight="1" x14ac:dyDescent="0.15">
      <c r="A15" s="138"/>
      <c r="B15" s="91">
        <f>[5]粗大!$B$43</f>
        <v>0</v>
      </c>
      <c r="C15" s="91">
        <f>[5]粗大!$C$43</f>
        <v>0</v>
      </c>
      <c r="D15" s="91">
        <f>SUM(B15:C15)</f>
        <v>0</v>
      </c>
      <c r="E15" s="91">
        <f>[5]粗大!$D$43</f>
        <v>0</v>
      </c>
      <c r="F15" s="91">
        <f>[5]粗大!$E$43</f>
        <v>0</v>
      </c>
      <c r="G15" s="91">
        <f>SUM(E15:F15)</f>
        <v>0</v>
      </c>
      <c r="H15" s="29">
        <f>ROUND(D15+G15,1)</f>
        <v>0</v>
      </c>
      <c r="I15" s="2"/>
      <c r="J15" s="143"/>
      <c r="K15" s="84">
        <f>[5]粗大!$Q$43
+[5]粗大!$V$43</f>
        <v>0</v>
      </c>
      <c r="L15" s="84">
        <f>[5]粗大!$R$43
+[5]粗大!$W$43</f>
        <v>0</v>
      </c>
      <c r="M15" s="84">
        <f>SUM(K15:L15)</f>
        <v>0</v>
      </c>
      <c r="N15" s="84">
        <f>[5]粗大!$S$43
+[5]粗大!$X$43</f>
        <v>0</v>
      </c>
      <c r="O15" s="84">
        <f>[5]粗大!$T$43
+[5]粗大!$Y$43</f>
        <v>0</v>
      </c>
      <c r="P15" s="76">
        <f>SUM(N15:O15)</f>
        <v>0</v>
      </c>
      <c r="Q15" s="95">
        <f>[5]粗大!$U$43
+[5]粗大!$Z$43</f>
        <v>0</v>
      </c>
    </row>
    <row r="16" spans="1:17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78"/>
      <c r="L16" s="78"/>
      <c r="M16" s="78"/>
      <c r="N16" s="78"/>
      <c r="O16" s="78"/>
      <c r="P16" s="78"/>
      <c r="Q16" s="86"/>
    </row>
    <row r="17" spans="1:17" ht="17.25" customHeight="1" x14ac:dyDescent="0.15">
      <c r="A17" s="145"/>
      <c r="B17" s="91">
        <f>[6]粗大!$B$43</f>
        <v>0</v>
      </c>
      <c r="C17" s="91">
        <f>[6]粗大!$C$43</f>
        <v>0</v>
      </c>
      <c r="D17" s="91">
        <f>SUM(B17:C17)</f>
        <v>0</v>
      </c>
      <c r="E17" s="91">
        <f>[6]粗大!$D$43</f>
        <v>0</v>
      </c>
      <c r="F17" s="91">
        <f>[6]粗大!$E$43</f>
        <v>0</v>
      </c>
      <c r="G17" s="91">
        <f>SUM(E17:F17)</f>
        <v>0</v>
      </c>
      <c r="H17" s="29">
        <f>ROUND(D17+G17,1)</f>
        <v>0</v>
      </c>
      <c r="I17" s="3"/>
      <c r="J17" s="142"/>
      <c r="K17" s="84">
        <f>[6]粗大!$Q$43
+[6]粗大!$V$43</f>
        <v>0</v>
      </c>
      <c r="L17" s="84">
        <f>[6]粗大!$R$43
+[6]粗大!$W$43</f>
        <v>0</v>
      </c>
      <c r="M17" s="84">
        <f>SUM(K17:L17)</f>
        <v>0</v>
      </c>
      <c r="N17" s="84">
        <f>[6]粗大!$S$43
+[6]粗大!$X$43</f>
        <v>0</v>
      </c>
      <c r="O17" s="84">
        <f>[6]粗大!$T$43
+[6]粗大!$Y$43</f>
        <v>0</v>
      </c>
      <c r="P17" s="76">
        <f>SUM(N17:O17)</f>
        <v>0</v>
      </c>
      <c r="Q17" s="95">
        <f>[6]粗大!$U$43
+[6]粗大!$Z$43</f>
        <v>0</v>
      </c>
    </row>
    <row r="18" spans="1:17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78"/>
      <c r="L18" s="78"/>
      <c r="M18" s="78"/>
      <c r="N18" s="78"/>
      <c r="O18" s="78"/>
      <c r="P18" s="78"/>
      <c r="Q18" s="86"/>
    </row>
    <row r="19" spans="1:17" ht="17.25" customHeight="1" x14ac:dyDescent="0.15">
      <c r="A19" s="138"/>
      <c r="B19" s="91">
        <f>[7]粗大!$B$43</f>
        <v>0</v>
      </c>
      <c r="C19" s="91">
        <f>[7]粗大!$C$43</f>
        <v>0</v>
      </c>
      <c r="D19" s="91">
        <f>SUM(B19:C19)</f>
        <v>0</v>
      </c>
      <c r="E19" s="91">
        <f>[7]粗大!$D$43</f>
        <v>0</v>
      </c>
      <c r="F19" s="91">
        <f>[7]粗大!$E$43</f>
        <v>0</v>
      </c>
      <c r="G19" s="91">
        <f>SUM(E19:F19)</f>
        <v>0</v>
      </c>
      <c r="H19" s="29">
        <f>ROUND(D19+G19,1)</f>
        <v>0</v>
      </c>
      <c r="I19" s="2"/>
      <c r="J19" s="143"/>
      <c r="K19" s="84">
        <f>[7]粗大!$Q$43
+[7]粗大!$V$43</f>
        <v>0</v>
      </c>
      <c r="L19" s="84">
        <f>[7]粗大!$R$43
+[7]粗大!$W$43</f>
        <v>0</v>
      </c>
      <c r="M19" s="84">
        <f>SUM(K19:L19)</f>
        <v>0</v>
      </c>
      <c r="N19" s="84">
        <f>[7]粗大!$S$43
+[7]粗大!$X$43</f>
        <v>0</v>
      </c>
      <c r="O19" s="84">
        <f>[7]粗大!$T$43
+[7]粗大!$Y$43</f>
        <v>0</v>
      </c>
      <c r="P19" s="76">
        <f>SUM(N19:O19)</f>
        <v>0</v>
      </c>
      <c r="Q19" s="95">
        <f>[7]粗大!$U$43
+[7]粗大!$Z$43</f>
        <v>0</v>
      </c>
    </row>
    <row r="20" spans="1:17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78"/>
      <c r="L20" s="78"/>
      <c r="M20" s="78"/>
      <c r="N20" s="78"/>
      <c r="O20" s="78"/>
      <c r="P20" s="78"/>
      <c r="Q20" s="86"/>
    </row>
    <row r="21" spans="1:17" ht="17.25" customHeight="1" x14ac:dyDescent="0.15">
      <c r="A21" s="145"/>
      <c r="B21" s="91">
        <f>[8]粗大!$B$43</f>
        <v>0</v>
      </c>
      <c r="C21" s="91">
        <f>[8]粗大!$C$43</f>
        <v>0</v>
      </c>
      <c r="D21" s="91">
        <f>SUM(B21:C21)</f>
        <v>0</v>
      </c>
      <c r="E21" s="91">
        <f>[8]粗大!$D$43</f>
        <v>0</v>
      </c>
      <c r="F21" s="91">
        <f>[8]粗大!$E$43</f>
        <v>0</v>
      </c>
      <c r="G21" s="91">
        <f>SUM(E21:F21)</f>
        <v>0</v>
      </c>
      <c r="H21" s="29">
        <f>ROUND(D21+G21,1)</f>
        <v>0</v>
      </c>
      <c r="I21" s="3"/>
      <c r="J21" s="142"/>
      <c r="K21" s="84">
        <f>[8]粗大!$Q$43
+[8]粗大!$V$43</f>
        <v>0</v>
      </c>
      <c r="L21" s="84">
        <f>[8]粗大!$R$43
+[8]粗大!$W$43</f>
        <v>0</v>
      </c>
      <c r="M21" s="84">
        <f>SUM(K21:L21)</f>
        <v>0</v>
      </c>
      <c r="N21" s="84">
        <f>[8]粗大!$S$43
+[8]粗大!$X$43</f>
        <v>0</v>
      </c>
      <c r="O21" s="84">
        <f>[8]粗大!$T$43
+[8]粗大!$Y$43</f>
        <v>0</v>
      </c>
      <c r="P21" s="81">
        <f>SUM(N21:O21)</f>
        <v>0</v>
      </c>
      <c r="Q21" s="95">
        <f>[8]粗大!$U$43
+[8]粗大!$Z$43</f>
        <v>0</v>
      </c>
    </row>
    <row r="22" spans="1:17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78"/>
      <c r="L22" s="78"/>
      <c r="M22" s="78"/>
      <c r="N22" s="78"/>
      <c r="O22" s="78"/>
      <c r="P22" s="78"/>
      <c r="Q22" s="86"/>
    </row>
    <row r="23" spans="1:17" ht="17.25" customHeight="1" x14ac:dyDescent="0.15">
      <c r="A23" s="138"/>
      <c r="B23" s="91">
        <f>[9]粗大!$B$43</f>
        <v>0</v>
      </c>
      <c r="C23" s="91">
        <f>[9]粗大!$C$43</f>
        <v>0</v>
      </c>
      <c r="D23" s="91">
        <f>SUM(B23:C23)</f>
        <v>0</v>
      </c>
      <c r="E23" s="91">
        <f>[9]粗大!$D$43</f>
        <v>0</v>
      </c>
      <c r="F23" s="91">
        <f>[9]粗大!$E$43</f>
        <v>0</v>
      </c>
      <c r="G23" s="91">
        <f>SUM(E23:F23)</f>
        <v>0</v>
      </c>
      <c r="H23" s="29">
        <f>ROUND(D23+G23,1)</f>
        <v>0</v>
      </c>
      <c r="I23" s="2"/>
      <c r="J23" s="143"/>
      <c r="K23" s="84">
        <f>[9]粗大!$Q$43
+[9]粗大!$V$43</f>
        <v>0</v>
      </c>
      <c r="L23" s="84">
        <f>[9]粗大!$R$43
+[9]粗大!$W$43</f>
        <v>0</v>
      </c>
      <c r="M23" s="84">
        <f>SUM(K23:L23)</f>
        <v>0</v>
      </c>
      <c r="N23" s="84">
        <f>[9]粗大!$S$43
+[9]粗大!$X$43</f>
        <v>0</v>
      </c>
      <c r="O23" s="84">
        <f>[9]粗大!$T$43
+[9]粗大!$Y$43</f>
        <v>0</v>
      </c>
      <c r="P23" s="81">
        <f>SUM(N23:O23)</f>
        <v>0</v>
      </c>
      <c r="Q23" s="95">
        <f>[9]粗大!$U$43
+[9]粗大!$Z$43</f>
        <v>0</v>
      </c>
    </row>
    <row r="24" spans="1:17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78"/>
      <c r="L24" s="78"/>
      <c r="M24" s="78"/>
      <c r="N24" s="78"/>
      <c r="O24" s="78"/>
      <c r="P24" s="78"/>
      <c r="Q24" s="86"/>
    </row>
    <row r="25" spans="1:17" ht="17.25" customHeight="1" x14ac:dyDescent="0.15">
      <c r="A25" s="145"/>
      <c r="B25" s="91">
        <f>[10]粗大!$B$43</f>
        <v>0</v>
      </c>
      <c r="C25" s="91">
        <f>[10]粗大!$C$43</f>
        <v>0</v>
      </c>
      <c r="D25" s="91">
        <f>SUM(B25:C25)</f>
        <v>0</v>
      </c>
      <c r="E25" s="91">
        <f>[10]粗大!$D$43</f>
        <v>0</v>
      </c>
      <c r="F25" s="91">
        <f>[10]粗大!$E$43</f>
        <v>0</v>
      </c>
      <c r="G25" s="93">
        <f>SUM(E25:F25)</f>
        <v>0</v>
      </c>
      <c r="H25" s="29">
        <f>ROUND(D25+G25,1)</f>
        <v>0</v>
      </c>
      <c r="I25" s="3"/>
      <c r="J25" s="142"/>
      <c r="K25" s="84">
        <f>[10]粗大!$Q$43
+[10]粗大!$V$43</f>
        <v>0</v>
      </c>
      <c r="L25" s="84">
        <f>[10]粗大!$R$43
+[10]粗大!$W$43</f>
        <v>0</v>
      </c>
      <c r="M25" s="84">
        <f>SUM(K25:L25)</f>
        <v>0</v>
      </c>
      <c r="N25" s="84">
        <f>[10]粗大!$S$43
+[10]粗大!$X$43</f>
        <v>0</v>
      </c>
      <c r="O25" s="84">
        <f>[10]粗大!$T$43
+[10]粗大!$Y$43</f>
        <v>0</v>
      </c>
      <c r="P25" s="81">
        <f>SUM(N25:O25)</f>
        <v>0</v>
      </c>
      <c r="Q25" s="95">
        <f>[10]粗大!$U$43
+[10]粗大!$Z$43</f>
        <v>0</v>
      </c>
    </row>
    <row r="26" spans="1:17" ht="15" customHeight="1" x14ac:dyDescent="0.15">
      <c r="A26" s="144">
        <v>2</v>
      </c>
      <c r="B26" s="89"/>
      <c r="C26" s="89"/>
      <c r="D26" s="89"/>
      <c r="E26" s="89"/>
      <c r="F26" s="89"/>
      <c r="G26" s="89"/>
      <c r="H26" s="30"/>
      <c r="I26" s="1"/>
      <c r="J26" s="141">
        <v>2</v>
      </c>
      <c r="K26" s="78"/>
      <c r="L26" s="78"/>
      <c r="M26" s="78"/>
      <c r="N26" s="78"/>
      <c r="O26" s="78"/>
      <c r="P26" s="78"/>
      <c r="Q26" s="86"/>
    </row>
    <row r="27" spans="1:17" ht="17.25" customHeight="1" x14ac:dyDescent="0.15">
      <c r="A27" s="138"/>
      <c r="B27" s="91">
        <f>[11]粗大!$B$43</f>
        <v>0</v>
      </c>
      <c r="C27" s="91">
        <f>[11]粗大!$C$43</f>
        <v>0</v>
      </c>
      <c r="D27" s="91">
        <f>SUM(B27:C27)</f>
        <v>0</v>
      </c>
      <c r="E27" s="91">
        <f>[11]粗大!$D$43</f>
        <v>0</v>
      </c>
      <c r="F27" s="91">
        <f>[11]粗大!$E$43</f>
        <v>0</v>
      </c>
      <c r="G27" s="93">
        <f>SUM(E27:F27)</f>
        <v>0</v>
      </c>
      <c r="H27" s="29">
        <f>ROUND(D27+G27,1)</f>
        <v>0</v>
      </c>
      <c r="I27" s="2"/>
      <c r="J27" s="143"/>
      <c r="K27" s="84">
        <f>[11]粗大!$Q$43
+[11]粗大!$V$43</f>
        <v>0</v>
      </c>
      <c r="L27" s="84">
        <f>[11]粗大!$R$43
+[11]粗大!$W$43</f>
        <v>0</v>
      </c>
      <c r="M27" s="84">
        <f>SUM(K27:L27)</f>
        <v>0</v>
      </c>
      <c r="N27" s="84">
        <f>[11]粗大!$S$43
+[11]粗大!$X$43</f>
        <v>0</v>
      </c>
      <c r="O27" s="84">
        <f>[11]粗大!$T$43
+[11]粗大!$Y$43</f>
        <v>0</v>
      </c>
      <c r="P27" s="81">
        <f>SUM(N27:O27)</f>
        <v>0</v>
      </c>
      <c r="Q27" s="95">
        <f>[11]粗大!$U$43
+[11]粗大!$Z$43</f>
        <v>0</v>
      </c>
    </row>
    <row r="28" spans="1:17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78"/>
      <c r="L28" s="78"/>
      <c r="M28" s="78"/>
      <c r="N28" s="78"/>
      <c r="O28" s="78"/>
      <c r="P28" s="78"/>
      <c r="Q28" s="86"/>
    </row>
    <row r="29" spans="1:17" ht="17.25" customHeight="1" x14ac:dyDescent="0.15">
      <c r="A29" s="145"/>
      <c r="B29" s="93">
        <f>[12]粗大!$B$43</f>
        <v>0</v>
      </c>
      <c r="C29" s="93">
        <f>[12]粗大!$C$43</f>
        <v>0</v>
      </c>
      <c r="D29" s="93">
        <f>SUM(B29:C29)</f>
        <v>0</v>
      </c>
      <c r="E29" s="93">
        <f>[12]粗大!$D$43</f>
        <v>0</v>
      </c>
      <c r="F29" s="93">
        <f>[12]粗大!$E$43</f>
        <v>0</v>
      </c>
      <c r="G29" s="93">
        <f>SUM(E29:F29)</f>
        <v>0</v>
      </c>
      <c r="H29" s="68">
        <f>ROUND(D29+G29,1)</f>
        <v>0</v>
      </c>
      <c r="I29" s="3"/>
      <c r="J29" s="142"/>
      <c r="K29" s="87">
        <f>[12]粗大!$Q$43
+[12]粗大!$V$43</f>
        <v>0</v>
      </c>
      <c r="L29" s="87">
        <f>[12]粗大!$R$43
+[12]粗大!$W$43</f>
        <v>0</v>
      </c>
      <c r="M29" s="87">
        <f>SUM(K29:L29)</f>
        <v>0</v>
      </c>
      <c r="N29" s="87">
        <f>[12]粗大!$S$43
+[12]粗大!$X$43</f>
        <v>0</v>
      </c>
      <c r="O29" s="87">
        <f>[12]粗大!$T$43
+[12]粗大!$Y$43</f>
        <v>0</v>
      </c>
      <c r="P29" s="81">
        <f>SUM(N29:O29)</f>
        <v>0</v>
      </c>
      <c r="Q29" s="95">
        <f>[12]粗大!$U$43
+[12]粗大!$Z$43</f>
        <v>0</v>
      </c>
    </row>
    <row r="30" spans="1:17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76"/>
      <c r="L30" s="76"/>
      <c r="M30" s="76"/>
      <c r="N30" s="76"/>
      <c r="O30" s="76"/>
      <c r="P30" s="76"/>
      <c r="Q30" s="85"/>
    </row>
    <row r="31" spans="1:17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78"/>
      <c r="L31" s="78"/>
      <c r="M31" s="78"/>
      <c r="N31" s="78"/>
      <c r="O31" s="78"/>
      <c r="P31" s="78"/>
      <c r="Q31" s="86"/>
    </row>
    <row r="32" spans="1:17" ht="24" customHeight="1" x14ac:dyDescent="0.15">
      <c r="A32" s="146"/>
      <c r="B32" s="92">
        <f t="shared" ref="B32:G32" si="0">SUM(B7+B9+B11+B13+B15+B17+B19+B21+B23+B25+B27+B29)</f>
        <v>0</v>
      </c>
      <c r="C32" s="92">
        <f>SUM(C7+C9+C11+C13+C15+C17+C19+C21+C23+C25+C27+C29)</f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82">
        <f t="shared" ref="K32:P32" si="1">SUM(K7+K9+K11+K13+K15+K17+K19+K21+K23+K25+K27+K29)</f>
        <v>0</v>
      </c>
      <c r="L32" s="82">
        <f t="shared" si="1"/>
        <v>0</v>
      </c>
      <c r="M32" s="82">
        <f t="shared" si="1"/>
        <v>0</v>
      </c>
      <c r="N32" s="82">
        <f t="shared" si="1"/>
        <v>0</v>
      </c>
      <c r="O32" s="82">
        <f t="shared" si="1"/>
        <v>0</v>
      </c>
      <c r="P32" s="82">
        <f t="shared" si="1"/>
        <v>0</v>
      </c>
      <c r="Q32" s="66">
        <f>SUM(Q6:Q29)</f>
        <v>0</v>
      </c>
    </row>
  </sheetData>
  <mergeCells count="27">
    <mergeCell ref="J16:J17"/>
    <mergeCell ref="A12:A13"/>
    <mergeCell ref="A16:A17"/>
    <mergeCell ref="A20:A21"/>
    <mergeCell ref="A10:A11"/>
    <mergeCell ref="J12:J13"/>
    <mergeCell ref="J14:J15"/>
    <mergeCell ref="A14:A15"/>
    <mergeCell ref="J18:J19"/>
    <mergeCell ref="A18:A19"/>
    <mergeCell ref="A1:K1"/>
    <mergeCell ref="J6:J7"/>
    <mergeCell ref="J8:J9"/>
    <mergeCell ref="J10:J11"/>
    <mergeCell ref="A6:A7"/>
    <mergeCell ref="A8:A9"/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6:A2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2666-FB1C-490C-8525-A5DD92064356}">
  <sheetPr codeName="Sheet5"/>
  <dimension ref="A1:R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8" ht="20.25" customHeight="1" x14ac:dyDescent="0.15">
      <c r="A1" s="147" t="str">
        <f>"令和"&amp;'[1]A-1'!$E$9-2018&amp;"年度　一般産業廃棄物(焼却)処理地区別集計表　　【第2－1表】"</f>
        <v>令和9年度　一般産業廃棄物(焼却)処理地区別集計表　　【第2－1表】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37"/>
    </row>
    <row r="2" spans="1:18" ht="13.5" customHeight="1" x14ac:dyDescent="0.15"/>
    <row r="3" spans="1:18" ht="18.75" customHeight="1" x14ac:dyDescent="0.15">
      <c r="B3" t="s">
        <v>9</v>
      </c>
      <c r="K3" t="s">
        <v>10</v>
      </c>
      <c r="P3" s="4"/>
      <c r="Q3" s="22" t="s">
        <v>1</v>
      </c>
    </row>
    <row r="4" spans="1:18" ht="7.5" customHeight="1" x14ac:dyDescent="0.15"/>
    <row r="5" spans="1:18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8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8" ht="17.25" customHeight="1" x14ac:dyDescent="0.15">
      <c r="A7" s="138"/>
      <c r="B7" s="93">
        <f>[1]可燃!$B$43</f>
        <v>0</v>
      </c>
      <c r="C7" s="93">
        <f>[1]可燃!$C$43</f>
        <v>0</v>
      </c>
      <c r="D7" s="91">
        <f>SUM(B7:C7)</f>
        <v>0</v>
      </c>
      <c r="E7" s="93">
        <f>[1]可燃!$D$43</f>
        <v>0</v>
      </c>
      <c r="F7" s="93">
        <f>[1]可燃!$E$43</f>
        <v>0</v>
      </c>
      <c r="G7" s="91">
        <f>SUM(E7:F7)</f>
        <v>0</v>
      </c>
      <c r="H7" s="29">
        <f>ROUND(D7+G7,1)</f>
        <v>0</v>
      </c>
      <c r="I7" s="2"/>
      <c r="J7" s="143"/>
      <c r="K7" s="90">
        <f>[1]可燃!$M$43</f>
        <v>0</v>
      </c>
      <c r="L7" s="90">
        <f>[1]可燃!$N$43</f>
        <v>0</v>
      </c>
      <c r="M7" s="88">
        <f>SUM(K7:L7)</f>
        <v>0</v>
      </c>
      <c r="N7" s="88">
        <f>[1]可燃!$O$43</f>
        <v>0</v>
      </c>
      <c r="O7" s="88">
        <f>[1]可燃!$P$43</f>
        <v>0</v>
      </c>
      <c r="P7" s="88">
        <f>SUM(N7:O7)</f>
        <v>0</v>
      </c>
      <c r="Q7" s="34">
        <f>ROUND(M7+P7,1)</f>
        <v>0</v>
      </c>
      <c r="R7" s="21"/>
    </row>
    <row r="8" spans="1:18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  <c r="R8" s="21"/>
    </row>
    <row r="9" spans="1:18" ht="17.25" customHeight="1" x14ac:dyDescent="0.15">
      <c r="A9" s="145"/>
      <c r="B9" s="93">
        <f>[2]可燃!$B$43</f>
        <v>0</v>
      </c>
      <c r="C9" s="93">
        <f>[2]可燃!$C$43</f>
        <v>0</v>
      </c>
      <c r="D9" s="91">
        <f>SUM(B9:C9)</f>
        <v>0</v>
      </c>
      <c r="E9" s="93">
        <f>[2]可燃!$D$43</f>
        <v>0</v>
      </c>
      <c r="F9" s="93">
        <f>[2]可燃!$E$43</f>
        <v>0</v>
      </c>
      <c r="G9" s="91">
        <f>SUM(E9:F9)</f>
        <v>0</v>
      </c>
      <c r="H9" s="29">
        <f>ROUND(D9+G9,1)</f>
        <v>0</v>
      </c>
      <c r="I9" s="3"/>
      <c r="J9" s="142"/>
      <c r="K9" s="90">
        <f>[2]可燃!$M$43</f>
        <v>0</v>
      </c>
      <c r="L9" s="90">
        <f>[2]可燃!$N$43</f>
        <v>0</v>
      </c>
      <c r="M9" s="88">
        <f>SUM(K9:L9)</f>
        <v>0</v>
      </c>
      <c r="N9" s="88">
        <f>[2]可燃!$O$43</f>
        <v>0</v>
      </c>
      <c r="O9" s="88">
        <f>[2]可燃!$P$43</f>
        <v>0</v>
      </c>
      <c r="P9" s="91">
        <f>SUM(N9:O9)</f>
        <v>0</v>
      </c>
      <c r="Q9" s="34">
        <f>ROUND(M9+P9,1)</f>
        <v>0</v>
      </c>
      <c r="R9" s="21"/>
    </row>
    <row r="10" spans="1:18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  <c r="R10" s="21"/>
    </row>
    <row r="11" spans="1:18" ht="17.25" customHeight="1" x14ac:dyDescent="0.15">
      <c r="A11" s="138"/>
      <c r="B11" s="93">
        <f>[3]可燃!$B$43</f>
        <v>0</v>
      </c>
      <c r="C11" s="93">
        <f>[3]可燃!$C$43</f>
        <v>0</v>
      </c>
      <c r="D11" s="91">
        <f>SUM(B11:C11)</f>
        <v>0</v>
      </c>
      <c r="E11" s="93">
        <f>[3]可燃!$D$43</f>
        <v>0</v>
      </c>
      <c r="F11" s="93">
        <f>[3]可燃!$E$43</f>
        <v>0</v>
      </c>
      <c r="G11" s="91">
        <f>SUM(E11:F11)</f>
        <v>0</v>
      </c>
      <c r="H11" s="29">
        <f>ROUND(D11+G11,1)</f>
        <v>0</v>
      </c>
      <c r="I11" s="2"/>
      <c r="J11" s="143"/>
      <c r="K11" s="90">
        <f>[3]可燃!$M$43</f>
        <v>0</v>
      </c>
      <c r="L11" s="90">
        <f>[3]可燃!$N$43</f>
        <v>0</v>
      </c>
      <c r="M11" s="88">
        <f>SUM(K11:L11)</f>
        <v>0</v>
      </c>
      <c r="N11" s="88">
        <f>[3]可燃!$O$43</f>
        <v>0</v>
      </c>
      <c r="O11" s="88">
        <f>[3]可燃!$P$43</f>
        <v>0</v>
      </c>
      <c r="P11" s="91">
        <f>SUM(N11:O11)</f>
        <v>0</v>
      </c>
      <c r="Q11" s="34">
        <f>ROUND(M11+P11,1)</f>
        <v>0</v>
      </c>
      <c r="R11" s="21"/>
    </row>
    <row r="12" spans="1:18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  <c r="R12" s="21"/>
    </row>
    <row r="13" spans="1:18" ht="17.25" customHeight="1" x14ac:dyDescent="0.15">
      <c r="A13" s="145"/>
      <c r="B13" s="93">
        <f>[4]可燃!$B$43</f>
        <v>0</v>
      </c>
      <c r="C13" s="93">
        <f>[4]可燃!$C$43</f>
        <v>0</v>
      </c>
      <c r="D13" s="91">
        <f>SUM(B13:C13)</f>
        <v>0</v>
      </c>
      <c r="E13" s="93">
        <f>[4]可燃!$D$43</f>
        <v>0</v>
      </c>
      <c r="F13" s="93">
        <f>[4]可燃!$E$43</f>
        <v>0</v>
      </c>
      <c r="G13" s="93">
        <f>SUM(E13:F13)</f>
        <v>0</v>
      </c>
      <c r="H13" s="29">
        <f>ROUND(D13+G13,1)</f>
        <v>0</v>
      </c>
      <c r="I13" s="3"/>
      <c r="J13" s="142"/>
      <c r="K13" s="90">
        <f>[4]可燃!$M$43</f>
        <v>0</v>
      </c>
      <c r="L13" s="90">
        <f>[4]可燃!$N$43</f>
        <v>0</v>
      </c>
      <c r="M13" s="88">
        <f>SUM(K13:L13)</f>
        <v>0</v>
      </c>
      <c r="N13" s="88">
        <f>[4]可燃!$O$43</f>
        <v>0</v>
      </c>
      <c r="O13" s="88">
        <f>[4]可燃!$P$43</f>
        <v>0</v>
      </c>
      <c r="P13" s="93">
        <f>SUM(N13:O13)</f>
        <v>0</v>
      </c>
      <c r="Q13" s="34">
        <f>ROUND(M13+P13,1)</f>
        <v>0</v>
      </c>
      <c r="R13" s="21"/>
    </row>
    <row r="14" spans="1:18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  <c r="R14" s="21"/>
    </row>
    <row r="15" spans="1:18" ht="17.25" customHeight="1" x14ac:dyDescent="0.15">
      <c r="A15" s="138"/>
      <c r="B15" s="93">
        <f>[5]可燃!$B$43</f>
        <v>0</v>
      </c>
      <c r="C15" s="93">
        <f>[5]可燃!$C$43</f>
        <v>0</v>
      </c>
      <c r="D15" s="91">
        <f>SUM(B15:C15)</f>
        <v>0</v>
      </c>
      <c r="E15" s="93">
        <f>[5]可燃!$D$43</f>
        <v>0</v>
      </c>
      <c r="F15" s="93">
        <f>[5]可燃!$E$43</f>
        <v>0</v>
      </c>
      <c r="G15" s="91">
        <f>SUM(E15:F15)</f>
        <v>0</v>
      </c>
      <c r="H15" s="29">
        <f>ROUND(D15+G15,1)</f>
        <v>0</v>
      </c>
      <c r="I15" s="2"/>
      <c r="J15" s="143"/>
      <c r="K15" s="90">
        <f>[5]可燃!$M$43</f>
        <v>0</v>
      </c>
      <c r="L15" s="90">
        <f>[5]可燃!$N$43</f>
        <v>0</v>
      </c>
      <c r="M15" s="88">
        <f>SUM(K15:L15)</f>
        <v>0</v>
      </c>
      <c r="N15" s="88">
        <f>[5]可燃!$O$43</f>
        <v>0</v>
      </c>
      <c r="O15" s="88">
        <f>[5]可燃!$P$43</f>
        <v>0</v>
      </c>
      <c r="P15" s="91">
        <f>SUM(N15:O15)</f>
        <v>0</v>
      </c>
      <c r="Q15" s="34">
        <f>ROUND(M15+P15,1)</f>
        <v>0</v>
      </c>
      <c r="R15" s="21"/>
    </row>
    <row r="16" spans="1:18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  <c r="R16" s="21"/>
    </row>
    <row r="17" spans="1:18" ht="17.25" customHeight="1" x14ac:dyDescent="0.15">
      <c r="A17" s="145"/>
      <c r="B17" s="93">
        <f>[6]可燃!$B$43</f>
        <v>0</v>
      </c>
      <c r="C17" s="93">
        <f>[6]可燃!$C$43</f>
        <v>0</v>
      </c>
      <c r="D17" s="91">
        <f>SUM(B17:C17)</f>
        <v>0</v>
      </c>
      <c r="E17" s="93">
        <f>[6]可燃!$D$43</f>
        <v>0</v>
      </c>
      <c r="F17" s="93">
        <f>[6]可燃!$E$43</f>
        <v>0</v>
      </c>
      <c r="G17" s="91">
        <f>SUM(E17:F17)</f>
        <v>0</v>
      </c>
      <c r="H17" s="29">
        <f>ROUND(D17+G17,1)</f>
        <v>0</v>
      </c>
      <c r="I17" s="3"/>
      <c r="J17" s="142"/>
      <c r="K17" s="90">
        <f>[6]可燃!$M$43</f>
        <v>0</v>
      </c>
      <c r="L17" s="90">
        <f>[6]可燃!$N$43</f>
        <v>0</v>
      </c>
      <c r="M17" s="88">
        <f>SUM(K17:L17)</f>
        <v>0</v>
      </c>
      <c r="N17" s="88">
        <f>[6]可燃!$O$43</f>
        <v>0</v>
      </c>
      <c r="O17" s="88">
        <f>[6]可燃!$P$43</f>
        <v>0</v>
      </c>
      <c r="P17" s="91">
        <f>SUM(N17:O17)</f>
        <v>0</v>
      </c>
      <c r="Q17" s="34">
        <f>ROUND(M17+P17,1)</f>
        <v>0</v>
      </c>
      <c r="R17" s="21"/>
    </row>
    <row r="18" spans="1:18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8" ht="17.25" customHeight="1" x14ac:dyDescent="0.15">
      <c r="A19" s="138"/>
      <c r="B19" s="93">
        <f>[7]可燃!$B$43</f>
        <v>0</v>
      </c>
      <c r="C19" s="93">
        <f>[7]可燃!$C$43</f>
        <v>0</v>
      </c>
      <c r="D19" s="91">
        <f>SUM(B19:C19)</f>
        <v>0</v>
      </c>
      <c r="E19" s="93">
        <f>[7]可燃!$D$43</f>
        <v>0</v>
      </c>
      <c r="F19" s="93">
        <f>[7]可燃!$E$43</f>
        <v>0</v>
      </c>
      <c r="G19" s="91">
        <f>SUM(E19:F19)</f>
        <v>0</v>
      </c>
      <c r="H19" s="29">
        <f>ROUND(D19+G19,1)</f>
        <v>0</v>
      </c>
      <c r="I19" s="2"/>
      <c r="J19" s="143"/>
      <c r="K19" s="90">
        <f>[7]可燃!$M$43</f>
        <v>0</v>
      </c>
      <c r="L19" s="90">
        <f>[7]可燃!$N$43</f>
        <v>0</v>
      </c>
      <c r="M19" s="88">
        <f>SUM(K19:L19)</f>
        <v>0</v>
      </c>
      <c r="N19" s="88">
        <f>[7]可燃!$O$43</f>
        <v>0</v>
      </c>
      <c r="O19" s="88">
        <f>[7]可燃!$P$43</f>
        <v>0</v>
      </c>
      <c r="P19" s="91">
        <f>SUM(N19:O19)</f>
        <v>0</v>
      </c>
      <c r="Q19" s="34">
        <f>ROUND(M19+P19,1)</f>
        <v>0</v>
      </c>
    </row>
    <row r="20" spans="1:18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8" ht="17.25" customHeight="1" x14ac:dyDescent="0.15">
      <c r="A21" s="145"/>
      <c r="B21" s="93">
        <f>[8]可燃!$B$43</f>
        <v>0</v>
      </c>
      <c r="C21" s="93">
        <f>[8]可燃!$C$43</f>
        <v>0</v>
      </c>
      <c r="D21" s="91">
        <f>SUM(B21:C21)</f>
        <v>0</v>
      </c>
      <c r="E21" s="93">
        <f>[8]可燃!$D$43</f>
        <v>0</v>
      </c>
      <c r="F21" s="93">
        <f>[8]可燃!$E$43</f>
        <v>0</v>
      </c>
      <c r="G21" s="91">
        <f>SUM(E21:F21)</f>
        <v>0</v>
      </c>
      <c r="H21" s="29">
        <f>ROUND(D21+G21,1)</f>
        <v>0</v>
      </c>
      <c r="I21" s="3"/>
      <c r="J21" s="142"/>
      <c r="K21" s="90">
        <f>[8]可燃!$M$43</f>
        <v>0</v>
      </c>
      <c r="L21" s="90">
        <f>[8]可燃!$N$43</f>
        <v>0</v>
      </c>
      <c r="M21" s="88">
        <f>SUM(K21:L21)</f>
        <v>0</v>
      </c>
      <c r="N21" s="88">
        <f>[8]可燃!$O$43</f>
        <v>0</v>
      </c>
      <c r="O21" s="88">
        <f>[8]可燃!$P$43</f>
        <v>0</v>
      </c>
      <c r="P21" s="93">
        <f>SUM(N21:O21)</f>
        <v>0</v>
      </c>
      <c r="Q21" s="34">
        <f>ROUND(M21+P21,1)</f>
        <v>0</v>
      </c>
    </row>
    <row r="22" spans="1:18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8" ht="17.25" customHeight="1" x14ac:dyDescent="0.15">
      <c r="A23" s="138"/>
      <c r="B23" s="93">
        <f>[9]可燃!$B$43</f>
        <v>0</v>
      </c>
      <c r="C23" s="93">
        <f>[9]可燃!$C$43</f>
        <v>0</v>
      </c>
      <c r="D23" s="91">
        <f>SUM(B23:C23)</f>
        <v>0</v>
      </c>
      <c r="E23" s="93">
        <f>[9]可燃!$D$43</f>
        <v>0</v>
      </c>
      <c r="F23" s="93">
        <f>[9]可燃!$E$43</f>
        <v>0</v>
      </c>
      <c r="G23" s="91">
        <f>SUM(E23:F23)</f>
        <v>0</v>
      </c>
      <c r="H23" s="29">
        <f>ROUND(D23+G23,1)</f>
        <v>0</v>
      </c>
      <c r="I23" s="2"/>
      <c r="J23" s="143"/>
      <c r="K23" s="90">
        <f>[9]可燃!$M$43</f>
        <v>0</v>
      </c>
      <c r="L23" s="90">
        <f>[9]可燃!$N$43</f>
        <v>0</v>
      </c>
      <c r="M23" s="88">
        <f>SUM(K23:L23)</f>
        <v>0</v>
      </c>
      <c r="N23" s="88">
        <f>[9]可燃!$O$43</f>
        <v>0</v>
      </c>
      <c r="O23" s="88">
        <f>[9]可燃!$P$43</f>
        <v>0</v>
      </c>
      <c r="P23" s="91">
        <f>SUM(N23:O23)</f>
        <v>0</v>
      </c>
      <c r="Q23" s="34">
        <f>ROUND(M23+P23,1)</f>
        <v>0</v>
      </c>
    </row>
    <row r="24" spans="1:18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8" ht="17.25" customHeight="1" x14ac:dyDescent="0.15">
      <c r="A25" s="145"/>
      <c r="B25" s="93">
        <f>[10]可燃!$B$43</f>
        <v>0</v>
      </c>
      <c r="C25" s="93">
        <f>[10]可燃!$C$43</f>
        <v>0</v>
      </c>
      <c r="D25" s="91">
        <f>SUM(B25:C25)</f>
        <v>0</v>
      </c>
      <c r="E25" s="93">
        <f>[10]可燃!$D$43</f>
        <v>0</v>
      </c>
      <c r="F25" s="93">
        <f>[10]可燃!$E$43</f>
        <v>0</v>
      </c>
      <c r="G25" s="93">
        <f>SUM(E25:F25)</f>
        <v>0</v>
      </c>
      <c r="H25" s="29">
        <f>ROUND(D25+G25,1)</f>
        <v>0</v>
      </c>
      <c r="I25" s="3"/>
      <c r="J25" s="142"/>
      <c r="K25" s="90">
        <f>[10]可燃!$M$43</f>
        <v>0</v>
      </c>
      <c r="L25" s="90">
        <f>[10]可燃!$N$43</f>
        <v>0</v>
      </c>
      <c r="M25" s="88">
        <f>SUM(K25:L25)</f>
        <v>0</v>
      </c>
      <c r="N25" s="88">
        <f>[10]可燃!$O$43</f>
        <v>0</v>
      </c>
      <c r="O25" s="88">
        <f>[10]可燃!$P$43</f>
        <v>0</v>
      </c>
      <c r="P25" s="91">
        <f>SUM(N25:O25)</f>
        <v>0</v>
      </c>
      <c r="Q25" s="34">
        <f>ROUND(M25+P25,1)</f>
        <v>0</v>
      </c>
    </row>
    <row r="26" spans="1:18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8" ht="17.25" customHeight="1" x14ac:dyDescent="0.15">
      <c r="A27" s="138"/>
      <c r="B27" s="93">
        <f>[11]可燃!$B$43</f>
        <v>0</v>
      </c>
      <c r="C27" s="93">
        <f>[11]可燃!$C$43</f>
        <v>0</v>
      </c>
      <c r="D27" s="91">
        <f>SUM(B27:C27)</f>
        <v>0</v>
      </c>
      <c r="E27" s="93">
        <f>[11]可燃!$D$43</f>
        <v>0</v>
      </c>
      <c r="F27" s="93">
        <f>[11]可燃!$E$43</f>
        <v>0</v>
      </c>
      <c r="G27" s="93">
        <f>SUM(E27:F27)</f>
        <v>0</v>
      </c>
      <c r="H27" s="29">
        <f>ROUND(D27+G27,1)</f>
        <v>0</v>
      </c>
      <c r="I27" s="2"/>
      <c r="J27" s="143"/>
      <c r="K27" s="90">
        <f>[11]可燃!$M$43</f>
        <v>0</v>
      </c>
      <c r="L27" s="90">
        <f>[11]可燃!$N$43</f>
        <v>0</v>
      </c>
      <c r="M27" s="88">
        <f>SUM(K27:L27)</f>
        <v>0</v>
      </c>
      <c r="N27" s="88">
        <f>[11]可燃!$O$43</f>
        <v>0</v>
      </c>
      <c r="O27" s="88">
        <f>[11]可燃!$P$43</f>
        <v>0</v>
      </c>
      <c r="P27" s="91">
        <f>SUM(N27:O27)</f>
        <v>0</v>
      </c>
      <c r="Q27" s="34">
        <f>ROUND(M27+P27,1)</f>
        <v>0</v>
      </c>
    </row>
    <row r="28" spans="1:18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8" ht="17.25" customHeight="1" x14ac:dyDescent="0.15">
      <c r="A29" s="145"/>
      <c r="B29" s="93">
        <f>[12]可燃!$B$43</f>
        <v>0</v>
      </c>
      <c r="C29" s="93">
        <f>[12]可燃!$C$43</f>
        <v>0</v>
      </c>
      <c r="D29" s="93">
        <f>SUM(B29:C29)</f>
        <v>0</v>
      </c>
      <c r="E29" s="93">
        <f>[12]可燃!$D$43</f>
        <v>0</v>
      </c>
      <c r="F29" s="93">
        <f>[12]可燃!$E$43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[12]可燃!$M$43</f>
        <v>0</v>
      </c>
      <c r="L29" s="90">
        <f>[12]可燃!$N$43</f>
        <v>0</v>
      </c>
      <c r="M29" s="90">
        <f>SUM(K29:L29)</f>
        <v>0</v>
      </c>
      <c r="N29" s="90">
        <f>[12]可燃!$O$43</f>
        <v>0</v>
      </c>
      <c r="O29" s="90">
        <f>[12]可燃!$P$43</f>
        <v>0</v>
      </c>
      <c r="P29" s="93">
        <f>SUM(N29:O29)</f>
        <v>0</v>
      </c>
      <c r="Q29" s="36">
        <f>ROUND(M29+P29,1)</f>
        <v>0</v>
      </c>
    </row>
    <row r="30" spans="1:18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8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8" ht="24" customHeight="1" x14ac:dyDescent="0.15">
      <c r="A32" s="146"/>
      <c r="B32" s="92">
        <f t="shared" ref="B32:G32" si="0">SUM(B7+B9+B11+B13+B15+B17+B19+B21+B23+B25+B27+B29)</f>
        <v>0</v>
      </c>
      <c r="C32" s="92">
        <f t="shared" si="0"/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7">
    <mergeCell ref="J16:J17"/>
    <mergeCell ref="A12:A13"/>
    <mergeCell ref="A16:A17"/>
    <mergeCell ref="A20:A21"/>
    <mergeCell ref="A10:A11"/>
    <mergeCell ref="J12:J13"/>
    <mergeCell ref="J14:J15"/>
    <mergeCell ref="A14:A15"/>
    <mergeCell ref="J18:J19"/>
    <mergeCell ref="A18:A19"/>
    <mergeCell ref="A1:K1"/>
    <mergeCell ref="J6:J7"/>
    <mergeCell ref="J8:J9"/>
    <mergeCell ref="J10:J11"/>
    <mergeCell ref="A6:A7"/>
    <mergeCell ref="A8:A9"/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6:A2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7E582-644D-44E8-B01A-6C856247DCA5}">
  <sheetPr codeName="Sheet6"/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</cols>
  <sheetData>
    <row r="1" spans="1:17" ht="20.25" customHeight="1" x14ac:dyDescent="0.15">
      <c r="A1" s="147" t="str">
        <f>"令和"&amp;'[1]A-1'!$E$9-2018&amp;"年度　一般産業廃棄物(焼却)処理地区別集計表　　【第2－2表】"</f>
        <v>令和9年度　一般産業廃棄物(焼却)処理地区別集計表　　【第2－2表】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16</v>
      </c>
      <c r="K3" t="s">
        <v>17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7" ht="17.25" customHeight="1" x14ac:dyDescent="0.15">
      <c r="A7" s="138"/>
      <c r="B7" s="31">
        <f>[1]産廃水産・医療・汚泥!$B$43</f>
        <v>0</v>
      </c>
      <c r="C7" s="31">
        <f>[1]産廃水産・医療・汚泥!$C$43</f>
        <v>0</v>
      </c>
      <c r="D7" s="97">
        <f>SUM(B7:C7)</f>
        <v>0</v>
      </c>
      <c r="E7" s="97">
        <f>[1]産廃水産・医療・汚泥!$D$43</f>
        <v>0</v>
      </c>
      <c r="F7" s="97">
        <f>[1]産廃水産・医療・汚泥!$E$43</f>
        <v>0</v>
      </c>
      <c r="G7" s="97">
        <f>SUM(E7:F7)</f>
        <v>0</v>
      </c>
      <c r="H7" s="29">
        <f>ROUND(D7+G7,1)</f>
        <v>0</v>
      </c>
      <c r="I7" s="2"/>
      <c r="J7" s="143"/>
      <c r="K7" s="31">
        <f>[1]産廃水産・医療・汚泥!$Q$43</f>
        <v>0</v>
      </c>
      <c r="L7" s="31">
        <f>[1]産廃水産・医療・汚泥!$R$43</f>
        <v>0</v>
      </c>
      <c r="M7" s="97">
        <f>SUM(K7:L7)</f>
        <v>0</v>
      </c>
      <c r="N7" s="97">
        <f>[1]産廃水産・医療・汚泥!$S$43</f>
        <v>0</v>
      </c>
      <c r="O7" s="97">
        <f>[1]産廃水産・医療・汚泥!$T$43</f>
        <v>0</v>
      </c>
      <c r="P7" s="97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5"/>
    </row>
    <row r="9" spans="1:17" ht="17.25" customHeight="1" x14ac:dyDescent="0.15">
      <c r="A9" s="145"/>
      <c r="B9" s="31">
        <f>[2]産廃水産・医療・汚泥!$B$43</f>
        <v>0</v>
      </c>
      <c r="C9" s="31">
        <f>[2]産廃水産・医療・汚泥!$C$43</f>
        <v>0</v>
      </c>
      <c r="D9" s="97">
        <f>SUM(B9:C9)</f>
        <v>0</v>
      </c>
      <c r="E9" s="97">
        <f>[2]産廃水産・医療・汚泥!$D$43</f>
        <v>0</v>
      </c>
      <c r="F9" s="97">
        <f>[2]産廃水産・医療・汚泥!$E$43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[2]産廃水産・医療・汚泥!$Q$43</f>
        <v>0</v>
      </c>
      <c r="L9" s="31">
        <f>[2]産廃水産・医療・汚泥!$R$43</f>
        <v>0</v>
      </c>
      <c r="M9" s="97">
        <f>SUM(K9:L9)</f>
        <v>0</v>
      </c>
      <c r="N9" s="97">
        <f>[2]産廃水産・医療・汚泥!$S$43</f>
        <v>0</v>
      </c>
      <c r="O9" s="97">
        <f>[2]産廃水産・医療・汚泥!$T$43</f>
        <v>0</v>
      </c>
      <c r="P9" s="97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98"/>
      <c r="C10" s="98"/>
      <c r="D10" s="98"/>
      <c r="E10" s="98"/>
      <c r="F10" s="98"/>
      <c r="G10" s="98"/>
      <c r="H10" s="30"/>
      <c r="I10" s="2"/>
      <c r="J10" s="143">
        <v>6</v>
      </c>
      <c r="K10" s="98"/>
      <c r="L10" s="98"/>
      <c r="M10" s="98"/>
      <c r="N10" s="98"/>
      <c r="O10" s="98"/>
      <c r="P10" s="98"/>
      <c r="Q10" s="35"/>
    </row>
    <row r="11" spans="1:17" ht="17.25" customHeight="1" x14ac:dyDescent="0.15">
      <c r="A11" s="138"/>
      <c r="B11" s="31">
        <f>[3]産廃水産・医療・汚泥!$B$43</f>
        <v>0</v>
      </c>
      <c r="C11" s="31">
        <f>[3]産廃水産・医療・汚泥!$C$43</f>
        <v>0</v>
      </c>
      <c r="D11" s="97">
        <f>SUM(B11:C11)</f>
        <v>0</v>
      </c>
      <c r="E11" s="97">
        <f>[3]産廃水産・医療・汚泥!$D$43</f>
        <v>0</v>
      </c>
      <c r="F11" s="97">
        <f>[3]産廃水産・医療・汚泥!$E$43</f>
        <v>0</v>
      </c>
      <c r="G11" s="97">
        <f>SUM(E11:F11)</f>
        <v>0</v>
      </c>
      <c r="H11" s="29">
        <f>ROUND(D11+G11,1)</f>
        <v>0</v>
      </c>
      <c r="I11" s="2"/>
      <c r="J11" s="143"/>
      <c r="K11" s="31">
        <f>[3]産廃水産・医療・汚泥!$Q$43</f>
        <v>0</v>
      </c>
      <c r="L11" s="31">
        <f>[3]産廃水産・医療・汚泥!$R$43</f>
        <v>0</v>
      </c>
      <c r="M11" s="97">
        <f>SUM(K11:L11)</f>
        <v>0</v>
      </c>
      <c r="N11" s="97">
        <f>[3]産廃水産・医療・汚泥!$S$43</f>
        <v>0</v>
      </c>
      <c r="O11" s="97">
        <f>[3]産廃水産・医療・汚泥!$T$43</f>
        <v>0</v>
      </c>
      <c r="P11" s="97">
        <f>SUM(N11:O11)</f>
        <v>0</v>
      </c>
      <c r="Q11" s="34">
        <f>ROUND(M11+P11,1)</f>
        <v>0</v>
      </c>
    </row>
    <row r="12" spans="1:17" ht="1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5"/>
    </row>
    <row r="13" spans="1:17" ht="17.25" customHeight="1" x14ac:dyDescent="0.15">
      <c r="A13" s="145"/>
      <c r="B13" s="31">
        <f>[4]産廃水産・医療・汚泥!$B$43</f>
        <v>0</v>
      </c>
      <c r="C13" s="31">
        <f>[4]産廃水産・医療・汚泥!$C$43</f>
        <v>0</v>
      </c>
      <c r="D13" s="97">
        <f>SUM(B13:C13)</f>
        <v>0</v>
      </c>
      <c r="E13" s="97">
        <f>[4]産廃水産・医療・汚泥!$D$43</f>
        <v>0</v>
      </c>
      <c r="F13" s="97">
        <f>[4]産廃水産・医療・汚泥!$E$43</f>
        <v>0</v>
      </c>
      <c r="G13" s="31">
        <f>SUM(E13:F13)</f>
        <v>0</v>
      </c>
      <c r="H13" s="29">
        <f>ROUND(D13+G13,1)</f>
        <v>0</v>
      </c>
      <c r="I13" s="3"/>
      <c r="J13" s="142"/>
      <c r="K13" s="31">
        <f>[4]産廃水産・医療・汚泥!$Q$43</f>
        <v>0</v>
      </c>
      <c r="L13" s="31">
        <f>[4]産廃水産・医療・汚泥!$R$43</f>
        <v>0</v>
      </c>
      <c r="M13" s="97">
        <f>SUM(K13:L13)</f>
        <v>0</v>
      </c>
      <c r="N13" s="97">
        <f>[4]産廃水産・医療・汚泥!$S$43</f>
        <v>0</v>
      </c>
      <c r="O13" s="97">
        <f>[4]産廃水産・医療・汚泥!$T$43</f>
        <v>0</v>
      </c>
      <c r="P13" s="31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98"/>
      <c r="C14" s="98"/>
      <c r="D14" s="98"/>
      <c r="E14" s="98"/>
      <c r="F14" s="98"/>
      <c r="G14" s="99"/>
      <c r="H14" s="30"/>
      <c r="I14" s="2"/>
      <c r="J14" s="143">
        <v>8</v>
      </c>
      <c r="K14" s="98"/>
      <c r="L14" s="98"/>
      <c r="M14" s="98"/>
      <c r="N14" s="98"/>
      <c r="O14" s="98"/>
      <c r="P14" s="99"/>
      <c r="Q14" s="35"/>
    </row>
    <row r="15" spans="1:17" ht="17.25" customHeight="1" x14ac:dyDescent="0.15">
      <c r="A15" s="138"/>
      <c r="B15" s="31">
        <f>[5]産廃水産・医療・汚泥!$B$43</f>
        <v>0</v>
      </c>
      <c r="C15" s="31">
        <f>[5]産廃水産・医療・汚泥!$C$43</f>
        <v>0</v>
      </c>
      <c r="D15" s="97">
        <f>SUM(B15:C15)</f>
        <v>0</v>
      </c>
      <c r="E15" s="97">
        <f>[5]産廃水産・医療・汚泥!$D$43</f>
        <v>0</v>
      </c>
      <c r="F15" s="97">
        <f>[5]産廃水産・医療・汚泥!$E$43</f>
        <v>0</v>
      </c>
      <c r="G15" s="97">
        <f>SUM(E15:F15)</f>
        <v>0</v>
      </c>
      <c r="H15" s="29">
        <f>ROUND(D15+G15,1)</f>
        <v>0</v>
      </c>
      <c r="I15" s="2"/>
      <c r="J15" s="143"/>
      <c r="K15" s="31">
        <f>[5]産廃水産・医療・汚泥!$Q$43</f>
        <v>0</v>
      </c>
      <c r="L15" s="31">
        <f>[5]産廃水産・医療・汚泥!$R$43</f>
        <v>0</v>
      </c>
      <c r="M15" s="97">
        <f>SUM(K15:L15)</f>
        <v>0</v>
      </c>
      <c r="N15" s="97">
        <f>[5]産廃水産・医療・汚泥!$S$43</f>
        <v>0</v>
      </c>
      <c r="O15" s="97">
        <f>[5]産廃水産・医療・汚泥!$T$43</f>
        <v>0</v>
      </c>
      <c r="P15" s="97">
        <f>SUM(N15:O15)</f>
        <v>0</v>
      </c>
      <c r="Q15" s="34">
        <f>ROUND(M15+P15,1)</f>
        <v>0</v>
      </c>
    </row>
    <row r="16" spans="1:17" ht="15" customHeight="1" x14ac:dyDescent="0.15">
      <c r="A16" s="144">
        <v>9</v>
      </c>
      <c r="B16" s="98"/>
      <c r="C16" s="98"/>
      <c r="D16" s="98"/>
      <c r="E16" s="98"/>
      <c r="F16" s="98"/>
      <c r="G16" s="98"/>
      <c r="H16" s="30"/>
      <c r="I16" s="1"/>
      <c r="J16" s="141">
        <v>9</v>
      </c>
      <c r="K16" s="98"/>
      <c r="L16" s="98"/>
      <c r="M16" s="98"/>
      <c r="N16" s="98"/>
      <c r="O16" s="98"/>
      <c r="P16" s="98"/>
      <c r="Q16" s="35"/>
    </row>
    <row r="17" spans="1:17" ht="17.25" customHeight="1" x14ac:dyDescent="0.15">
      <c r="A17" s="145"/>
      <c r="B17" s="31">
        <f>[6]産廃水産・医療・汚泥!$B$43</f>
        <v>0</v>
      </c>
      <c r="C17" s="31">
        <f>[6]産廃水産・医療・汚泥!$C$43</f>
        <v>0</v>
      </c>
      <c r="D17" s="97">
        <f>SUM(B17:C17)</f>
        <v>0</v>
      </c>
      <c r="E17" s="97">
        <f>[6]産廃水産・医療・汚泥!$D$43</f>
        <v>0</v>
      </c>
      <c r="F17" s="97">
        <f>[6]産廃水産・医療・汚泥!$E$43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[6]産廃水産・医療・汚泥!$Q$43</f>
        <v>0</v>
      </c>
      <c r="L17" s="31">
        <f>[6]産廃水産・医療・汚泥!$R$43</f>
        <v>0</v>
      </c>
      <c r="M17" s="97">
        <f>SUM(K17:L17)</f>
        <v>0</v>
      </c>
      <c r="N17" s="97">
        <f>[6]産廃水産・医療・汚泥!$S$43</f>
        <v>0</v>
      </c>
      <c r="O17" s="97">
        <f>[6]産廃水産・医療・汚泥!$T$43</f>
        <v>0</v>
      </c>
      <c r="P17" s="97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98"/>
      <c r="C18" s="98"/>
      <c r="D18" s="98"/>
      <c r="E18" s="98"/>
      <c r="F18" s="98"/>
      <c r="G18" s="98"/>
      <c r="H18" s="30"/>
      <c r="I18" s="2"/>
      <c r="J18" s="143">
        <v>10</v>
      </c>
      <c r="K18" s="98"/>
      <c r="L18" s="98"/>
      <c r="M18" s="98"/>
      <c r="N18" s="98"/>
      <c r="O18" s="98"/>
      <c r="P18" s="98"/>
      <c r="Q18" s="35"/>
    </row>
    <row r="19" spans="1:17" ht="17.25" customHeight="1" x14ac:dyDescent="0.15">
      <c r="A19" s="138"/>
      <c r="B19" s="31">
        <f>[7]産廃水産・医療・汚泥!$B$43</f>
        <v>0</v>
      </c>
      <c r="C19" s="31">
        <f>[7]産廃水産・医療・汚泥!$C$43</f>
        <v>0</v>
      </c>
      <c r="D19" s="97">
        <f>SUM(B19:C19)</f>
        <v>0</v>
      </c>
      <c r="E19" s="97">
        <f>[7]産廃水産・医療・汚泥!$D$43</f>
        <v>0</v>
      </c>
      <c r="F19" s="97">
        <f>[7]産廃水産・医療・汚泥!$E$43</f>
        <v>0</v>
      </c>
      <c r="G19" s="97">
        <f>SUM(E19:F19)</f>
        <v>0</v>
      </c>
      <c r="H19" s="29">
        <f>ROUND(D19+G19,1)</f>
        <v>0</v>
      </c>
      <c r="I19" s="2"/>
      <c r="J19" s="143"/>
      <c r="K19" s="31">
        <f>[7]産廃水産・医療・汚泥!$Q$43</f>
        <v>0</v>
      </c>
      <c r="L19" s="31">
        <f>[7]産廃水産・医療・汚泥!$R$43</f>
        <v>0</v>
      </c>
      <c r="M19" s="97">
        <f>SUM(K19:L19)</f>
        <v>0</v>
      </c>
      <c r="N19" s="97">
        <f>[7]産廃水産・医療・汚泥!$S$43</f>
        <v>0</v>
      </c>
      <c r="O19" s="97">
        <f>[7]産廃水産・医療・汚泥!$T$43</f>
        <v>0</v>
      </c>
      <c r="P19" s="97">
        <f>SUM(N19:O19)</f>
        <v>0</v>
      </c>
      <c r="Q19" s="34">
        <f>ROUND(M19+P19,1)</f>
        <v>0</v>
      </c>
    </row>
    <row r="20" spans="1:17" ht="1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5"/>
    </row>
    <row r="21" spans="1:17" ht="17.25" customHeight="1" x14ac:dyDescent="0.15">
      <c r="A21" s="145"/>
      <c r="B21" s="31">
        <f>[8]産廃水産・医療・汚泥!$B$43</f>
        <v>0</v>
      </c>
      <c r="C21" s="31">
        <f>[8]産廃水産・医療・汚泥!$C$43</f>
        <v>0</v>
      </c>
      <c r="D21" s="97">
        <f>SUM(B21:C21)</f>
        <v>0</v>
      </c>
      <c r="E21" s="97">
        <f>[8]産廃水産・医療・汚泥!$D$43</f>
        <v>0</v>
      </c>
      <c r="F21" s="97">
        <f>[8]産廃水産・医療・汚泥!$E$43</f>
        <v>0</v>
      </c>
      <c r="G21" s="97">
        <f>SUM(E21:F21)</f>
        <v>0</v>
      </c>
      <c r="H21" s="29">
        <f>ROUND(D21+G21,1)</f>
        <v>0</v>
      </c>
      <c r="I21" s="3"/>
      <c r="J21" s="142"/>
      <c r="K21" s="31">
        <f>[8]産廃水産・医療・汚泥!$Q$43</f>
        <v>0</v>
      </c>
      <c r="L21" s="31">
        <f>[8]産廃水産・医療・汚泥!$R$43</f>
        <v>0</v>
      </c>
      <c r="M21" s="97">
        <f>SUM(K21:L21)</f>
        <v>0</v>
      </c>
      <c r="N21" s="97">
        <f>[8]産廃水産・医療・汚泥!$S$43</f>
        <v>0</v>
      </c>
      <c r="O21" s="97">
        <f>[8]産廃水産・医療・汚泥!$T$43</f>
        <v>0</v>
      </c>
      <c r="P21" s="97">
        <f>SUM(N21:O21)</f>
        <v>0</v>
      </c>
      <c r="Q21" s="34">
        <f>ROUND(M21+P21,1)</f>
        <v>0</v>
      </c>
    </row>
    <row r="22" spans="1:17" ht="15" customHeight="1" x14ac:dyDescent="0.15">
      <c r="A22" s="138">
        <v>12</v>
      </c>
      <c r="B22" s="98"/>
      <c r="C22" s="98"/>
      <c r="D22" s="98"/>
      <c r="E22" s="98"/>
      <c r="F22" s="98"/>
      <c r="G22" s="98"/>
      <c r="H22" s="30"/>
      <c r="I22" s="2"/>
      <c r="J22" s="143">
        <v>12</v>
      </c>
      <c r="K22" s="98"/>
      <c r="L22" s="98"/>
      <c r="M22" s="98"/>
      <c r="N22" s="98"/>
      <c r="O22" s="98"/>
      <c r="P22" s="98"/>
      <c r="Q22" s="35"/>
    </row>
    <row r="23" spans="1:17" ht="17.25" customHeight="1" x14ac:dyDescent="0.15">
      <c r="A23" s="138"/>
      <c r="B23" s="31">
        <f>[9]産廃水産・医療・汚泥!$B$43</f>
        <v>0</v>
      </c>
      <c r="C23" s="31">
        <f>[9]産廃水産・医療・汚泥!$C$43</f>
        <v>0</v>
      </c>
      <c r="D23" s="97">
        <f>SUM(B23:C23)</f>
        <v>0</v>
      </c>
      <c r="E23" s="97">
        <f>[9]産廃水産・医療・汚泥!$D$43</f>
        <v>0</v>
      </c>
      <c r="F23" s="97">
        <f>[9]産廃水産・医療・汚泥!$E$43</f>
        <v>0</v>
      </c>
      <c r="G23" s="97">
        <f>SUM(E23:F23)</f>
        <v>0</v>
      </c>
      <c r="H23" s="29">
        <f>ROUND(D23+G23,1)</f>
        <v>0</v>
      </c>
      <c r="I23" s="2"/>
      <c r="J23" s="143"/>
      <c r="K23" s="31">
        <f>[9]産廃水産・医療・汚泥!$Q$43</f>
        <v>0</v>
      </c>
      <c r="L23" s="31">
        <f>[9]産廃水産・医療・汚泥!$R$43</f>
        <v>0</v>
      </c>
      <c r="M23" s="97">
        <f>SUM(K23:L23)</f>
        <v>0</v>
      </c>
      <c r="N23" s="97">
        <f>[9]産廃水産・医療・汚泥!$S$43</f>
        <v>0</v>
      </c>
      <c r="O23" s="97">
        <f>[9]産廃水産・医療・汚泥!$T$43</f>
        <v>0</v>
      </c>
      <c r="P23" s="97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5"/>
    </row>
    <row r="25" spans="1:17" ht="17.25" customHeight="1" x14ac:dyDescent="0.15">
      <c r="A25" s="145"/>
      <c r="B25" s="31">
        <f>[10]産廃水産・医療・汚泥!$B$43</f>
        <v>0</v>
      </c>
      <c r="C25" s="31">
        <f>[10]産廃水産・医療・汚泥!$C$43</f>
        <v>0</v>
      </c>
      <c r="D25" s="31">
        <f>SUM(B25:C25)</f>
        <v>0</v>
      </c>
      <c r="E25" s="31">
        <f>[10]産廃水産・医療・汚泥!$D$43</f>
        <v>0</v>
      </c>
      <c r="F25" s="31">
        <f>[10]産廃水産・医療・汚泥!$E$43</f>
        <v>0</v>
      </c>
      <c r="G25" s="31">
        <f>SUM(E25:F25)</f>
        <v>0</v>
      </c>
      <c r="H25" s="68">
        <f>ROUND(D25+G25,1)</f>
        <v>0</v>
      </c>
      <c r="I25" s="3"/>
      <c r="J25" s="142"/>
      <c r="K25" s="31">
        <f>[10]産廃水産・医療・汚泥!$Q$43</f>
        <v>0</v>
      </c>
      <c r="L25" s="31">
        <f>[10]産廃水産・医療・汚泥!$R$43</f>
        <v>0</v>
      </c>
      <c r="M25" s="31">
        <f>SUM(K25:L25)</f>
        <v>0</v>
      </c>
      <c r="N25" s="31">
        <f>[10]産廃水産・医療・汚泥!$S$43</f>
        <v>0</v>
      </c>
      <c r="O25" s="31">
        <f>[10]産廃水産・医療・汚泥!$T$43</f>
        <v>0</v>
      </c>
      <c r="P25" s="31">
        <f>SUM(N25:O25)</f>
        <v>0</v>
      </c>
      <c r="Q25" s="34">
        <f>ROUND(M25+P25,1)</f>
        <v>0</v>
      </c>
    </row>
    <row r="26" spans="1:17" ht="1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35"/>
    </row>
    <row r="27" spans="1:17" ht="17.25" customHeight="1" x14ac:dyDescent="0.15">
      <c r="A27" s="138"/>
      <c r="B27" s="31">
        <f>[11]産廃水産・医療・汚泥!$B$43</f>
        <v>0</v>
      </c>
      <c r="C27" s="31">
        <f>[11]産廃水産・医療・汚泥!$C$43</f>
        <v>0</v>
      </c>
      <c r="D27" s="97">
        <f>SUM(B27:C27)</f>
        <v>0</v>
      </c>
      <c r="E27" s="97">
        <f>[11]産廃水産・医療・汚泥!$D$43</f>
        <v>0</v>
      </c>
      <c r="F27" s="97">
        <f>[11]産廃水産・医療・汚泥!$E$43</f>
        <v>0</v>
      </c>
      <c r="G27" s="97">
        <f>SUM(E27:F27)</f>
        <v>0</v>
      </c>
      <c r="H27" s="29">
        <f>ROUND(D27+G27,1)</f>
        <v>0</v>
      </c>
      <c r="I27" s="2"/>
      <c r="J27" s="143"/>
      <c r="K27" s="31">
        <f>[11]産廃水産・医療・汚泥!$Q$43</f>
        <v>0</v>
      </c>
      <c r="L27" s="31">
        <f>[11]産廃水産・医療・汚泥!$R$43</f>
        <v>0</v>
      </c>
      <c r="M27" s="97">
        <f>SUM(K27:L27)</f>
        <v>0</v>
      </c>
      <c r="N27" s="97">
        <f>[11]産廃水産・医療・汚泥!$S$43</f>
        <v>0</v>
      </c>
      <c r="O27" s="97">
        <f>[11]産廃水産・医療・汚泥!$T$43</f>
        <v>0</v>
      </c>
      <c r="P27" s="31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5"/>
    </row>
    <row r="29" spans="1:17" ht="17.25" customHeight="1" x14ac:dyDescent="0.15">
      <c r="A29" s="145"/>
      <c r="B29" s="31">
        <f>[12]産廃水産・医療・汚泥!$B$43</f>
        <v>0</v>
      </c>
      <c r="C29" s="31">
        <f>[12]産廃水産・医療・汚泥!$C$43</f>
        <v>0</v>
      </c>
      <c r="D29" s="31">
        <f>SUM(B29:C29)</f>
        <v>0</v>
      </c>
      <c r="E29" s="31">
        <f>[12]産廃水産・医療・汚泥!$D$43</f>
        <v>0</v>
      </c>
      <c r="F29" s="31">
        <f>[12]産廃水産・医療・汚泥!$E$43</f>
        <v>0</v>
      </c>
      <c r="G29" s="31">
        <f>SUM(E29:F29)</f>
        <v>0</v>
      </c>
      <c r="H29" s="31">
        <f>ROUND(D29+G29,1)</f>
        <v>0</v>
      </c>
      <c r="I29" s="3"/>
      <c r="J29" s="142"/>
      <c r="K29" s="31">
        <f>[12]産廃水産・医療・汚泥!$Q$43</f>
        <v>0</v>
      </c>
      <c r="L29" s="31">
        <f>[12]産廃水産・医療・汚泥!$R$43</f>
        <v>0</v>
      </c>
      <c r="M29" s="31">
        <f>SUM(K29:L29)</f>
        <v>0</v>
      </c>
      <c r="N29" s="31">
        <f>[12]産廃水産・医療・汚泥!$S$43</f>
        <v>0</v>
      </c>
      <c r="O29" s="31">
        <f>[12]産廃水産・医療・汚泥!$T$43</f>
        <v>0</v>
      </c>
      <c r="P29" s="31">
        <f>SUM(N29:O29)</f>
        <v>0</v>
      </c>
      <c r="Q29" s="36">
        <f>ROUND(M29+P29,1)</f>
        <v>0</v>
      </c>
    </row>
    <row r="30" spans="1:17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34"/>
    </row>
    <row r="31" spans="1:17" ht="17.2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5"/>
    </row>
    <row r="32" spans="1:17" ht="24" customHeight="1" x14ac:dyDescent="0.15">
      <c r="A32" s="146"/>
      <c r="B32" s="100">
        <f t="shared" ref="B32:G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>SUM(H6:H29)</f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38">
        <f>SUM(Q6:Q29)</f>
        <v>0</v>
      </c>
    </row>
  </sheetData>
  <mergeCells count="27">
    <mergeCell ref="J31:J32"/>
    <mergeCell ref="J28:J29"/>
    <mergeCell ref="A26:A27"/>
    <mergeCell ref="J20:J21"/>
    <mergeCell ref="J22:J23"/>
    <mergeCell ref="J24:J25"/>
    <mergeCell ref="A22:A23"/>
    <mergeCell ref="A20:A21"/>
    <mergeCell ref="A31:A32"/>
    <mergeCell ref="A28:A29"/>
    <mergeCell ref="J26:J27"/>
    <mergeCell ref="A24:A25"/>
    <mergeCell ref="A1:K1"/>
    <mergeCell ref="J6:J7"/>
    <mergeCell ref="J8:J9"/>
    <mergeCell ref="J10:J11"/>
    <mergeCell ref="A6:A7"/>
    <mergeCell ref="A8:A9"/>
    <mergeCell ref="A10:A11"/>
    <mergeCell ref="J12:J13"/>
    <mergeCell ref="A12:A13"/>
    <mergeCell ref="J14:J15"/>
    <mergeCell ref="A14:A15"/>
    <mergeCell ref="J18:J19"/>
    <mergeCell ref="J16:J17"/>
    <mergeCell ref="A18:A19"/>
    <mergeCell ref="A16:A1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3F24-DECF-4AC8-BB28-90873BD0C2DA}">
  <dimension ref="A1:R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8" ht="20.25" customHeight="1" x14ac:dyDescent="0.15">
      <c r="A1" s="147" t="str">
        <f>"令和"&amp;'[1]A-1'!$E$9-2018&amp;"年度　一般産業廃棄物(焼却)処理地区別集計表　　【第2－3表】"</f>
        <v>令和9年度　一般産業廃棄物(焼却)処理地区別集計表　　【第2－3表】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8" ht="13.5" customHeight="1" x14ac:dyDescent="0.15"/>
    <row r="3" spans="1:18" ht="18.75" customHeight="1" x14ac:dyDescent="0.15">
      <c r="B3" t="s">
        <v>30</v>
      </c>
      <c r="K3" t="s">
        <v>31</v>
      </c>
      <c r="P3" s="4"/>
      <c r="Q3" s="22" t="s">
        <v>1</v>
      </c>
    </row>
    <row r="4" spans="1:18" ht="7.5" customHeight="1" x14ac:dyDescent="0.15"/>
    <row r="5" spans="1:18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8" ht="15" customHeight="1" x14ac:dyDescent="0.15">
      <c r="A6" s="138">
        <v>4</v>
      </c>
      <c r="B6" s="20"/>
      <c r="C6" s="20"/>
      <c r="D6" s="20"/>
      <c r="E6" s="20"/>
      <c r="F6" s="20"/>
      <c r="G6" s="20"/>
      <c r="H6" s="28"/>
      <c r="I6" s="2"/>
      <c r="J6" s="148">
        <v>4</v>
      </c>
      <c r="K6" s="20"/>
      <c r="L6" s="20"/>
      <c r="M6" s="20"/>
      <c r="N6" s="20"/>
      <c r="O6" s="20"/>
      <c r="P6" s="20"/>
      <c r="Q6" s="33"/>
    </row>
    <row r="7" spans="1:18" ht="17.25" customHeight="1" x14ac:dyDescent="0.15">
      <c r="A7" s="138"/>
      <c r="B7" s="93">
        <f>[1]紙類!$G$43</f>
        <v>0</v>
      </c>
      <c r="C7" s="93">
        <f>[1]紙類!$H$43</f>
        <v>0</v>
      </c>
      <c r="D7" s="91">
        <f>SUM(B7:C7)</f>
        <v>0</v>
      </c>
      <c r="E7" s="93">
        <f>[1]紙類!$I$43</f>
        <v>0</v>
      </c>
      <c r="F7" s="93">
        <f>[1]紙類!$J$43</f>
        <v>0</v>
      </c>
      <c r="G7" s="91">
        <f>SUM(E7:F7)</f>
        <v>0</v>
      </c>
      <c r="H7" s="29">
        <f>ROUND(D7+G7,1)</f>
        <v>0</v>
      </c>
      <c r="I7" s="2"/>
      <c r="J7" s="143"/>
      <c r="K7" s="90">
        <f>[1]紙類!$R$43</f>
        <v>0</v>
      </c>
      <c r="L7" s="90">
        <f>[1]紙類!$S$43</f>
        <v>0</v>
      </c>
      <c r="M7" s="88">
        <f>SUM(K7:L7)</f>
        <v>0</v>
      </c>
      <c r="N7" s="88">
        <f>[1]紙類!$T$43</f>
        <v>0</v>
      </c>
      <c r="O7" s="88">
        <f>[1]紙類!$U$43</f>
        <v>0</v>
      </c>
      <c r="P7" s="88">
        <f>SUM(N7:O7)</f>
        <v>0</v>
      </c>
      <c r="Q7" s="34">
        <f>ROUND(M7+P7,1)</f>
        <v>0</v>
      </c>
      <c r="R7" s="21"/>
    </row>
    <row r="8" spans="1:18" ht="15" customHeight="1" x14ac:dyDescent="0.15">
      <c r="A8" s="144">
        <v>5</v>
      </c>
      <c r="B8" s="89"/>
      <c r="C8" s="89"/>
      <c r="D8" s="89"/>
      <c r="E8" s="89"/>
      <c r="F8" s="89"/>
      <c r="G8" s="89"/>
      <c r="H8" s="30"/>
      <c r="I8" s="1"/>
      <c r="J8" s="141">
        <v>5</v>
      </c>
      <c r="K8" s="89"/>
      <c r="L8" s="89"/>
      <c r="M8" s="89"/>
      <c r="N8" s="89"/>
      <c r="O8" s="89"/>
      <c r="P8" s="89"/>
      <c r="Q8" s="35"/>
      <c r="R8" s="21"/>
    </row>
    <row r="9" spans="1:18" ht="17.25" customHeight="1" x14ac:dyDescent="0.15">
      <c r="A9" s="145"/>
      <c r="B9" s="93">
        <f>[2]紙類!$G$43</f>
        <v>0</v>
      </c>
      <c r="C9" s="93">
        <f>[2]紙類!$H$43</f>
        <v>0</v>
      </c>
      <c r="D9" s="91">
        <f>SUM(B9:C9)</f>
        <v>0</v>
      </c>
      <c r="E9" s="93">
        <f>[2]紙類!$I$43</f>
        <v>0</v>
      </c>
      <c r="F9" s="93">
        <f>[2]紙類!$J$43</f>
        <v>0</v>
      </c>
      <c r="G9" s="91">
        <f>SUM(E9:F9)</f>
        <v>0</v>
      </c>
      <c r="H9" s="29">
        <f>ROUND(D9+G9,1)</f>
        <v>0</v>
      </c>
      <c r="I9" s="3"/>
      <c r="J9" s="142"/>
      <c r="K9" s="90">
        <f>[2]紙類!$R$43</f>
        <v>0</v>
      </c>
      <c r="L9" s="90">
        <f>[2]紙類!$S$43</f>
        <v>0</v>
      </c>
      <c r="M9" s="88">
        <f>SUM(K9:L9)</f>
        <v>0</v>
      </c>
      <c r="N9" s="88">
        <f>[2]紙類!$T$43</f>
        <v>0</v>
      </c>
      <c r="O9" s="88">
        <f>[2]紙類!$U$43</f>
        <v>0</v>
      </c>
      <c r="P9" s="91">
        <f>SUM(N9:O9)</f>
        <v>0</v>
      </c>
      <c r="Q9" s="34">
        <f>ROUND(M9+P9,1)</f>
        <v>0</v>
      </c>
      <c r="R9" s="21"/>
    </row>
    <row r="10" spans="1:18" ht="15" customHeight="1" x14ac:dyDescent="0.15">
      <c r="A10" s="138">
        <v>6</v>
      </c>
      <c r="B10" s="89"/>
      <c r="C10" s="89"/>
      <c r="D10" s="89"/>
      <c r="E10" s="89"/>
      <c r="F10" s="89"/>
      <c r="G10" s="89"/>
      <c r="H10" s="30"/>
      <c r="I10" s="2"/>
      <c r="J10" s="143">
        <v>6</v>
      </c>
      <c r="K10" s="89"/>
      <c r="L10" s="89"/>
      <c r="M10" s="89"/>
      <c r="N10" s="89"/>
      <c r="O10" s="89"/>
      <c r="P10" s="89"/>
      <c r="Q10" s="35"/>
      <c r="R10" s="21"/>
    </row>
    <row r="11" spans="1:18" ht="17.25" customHeight="1" x14ac:dyDescent="0.15">
      <c r="A11" s="138"/>
      <c r="B11" s="93">
        <f>[3]紙類!$G$43</f>
        <v>0</v>
      </c>
      <c r="C11" s="93">
        <f>[3]紙類!$H$43</f>
        <v>0</v>
      </c>
      <c r="D11" s="91">
        <f>SUM(B11:C11)</f>
        <v>0</v>
      </c>
      <c r="E11" s="93">
        <f>[3]紙類!$I$43</f>
        <v>0</v>
      </c>
      <c r="F11" s="93">
        <f>[3]紙類!$J$43</f>
        <v>0</v>
      </c>
      <c r="G11" s="91">
        <f>SUM(E11:F11)</f>
        <v>0</v>
      </c>
      <c r="H11" s="29">
        <f>ROUND(D11+G11,1)</f>
        <v>0</v>
      </c>
      <c r="I11" s="2"/>
      <c r="J11" s="143"/>
      <c r="K11" s="90">
        <f>[3]紙類!$R$43</f>
        <v>0</v>
      </c>
      <c r="L11" s="90">
        <f>[3]紙類!$S$43</f>
        <v>0</v>
      </c>
      <c r="M11" s="88">
        <f>SUM(K11:L11)</f>
        <v>0</v>
      </c>
      <c r="N11" s="88">
        <f>[3]紙類!$T$43</f>
        <v>0</v>
      </c>
      <c r="O11" s="88">
        <f>[3]紙類!$U$43</f>
        <v>0</v>
      </c>
      <c r="P11" s="91">
        <f>SUM(N11:O11)</f>
        <v>0</v>
      </c>
      <c r="Q11" s="34">
        <f>ROUND(M11+P11,1)</f>
        <v>0</v>
      </c>
      <c r="R11" s="21"/>
    </row>
    <row r="12" spans="1:18" ht="15" customHeight="1" x14ac:dyDescent="0.15">
      <c r="A12" s="144">
        <v>7</v>
      </c>
      <c r="B12" s="89"/>
      <c r="C12" s="89"/>
      <c r="D12" s="89"/>
      <c r="E12" s="89"/>
      <c r="F12" s="89"/>
      <c r="G12" s="89"/>
      <c r="H12" s="30"/>
      <c r="I12" s="1"/>
      <c r="J12" s="141">
        <v>7</v>
      </c>
      <c r="K12" s="89"/>
      <c r="L12" s="89"/>
      <c r="M12" s="89"/>
      <c r="N12" s="89"/>
      <c r="O12" s="89"/>
      <c r="P12" s="89"/>
      <c r="Q12" s="35"/>
      <c r="R12" s="21"/>
    </row>
    <row r="13" spans="1:18" ht="17.25" customHeight="1" x14ac:dyDescent="0.15">
      <c r="A13" s="145"/>
      <c r="B13" s="93">
        <f>[4]紙類!$G$43</f>
        <v>0</v>
      </c>
      <c r="C13" s="93">
        <f>[4]紙類!$H$43</f>
        <v>0</v>
      </c>
      <c r="D13" s="91">
        <f>SUM(B13:C13)</f>
        <v>0</v>
      </c>
      <c r="E13" s="93">
        <f>[4]紙類!$I$43</f>
        <v>0</v>
      </c>
      <c r="F13" s="93">
        <f>[4]紙類!$J$43</f>
        <v>0</v>
      </c>
      <c r="G13" s="93">
        <f>SUM(E13:F13)</f>
        <v>0</v>
      </c>
      <c r="H13" s="29">
        <f>ROUND(D13+G13,1)</f>
        <v>0</v>
      </c>
      <c r="I13" s="3"/>
      <c r="J13" s="142"/>
      <c r="K13" s="90">
        <f>[4]紙類!$R$43</f>
        <v>0</v>
      </c>
      <c r="L13" s="90">
        <f>[4]紙類!$S$43</f>
        <v>0</v>
      </c>
      <c r="M13" s="88">
        <f>SUM(K13:L13)</f>
        <v>0</v>
      </c>
      <c r="N13" s="88">
        <f>[4]紙類!$T$43</f>
        <v>0</v>
      </c>
      <c r="O13" s="88">
        <f>[4]紙類!$U$43</f>
        <v>0</v>
      </c>
      <c r="P13" s="93">
        <f>SUM(N13:O13)</f>
        <v>0</v>
      </c>
      <c r="Q13" s="34">
        <f>ROUND(M13+P13,1)</f>
        <v>0</v>
      </c>
      <c r="R13" s="21"/>
    </row>
    <row r="14" spans="1:18" ht="15" customHeight="1" x14ac:dyDescent="0.15">
      <c r="A14" s="138">
        <v>8</v>
      </c>
      <c r="B14" s="89"/>
      <c r="C14" s="89"/>
      <c r="D14" s="89"/>
      <c r="E14" s="89"/>
      <c r="F14" s="89"/>
      <c r="G14" s="94"/>
      <c r="H14" s="30"/>
      <c r="I14" s="2"/>
      <c r="J14" s="143">
        <v>8</v>
      </c>
      <c r="K14" s="89"/>
      <c r="L14" s="89"/>
      <c r="M14" s="89"/>
      <c r="N14" s="89"/>
      <c r="O14" s="89"/>
      <c r="P14" s="94"/>
      <c r="Q14" s="35"/>
      <c r="R14" s="21"/>
    </row>
    <row r="15" spans="1:18" ht="17.25" customHeight="1" x14ac:dyDescent="0.15">
      <c r="A15" s="138"/>
      <c r="B15" s="93">
        <f>[5]紙類!$G$43</f>
        <v>0</v>
      </c>
      <c r="C15" s="93">
        <f>[5]紙類!$H$43</f>
        <v>0</v>
      </c>
      <c r="D15" s="91">
        <f>SUM(B15:C15)</f>
        <v>0</v>
      </c>
      <c r="E15" s="93">
        <f>[5]紙類!$I$43</f>
        <v>0</v>
      </c>
      <c r="F15" s="93">
        <f>[5]紙類!$J$43</f>
        <v>0</v>
      </c>
      <c r="G15" s="91">
        <f>SUM(E15:F15)</f>
        <v>0</v>
      </c>
      <c r="H15" s="29">
        <f>ROUND(D15+G15,1)</f>
        <v>0</v>
      </c>
      <c r="I15" s="2"/>
      <c r="J15" s="143"/>
      <c r="K15" s="90">
        <f>[5]紙類!$R$43</f>
        <v>0</v>
      </c>
      <c r="L15" s="90">
        <f>[5]紙類!$S$43</f>
        <v>0</v>
      </c>
      <c r="M15" s="88">
        <f>SUM(K15:L15)</f>
        <v>0</v>
      </c>
      <c r="N15" s="88">
        <f>[5]紙類!$T$43</f>
        <v>0</v>
      </c>
      <c r="O15" s="88">
        <f>[5]紙類!$U$43</f>
        <v>0</v>
      </c>
      <c r="P15" s="91">
        <f>SUM(N15:O15)</f>
        <v>0</v>
      </c>
      <c r="Q15" s="34">
        <f>ROUND(M15+P15,1)</f>
        <v>0</v>
      </c>
      <c r="R15" s="21"/>
    </row>
    <row r="16" spans="1:18" ht="15" customHeight="1" x14ac:dyDescent="0.15">
      <c r="A16" s="144">
        <v>9</v>
      </c>
      <c r="B16" s="89"/>
      <c r="C16" s="89"/>
      <c r="D16" s="89"/>
      <c r="E16" s="89"/>
      <c r="F16" s="89"/>
      <c r="G16" s="89"/>
      <c r="H16" s="30"/>
      <c r="I16" s="1"/>
      <c r="J16" s="141">
        <v>9</v>
      </c>
      <c r="K16" s="89"/>
      <c r="L16" s="89"/>
      <c r="M16" s="89"/>
      <c r="N16" s="89"/>
      <c r="O16" s="89"/>
      <c r="P16" s="89"/>
      <c r="Q16" s="35"/>
      <c r="R16" s="21"/>
    </row>
    <row r="17" spans="1:18" ht="17.25" customHeight="1" x14ac:dyDescent="0.15">
      <c r="A17" s="145"/>
      <c r="B17" s="93">
        <f>[6]紙類!$G$43</f>
        <v>0</v>
      </c>
      <c r="C17" s="93">
        <f>[6]紙類!$H$43</f>
        <v>0</v>
      </c>
      <c r="D17" s="91">
        <f>SUM(B17:C17)</f>
        <v>0</v>
      </c>
      <c r="E17" s="93">
        <f>[6]紙類!$I$43</f>
        <v>0</v>
      </c>
      <c r="F17" s="93">
        <f>[6]紙類!$J$43</f>
        <v>0</v>
      </c>
      <c r="G17" s="91">
        <f>SUM(E17:F17)</f>
        <v>0</v>
      </c>
      <c r="H17" s="29">
        <f>ROUND(D17+G17,1)</f>
        <v>0</v>
      </c>
      <c r="I17" s="3"/>
      <c r="J17" s="142"/>
      <c r="K17" s="90">
        <f>[6]紙類!$R$43</f>
        <v>0</v>
      </c>
      <c r="L17" s="90">
        <f>[6]紙類!$S$43</f>
        <v>0</v>
      </c>
      <c r="M17" s="88">
        <f>SUM(K17:L17)</f>
        <v>0</v>
      </c>
      <c r="N17" s="88">
        <f>[6]紙類!$T$43</f>
        <v>0</v>
      </c>
      <c r="O17" s="88">
        <f>[6]紙類!$U$43</f>
        <v>0</v>
      </c>
      <c r="P17" s="91">
        <f>SUM(N17:O17)</f>
        <v>0</v>
      </c>
      <c r="Q17" s="34">
        <f>ROUND(M17+P17,1)</f>
        <v>0</v>
      </c>
      <c r="R17" s="21"/>
    </row>
    <row r="18" spans="1:18" ht="15" customHeight="1" x14ac:dyDescent="0.15">
      <c r="A18" s="138">
        <v>10</v>
      </c>
      <c r="B18" s="89"/>
      <c r="C18" s="89"/>
      <c r="D18" s="89"/>
      <c r="E18" s="89"/>
      <c r="F18" s="89"/>
      <c r="G18" s="89"/>
      <c r="H18" s="30"/>
      <c r="I18" s="2"/>
      <c r="J18" s="143">
        <v>10</v>
      </c>
      <c r="K18" s="89"/>
      <c r="L18" s="89"/>
      <c r="M18" s="89"/>
      <c r="N18" s="89"/>
      <c r="O18" s="89"/>
      <c r="P18" s="89"/>
      <c r="Q18" s="35"/>
    </row>
    <row r="19" spans="1:18" ht="17.25" customHeight="1" x14ac:dyDescent="0.15">
      <c r="A19" s="138"/>
      <c r="B19" s="93">
        <f>[7]紙類!$G$43</f>
        <v>0</v>
      </c>
      <c r="C19" s="93">
        <f>[7]紙類!$H$43</f>
        <v>0</v>
      </c>
      <c r="D19" s="91">
        <f>SUM(B19:C19)</f>
        <v>0</v>
      </c>
      <c r="E19" s="93">
        <f>[7]紙類!$I$43</f>
        <v>0</v>
      </c>
      <c r="F19" s="93">
        <f>[7]紙類!$J$43</f>
        <v>0</v>
      </c>
      <c r="G19" s="91">
        <f>SUM(E19:F19)</f>
        <v>0</v>
      </c>
      <c r="H19" s="29">
        <f>ROUND(D19+G19,1)</f>
        <v>0</v>
      </c>
      <c r="I19" s="2"/>
      <c r="J19" s="143"/>
      <c r="K19" s="90">
        <f>[7]紙類!$R$43</f>
        <v>0</v>
      </c>
      <c r="L19" s="90">
        <f>[7]紙類!$S$43</f>
        <v>0</v>
      </c>
      <c r="M19" s="88">
        <f>SUM(K19:L19)</f>
        <v>0</v>
      </c>
      <c r="N19" s="88">
        <f>[7]紙類!$T$43</f>
        <v>0</v>
      </c>
      <c r="O19" s="88">
        <f>[7]紙類!$U$43</f>
        <v>0</v>
      </c>
      <c r="P19" s="91">
        <f>SUM(N19:O19)</f>
        <v>0</v>
      </c>
      <c r="Q19" s="34">
        <f>ROUND(M19+P19,1)</f>
        <v>0</v>
      </c>
    </row>
    <row r="20" spans="1:18" ht="15" customHeight="1" x14ac:dyDescent="0.15">
      <c r="A20" s="144">
        <v>11</v>
      </c>
      <c r="B20" s="89"/>
      <c r="C20" s="89"/>
      <c r="D20" s="89"/>
      <c r="E20" s="89"/>
      <c r="F20" s="89"/>
      <c r="G20" s="89"/>
      <c r="H20" s="30"/>
      <c r="I20" s="1"/>
      <c r="J20" s="141">
        <v>11</v>
      </c>
      <c r="K20" s="89"/>
      <c r="L20" s="89"/>
      <c r="M20" s="89"/>
      <c r="N20" s="89"/>
      <c r="O20" s="89"/>
      <c r="P20" s="89"/>
      <c r="Q20" s="35"/>
    </row>
    <row r="21" spans="1:18" ht="17.25" customHeight="1" x14ac:dyDescent="0.15">
      <c r="A21" s="145"/>
      <c r="B21" s="93">
        <f>[8]紙類!$G$43</f>
        <v>0</v>
      </c>
      <c r="C21" s="93">
        <f>[8]紙類!$H$43</f>
        <v>0</v>
      </c>
      <c r="D21" s="91">
        <f>SUM(B21:C21)</f>
        <v>0</v>
      </c>
      <c r="E21" s="93">
        <f>[8]紙類!$I$43</f>
        <v>0</v>
      </c>
      <c r="F21" s="93">
        <f>[8]紙類!$J$43</f>
        <v>0</v>
      </c>
      <c r="G21" s="91">
        <f>SUM(E21:F21)</f>
        <v>0</v>
      </c>
      <c r="H21" s="29">
        <f>ROUND(D21+G21,1)</f>
        <v>0</v>
      </c>
      <c r="I21" s="3"/>
      <c r="J21" s="142"/>
      <c r="K21" s="90">
        <f>[8]紙類!$R$43</f>
        <v>0</v>
      </c>
      <c r="L21" s="90">
        <f>[8]紙類!$S$43</f>
        <v>0</v>
      </c>
      <c r="M21" s="88">
        <f>SUM(K21:L21)</f>
        <v>0</v>
      </c>
      <c r="N21" s="88">
        <f>[8]紙類!$T$43</f>
        <v>0</v>
      </c>
      <c r="O21" s="88">
        <f>[8]紙類!$U$43</f>
        <v>0</v>
      </c>
      <c r="P21" s="93">
        <f>SUM(N21:O21)</f>
        <v>0</v>
      </c>
      <c r="Q21" s="34">
        <f>ROUND(M21+P21,1)</f>
        <v>0</v>
      </c>
    </row>
    <row r="22" spans="1:18" ht="15" customHeight="1" x14ac:dyDescent="0.15">
      <c r="A22" s="138">
        <v>12</v>
      </c>
      <c r="B22" s="89"/>
      <c r="C22" s="89"/>
      <c r="D22" s="89"/>
      <c r="E22" s="89"/>
      <c r="F22" s="89"/>
      <c r="G22" s="89"/>
      <c r="H22" s="30"/>
      <c r="I22" s="2"/>
      <c r="J22" s="143">
        <v>12</v>
      </c>
      <c r="K22" s="89"/>
      <c r="L22" s="89"/>
      <c r="M22" s="89"/>
      <c r="N22" s="89"/>
      <c r="O22" s="89"/>
      <c r="P22" s="94"/>
      <c r="Q22" s="35"/>
    </row>
    <row r="23" spans="1:18" ht="17.25" customHeight="1" x14ac:dyDescent="0.15">
      <c r="A23" s="138"/>
      <c r="B23" s="93">
        <f>[9]紙類!$G$43</f>
        <v>0</v>
      </c>
      <c r="C23" s="93">
        <f>[9]紙類!$H$43</f>
        <v>0</v>
      </c>
      <c r="D23" s="91">
        <f>SUM(B23:C23)</f>
        <v>0</v>
      </c>
      <c r="E23" s="93">
        <f>[9]紙類!$I$43</f>
        <v>0</v>
      </c>
      <c r="F23" s="93">
        <f>[9]紙類!$J$43</f>
        <v>0</v>
      </c>
      <c r="G23" s="91">
        <f>SUM(E23:F23)</f>
        <v>0</v>
      </c>
      <c r="H23" s="29">
        <f>ROUND(D23+G23,1)</f>
        <v>0</v>
      </c>
      <c r="I23" s="2"/>
      <c r="J23" s="143"/>
      <c r="K23" s="90">
        <f>[9]紙類!$R$43</f>
        <v>0</v>
      </c>
      <c r="L23" s="90">
        <f>[9]紙類!$S$43</f>
        <v>0</v>
      </c>
      <c r="M23" s="88">
        <f>SUM(K23:L23)</f>
        <v>0</v>
      </c>
      <c r="N23" s="88">
        <f>[9]紙類!$T$43</f>
        <v>0</v>
      </c>
      <c r="O23" s="88">
        <f>[9]紙類!$U$43</f>
        <v>0</v>
      </c>
      <c r="P23" s="91">
        <f>SUM(N23:O23)</f>
        <v>0</v>
      </c>
      <c r="Q23" s="34">
        <f>ROUND(M23+P23,1)</f>
        <v>0</v>
      </c>
    </row>
    <row r="24" spans="1:18" ht="15" customHeight="1" x14ac:dyDescent="0.15">
      <c r="A24" s="144">
        <v>1</v>
      </c>
      <c r="B24" s="89"/>
      <c r="C24" s="89"/>
      <c r="D24" s="89"/>
      <c r="E24" s="89"/>
      <c r="F24" s="89"/>
      <c r="G24" s="89"/>
      <c r="H24" s="30"/>
      <c r="I24" s="1"/>
      <c r="J24" s="141">
        <v>1</v>
      </c>
      <c r="K24" s="89"/>
      <c r="L24" s="89"/>
      <c r="M24" s="89"/>
      <c r="N24" s="89"/>
      <c r="O24" s="89"/>
      <c r="P24" s="89"/>
      <c r="Q24" s="35"/>
    </row>
    <row r="25" spans="1:18" ht="17.25" customHeight="1" x14ac:dyDescent="0.15">
      <c r="A25" s="145"/>
      <c r="B25" s="93">
        <f>[10]紙類!$G$43</f>
        <v>0</v>
      </c>
      <c r="C25" s="93">
        <f>[10]紙類!$H$43</f>
        <v>0</v>
      </c>
      <c r="D25" s="91">
        <f>SUM(B25:C25)</f>
        <v>0</v>
      </c>
      <c r="E25" s="93">
        <f>[10]紙類!$I$43</f>
        <v>0</v>
      </c>
      <c r="F25" s="93">
        <f>[10]紙類!$J$43</f>
        <v>0</v>
      </c>
      <c r="G25" s="93">
        <f>SUM(E25:F25)</f>
        <v>0</v>
      </c>
      <c r="H25" s="29">
        <f>ROUND(D25+G25,1)</f>
        <v>0</v>
      </c>
      <c r="I25" s="3"/>
      <c r="J25" s="142"/>
      <c r="K25" s="90">
        <f>[10]紙類!$R$43</f>
        <v>0</v>
      </c>
      <c r="L25" s="90">
        <f>[10]紙類!$S$43</f>
        <v>0</v>
      </c>
      <c r="M25" s="88">
        <f>SUM(K25:L25)</f>
        <v>0</v>
      </c>
      <c r="N25" s="88">
        <f>[10]紙類!$T$43</f>
        <v>0</v>
      </c>
      <c r="O25" s="88">
        <f>[10]紙類!$U$43</f>
        <v>0</v>
      </c>
      <c r="P25" s="91">
        <f>SUM(N25:O25)</f>
        <v>0</v>
      </c>
      <c r="Q25" s="34">
        <f>ROUND(M25+P25,1)</f>
        <v>0</v>
      </c>
    </row>
    <row r="26" spans="1:18" ht="15" customHeight="1" x14ac:dyDescent="0.15">
      <c r="A26" s="138">
        <v>2</v>
      </c>
      <c r="B26" s="89"/>
      <c r="C26" s="89"/>
      <c r="D26" s="89"/>
      <c r="E26" s="89"/>
      <c r="F26" s="89"/>
      <c r="G26" s="94"/>
      <c r="H26" s="30"/>
      <c r="I26" s="2"/>
      <c r="J26" s="143">
        <v>2</v>
      </c>
      <c r="K26" s="89"/>
      <c r="L26" s="89"/>
      <c r="M26" s="89"/>
      <c r="N26" s="89"/>
      <c r="O26" s="89"/>
      <c r="P26" s="89"/>
      <c r="Q26" s="35"/>
    </row>
    <row r="27" spans="1:18" ht="17.25" customHeight="1" x14ac:dyDescent="0.15">
      <c r="A27" s="138"/>
      <c r="B27" s="93">
        <f>[11]紙類!$G$43</f>
        <v>0</v>
      </c>
      <c r="C27" s="93">
        <f>[11]紙類!$H$43</f>
        <v>0</v>
      </c>
      <c r="D27" s="91">
        <f>SUM(B27:C27)</f>
        <v>0</v>
      </c>
      <c r="E27" s="93">
        <f>[11]紙類!$I$43</f>
        <v>0</v>
      </c>
      <c r="F27" s="93">
        <f>[11]紙類!$J$43</f>
        <v>0</v>
      </c>
      <c r="G27" s="93">
        <f>SUM(E27:F27)</f>
        <v>0</v>
      </c>
      <c r="H27" s="29">
        <f>ROUND(D27+G27,1)</f>
        <v>0</v>
      </c>
      <c r="I27" s="2"/>
      <c r="J27" s="143"/>
      <c r="K27" s="90">
        <f>[11]紙類!$R$43</f>
        <v>0</v>
      </c>
      <c r="L27" s="90">
        <f>[11]紙類!$S$43</f>
        <v>0</v>
      </c>
      <c r="M27" s="88">
        <f>SUM(K27:L27)</f>
        <v>0</v>
      </c>
      <c r="N27" s="88">
        <f>[11]紙類!$T$43</f>
        <v>0</v>
      </c>
      <c r="O27" s="88">
        <f>[11]紙類!$U$43</f>
        <v>0</v>
      </c>
      <c r="P27" s="91">
        <f>SUM(N27:O27)</f>
        <v>0</v>
      </c>
      <c r="Q27" s="34">
        <f>ROUND(M27+P27,1)</f>
        <v>0</v>
      </c>
    </row>
    <row r="28" spans="1:18" ht="15" customHeight="1" x14ac:dyDescent="0.15">
      <c r="A28" s="144">
        <v>3</v>
      </c>
      <c r="B28" s="89"/>
      <c r="C28" s="89"/>
      <c r="D28" s="89"/>
      <c r="E28" s="89"/>
      <c r="F28" s="89"/>
      <c r="G28" s="89"/>
      <c r="H28" s="30"/>
      <c r="I28" s="1"/>
      <c r="J28" s="141">
        <v>3</v>
      </c>
      <c r="K28" s="89"/>
      <c r="L28" s="89"/>
      <c r="M28" s="89"/>
      <c r="N28" s="89"/>
      <c r="O28" s="89"/>
      <c r="P28" s="89"/>
      <c r="Q28" s="35"/>
    </row>
    <row r="29" spans="1:18" ht="17.25" customHeight="1" x14ac:dyDescent="0.15">
      <c r="A29" s="145"/>
      <c r="B29" s="93">
        <f>[12]紙類!$G$43</f>
        <v>0</v>
      </c>
      <c r="C29" s="93">
        <f>[12]紙類!$H$43</f>
        <v>0</v>
      </c>
      <c r="D29" s="93">
        <f>SUM(B29:C29)</f>
        <v>0</v>
      </c>
      <c r="E29" s="93">
        <f>[12]紙類!$I$43</f>
        <v>0</v>
      </c>
      <c r="F29" s="93">
        <f>[12]紙類!$J$43</f>
        <v>0</v>
      </c>
      <c r="G29" s="93">
        <f>SUM(E29:F29)</f>
        <v>0</v>
      </c>
      <c r="H29" s="31">
        <f>ROUND(D29+G29,1)</f>
        <v>0</v>
      </c>
      <c r="I29" s="3"/>
      <c r="J29" s="142"/>
      <c r="K29" s="90">
        <f>[12]紙類!$R$43</f>
        <v>0</v>
      </c>
      <c r="L29" s="90">
        <f>[12]紙類!$S$43</f>
        <v>0</v>
      </c>
      <c r="M29" s="90">
        <f>SUM(K29:L29)</f>
        <v>0</v>
      </c>
      <c r="N29" s="90">
        <f>[12]紙類!$T$43</f>
        <v>0</v>
      </c>
      <c r="O29" s="90">
        <f>[12]紙類!$U$43</f>
        <v>0</v>
      </c>
      <c r="P29" s="93">
        <f>SUM(N29:O29)</f>
        <v>0</v>
      </c>
      <c r="Q29" s="36">
        <f>ROUND(M29+P29,1)</f>
        <v>0</v>
      </c>
    </row>
    <row r="30" spans="1:18" ht="6" customHeight="1" x14ac:dyDescent="0.15">
      <c r="A30" s="5"/>
      <c r="B30" s="91"/>
      <c r="C30" s="91"/>
      <c r="D30" s="91"/>
      <c r="E30" s="91"/>
      <c r="F30" s="91"/>
      <c r="G30" s="91"/>
      <c r="H30" s="29"/>
      <c r="I30" s="2"/>
      <c r="J30" s="7"/>
      <c r="K30" s="91"/>
      <c r="L30" s="91"/>
      <c r="M30" s="91"/>
      <c r="N30" s="91"/>
      <c r="O30" s="91"/>
      <c r="P30" s="91"/>
      <c r="Q30" s="34"/>
    </row>
    <row r="31" spans="1:18" ht="17.25" customHeight="1" x14ac:dyDescent="0.15">
      <c r="A31" s="144" t="s">
        <v>0</v>
      </c>
      <c r="B31" s="89"/>
      <c r="C31" s="89"/>
      <c r="D31" s="89"/>
      <c r="E31" s="89"/>
      <c r="F31" s="89"/>
      <c r="G31" s="89"/>
      <c r="H31" s="30"/>
      <c r="I31" s="1"/>
      <c r="J31" s="139" t="s">
        <v>0</v>
      </c>
      <c r="K31" s="89"/>
      <c r="L31" s="89"/>
      <c r="M31" s="89"/>
      <c r="N31" s="89"/>
      <c r="O31" s="89"/>
      <c r="P31" s="89"/>
      <c r="Q31" s="35"/>
    </row>
    <row r="32" spans="1:18" ht="24" customHeight="1" x14ac:dyDescent="0.15">
      <c r="A32" s="146"/>
      <c r="B32" s="92">
        <f t="shared" ref="B32:G32" si="0">SUM(B7+B9+B11+B13+B15+B17+B19+B21+B23+B25+B27+B29)</f>
        <v>0</v>
      </c>
      <c r="C32" s="92">
        <f t="shared" si="0"/>
        <v>0</v>
      </c>
      <c r="D32" s="92">
        <f t="shared" si="0"/>
        <v>0</v>
      </c>
      <c r="E32" s="92">
        <f t="shared" si="0"/>
        <v>0</v>
      </c>
      <c r="F32" s="92">
        <f t="shared" si="0"/>
        <v>0</v>
      </c>
      <c r="G32" s="92">
        <f t="shared" si="0"/>
        <v>0</v>
      </c>
      <c r="H32" s="32">
        <f>SUM(H6:H29)</f>
        <v>0</v>
      </c>
      <c r="I32" s="6"/>
      <c r="J32" s="140"/>
      <c r="K32" s="92">
        <f t="shared" ref="K32:P32" si="1">SUM(K7+K9+K11+K13+K15+K17+K19+K21+K23+K25+K27+K29)</f>
        <v>0</v>
      </c>
      <c r="L32" s="92">
        <f t="shared" si="1"/>
        <v>0</v>
      </c>
      <c r="M32" s="92">
        <f t="shared" si="1"/>
        <v>0</v>
      </c>
      <c r="N32" s="92">
        <f t="shared" si="1"/>
        <v>0</v>
      </c>
      <c r="O32" s="92">
        <f t="shared" si="1"/>
        <v>0</v>
      </c>
      <c r="P32" s="92">
        <f t="shared" si="1"/>
        <v>0</v>
      </c>
      <c r="Q32" s="38">
        <f>SUM(Q6:Q29)</f>
        <v>0</v>
      </c>
    </row>
  </sheetData>
  <mergeCells count="27"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0:A21"/>
    <mergeCell ref="A26:A27"/>
    <mergeCell ref="J12:J13"/>
    <mergeCell ref="J14:J15"/>
    <mergeCell ref="A14:A15"/>
    <mergeCell ref="J18:J19"/>
    <mergeCell ref="A18:A19"/>
    <mergeCell ref="J16:J17"/>
    <mergeCell ref="A12:A13"/>
    <mergeCell ref="A16:A17"/>
    <mergeCell ref="A1:K1"/>
    <mergeCell ref="J6:J7"/>
    <mergeCell ref="J8:J9"/>
    <mergeCell ref="J10:J11"/>
    <mergeCell ref="A6:A7"/>
    <mergeCell ref="A8:A9"/>
    <mergeCell ref="A10:A11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BC8F-4D8F-4004-BEA5-AA33AD7DD670}">
  <sheetPr codeName="Sheet7"/>
  <dimension ref="A1:Q32"/>
  <sheetViews>
    <sheetView tabSelected="1"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一般廃棄物破砕処理地区別集計表　　【第3－1表】"</f>
        <v>令和9年度　一般廃棄物破砕処理地区別集計表　　【第3－1表】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12</v>
      </c>
      <c r="K3" t="s">
        <v>13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7" ht="17.25" customHeight="1" x14ac:dyDescent="0.15">
      <c r="A7" s="138"/>
      <c r="B7" s="24">
        <v>0</v>
      </c>
      <c r="C7" s="24">
        <v>0</v>
      </c>
      <c r="D7" s="24">
        <f>SUM(B7:C7)</f>
        <v>0</v>
      </c>
      <c r="E7" s="24">
        <v>0</v>
      </c>
      <c r="F7" s="24">
        <v>0</v>
      </c>
      <c r="G7" s="24">
        <f>SUM(E7:F7)</f>
        <v>0</v>
      </c>
      <c r="H7" s="29">
        <f>ROUND(SUM(D7+G7),1)</f>
        <v>0</v>
      </c>
      <c r="I7" s="2"/>
      <c r="J7" s="143"/>
      <c r="K7" s="24">
        <v>0</v>
      </c>
      <c r="L7" s="24">
        <v>0</v>
      </c>
      <c r="M7" s="24">
        <f>SUM(K7:L7)</f>
        <v>0</v>
      </c>
      <c r="N7" s="24">
        <v>0</v>
      </c>
      <c r="O7" s="24">
        <v>0</v>
      </c>
      <c r="P7" s="24">
        <f>SUM(N7:O7)</f>
        <v>0</v>
      </c>
      <c r="Q7" s="34">
        <f>ROUND(SUM(M7+P7),1)</f>
        <v>0</v>
      </c>
    </row>
    <row r="8" spans="1:17" ht="15" customHeight="1" x14ac:dyDescent="0.15">
      <c r="A8" s="144">
        <v>5</v>
      </c>
      <c r="B8" s="25"/>
      <c r="C8" s="25"/>
      <c r="D8" s="25"/>
      <c r="E8" s="25"/>
      <c r="F8" s="25"/>
      <c r="G8" s="25"/>
      <c r="H8" s="30"/>
      <c r="I8" s="1"/>
      <c r="J8" s="141">
        <v>5</v>
      </c>
      <c r="K8" s="25"/>
      <c r="L8" s="25"/>
      <c r="M8" s="25"/>
      <c r="N8" s="25"/>
      <c r="O8" s="25"/>
      <c r="P8" s="25"/>
      <c r="Q8" s="35"/>
    </row>
    <row r="9" spans="1:17" ht="17.25" customHeight="1" x14ac:dyDescent="0.15">
      <c r="A9" s="145"/>
      <c r="B9" s="26">
        <v>0</v>
      </c>
      <c r="C9" s="26">
        <v>0</v>
      </c>
      <c r="D9" s="24">
        <f>SUM(B9:C9)</f>
        <v>0</v>
      </c>
      <c r="E9" s="24">
        <v>0</v>
      </c>
      <c r="F9" s="24">
        <v>0</v>
      </c>
      <c r="G9" s="24">
        <f>SUM(E9:F9)</f>
        <v>0</v>
      </c>
      <c r="H9" s="29">
        <f>ROUND(SUM(D9+G9),1)</f>
        <v>0</v>
      </c>
      <c r="I9" s="3"/>
      <c r="J9" s="142"/>
      <c r="K9" s="26">
        <v>0</v>
      </c>
      <c r="L9" s="26">
        <v>0</v>
      </c>
      <c r="M9" s="24">
        <f>SUM(K9:L9)</f>
        <v>0</v>
      </c>
      <c r="N9" s="24">
        <v>0</v>
      </c>
      <c r="O9" s="24">
        <v>0</v>
      </c>
      <c r="P9" s="24">
        <f>SUM(N9:O9)</f>
        <v>0</v>
      </c>
      <c r="Q9" s="34">
        <f>ROUND(SUM(M9+P9),1)</f>
        <v>0</v>
      </c>
    </row>
    <row r="10" spans="1:17" ht="15" customHeight="1" x14ac:dyDescent="0.15">
      <c r="A10" s="138">
        <v>6</v>
      </c>
      <c r="B10" s="23"/>
      <c r="C10" s="23"/>
      <c r="D10" s="25"/>
      <c r="E10" s="25"/>
      <c r="F10" s="25"/>
      <c r="G10" s="25"/>
      <c r="H10" s="30"/>
      <c r="I10" s="2"/>
      <c r="J10" s="143">
        <v>6</v>
      </c>
      <c r="K10" s="23"/>
      <c r="L10" s="23"/>
      <c r="M10" s="25"/>
      <c r="N10" s="25"/>
      <c r="O10" s="25"/>
      <c r="P10" s="25"/>
      <c r="Q10" s="35"/>
    </row>
    <row r="11" spans="1:17" ht="17.25" customHeight="1" x14ac:dyDescent="0.15">
      <c r="A11" s="138"/>
      <c r="B11" s="24">
        <v>0</v>
      </c>
      <c r="C11" s="24">
        <v>0</v>
      </c>
      <c r="D11" s="24">
        <f>SUM(B11:C11)</f>
        <v>0</v>
      </c>
      <c r="E11" s="24">
        <v>0</v>
      </c>
      <c r="F11" s="24">
        <v>0</v>
      </c>
      <c r="G11" s="24">
        <f>SUM(E11:F11)</f>
        <v>0</v>
      </c>
      <c r="H11" s="31">
        <f>ROUND(SUM(D11+G11),1)</f>
        <v>0</v>
      </c>
      <c r="I11" s="2"/>
      <c r="J11" s="143"/>
      <c r="K11" s="24">
        <v>0</v>
      </c>
      <c r="L11" s="24">
        <v>0</v>
      </c>
      <c r="M11" s="24">
        <f>SUM(K11:L11)</f>
        <v>0</v>
      </c>
      <c r="N11" s="24">
        <v>0</v>
      </c>
      <c r="O11" s="24">
        <v>0</v>
      </c>
      <c r="P11" s="24">
        <f>SUM(N11:O11)</f>
        <v>0</v>
      </c>
      <c r="Q11" s="36">
        <f>ROUND(SUM(M11+P11),1)</f>
        <v>0</v>
      </c>
    </row>
    <row r="12" spans="1:17" ht="15" customHeight="1" x14ac:dyDescent="0.15">
      <c r="A12" s="144">
        <v>7</v>
      </c>
      <c r="B12" s="25"/>
      <c r="C12" s="25"/>
      <c r="D12" s="25"/>
      <c r="E12" s="25"/>
      <c r="F12" s="25"/>
      <c r="G12" s="25"/>
      <c r="H12" s="30"/>
      <c r="I12" s="1"/>
      <c r="J12" s="141">
        <v>7</v>
      </c>
      <c r="K12" s="25"/>
      <c r="L12" s="25"/>
      <c r="M12" s="25"/>
      <c r="N12" s="25"/>
      <c r="O12" s="25"/>
      <c r="P12" s="25"/>
      <c r="Q12" s="37"/>
    </row>
    <row r="13" spans="1:17" ht="17.25" customHeight="1" x14ac:dyDescent="0.15">
      <c r="A13" s="145"/>
      <c r="B13" s="26">
        <v>0</v>
      </c>
      <c r="C13" s="26">
        <v>0</v>
      </c>
      <c r="D13" s="26">
        <f>SUM(B13:C13)</f>
        <v>0</v>
      </c>
      <c r="E13" s="26">
        <v>0</v>
      </c>
      <c r="F13" s="26">
        <v>0</v>
      </c>
      <c r="G13" s="26">
        <f>SUM(E13:F13)</f>
        <v>0</v>
      </c>
      <c r="H13" s="68">
        <f>ROUND(SUM(D13+G13),1)</f>
        <v>0</v>
      </c>
      <c r="I13" s="3"/>
      <c r="J13" s="142"/>
      <c r="K13" s="26">
        <v>0</v>
      </c>
      <c r="L13" s="26">
        <v>0</v>
      </c>
      <c r="M13" s="26">
        <f>SUM(K13:L13)</f>
        <v>0</v>
      </c>
      <c r="N13" s="26">
        <v>0</v>
      </c>
      <c r="O13" s="26">
        <v>0</v>
      </c>
      <c r="P13" s="26">
        <f>SUM(N13:O13)</f>
        <v>0</v>
      </c>
      <c r="Q13" s="34">
        <f>ROUND(SUM(M13+P13),1)</f>
        <v>0</v>
      </c>
    </row>
    <row r="14" spans="1:17" ht="15" customHeight="1" x14ac:dyDescent="0.15">
      <c r="A14" s="138">
        <v>8</v>
      </c>
      <c r="B14" s="23"/>
      <c r="C14" s="23"/>
      <c r="D14" s="23"/>
      <c r="E14" s="23"/>
      <c r="F14" s="23"/>
      <c r="G14" s="23"/>
      <c r="H14" s="28"/>
      <c r="I14" s="2"/>
      <c r="J14" s="143">
        <v>8</v>
      </c>
      <c r="K14" s="23"/>
      <c r="L14" s="23"/>
      <c r="M14" s="23"/>
      <c r="N14" s="23"/>
      <c r="O14" s="23"/>
      <c r="P14" s="23"/>
      <c r="Q14" s="35"/>
    </row>
    <row r="15" spans="1:17" ht="17.25" customHeight="1" x14ac:dyDescent="0.15">
      <c r="A15" s="138"/>
      <c r="B15" s="24">
        <v>0</v>
      </c>
      <c r="C15" s="24">
        <v>0</v>
      </c>
      <c r="D15" s="24">
        <f>SUM(B15:C15)</f>
        <v>0</v>
      </c>
      <c r="E15" s="24">
        <v>0</v>
      </c>
      <c r="F15" s="24">
        <v>0</v>
      </c>
      <c r="G15" s="24">
        <f>SUM(E15:F15)</f>
        <v>0</v>
      </c>
      <c r="H15" s="31">
        <f>ROUND(SUM(D15+G15),1)</f>
        <v>0</v>
      </c>
      <c r="I15" s="2"/>
      <c r="J15" s="143"/>
      <c r="K15" s="24">
        <v>0</v>
      </c>
      <c r="L15" s="24">
        <v>0</v>
      </c>
      <c r="M15" s="24">
        <f>SUM(K15:L15)</f>
        <v>0</v>
      </c>
      <c r="N15" s="24">
        <v>0</v>
      </c>
      <c r="O15" s="24">
        <v>0</v>
      </c>
      <c r="P15" s="24">
        <f>SUM(N15:O15)</f>
        <v>0</v>
      </c>
      <c r="Q15" s="36">
        <f>ROUND(SUM(M15+P15),1)</f>
        <v>0</v>
      </c>
    </row>
    <row r="16" spans="1:17" ht="15" customHeight="1" x14ac:dyDescent="0.15">
      <c r="A16" s="144">
        <v>9</v>
      </c>
      <c r="B16" s="25"/>
      <c r="C16" s="25"/>
      <c r="D16" s="25"/>
      <c r="E16" s="25"/>
      <c r="F16" s="25"/>
      <c r="G16" s="25"/>
      <c r="H16" s="28"/>
      <c r="I16" s="1"/>
      <c r="J16" s="141">
        <v>9</v>
      </c>
      <c r="K16" s="25"/>
      <c r="L16" s="25"/>
      <c r="M16" s="25"/>
      <c r="N16" s="25"/>
      <c r="O16" s="25"/>
      <c r="P16" s="25"/>
      <c r="Q16" s="37"/>
    </row>
    <row r="17" spans="1:17" ht="17.25" customHeight="1" x14ac:dyDescent="0.15">
      <c r="A17" s="145"/>
      <c r="B17" s="26">
        <v>0</v>
      </c>
      <c r="C17" s="26">
        <v>0</v>
      </c>
      <c r="D17" s="24">
        <f>SUM(B17:C17)</f>
        <v>0</v>
      </c>
      <c r="E17" s="24">
        <v>0</v>
      </c>
      <c r="F17" s="24">
        <v>0</v>
      </c>
      <c r="G17" s="24">
        <f>SUM(E17:F17)</f>
        <v>0</v>
      </c>
      <c r="H17" s="29">
        <f>ROUND(SUM(D17+G17),1)</f>
        <v>0</v>
      </c>
      <c r="I17" s="3"/>
      <c r="J17" s="142"/>
      <c r="K17" s="26">
        <v>0</v>
      </c>
      <c r="L17" s="26">
        <v>0</v>
      </c>
      <c r="M17" s="24">
        <f>SUM(K17:L17)</f>
        <v>0</v>
      </c>
      <c r="N17" s="24">
        <v>0</v>
      </c>
      <c r="O17" s="24">
        <v>0</v>
      </c>
      <c r="P17" s="24">
        <f>SUM(N17:O17)</f>
        <v>0</v>
      </c>
      <c r="Q17" s="34">
        <f>ROUND(SUM(M17+P17),1)</f>
        <v>0</v>
      </c>
    </row>
    <row r="18" spans="1:17" ht="15" customHeight="1" x14ac:dyDescent="0.15">
      <c r="A18" s="138">
        <v>10</v>
      </c>
      <c r="B18" s="23"/>
      <c r="C18" s="23"/>
      <c r="D18" s="25"/>
      <c r="E18" s="25"/>
      <c r="F18" s="25"/>
      <c r="G18" s="25"/>
      <c r="H18" s="30"/>
      <c r="I18" s="2"/>
      <c r="J18" s="143">
        <v>10</v>
      </c>
      <c r="K18" s="23"/>
      <c r="L18" s="23"/>
      <c r="M18" s="25"/>
      <c r="N18" s="25"/>
      <c r="O18" s="25"/>
      <c r="P18" s="25"/>
      <c r="Q18" s="35"/>
    </row>
    <row r="19" spans="1:17" ht="17.25" customHeight="1" x14ac:dyDescent="0.15">
      <c r="A19" s="138"/>
      <c r="B19" s="24">
        <v>0</v>
      </c>
      <c r="C19" s="24">
        <v>0</v>
      </c>
      <c r="D19" s="24">
        <f>SUM(B19:C19)</f>
        <v>0</v>
      </c>
      <c r="E19" s="24">
        <v>0</v>
      </c>
      <c r="F19" s="24">
        <v>0</v>
      </c>
      <c r="G19" s="24">
        <f>SUM(E19:F19)</f>
        <v>0</v>
      </c>
      <c r="H19" s="31">
        <f>ROUND(SUM(D19+G19),1)</f>
        <v>0</v>
      </c>
      <c r="I19" s="2"/>
      <c r="J19" s="143"/>
      <c r="K19" s="24">
        <v>0</v>
      </c>
      <c r="L19" s="24">
        <v>0</v>
      </c>
      <c r="M19" s="24">
        <f>SUM(K19:L19)</f>
        <v>0</v>
      </c>
      <c r="N19" s="24">
        <v>0</v>
      </c>
      <c r="O19" s="24">
        <v>0</v>
      </c>
      <c r="P19" s="24">
        <f>SUM(N19:O19)</f>
        <v>0</v>
      </c>
      <c r="Q19" s="36">
        <f>ROUND(SUM(M19+P19),1)</f>
        <v>0</v>
      </c>
    </row>
    <row r="20" spans="1:17" ht="15" customHeight="1" x14ac:dyDescent="0.15">
      <c r="A20" s="144">
        <v>11</v>
      </c>
      <c r="B20" s="25"/>
      <c r="C20" s="25"/>
      <c r="D20" s="25"/>
      <c r="E20" s="25"/>
      <c r="F20" s="25"/>
      <c r="G20" s="25"/>
      <c r="H20" s="30"/>
      <c r="I20" s="1"/>
      <c r="J20" s="141">
        <v>11</v>
      </c>
      <c r="K20" s="25"/>
      <c r="L20" s="25"/>
      <c r="M20" s="25"/>
      <c r="N20" s="25"/>
      <c r="O20" s="25"/>
      <c r="P20" s="25"/>
      <c r="Q20" s="35"/>
    </row>
    <row r="21" spans="1:17" ht="17.25" customHeight="1" x14ac:dyDescent="0.15">
      <c r="A21" s="145"/>
      <c r="B21" s="26">
        <v>0</v>
      </c>
      <c r="C21" s="26">
        <v>0</v>
      </c>
      <c r="D21" s="24">
        <f>SUM(B21:C21)</f>
        <v>0</v>
      </c>
      <c r="E21" s="24">
        <v>0</v>
      </c>
      <c r="F21" s="24">
        <v>0</v>
      </c>
      <c r="G21" s="24">
        <f>SUM(E21:F21)</f>
        <v>0</v>
      </c>
      <c r="H21" s="31">
        <f>ROUND(SUM(D21+G21),1)</f>
        <v>0</v>
      </c>
      <c r="I21" s="3"/>
      <c r="J21" s="142"/>
      <c r="K21" s="26">
        <v>0</v>
      </c>
      <c r="L21" s="26">
        <v>0</v>
      </c>
      <c r="M21" s="24">
        <f>SUM(K21:L21)</f>
        <v>0</v>
      </c>
      <c r="N21" s="24">
        <v>0</v>
      </c>
      <c r="O21" s="24">
        <v>0</v>
      </c>
      <c r="P21" s="24">
        <f>SUM(N21:O21)</f>
        <v>0</v>
      </c>
      <c r="Q21" s="36">
        <f>ROUND(SUM(M21+P21),1)</f>
        <v>0</v>
      </c>
    </row>
    <row r="22" spans="1:17" ht="15" customHeight="1" x14ac:dyDescent="0.15">
      <c r="A22" s="138">
        <v>12</v>
      </c>
      <c r="B22" s="23"/>
      <c r="C22" s="23"/>
      <c r="D22" s="25"/>
      <c r="E22" s="25"/>
      <c r="F22" s="25"/>
      <c r="G22" s="25"/>
      <c r="H22" s="28"/>
      <c r="I22" s="2"/>
      <c r="J22" s="143">
        <v>12</v>
      </c>
      <c r="K22" s="23"/>
      <c r="L22" s="23"/>
      <c r="M22" s="25"/>
      <c r="N22" s="25"/>
      <c r="O22" s="25"/>
      <c r="P22" s="25"/>
      <c r="Q22" s="37"/>
    </row>
    <row r="23" spans="1:17" ht="17.25" customHeight="1" x14ac:dyDescent="0.15">
      <c r="A23" s="138"/>
      <c r="B23" s="24">
        <v>0</v>
      </c>
      <c r="C23" s="24">
        <v>0</v>
      </c>
      <c r="D23" s="24">
        <f>SUM(B23:C23)</f>
        <v>0</v>
      </c>
      <c r="E23" s="24">
        <v>0</v>
      </c>
      <c r="F23" s="24">
        <v>0</v>
      </c>
      <c r="G23" s="24">
        <f>SUM(E23:F23)</f>
        <v>0</v>
      </c>
      <c r="H23" s="29">
        <f>ROUND(SUM(D23+G23),1)</f>
        <v>0</v>
      </c>
      <c r="I23" s="2"/>
      <c r="J23" s="143"/>
      <c r="K23" s="24">
        <v>0</v>
      </c>
      <c r="L23" s="24">
        <v>0</v>
      </c>
      <c r="M23" s="24">
        <f>SUM(K23:L23)</f>
        <v>0</v>
      </c>
      <c r="N23" s="24">
        <v>0</v>
      </c>
      <c r="O23" s="24">
        <v>0</v>
      </c>
      <c r="P23" s="24">
        <f>SUM(N23:O23)</f>
        <v>0</v>
      </c>
      <c r="Q23" s="34">
        <f>ROUND(SUM(M23+P23),1)</f>
        <v>0</v>
      </c>
    </row>
    <row r="24" spans="1:17" ht="15" customHeight="1" x14ac:dyDescent="0.15">
      <c r="A24" s="144">
        <v>1</v>
      </c>
      <c r="B24" s="25"/>
      <c r="C24" s="25"/>
      <c r="D24" s="25"/>
      <c r="E24" s="25"/>
      <c r="F24" s="25"/>
      <c r="G24" s="25"/>
      <c r="H24" s="30"/>
      <c r="I24" s="1"/>
      <c r="J24" s="141">
        <v>1</v>
      </c>
      <c r="K24" s="25"/>
      <c r="L24" s="25"/>
      <c r="M24" s="25"/>
      <c r="N24" s="25"/>
      <c r="O24" s="25"/>
      <c r="P24" s="25"/>
      <c r="Q24" s="35"/>
    </row>
    <row r="25" spans="1:17" ht="17.25" customHeight="1" x14ac:dyDescent="0.15">
      <c r="A25" s="145"/>
      <c r="B25" s="26">
        <v>0</v>
      </c>
      <c r="C25" s="26">
        <v>0</v>
      </c>
      <c r="D25" s="26">
        <f>SUM(B25:C25)</f>
        <v>0</v>
      </c>
      <c r="E25" s="26">
        <v>0</v>
      </c>
      <c r="F25" s="26">
        <v>0</v>
      </c>
      <c r="G25" s="26">
        <f>SUM(E25:F25)</f>
        <v>0</v>
      </c>
      <c r="H25" s="31">
        <f>ROUND(SUM(D25+G25),1)</f>
        <v>0</v>
      </c>
      <c r="I25" s="3"/>
      <c r="J25" s="142"/>
      <c r="K25" s="26">
        <v>0</v>
      </c>
      <c r="L25" s="26">
        <v>0</v>
      </c>
      <c r="M25" s="26">
        <f>SUM(K25:L25)</f>
        <v>0</v>
      </c>
      <c r="N25" s="26">
        <v>0</v>
      </c>
      <c r="O25" s="26">
        <v>0</v>
      </c>
      <c r="P25" s="26">
        <f>SUM(N25:O25)</f>
        <v>0</v>
      </c>
      <c r="Q25" s="36">
        <f>ROUND(SUM(M25+P25),1)</f>
        <v>0</v>
      </c>
    </row>
    <row r="26" spans="1:17" ht="15" customHeight="1" x14ac:dyDescent="0.15">
      <c r="A26" s="138">
        <v>2</v>
      </c>
      <c r="B26" s="23"/>
      <c r="C26" s="23"/>
      <c r="D26" s="23"/>
      <c r="E26" s="23"/>
      <c r="F26" s="23"/>
      <c r="G26" s="23"/>
      <c r="H26" s="28"/>
      <c r="I26" s="2"/>
      <c r="J26" s="143">
        <v>2</v>
      </c>
      <c r="K26" s="23"/>
      <c r="L26" s="23"/>
      <c r="M26" s="23"/>
      <c r="N26" s="23"/>
      <c r="O26" s="23"/>
      <c r="P26" s="23"/>
      <c r="Q26" s="37"/>
    </row>
    <row r="27" spans="1:17" ht="17.25" customHeight="1" x14ac:dyDescent="0.15">
      <c r="A27" s="138"/>
      <c r="B27" s="24">
        <v>0</v>
      </c>
      <c r="C27" s="24">
        <v>0</v>
      </c>
      <c r="D27" s="24">
        <f>SUM(B27:C27)</f>
        <v>0</v>
      </c>
      <c r="E27" s="24">
        <v>0</v>
      </c>
      <c r="F27" s="24">
        <v>0</v>
      </c>
      <c r="G27" s="24">
        <f>SUM(E27:F27)</f>
        <v>0</v>
      </c>
      <c r="H27" s="29">
        <f>ROUND(SUM(D27+G27),1)</f>
        <v>0</v>
      </c>
      <c r="I27" s="2"/>
      <c r="J27" s="143"/>
      <c r="K27" s="24">
        <v>0</v>
      </c>
      <c r="L27" s="24">
        <v>0</v>
      </c>
      <c r="M27" s="24">
        <f>SUM(K27:L27)</f>
        <v>0</v>
      </c>
      <c r="N27" s="24">
        <v>0</v>
      </c>
      <c r="O27" s="24">
        <v>0</v>
      </c>
      <c r="P27" s="24">
        <f>SUM(N27:O27)</f>
        <v>0</v>
      </c>
      <c r="Q27" s="34">
        <f>ROUND(SUM(M27+P27),1)</f>
        <v>0</v>
      </c>
    </row>
    <row r="28" spans="1:17" ht="15" customHeight="1" x14ac:dyDescent="0.15">
      <c r="A28" s="144">
        <v>3</v>
      </c>
      <c r="B28" s="25"/>
      <c r="C28" s="25"/>
      <c r="D28" s="25"/>
      <c r="E28" s="25"/>
      <c r="F28" s="25"/>
      <c r="G28" s="25"/>
      <c r="H28" s="30"/>
      <c r="I28" s="1"/>
      <c r="J28" s="141">
        <v>3</v>
      </c>
      <c r="K28" s="25"/>
      <c r="L28" s="25"/>
      <c r="M28" s="25"/>
      <c r="N28" s="25"/>
      <c r="O28" s="25"/>
      <c r="P28" s="25"/>
      <c r="Q28" s="35"/>
    </row>
    <row r="29" spans="1:17" ht="17.25" customHeight="1" x14ac:dyDescent="0.15">
      <c r="A29" s="145"/>
      <c r="B29" s="26">
        <v>0</v>
      </c>
      <c r="C29" s="26">
        <v>0</v>
      </c>
      <c r="D29" s="26">
        <f>SUM(B29:C29)</f>
        <v>0</v>
      </c>
      <c r="E29" s="26">
        <v>0</v>
      </c>
      <c r="F29" s="26">
        <v>0</v>
      </c>
      <c r="G29" s="26">
        <f>SUM(E29:F29)</f>
        <v>0</v>
      </c>
      <c r="H29" s="31">
        <f>ROUND(SUM(D29+G29),1)</f>
        <v>0</v>
      </c>
      <c r="I29" s="3"/>
      <c r="J29" s="142"/>
      <c r="K29" s="26">
        <v>0</v>
      </c>
      <c r="L29" s="26">
        <v>0</v>
      </c>
      <c r="M29" s="26">
        <f>SUM(K29:L29)</f>
        <v>0</v>
      </c>
      <c r="N29" s="26">
        <v>0</v>
      </c>
      <c r="O29" s="26">
        <v>0</v>
      </c>
      <c r="P29" s="26">
        <f>SUM(N29:O29)</f>
        <v>0</v>
      </c>
      <c r="Q29" s="36">
        <f>ROUND(SUM(M29+P29),1)</f>
        <v>0</v>
      </c>
    </row>
    <row r="30" spans="1:17" ht="6" customHeight="1" x14ac:dyDescent="0.15">
      <c r="A30" s="5"/>
      <c r="B30" s="24"/>
      <c r="C30" s="24"/>
      <c r="D30" s="24"/>
      <c r="E30" s="24"/>
      <c r="F30" s="24"/>
      <c r="G30" s="24"/>
      <c r="H30" s="29"/>
      <c r="I30" s="2"/>
      <c r="J30" s="7"/>
      <c r="K30" s="24"/>
      <c r="L30" s="24"/>
      <c r="M30" s="24"/>
      <c r="N30" s="24"/>
      <c r="O30" s="24"/>
      <c r="P30" s="24"/>
      <c r="Q30" s="34"/>
    </row>
    <row r="31" spans="1:17" ht="17.25" customHeight="1" x14ac:dyDescent="0.15">
      <c r="A31" s="144" t="s">
        <v>0</v>
      </c>
      <c r="B31" s="25"/>
      <c r="C31" s="25"/>
      <c r="D31" s="25"/>
      <c r="E31" s="25"/>
      <c r="F31" s="25"/>
      <c r="G31" s="25"/>
      <c r="H31" s="30"/>
      <c r="I31" s="1"/>
      <c r="J31" s="139" t="s">
        <v>0</v>
      </c>
      <c r="K31" s="25"/>
      <c r="L31" s="25"/>
      <c r="M31" s="25"/>
      <c r="N31" s="25"/>
      <c r="O31" s="25"/>
      <c r="P31" s="25"/>
      <c r="Q31" s="35"/>
    </row>
    <row r="32" spans="1:17" ht="24" customHeight="1" x14ac:dyDescent="0.15">
      <c r="A32" s="146"/>
      <c r="B32" s="27">
        <f t="shared" ref="B32:G32" si="0">SUM(B7+B9+B11+B13+B15+B17+B19+B21+B23+B25+B27+B29)</f>
        <v>0</v>
      </c>
      <c r="C32" s="27">
        <f t="shared" si="0"/>
        <v>0</v>
      </c>
      <c r="D32" s="27">
        <f t="shared" si="0"/>
        <v>0</v>
      </c>
      <c r="E32" s="27">
        <f t="shared" si="0"/>
        <v>0</v>
      </c>
      <c r="F32" s="27">
        <f t="shared" si="0"/>
        <v>0</v>
      </c>
      <c r="G32" s="27">
        <f t="shared" si="0"/>
        <v>0</v>
      </c>
      <c r="H32" s="32">
        <f>SUM(D32+G32)</f>
        <v>0</v>
      </c>
      <c r="I32" s="6"/>
      <c r="J32" s="140"/>
      <c r="K32" s="27">
        <f t="shared" ref="K32:P32" si="1">SUM(K7+K9+K11+K13+K15+K17+K19+K21+K23+K25+K27+K29)</f>
        <v>0</v>
      </c>
      <c r="L32" s="27">
        <f t="shared" si="1"/>
        <v>0</v>
      </c>
      <c r="M32" s="27">
        <f t="shared" si="1"/>
        <v>0</v>
      </c>
      <c r="N32" s="27">
        <f t="shared" si="1"/>
        <v>0</v>
      </c>
      <c r="O32" s="27">
        <f t="shared" si="1"/>
        <v>0</v>
      </c>
      <c r="P32" s="27">
        <f t="shared" si="1"/>
        <v>0</v>
      </c>
      <c r="Q32" s="38">
        <f>SUM(M32+P32)</f>
        <v>0</v>
      </c>
    </row>
  </sheetData>
  <mergeCells count="27">
    <mergeCell ref="J16:J17"/>
    <mergeCell ref="A12:A13"/>
    <mergeCell ref="A16:A17"/>
    <mergeCell ref="A20:A21"/>
    <mergeCell ref="A10:A11"/>
    <mergeCell ref="J12:J13"/>
    <mergeCell ref="J14:J15"/>
    <mergeCell ref="A14:A15"/>
    <mergeCell ref="J18:J19"/>
    <mergeCell ref="A18:A19"/>
    <mergeCell ref="A1:K1"/>
    <mergeCell ref="J6:J7"/>
    <mergeCell ref="J8:J9"/>
    <mergeCell ref="J10:J11"/>
    <mergeCell ref="A6:A7"/>
    <mergeCell ref="A8:A9"/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6:A2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DE0A-A415-47EA-9266-6A4471CD73F2}">
  <sheetPr codeName="Sheet8"/>
  <dimension ref="A1:Q32"/>
  <sheetViews>
    <sheetView workbookViewId="0">
      <selection activeCell="L1" sqref="L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一般廃棄物破砕処理地区別集計表　　【第3－2表】"</f>
        <v>令和9年度　一般廃棄物破砕処理地区別集計表　　【第3－2表】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14</v>
      </c>
      <c r="K3" t="s">
        <v>15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7" ht="17.25" customHeight="1" x14ac:dyDescent="0.15">
      <c r="A7" s="138"/>
      <c r="B7" s="24">
        <v>0</v>
      </c>
      <c r="C7" s="24">
        <v>0</v>
      </c>
      <c r="D7" s="24">
        <f>SUM(B7:C7)</f>
        <v>0</v>
      </c>
      <c r="E7" s="24">
        <v>0</v>
      </c>
      <c r="F7" s="24">
        <v>0</v>
      </c>
      <c r="G7" s="24">
        <f>SUM(E7:F7)</f>
        <v>0</v>
      </c>
      <c r="H7" s="29">
        <f>ROUND(SUM(D7+G7),1)</f>
        <v>0</v>
      </c>
      <c r="I7" s="2"/>
      <c r="J7" s="143"/>
      <c r="K7" s="24">
        <v>0</v>
      </c>
      <c r="L7" s="24">
        <v>0</v>
      </c>
      <c r="M7" s="24">
        <f>SUM(K7:L7)</f>
        <v>0</v>
      </c>
      <c r="N7" s="24">
        <v>0</v>
      </c>
      <c r="O7" s="24">
        <v>0</v>
      </c>
      <c r="P7" s="24">
        <f>SUM(N7:O7)</f>
        <v>0</v>
      </c>
      <c r="Q7" s="34">
        <f>ROUND(SUM(M7+P7),1)</f>
        <v>0</v>
      </c>
    </row>
    <row r="8" spans="1:17" ht="15" customHeight="1" x14ac:dyDescent="0.15">
      <c r="A8" s="144">
        <v>5</v>
      </c>
      <c r="B8" s="25"/>
      <c r="C8" s="25"/>
      <c r="D8" s="25"/>
      <c r="E8" s="25"/>
      <c r="F8" s="25"/>
      <c r="G8" s="25"/>
      <c r="H8" s="30"/>
      <c r="I8" s="1"/>
      <c r="J8" s="141">
        <v>5</v>
      </c>
      <c r="K8" s="25"/>
      <c r="L8" s="25"/>
      <c r="M8" s="25"/>
      <c r="N8" s="25"/>
      <c r="O8" s="25"/>
      <c r="P8" s="25"/>
      <c r="Q8" s="35"/>
    </row>
    <row r="9" spans="1:17" ht="17.25" customHeight="1" x14ac:dyDescent="0.15">
      <c r="A9" s="145"/>
      <c r="B9" s="26">
        <v>0</v>
      </c>
      <c r="C9" s="26">
        <v>0</v>
      </c>
      <c r="D9" s="24">
        <f>SUM(B9:C9)</f>
        <v>0</v>
      </c>
      <c r="E9" s="24">
        <v>0</v>
      </c>
      <c r="F9" s="24">
        <v>0</v>
      </c>
      <c r="G9" s="24">
        <f>SUM(E9:F9)</f>
        <v>0</v>
      </c>
      <c r="H9" s="29">
        <f>ROUND(SUM(D9+G9),1)</f>
        <v>0</v>
      </c>
      <c r="I9" s="3"/>
      <c r="J9" s="142"/>
      <c r="K9" s="26">
        <v>0</v>
      </c>
      <c r="L9" s="26">
        <v>0</v>
      </c>
      <c r="M9" s="24">
        <f>SUM(K9:L9)</f>
        <v>0</v>
      </c>
      <c r="N9" s="24">
        <v>0</v>
      </c>
      <c r="O9" s="24">
        <v>0</v>
      </c>
      <c r="P9" s="24">
        <f>SUM(N9:O9)</f>
        <v>0</v>
      </c>
      <c r="Q9" s="34">
        <f>ROUND(SUM(M9+P9),1)</f>
        <v>0</v>
      </c>
    </row>
    <row r="10" spans="1:17" ht="15" customHeight="1" x14ac:dyDescent="0.15">
      <c r="A10" s="138">
        <v>6</v>
      </c>
      <c r="B10" s="23"/>
      <c r="C10" s="23"/>
      <c r="D10" s="25"/>
      <c r="E10" s="25"/>
      <c r="F10" s="25"/>
      <c r="G10" s="25"/>
      <c r="H10" s="30"/>
      <c r="I10" s="2"/>
      <c r="J10" s="143">
        <v>6</v>
      </c>
      <c r="K10" s="23"/>
      <c r="L10" s="23"/>
      <c r="M10" s="25"/>
      <c r="N10" s="25"/>
      <c r="O10" s="25"/>
      <c r="P10" s="25"/>
      <c r="Q10" s="35"/>
    </row>
    <row r="11" spans="1:17" ht="17.25" customHeight="1" x14ac:dyDescent="0.15">
      <c r="A11" s="138"/>
      <c r="B11" s="24">
        <v>0</v>
      </c>
      <c r="C11" s="24">
        <v>0</v>
      </c>
      <c r="D11" s="24">
        <f>SUM(B11:C11)</f>
        <v>0</v>
      </c>
      <c r="E11" s="24">
        <v>0</v>
      </c>
      <c r="F11" s="24">
        <v>0</v>
      </c>
      <c r="G11" s="24">
        <f>SUM(E11:F11)</f>
        <v>0</v>
      </c>
      <c r="H11" s="31">
        <f>ROUND(SUM(D11+G11),1)</f>
        <v>0</v>
      </c>
      <c r="I11" s="2"/>
      <c r="J11" s="143"/>
      <c r="K11" s="24">
        <v>0</v>
      </c>
      <c r="L11" s="24">
        <v>0</v>
      </c>
      <c r="M11" s="24">
        <f>SUM(K11:L11)</f>
        <v>0</v>
      </c>
      <c r="N11" s="24">
        <v>0</v>
      </c>
      <c r="O11" s="24">
        <v>0</v>
      </c>
      <c r="P11" s="24">
        <f>SUM(N11:O11)</f>
        <v>0</v>
      </c>
      <c r="Q11" s="36">
        <f>ROUND(SUM(M11+P11),1)</f>
        <v>0</v>
      </c>
    </row>
    <row r="12" spans="1:17" ht="15" customHeight="1" x14ac:dyDescent="0.15">
      <c r="A12" s="144">
        <v>7</v>
      </c>
      <c r="B12" s="25"/>
      <c r="C12" s="25"/>
      <c r="D12" s="25"/>
      <c r="E12" s="25"/>
      <c r="F12" s="25"/>
      <c r="G12" s="25"/>
      <c r="H12" s="30"/>
      <c r="I12" s="1"/>
      <c r="J12" s="141">
        <v>7</v>
      </c>
      <c r="K12" s="25"/>
      <c r="L12" s="25"/>
      <c r="M12" s="25"/>
      <c r="N12" s="25"/>
      <c r="O12" s="25"/>
      <c r="P12" s="25"/>
      <c r="Q12" s="37"/>
    </row>
    <row r="13" spans="1:17" ht="17.25" customHeight="1" x14ac:dyDescent="0.15">
      <c r="A13" s="145"/>
      <c r="B13" s="26">
        <v>0</v>
      </c>
      <c r="C13" s="26">
        <v>0</v>
      </c>
      <c r="D13" s="26">
        <f>SUM(B13:C13)</f>
        <v>0</v>
      </c>
      <c r="E13" s="26">
        <v>0</v>
      </c>
      <c r="F13" s="26">
        <v>0</v>
      </c>
      <c r="G13" s="26">
        <f>SUM(E13:F13)</f>
        <v>0</v>
      </c>
      <c r="H13" s="68">
        <f>ROUND(SUM(D13+G13),1)</f>
        <v>0</v>
      </c>
      <c r="I13" s="3"/>
      <c r="J13" s="142"/>
      <c r="K13" s="26">
        <v>0</v>
      </c>
      <c r="L13" s="26">
        <v>0</v>
      </c>
      <c r="M13" s="26">
        <f>SUM(K13:L13)</f>
        <v>0</v>
      </c>
      <c r="N13" s="26">
        <v>0</v>
      </c>
      <c r="O13" s="26">
        <v>0</v>
      </c>
      <c r="P13" s="26">
        <f>SUM(N13:O13)</f>
        <v>0</v>
      </c>
      <c r="Q13" s="34">
        <f>ROUND(SUM(M13+P13),1)</f>
        <v>0</v>
      </c>
    </row>
    <row r="14" spans="1:17" ht="15" customHeight="1" x14ac:dyDescent="0.15">
      <c r="A14" s="138">
        <v>8</v>
      </c>
      <c r="B14" s="23"/>
      <c r="C14" s="23"/>
      <c r="D14" s="23"/>
      <c r="E14" s="23"/>
      <c r="F14" s="23"/>
      <c r="G14" s="23"/>
      <c r="H14" s="28"/>
      <c r="I14" s="2"/>
      <c r="J14" s="143">
        <v>8</v>
      </c>
      <c r="K14" s="23"/>
      <c r="L14" s="23"/>
      <c r="M14" s="23"/>
      <c r="N14" s="23"/>
      <c r="O14" s="23"/>
      <c r="P14" s="23"/>
      <c r="Q14" s="35"/>
    </row>
    <row r="15" spans="1:17" ht="17.25" customHeight="1" x14ac:dyDescent="0.15">
      <c r="A15" s="138"/>
      <c r="B15" s="24">
        <v>0</v>
      </c>
      <c r="C15" s="24">
        <v>0</v>
      </c>
      <c r="D15" s="24">
        <f>SUM(B15:C15)</f>
        <v>0</v>
      </c>
      <c r="E15" s="24">
        <v>0</v>
      </c>
      <c r="F15" s="24">
        <v>0</v>
      </c>
      <c r="G15" s="24">
        <f>SUM(E15:F15)</f>
        <v>0</v>
      </c>
      <c r="H15" s="31">
        <f>ROUND(SUM(D15+G15),1)</f>
        <v>0</v>
      </c>
      <c r="I15" s="2"/>
      <c r="J15" s="143"/>
      <c r="K15" s="24">
        <v>0</v>
      </c>
      <c r="L15" s="24">
        <v>0</v>
      </c>
      <c r="M15" s="24">
        <f>SUM(K15:L15)</f>
        <v>0</v>
      </c>
      <c r="N15" s="24">
        <v>0</v>
      </c>
      <c r="O15" s="24">
        <v>0</v>
      </c>
      <c r="P15" s="24">
        <f>SUM(N15:O15)</f>
        <v>0</v>
      </c>
      <c r="Q15" s="36">
        <f>ROUND(SUM(M15+P15),1)</f>
        <v>0</v>
      </c>
    </row>
    <row r="16" spans="1:17" ht="15" customHeight="1" x14ac:dyDescent="0.15">
      <c r="A16" s="144">
        <v>9</v>
      </c>
      <c r="B16" s="25"/>
      <c r="C16" s="25"/>
      <c r="D16" s="25"/>
      <c r="E16" s="25"/>
      <c r="F16" s="25"/>
      <c r="G16" s="25"/>
      <c r="H16" s="28"/>
      <c r="I16" s="1"/>
      <c r="J16" s="141">
        <v>9</v>
      </c>
      <c r="K16" s="25"/>
      <c r="L16" s="25"/>
      <c r="M16" s="25"/>
      <c r="N16" s="25"/>
      <c r="O16" s="25"/>
      <c r="P16" s="25"/>
      <c r="Q16" s="37"/>
    </row>
    <row r="17" spans="1:17" ht="17.25" customHeight="1" x14ac:dyDescent="0.15">
      <c r="A17" s="145"/>
      <c r="B17" s="26">
        <v>0</v>
      </c>
      <c r="C17" s="26">
        <v>0</v>
      </c>
      <c r="D17" s="24">
        <f>SUM(B17:C17)</f>
        <v>0</v>
      </c>
      <c r="E17" s="24">
        <v>0</v>
      </c>
      <c r="F17" s="24">
        <v>0</v>
      </c>
      <c r="G17" s="24">
        <f>SUM(E17:F17)</f>
        <v>0</v>
      </c>
      <c r="H17" s="29">
        <f>ROUND(SUM(D17+G17),1)</f>
        <v>0</v>
      </c>
      <c r="I17" s="3"/>
      <c r="J17" s="142"/>
      <c r="K17" s="26">
        <v>0</v>
      </c>
      <c r="L17" s="26">
        <v>0</v>
      </c>
      <c r="M17" s="24">
        <f>SUM(K17:L17)</f>
        <v>0</v>
      </c>
      <c r="N17" s="24">
        <v>0</v>
      </c>
      <c r="O17" s="24">
        <v>0</v>
      </c>
      <c r="P17" s="24">
        <f>SUM(N17:O17)</f>
        <v>0</v>
      </c>
      <c r="Q17" s="34">
        <f>ROUND(SUM(M17+P17),1)</f>
        <v>0</v>
      </c>
    </row>
    <row r="18" spans="1:17" ht="15" customHeight="1" x14ac:dyDescent="0.15">
      <c r="A18" s="138">
        <v>10</v>
      </c>
      <c r="B18" s="23"/>
      <c r="C18" s="23"/>
      <c r="D18" s="25"/>
      <c r="E18" s="25"/>
      <c r="F18" s="25"/>
      <c r="G18" s="25"/>
      <c r="H18" s="30"/>
      <c r="I18" s="2"/>
      <c r="J18" s="143">
        <v>10</v>
      </c>
      <c r="K18" s="23"/>
      <c r="L18" s="23"/>
      <c r="M18" s="25"/>
      <c r="N18" s="25"/>
      <c r="O18" s="25"/>
      <c r="P18" s="25"/>
      <c r="Q18" s="35"/>
    </row>
    <row r="19" spans="1:17" ht="17.25" customHeight="1" x14ac:dyDescent="0.15">
      <c r="A19" s="138"/>
      <c r="B19" s="24">
        <v>0</v>
      </c>
      <c r="C19" s="24">
        <v>0</v>
      </c>
      <c r="D19" s="24">
        <f>SUM(B19:C19)</f>
        <v>0</v>
      </c>
      <c r="E19" s="24">
        <v>0</v>
      </c>
      <c r="F19" s="24">
        <v>0</v>
      </c>
      <c r="G19" s="24">
        <f>SUM(E19:F19)</f>
        <v>0</v>
      </c>
      <c r="H19" s="31">
        <f>ROUND(SUM(D19+G19),1)</f>
        <v>0</v>
      </c>
      <c r="I19" s="2"/>
      <c r="J19" s="143"/>
      <c r="K19" s="24">
        <v>0</v>
      </c>
      <c r="L19" s="24">
        <v>0</v>
      </c>
      <c r="M19" s="24">
        <f>SUM(K19:L19)</f>
        <v>0</v>
      </c>
      <c r="N19" s="24">
        <v>0</v>
      </c>
      <c r="O19" s="24">
        <v>0</v>
      </c>
      <c r="P19" s="24">
        <f>SUM(N19:O19)</f>
        <v>0</v>
      </c>
      <c r="Q19" s="36">
        <f>ROUND(SUM(M19+P19),1)</f>
        <v>0</v>
      </c>
    </row>
    <row r="20" spans="1:17" ht="15" customHeight="1" x14ac:dyDescent="0.15">
      <c r="A20" s="144">
        <v>11</v>
      </c>
      <c r="B20" s="25"/>
      <c r="C20" s="25"/>
      <c r="D20" s="25"/>
      <c r="E20" s="25"/>
      <c r="F20" s="25"/>
      <c r="G20" s="25"/>
      <c r="H20" s="30"/>
      <c r="I20" s="1"/>
      <c r="J20" s="141">
        <v>11</v>
      </c>
      <c r="K20" s="25"/>
      <c r="L20" s="25"/>
      <c r="M20" s="25"/>
      <c r="N20" s="25"/>
      <c r="O20" s="25"/>
      <c r="P20" s="25"/>
      <c r="Q20" s="35"/>
    </row>
    <row r="21" spans="1:17" ht="17.25" customHeight="1" x14ac:dyDescent="0.15">
      <c r="A21" s="145"/>
      <c r="B21" s="26">
        <v>0</v>
      </c>
      <c r="C21" s="26">
        <v>0</v>
      </c>
      <c r="D21" s="24">
        <f>SUM(B21:C21)</f>
        <v>0</v>
      </c>
      <c r="E21" s="24">
        <v>0</v>
      </c>
      <c r="F21" s="24">
        <v>0</v>
      </c>
      <c r="G21" s="24">
        <f>SUM(E21:F21)</f>
        <v>0</v>
      </c>
      <c r="H21" s="31">
        <f>ROUND(SUM(D21+G21),1)</f>
        <v>0</v>
      </c>
      <c r="I21" s="3"/>
      <c r="J21" s="142"/>
      <c r="K21" s="26">
        <v>0</v>
      </c>
      <c r="L21" s="26">
        <v>0</v>
      </c>
      <c r="M21" s="24">
        <f>SUM(K21:L21)</f>
        <v>0</v>
      </c>
      <c r="N21" s="24">
        <v>0</v>
      </c>
      <c r="O21" s="24">
        <v>0</v>
      </c>
      <c r="P21" s="24">
        <f>SUM(N21:O21)</f>
        <v>0</v>
      </c>
      <c r="Q21" s="36">
        <f>ROUND(SUM(M21+P21),1)</f>
        <v>0</v>
      </c>
    </row>
    <row r="22" spans="1:17" ht="15" customHeight="1" x14ac:dyDescent="0.15">
      <c r="A22" s="138">
        <v>12</v>
      </c>
      <c r="B22" s="23"/>
      <c r="C22" s="23"/>
      <c r="D22" s="25"/>
      <c r="E22" s="25"/>
      <c r="F22" s="25"/>
      <c r="G22" s="25"/>
      <c r="H22" s="28"/>
      <c r="I22" s="2"/>
      <c r="J22" s="143">
        <v>12</v>
      </c>
      <c r="K22" s="23"/>
      <c r="L22" s="23"/>
      <c r="M22" s="25"/>
      <c r="N22" s="25"/>
      <c r="O22" s="25"/>
      <c r="P22" s="25"/>
      <c r="Q22" s="37"/>
    </row>
    <row r="23" spans="1:17" ht="17.25" customHeight="1" x14ac:dyDescent="0.15">
      <c r="A23" s="138"/>
      <c r="B23" s="24">
        <v>0</v>
      </c>
      <c r="C23" s="24">
        <v>0</v>
      </c>
      <c r="D23" s="24">
        <f>SUM(B23:C23)</f>
        <v>0</v>
      </c>
      <c r="E23" s="24">
        <v>0</v>
      </c>
      <c r="F23" s="24">
        <v>0</v>
      </c>
      <c r="G23" s="24">
        <f>SUM(E23:F23)</f>
        <v>0</v>
      </c>
      <c r="H23" s="29">
        <f>ROUND(SUM(D23+G23),1)</f>
        <v>0</v>
      </c>
      <c r="I23" s="2"/>
      <c r="J23" s="143"/>
      <c r="K23" s="24">
        <v>0</v>
      </c>
      <c r="L23" s="24">
        <v>0</v>
      </c>
      <c r="M23" s="24">
        <f>SUM(K23:L23)</f>
        <v>0</v>
      </c>
      <c r="N23" s="24">
        <v>0</v>
      </c>
      <c r="O23" s="24">
        <v>0</v>
      </c>
      <c r="P23" s="24">
        <f>SUM(N23:O23)</f>
        <v>0</v>
      </c>
      <c r="Q23" s="34">
        <f>ROUND(SUM(M23+P23),1)</f>
        <v>0</v>
      </c>
    </row>
    <row r="24" spans="1:17" ht="15" customHeight="1" x14ac:dyDescent="0.15">
      <c r="A24" s="144">
        <v>1</v>
      </c>
      <c r="B24" s="25"/>
      <c r="C24" s="25"/>
      <c r="D24" s="25"/>
      <c r="E24" s="25"/>
      <c r="F24" s="25"/>
      <c r="G24" s="25"/>
      <c r="H24" s="30"/>
      <c r="I24" s="1"/>
      <c r="J24" s="141">
        <v>1</v>
      </c>
      <c r="K24" s="25"/>
      <c r="L24" s="25"/>
      <c r="M24" s="25"/>
      <c r="N24" s="25"/>
      <c r="O24" s="25"/>
      <c r="P24" s="25"/>
      <c r="Q24" s="35"/>
    </row>
    <row r="25" spans="1:17" ht="17.25" customHeight="1" x14ac:dyDescent="0.15">
      <c r="A25" s="145"/>
      <c r="B25" s="26">
        <v>0</v>
      </c>
      <c r="C25" s="26">
        <v>0</v>
      </c>
      <c r="D25" s="26">
        <f>SUM(B25:C25)</f>
        <v>0</v>
      </c>
      <c r="E25" s="26">
        <v>0</v>
      </c>
      <c r="F25" s="26">
        <v>0</v>
      </c>
      <c r="G25" s="26">
        <f>SUM(E25:F25)</f>
        <v>0</v>
      </c>
      <c r="H25" s="31">
        <f>ROUND(SUM(D25+G25),1)</f>
        <v>0</v>
      </c>
      <c r="I25" s="3"/>
      <c r="J25" s="142"/>
      <c r="K25" s="26">
        <v>0</v>
      </c>
      <c r="L25" s="26">
        <v>0</v>
      </c>
      <c r="M25" s="26">
        <f>SUM(K25:L25)</f>
        <v>0</v>
      </c>
      <c r="N25" s="26">
        <v>0</v>
      </c>
      <c r="O25" s="26">
        <v>0</v>
      </c>
      <c r="P25" s="26">
        <f>SUM(N25:O25)</f>
        <v>0</v>
      </c>
      <c r="Q25" s="36">
        <f>ROUND(SUM(M25+P25),1)</f>
        <v>0</v>
      </c>
    </row>
    <row r="26" spans="1:17" ht="15" customHeight="1" x14ac:dyDescent="0.15">
      <c r="A26" s="138">
        <v>2</v>
      </c>
      <c r="B26" s="23"/>
      <c r="C26" s="23"/>
      <c r="D26" s="23"/>
      <c r="E26" s="23"/>
      <c r="F26" s="23"/>
      <c r="G26" s="23"/>
      <c r="H26" s="28"/>
      <c r="I26" s="2"/>
      <c r="J26" s="143">
        <v>2</v>
      </c>
      <c r="K26" s="23"/>
      <c r="L26" s="23"/>
      <c r="M26" s="23"/>
      <c r="N26" s="23"/>
      <c r="O26" s="23"/>
      <c r="P26" s="23"/>
      <c r="Q26" s="37"/>
    </row>
    <row r="27" spans="1:17" ht="17.25" customHeight="1" x14ac:dyDescent="0.15">
      <c r="A27" s="138"/>
      <c r="B27" s="24">
        <v>0</v>
      </c>
      <c r="C27" s="24">
        <v>0</v>
      </c>
      <c r="D27" s="24">
        <f>SUM(B27:C27)</f>
        <v>0</v>
      </c>
      <c r="E27" s="24">
        <v>0</v>
      </c>
      <c r="F27" s="24">
        <v>0</v>
      </c>
      <c r="G27" s="24">
        <f>SUM(E27:F27)</f>
        <v>0</v>
      </c>
      <c r="H27" s="29">
        <f>ROUND(SUM(D27+G27),1)</f>
        <v>0</v>
      </c>
      <c r="I27" s="2"/>
      <c r="J27" s="143"/>
      <c r="K27" s="24">
        <v>0</v>
      </c>
      <c r="L27" s="24">
        <v>0</v>
      </c>
      <c r="M27" s="24">
        <f>SUM(K27:L27)</f>
        <v>0</v>
      </c>
      <c r="N27" s="24">
        <v>0</v>
      </c>
      <c r="O27" s="24">
        <v>0</v>
      </c>
      <c r="P27" s="24">
        <f>SUM(N27:O27)</f>
        <v>0</v>
      </c>
      <c r="Q27" s="34">
        <f>ROUND(SUM(M27+P27),1)</f>
        <v>0</v>
      </c>
    </row>
    <row r="28" spans="1:17" ht="15" customHeight="1" x14ac:dyDescent="0.15">
      <c r="A28" s="144">
        <v>3</v>
      </c>
      <c r="B28" s="25"/>
      <c r="C28" s="25"/>
      <c r="D28" s="25"/>
      <c r="E28" s="25"/>
      <c r="F28" s="25"/>
      <c r="G28" s="25"/>
      <c r="H28" s="30"/>
      <c r="I28" s="1"/>
      <c r="J28" s="141">
        <v>3</v>
      </c>
      <c r="K28" s="25"/>
      <c r="L28" s="25"/>
      <c r="M28" s="25"/>
      <c r="N28" s="25"/>
      <c r="O28" s="25"/>
      <c r="P28" s="25"/>
      <c r="Q28" s="35"/>
    </row>
    <row r="29" spans="1:17" ht="17.25" customHeight="1" x14ac:dyDescent="0.15">
      <c r="A29" s="145"/>
      <c r="B29" s="26">
        <v>0</v>
      </c>
      <c r="C29" s="26">
        <v>0</v>
      </c>
      <c r="D29" s="26">
        <f>SUM(B29:C29)</f>
        <v>0</v>
      </c>
      <c r="E29" s="26">
        <v>0</v>
      </c>
      <c r="F29" s="26">
        <v>0</v>
      </c>
      <c r="G29" s="26">
        <f>SUM(E29:F29)</f>
        <v>0</v>
      </c>
      <c r="H29" s="31">
        <f>ROUND(SUM(D29+G29),1)</f>
        <v>0</v>
      </c>
      <c r="I29" s="3"/>
      <c r="J29" s="142"/>
      <c r="K29" s="26">
        <v>0</v>
      </c>
      <c r="L29" s="26">
        <v>0</v>
      </c>
      <c r="M29" s="26">
        <f>SUM(K29:L29)</f>
        <v>0</v>
      </c>
      <c r="N29" s="26">
        <v>0</v>
      </c>
      <c r="O29" s="26">
        <v>0</v>
      </c>
      <c r="P29" s="26">
        <f>SUM(N29:O29)</f>
        <v>0</v>
      </c>
      <c r="Q29" s="36">
        <f>ROUND(SUM(M29+P29),1)</f>
        <v>0</v>
      </c>
    </row>
    <row r="30" spans="1:17" ht="6" customHeight="1" x14ac:dyDescent="0.15">
      <c r="A30" s="5"/>
      <c r="B30" s="24"/>
      <c r="C30" s="24"/>
      <c r="D30" s="24"/>
      <c r="E30" s="24"/>
      <c r="F30" s="24"/>
      <c r="G30" s="24"/>
      <c r="H30" s="29"/>
      <c r="I30" s="2"/>
      <c r="J30" s="7"/>
      <c r="K30" s="24"/>
      <c r="L30" s="24"/>
      <c r="M30" s="24"/>
      <c r="N30" s="24"/>
      <c r="O30" s="24"/>
      <c r="P30" s="24"/>
      <c r="Q30" s="34"/>
    </row>
    <row r="31" spans="1:17" ht="17.25" customHeight="1" x14ac:dyDescent="0.15">
      <c r="A31" s="144" t="s">
        <v>0</v>
      </c>
      <c r="B31" s="25"/>
      <c r="C31" s="25"/>
      <c r="D31" s="25"/>
      <c r="E31" s="25"/>
      <c r="F31" s="25"/>
      <c r="G31" s="25"/>
      <c r="H31" s="30"/>
      <c r="I31" s="1"/>
      <c r="J31" s="139" t="s">
        <v>0</v>
      </c>
      <c r="K31" s="25"/>
      <c r="L31" s="25"/>
      <c r="M31" s="25"/>
      <c r="N31" s="25"/>
      <c r="O31" s="25"/>
      <c r="P31" s="25"/>
      <c r="Q31" s="35"/>
    </row>
    <row r="32" spans="1:17" ht="24" customHeight="1" x14ac:dyDescent="0.15">
      <c r="A32" s="146"/>
      <c r="B32" s="27">
        <f t="shared" ref="B32:G32" si="0">SUM(B7+B9+B11+B13+B15+B17+B19+B21+B23+B25+B27+B29)</f>
        <v>0</v>
      </c>
      <c r="C32" s="27">
        <f t="shared" si="0"/>
        <v>0</v>
      </c>
      <c r="D32" s="27">
        <f t="shared" si="0"/>
        <v>0</v>
      </c>
      <c r="E32" s="27">
        <f t="shared" si="0"/>
        <v>0</v>
      </c>
      <c r="F32" s="27">
        <f t="shared" si="0"/>
        <v>0</v>
      </c>
      <c r="G32" s="27">
        <f t="shared" si="0"/>
        <v>0</v>
      </c>
      <c r="H32" s="32">
        <f>SUM(D32+G32)</f>
        <v>0</v>
      </c>
      <c r="I32" s="6"/>
      <c r="J32" s="140"/>
      <c r="K32" s="27">
        <f t="shared" ref="K32:P32" si="1">SUM(K7+K9+K11+K13+K15+K17+K19+K21+K23+K25+K27+K29)</f>
        <v>0</v>
      </c>
      <c r="L32" s="27">
        <f t="shared" si="1"/>
        <v>0</v>
      </c>
      <c r="M32" s="27">
        <f t="shared" si="1"/>
        <v>0</v>
      </c>
      <c r="N32" s="27">
        <f t="shared" si="1"/>
        <v>0</v>
      </c>
      <c r="O32" s="27">
        <f t="shared" si="1"/>
        <v>0</v>
      </c>
      <c r="P32" s="27">
        <f t="shared" si="1"/>
        <v>0</v>
      </c>
      <c r="Q32" s="38">
        <f>SUM(M32+P32)</f>
        <v>0</v>
      </c>
    </row>
  </sheetData>
  <mergeCells count="27">
    <mergeCell ref="J31:J32"/>
    <mergeCell ref="J28:J29"/>
    <mergeCell ref="A26:A27"/>
    <mergeCell ref="J20:J21"/>
    <mergeCell ref="J22:J23"/>
    <mergeCell ref="J24:J25"/>
    <mergeCell ref="A22:A23"/>
    <mergeCell ref="A20:A21"/>
    <mergeCell ref="A31:A32"/>
    <mergeCell ref="A28:A29"/>
    <mergeCell ref="J26:J27"/>
    <mergeCell ref="A24:A25"/>
    <mergeCell ref="A1:K1"/>
    <mergeCell ref="J6:J7"/>
    <mergeCell ref="J8:J9"/>
    <mergeCell ref="J10:J11"/>
    <mergeCell ref="A6:A7"/>
    <mergeCell ref="A8:A9"/>
    <mergeCell ref="A10:A11"/>
    <mergeCell ref="J12:J13"/>
    <mergeCell ref="A12:A13"/>
    <mergeCell ref="J14:J15"/>
    <mergeCell ref="A14:A15"/>
    <mergeCell ref="J18:J19"/>
    <mergeCell ref="J16:J17"/>
    <mergeCell ref="A18:A19"/>
    <mergeCell ref="A16:A1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2F7FE-BD24-464C-A9E3-AD9210D98BD7}"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一般廃棄物最終処分（埋立）地区別集計表　　【第4－1表】"</f>
        <v>令和9年度　一般廃棄物最終処分（埋立）地区別集計表　　【第4－1表】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9</v>
      </c>
      <c r="K3" t="s">
        <v>10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7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7" ht="17.25" customHeight="1" x14ac:dyDescent="0.15">
      <c r="A7" s="138"/>
      <c r="B7" s="97">
        <f>[1]可燃!$G$43</f>
        <v>0</v>
      </c>
      <c r="C7" s="97">
        <f>[1]可燃!$H$43</f>
        <v>0</v>
      </c>
      <c r="D7" s="97">
        <f>SUM(B7:C7)</f>
        <v>0</v>
      </c>
      <c r="E7" s="97">
        <f>[1]可燃!$I$43</f>
        <v>0</v>
      </c>
      <c r="F7" s="97">
        <f>[1]可燃!$J$43</f>
        <v>0</v>
      </c>
      <c r="G7" s="97">
        <f>SUM(E7:F7)</f>
        <v>0</v>
      </c>
      <c r="H7" s="29">
        <f>ROUND(D7+G7,1)</f>
        <v>0</v>
      </c>
      <c r="I7" s="2"/>
      <c r="J7" s="143"/>
      <c r="K7" s="97">
        <f>[1]可燃!$R$43</f>
        <v>0</v>
      </c>
      <c r="L7" s="97">
        <f>[1]可燃!$S$43</f>
        <v>0</v>
      </c>
      <c r="M7" s="97">
        <f>SUM(K7:L7)</f>
        <v>0</v>
      </c>
      <c r="N7" s="97">
        <f>[1]可燃!$T$43</f>
        <v>0</v>
      </c>
      <c r="O7" s="97">
        <f>[1]可燃!$U$43</f>
        <v>0</v>
      </c>
      <c r="P7" s="97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5"/>
    </row>
    <row r="9" spans="1:17" ht="17.25" customHeight="1" x14ac:dyDescent="0.15">
      <c r="A9" s="145"/>
      <c r="B9" s="31">
        <f>[2]可燃!$G$43</f>
        <v>0</v>
      </c>
      <c r="C9" s="31">
        <f>[2]可燃!$H$43</f>
        <v>0</v>
      </c>
      <c r="D9" s="97">
        <f>SUM(B9:C9)</f>
        <v>0</v>
      </c>
      <c r="E9" s="97">
        <f>[2]可燃!$I$43</f>
        <v>0</v>
      </c>
      <c r="F9" s="97">
        <f>[2]可燃!$J$43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[2]可燃!$R$43</f>
        <v>0</v>
      </c>
      <c r="L9" s="31">
        <f>[2]可燃!$S$43</f>
        <v>0</v>
      </c>
      <c r="M9" s="97">
        <f>SUM(K9:L9)</f>
        <v>0</v>
      </c>
      <c r="N9" s="97">
        <f>[2]可燃!$T$43</f>
        <v>0</v>
      </c>
      <c r="O9" s="97">
        <f>[2]可燃!$U$43</f>
        <v>0</v>
      </c>
      <c r="P9" s="97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99"/>
      <c r="C10" s="99"/>
      <c r="D10" s="98"/>
      <c r="E10" s="98"/>
      <c r="F10" s="98"/>
      <c r="G10" s="98"/>
      <c r="H10" s="30"/>
      <c r="I10" s="2"/>
      <c r="J10" s="143">
        <v>6</v>
      </c>
      <c r="K10" s="99"/>
      <c r="L10" s="99"/>
      <c r="M10" s="98"/>
      <c r="N10" s="98"/>
      <c r="O10" s="98"/>
      <c r="P10" s="98"/>
      <c r="Q10" s="35"/>
    </row>
    <row r="11" spans="1:17" ht="17.25" customHeight="1" x14ac:dyDescent="0.15">
      <c r="A11" s="138"/>
      <c r="B11" s="97">
        <f>[3]可燃!$G$43</f>
        <v>0</v>
      </c>
      <c r="C11" s="97">
        <f>[3]可燃!$H$43</f>
        <v>0</v>
      </c>
      <c r="D11" s="97">
        <f>SUM(B11:C11)</f>
        <v>0</v>
      </c>
      <c r="E11" s="97">
        <f>[3]可燃!$I$43</f>
        <v>0</v>
      </c>
      <c r="F11" s="97">
        <f>[3]可燃!$J$43</f>
        <v>0</v>
      </c>
      <c r="G11" s="97">
        <f>SUM(E11:F11)</f>
        <v>0</v>
      </c>
      <c r="H11" s="31">
        <f>ROUND(D11+G11,1)</f>
        <v>0</v>
      </c>
      <c r="I11" s="2"/>
      <c r="J11" s="143"/>
      <c r="K11" s="97">
        <f>[3]可燃!$R$43</f>
        <v>0</v>
      </c>
      <c r="L11" s="97">
        <f>[3]可燃!$S$43</f>
        <v>0</v>
      </c>
      <c r="M11" s="97">
        <f>SUM(K11:L11)</f>
        <v>0</v>
      </c>
      <c r="N11" s="97">
        <f>[3]可燃!$T$43</f>
        <v>0</v>
      </c>
      <c r="O11" s="97">
        <f>[3]可燃!$U$43</f>
        <v>0</v>
      </c>
      <c r="P11" s="97">
        <f>SUM(N11:O11)</f>
        <v>0</v>
      </c>
      <c r="Q11" s="36">
        <f>ROUND(M11+P11,1)</f>
        <v>0</v>
      </c>
    </row>
    <row r="12" spans="1:17" ht="1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7"/>
    </row>
    <row r="13" spans="1:17" ht="17.25" customHeight="1" x14ac:dyDescent="0.15">
      <c r="A13" s="145"/>
      <c r="B13" s="31">
        <f>[4]可燃!$G$43</f>
        <v>0</v>
      </c>
      <c r="C13" s="31">
        <f>[4]可燃!$H$43</f>
        <v>0</v>
      </c>
      <c r="D13" s="31">
        <f>SUM(B13:C13)</f>
        <v>0</v>
      </c>
      <c r="E13" s="31">
        <f>[4]可燃!$I$43</f>
        <v>0</v>
      </c>
      <c r="F13" s="31">
        <f>[4]可燃!$J$43</f>
        <v>0</v>
      </c>
      <c r="G13" s="31">
        <f>SUM(E13:F13)</f>
        <v>0</v>
      </c>
      <c r="H13" s="68">
        <f>ROUND(D13+G13,1)</f>
        <v>0</v>
      </c>
      <c r="I13" s="3"/>
      <c r="J13" s="142"/>
      <c r="K13" s="31">
        <f>[4]可燃!$R$43</f>
        <v>0</v>
      </c>
      <c r="L13" s="31">
        <f>[4]可燃!$S$43</f>
        <v>0</v>
      </c>
      <c r="M13" s="31">
        <f>SUM(K13:L13)</f>
        <v>0</v>
      </c>
      <c r="N13" s="31">
        <f>[4]可燃!$T$43</f>
        <v>0</v>
      </c>
      <c r="O13" s="31">
        <f>[4]可燃!$U$43</f>
        <v>0</v>
      </c>
      <c r="P13" s="31">
        <f>SUM(N13:O13)</f>
        <v>0</v>
      </c>
      <c r="Q13" s="34">
        <f>ROUND(M13+P13,1)</f>
        <v>0</v>
      </c>
    </row>
    <row r="14" spans="1:17" ht="15" customHeight="1" x14ac:dyDescent="0.15">
      <c r="A14" s="138">
        <v>8</v>
      </c>
      <c r="B14" s="99"/>
      <c r="C14" s="99"/>
      <c r="D14" s="99"/>
      <c r="E14" s="99"/>
      <c r="F14" s="99"/>
      <c r="G14" s="99"/>
      <c r="H14" s="28"/>
      <c r="I14" s="2"/>
      <c r="J14" s="143">
        <v>8</v>
      </c>
      <c r="K14" s="99"/>
      <c r="L14" s="99"/>
      <c r="M14" s="99"/>
      <c r="N14" s="99"/>
      <c r="O14" s="99"/>
      <c r="P14" s="99"/>
      <c r="Q14" s="35"/>
    </row>
    <row r="15" spans="1:17" ht="17.25" customHeight="1" x14ac:dyDescent="0.15">
      <c r="A15" s="138"/>
      <c r="B15" s="97">
        <f>[5]可燃!$G$43</f>
        <v>0</v>
      </c>
      <c r="C15" s="97">
        <f>[5]可燃!$H$43</f>
        <v>0</v>
      </c>
      <c r="D15" s="97">
        <f>SUM(B15:C15)</f>
        <v>0</v>
      </c>
      <c r="E15" s="97">
        <f>[5]可燃!$I$43</f>
        <v>0</v>
      </c>
      <c r="F15" s="97">
        <f>[5]可燃!$J$43</f>
        <v>0</v>
      </c>
      <c r="G15" s="97">
        <f>SUM(E15:F15)</f>
        <v>0</v>
      </c>
      <c r="H15" s="31">
        <f>ROUND(D15+G15,1)</f>
        <v>0</v>
      </c>
      <c r="I15" s="2"/>
      <c r="J15" s="143"/>
      <c r="K15" s="97">
        <f>[5]可燃!$R$43</f>
        <v>0</v>
      </c>
      <c r="L15" s="97">
        <f>[5]可燃!$S$43</f>
        <v>0</v>
      </c>
      <c r="M15" s="97">
        <f>SUM(K15:L15)</f>
        <v>0</v>
      </c>
      <c r="N15" s="97">
        <f>[5]可燃!$T$43</f>
        <v>0</v>
      </c>
      <c r="O15" s="97">
        <f>[5]可燃!$U$43</f>
        <v>0</v>
      </c>
      <c r="P15" s="97">
        <f>SUM(N15:O15)</f>
        <v>0</v>
      </c>
      <c r="Q15" s="36">
        <f>ROUND(M15+P15,1)</f>
        <v>0</v>
      </c>
    </row>
    <row r="16" spans="1:17" ht="15" customHeight="1" x14ac:dyDescent="0.15">
      <c r="A16" s="144">
        <v>9</v>
      </c>
      <c r="B16" s="98"/>
      <c r="C16" s="98"/>
      <c r="D16" s="98"/>
      <c r="E16" s="98"/>
      <c r="F16" s="98"/>
      <c r="G16" s="98"/>
      <c r="H16" s="28"/>
      <c r="I16" s="1"/>
      <c r="J16" s="141">
        <v>9</v>
      </c>
      <c r="K16" s="98"/>
      <c r="L16" s="98"/>
      <c r="M16" s="98"/>
      <c r="N16" s="98"/>
      <c r="O16" s="98"/>
      <c r="P16" s="98"/>
      <c r="Q16" s="37"/>
    </row>
    <row r="17" spans="1:17" ht="17.25" customHeight="1" x14ac:dyDescent="0.15">
      <c r="A17" s="145"/>
      <c r="B17" s="31">
        <f>[6]可燃!$G$43</f>
        <v>0</v>
      </c>
      <c r="C17" s="31">
        <f>[6]可燃!$H$43</f>
        <v>0</v>
      </c>
      <c r="D17" s="97">
        <f>SUM(B17:C17)</f>
        <v>0</v>
      </c>
      <c r="E17" s="97">
        <f>[6]可燃!$I$43</f>
        <v>0</v>
      </c>
      <c r="F17" s="97">
        <f>[6]可燃!$J$43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[6]可燃!$R$43</f>
        <v>0</v>
      </c>
      <c r="L17" s="31">
        <f>[6]可燃!$S$43</f>
        <v>0</v>
      </c>
      <c r="M17" s="97">
        <f>SUM(K17:L17)</f>
        <v>0</v>
      </c>
      <c r="N17" s="97">
        <f>[6]可燃!$T$43</f>
        <v>0</v>
      </c>
      <c r="O17" s="97">
        <f>[6]可燃!$U$43</f>
        <v>0</v>
      </c>
      <c r="P17" s="97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99"/>
      <c r="C18" s="99"/>
      <c r="D18" s="98"/>
      <c r="E18" s="98"/>
      <c r="F18" s="98"/>
      <c r="G18" s="98"/>
      <c r="H18" s="30"/>
      <c r="I18" s="2"/>
      <c r="J18" s="143">
        <v>10</v>
      </c>
      <c r="K18" s="99"/>
      <c r="L18" s="99"/>
      <c r="M18" s="98"/>
      <c r="N18" s="98"/>
      <c r="O18" s="98"/>
      <c r="P18" s="98"/>
      <c r="Q18" s="35"/>
    </row>
    <row r="19" spans="1:17" ht="17.25" customHeight="1" x14ac:dyDescent="0.15">
      <c r="A19" s="138"/>
      <c r="B19" s="97">
        <f>[7]可燃!$G$43</f>
        <v>0</v>
      </c>
      <c r="C19" s="97">
        <f>[7]可燃!$H$43</f>
        <v>0</v>
      </c>
      <c r="D19" s="97">
        <f>SUM(B19:C19)</f>
        <v>0</v>
      </c>
      <c r="E19" s="97">
        <f>[7]可燃!$I$43</f>
        <v>0</v>
      </c>
      <c r="F19" s="97">
        <f>[7]可燃!$J$43</f>
        <v>0</v>
      </c>
      <c r="G19" s="97">
        <f>SUM(E19:F19)</f>
        <v>0</v>
      </c>
      <c r="H19" s="31">
        <f>ROUND(D19+G19,1)</f>
        <v>0</v>
      </c>
      <c r="I19" s="2"/>
      <c r="J19" s="143"/>
      <c r="K19" s="97">
        <f>[7]可燃!$R$43</f>
        <v>0</v>
      </c>
      <c r="L19" s="97">
        <f>[7]可燃!$S$43</f>
        <v>0</v>
      </c>
      <c r="M19" s="97">
        <f>SUM(K19:L19)</f>
        <v>0</v>
      </c>
      <c r="N19" s="97">
        <f>[7]可燃!$T$43</f>
        <v>0</v>
      </c>
      <c r="O19" s="97">
        <f>[7]可燃!$U$43</f>
        <v>0</v>
      </c>
      <c r="P19" s="97">
        <f>SUM(N19:O19)</f>
        <v>0</v>
      </c>
      <c r="Q19" s="36">
        <f>ROUND(M19+P19,1)</f>
        <v>0</v>
      </c>
    </row>
    <row r="20" spans="1:17" ht="1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5"/>
    </row>
    <row r="21" spans="1:17" ht="17.25" customHeight="1" x14ac:dyDescent="0.15">
      <c r="A21" s="145"/>
      <c r="B21" s="31">
        <f>[8]可燃!$G$43</f>
        <v>0</v>
      </c>
      <c r="C21" s="31">
        <f>[8]可燃!$H$43</f>
        <v>0</v>
      </c>
      <c r="D21" s="97">
        <f>SUM(B21:C21)</f>
        <v>0</v>
      </c>
      <c r="E21" s="97">
        <f>[8]可燃!$I$43</f>
        <v>0</v>
      </c>
      <c r="F21" s="97">
        <f>[8]可燃!$J$43</f>
        <v>0</v>
      </c>
      <c r="G21" s="97">
        <f>SUM(E21:F21)</f>
        <v>0</v>
      </c>
      <c r="H21" s="31">
        <f>ROUND(D21+G21,1)</f>
        <v>0</v>
      </c>
      <c r="I21" s="3"/>
      <c r="J21" s="142"/>
      <c r="K21" s="31">
        <f>[8]可燃!$R$43</f>
        <v>0</v>
      </c>
      <c r="L21" s="31">
        <f>[8]可燃!$S$43</f>
        <v>0</v>
      </c>
      <c r="M21" s="97">
        <f>SUM(K21:L21)</f>
        <v>0</v>
      </c>
      <c r="N21" s="97">
        <f>[8]可燃!$T$43</f>
        <v>0</v>
      </c>
      <c r="O21" s="97">
        <f>[8]可燃!$U$43</f>
        <v>0</v>
      </c>
      <c r="P21" s="97">
        <f>SUM(N21:O21)</f>
        <v>0</v>
      </c>
      <c r="Q21" s="36">
        <f>ROUND(M21+P21,1)</f>
        <v>0</v>
      </c>
    </row>
    <row r="22" spans="1:17" ht="15" customHeight="1" x14ac:dyDescent="0.15">
      <c r="A22" s="138">
        <v>12</v>
      </c>
      <c r="B22" s="99"/>
      <c r="C22" s="99"/>
      <c r="D22" s="98"/>
      <c r="E22" s="98"/>
      <c r="F22" s="98"/>
      <c r="G22" s="98"/>
      <c r="H22" s="28"/>
      <c r="I22" s="2"/>
      <c r="J22" s="143">
        <v>12</v>
      </c>
      <c r="K22" s="99"/>
      <c r="L22" s="99"/>
      <c r="M22" s="98"/>
      <c r="N22" s="98"/>
      <c r="O22" s="98"/>
      <c r="P22" s="98"/>
      <c r="Q22" s="37"/>
    </row>
    <row r="23" spans="1:17" ht="17.25" customHeight="1" x14ac:dyDescent="0.15">
      <c r="A23" s="138"/>
      <c r="B23" s="97">
        <f>[9]可燃!$G$43</f>
        <v>0</v>
      </c>
      <c r="C23" s="97">
        <f>[9]可燃!$H$43</f>
        <v>0</v>
      </c>
      <c r="D23" s="97">
        <f>SUM(B23:C23)</f>
        <v>0</v>
      </c>
      <c r="E23" s="97">
        <f>[9]可燃!$I$43</f>
        <v>0</v>
      </c>
      <c r="F23" s="97">
        <f>[9]可燃!$J$43</f>
        <v>0</v>
      </c>
      <c r="G23" s="97">
        <f>SUM(E23:F23)</f>
        <v>0</v>
      </c>
      <c r="H23" s="29">
        <f>ROUND(D23+G23,1)</f>
        <v>0</v>
      </c>
      <c r="I23" s="2"/>
      <c r="J23" s="143"/>
      <c r="K23" s="97">
        <f>[9]可燃!$R$43</f>
        <v>0</v>
      </c>
      <c r="L23" s="97">
        <f>[9]可燃!$S$43</f>
        <v>0</v>
      </c>
      <c r="M23" s="97">
        <f>SUM(K23:L23)</f>
        <v>0</v>
      </c>
      <c r="N23" s="97">
        <f>[9]可燃!$T$43</f>
        <v>0</v>
      </c>
      <c r="O23" s="97">
        <f>[9]可燃!$U$43</f>
        <v>0</v>
      </c>
      <c r="P23" s="97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5"/>
    </row>
    <row r="25" spans="1:17" ht="17.25" customHeight="1" x14ac:dyDescent="0.15">
      <c r="A25" s="145"/>
      <c r="B25" s="31">
        <f>[10]可燃!$G$43</f>
        <v>0</v>
      </c>
      <c r="C25" s="31">
        <f>[10]可燃!$H$43</f>
        <v>0</v>
      </c>
      <c r="D25" s="31">
        <f>SUM(B25:C25)</f>
        <v>0</v>
      </c>
      <c r="E25" s="31">
        <f>[10]可燃!$I$43</f>
        <v>0</v>
      </c>
      <c r="F25" s="31">
        <f>[10]可燃!$J$43</f>
        <v>0</v>
      </c>
      <c r="G25" s="31">
        <f>SUM(E25:F25)</f>
        <v>0</v>
      </c>
      <c r="H25" s="31">
        <f>ROUND(D25+G25,1)</f>
        <v>0</v>
      </c>
      <c r="I25" s="3"/>
      <c r="J25" s="142"/>
      <c r="K25" s="31">
        <f>[10]可燃!$R$43</f>
        <v>0</v>
      </c>
      <c r="L25" s="31">
        <f>[10]可燃!$S$43</f>
        <v>0</v>
      </c>
      <c r="M25" s="31">
        <f>SUM(K25:L25)</f>
        <v>0</v>
      </c>
      <c r="N25" s="31">
        <f>[10]可燃!$T$43</f>
        <v>0</v>
      </c>
      <c r="O25" s="31">
        <f>[10]可燃!$U$43</f>
        <v>0</v>
      </c>
      <c r="P25" s="31">
        <f>SUM(N25:O25)</f>
        <v>0</v>
      </c>
      <c r="Q25" s="36">
        <f>ROUND(M25+P25,1)</f>
        <v>0</v>
      </c>
    </row>
    <row r="26" spans="1:17" ht="1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37"/>
    </row>
    <row r="27" spans="1:17" ht="17.25" customHeight="1" x14ac:dyDescent="0.15">
      <c r="A27" s="138"/>
      <c r="B27" s="97">
        <f>[11]可燃!$G$43</f>
        <v>0</v>
      </c>
      <c r="C27" s="97">
        <f>[11]可燃!$H$43</f>
        <v>0</v>
      </c>
      <c r="D27" s="97">
        <f>SUM(B27:C27)</f>
        <v>0</v>
      </c>
      <c r="E27" s="97">
        <f>[11]可燃!$I$43</f>
        <v>0</v>
      </c>
      <c r="F27" s="97">
        <f>[11]可燃!$J$43</f>
        <v>0</v>
      </c>
      <c r="G27" s="97">
        <f>SUM(E27:F27)</f>
        <v>0</v>
      </c>
      <c r="H27" s="29">
        <f>ROUND(D27+G27,1)</f>
        <v>0</v>
      </c>
      <c r="I27" s="2"/>
      <c r="J27" s="143"/>
      <c r="K27" s="97">
        <f>[11]可燃!$R$43</f>
        <v>0</v>
      </c>
      <c r="L27" s="97">
        <f>[11]可燃!$S$43</f>
        <v>0</v>
      </c>
      <c r="M27" s="97">
        <f>SUM(K27:L27)</f>
        <v>0</v>
      </c>
      <c r="N27" s="97">
        <f>[11]可燃!$T$43</f>
        <v>0</v>
      </c>
      <c r="O27" s="97">
        <f>[11]可燃!$U$43</f>
        <v>0</v>
      </c>
      <c r="P27" s="97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5"/>
    </row>
    <row r="29" spans="1:17" ht="17.25" customHeight="1" x14ac:dyDescent="0.15">
      <c r="A29" s="145"/>
      <c r="B29" s="31">
        <f>[12]可燃!$G$43</f>
        <v>0</v>
      </c>
      <c r="C29" s="31">
        <f>[12]可燃!$H$43</f>
        <v>0</v>
      </c>
      <c r="D29" s="31">
        <f>SUM(B29:C29)</f>
        <v>0</v>
      </c>
      <c r="E29" s="31">
        <f>[12]可燃!$I$43</f>
        <v>0</v>
      </c>
      <c r="F29" s="31">
        <f>[12]可燃!$J$43</f>
        <v>0</v>
      </c>
      <c r="G29" s="31">
        <f>SUM(E29:F29)</f>
        <v>0</v>
      </c>
      <c r="H29" s="31">
        <f>ROUND(D29+G29,1)</f>
        <v>0</v>
      </c>
      <c r="I29" s="3"/>
      <c r="J29" s="142"/>
      <c r="K29" s="31">
        <f>[12]可燃!$R$43</f>
        <v>0</v>
      </c>
      <c r="L29" s="31">
        <f>[12]可燃!$S$43</f>
        <v>0</v>
      </c>
      <c r="M29" s="31">
        <f>SUM(K29:L29)</f>
        <v>0</v>
      </c>
      <c r="N29" s="31">
        <f>[12]可燃!$T$43</f>
        <v>0</v>
      </c>
      <c r="O29" s="31">
        <f>[12]可燃!$U$43</f>
        <v>0</v>
      </c>
      <c r="P29" s="31">
        <f>SUM(N29:O29)</f>
        <v>0</v>
      </c>
      <c r="Q29" s="36">
        <f>ROUND(M29+P29,1)</f>
        <v>0</v>
      </c>
    </row>
    <row r="30" spans="1:17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34"/>
    </row>
    <row r="31" spans="1:17" ht="17.2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5"/>
    </row>
    <row r="32" spans="1:17" ht="24" customHeight="1" x14ac:dyDescent="0.15">
      <c r="A32" s="146"/>
      <c r="B32" s="100">
        <f t="shared" ref="B32:G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>SUM(H6:H29)</f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38">
        <f>SUM(Q6:Q29)</f>
        <v>0</v>
      </c>
    </row>
  </sheetData>
  <mergeCells count="27"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0:A21"/>
    <mergeCell ref="A26:A27"/>
    <mergeCell ref="J12:J13"/>
    <mergeCell ref="J14:J15"/>
    <mergeCell ref="A14:A15"/>
    <mergeCell ref="J18:J19"/>
    <mergeCell ref="A18:A19"/>
    <mergeCell ref="J16:J17"/>
    <mergeCell ref="A12:A13"/>
    <mergeCell ref="A16:A17"/>
    <mergeCell ref="A1:K1"/>
    <mergeCell ref="J6:J7"/>
    <mergeCell ref="J8:J9"/>
    <mergeCell ref="J10:J11"/>
    <mergeCell ref="A6:A7"/>
    <mergeCell ref="A8:A9"/>
    <mergeCell ref="A10:A11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C14C-580A-462D-8C66-7CD0E6E2F7A8}">
  <sheetPr codeName="Sheet9"/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一般廃棄物最終処分（埋立）地区別集計表　　【第4－2表】"</f>
        <v>令和9年度　一般廃棄物最終処分（埋立）地区別集計表　　【第4－2表】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12</v>
      </c>
      <c r="K3" t="s">
        <v>13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3" t="s">
        <v>8</v>
      </c>
    </row>
    <row r="6" spans="1:17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7" ht="17.25" customHeight="1" x14ac:dyDescent="0.15">
      <c r="A7" s="138"/>
      <c r="B7" s="97">
        <f>[1]不燃・木くず・海岸清掃!$B$43</f>
        <v>0</v>
      </c>
      <c r="C7" s="97">
        <f>[1]不燃・木くず・海岸清掃!$C$43</f>
        <v>0</v>
      </c>
      <c r="D7" s="97">
        <f>SUM(B7:C7)</f>
        <v>0</v>
      </c>
      <c r="E7" s="97">
        <f>[1]不燃・木くず・海岸清掃!$D$43</f>
        <v>0</v>
      </c>
      <c r="F7" s="97">
        <f>[1]不燃・木くず・海岸清掃!$E$43</f>
        <v>0</v>
      </c>
      <c r="G7" s="97">
        <f>SUM(E7:F7)</f>
        <v>0</v>
      </c>
      <c r="H7" s="29">
        <f>ROUND(D7+G7,1)</f>
        <v>0</v>
      </c>
      <c r="I7" s="2"/>
      <c r="J7" s="143"/>
      <c r="K7" s="97">
        <f>[1]不燃・木くず・海岸清掃!$G$43</f>
        <v>0</v>
      </c>
      <c r="L7" s="97">
        <f>[1]不燃・木くず・海岸清掃!$H$43</f>
        <v>0</v>
      </c>
      <c r="M7" s="97">
        <f>SUM(K7:L7)</f>
        <v>0</v>
      </c>
      <c r="N7" s="97">
        <f>[1]不燃・木くず・海岸清掃!$I$43</f>
        <v>0</v>
      </c>
      <c r="O7" s="97">
        <f>[1]不燃・木くず・海岸清掃!$J$43</f>
        <v>0</v>
      </c>
      <c r="P7" s="97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5"/>
    </row>
    <row r="9" spans="1:17" ht="17.25" customHeight="1" x14ac:dyDescent="0.15">
      <c r="A9" s="145"/>
      <c r="B9" s="31">
        <f>[2]不燃・木くず・海岸清掃!$B$43</f>
        <v>0</v>
      </c>
      <c r="C9" s="31">
        <f>[2]不燃・木くず・海岸清掃!$C$43</f>
        <v>0</v>
      </c>
      <c r="D9" s="97">
        <f>SUM(B9:C9)</f>
        <v>0</v>
      </c>
      <c r="E9" s="97">
        <f>[2]不燃・木くず・海岸清掃!$D$43</f>
        <v>0</v>
      </c>
      <c r="F9" s="97">
        <f>[2]不燃・木くず・海岸清掃!$E$43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[2]不燃・木くず・海岸清掃!$G$43</f>
        <v>0</v>
      </c>
      <c r="L9" s="31">
        <f>[2]不燃・木くず・海岸清掃!$H$43</f>
        <v>0</v>
      </c>
      <c r="M9" s="97">
        <f>SUM(K9:L9)</f>
        <v>0</v>
      </c>
      <c r="N9" s="97">
        <f>[2]不燃・木くず・海岸清掃!$I$43</f>
        <v>0</v>
      </c>
      <c r="O9" s="97">
        <f>[2]不燃・木くず・海岸清掃!$J$43</f>
        <v>0</v>
      </c>
      <c r="P9" s="97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99"/>
      <c r="C10" s="99"/>
      <c r="D10" s="98"/>
      <c r="E10" s="98"/>
      <c r="F10" s="98"/>
      <c r="G10" s="98"/>
      <c r="H10" s="30"/>
      <c r="I10" s="2"/>
      <c r="J10" s="143">
        <v>6</v>
      </c>
      <c r="K10" s="99"/>
      <c r="L10" s="99"/>
      <c r="M10" s="98"/>
      <c r="N10" s="98"/>
      <c r="O10" s="98"/>
      <c r="P10" s="98"/>
      <c r="Q10" s="35"/>
    </row>
    <row r="11" spans="1:17" ht="17.25" customHeight="1" x14ac:dyDescent="0.15">
      <c r="A11" s="138"/>
      <c r="B11" s="97">
        <f>[3]不燃・木くず・海岸清掃!$B$43</f>
        <v>0</v>
      </c>
      <c r="C11" s="97">
        <f>[3]不燃・木くず・海岸清掃!$C$43</f>
        <v>0</v>
      </c>
      <c r="D11" s="97">
        <f>SUM(B11:C11)</f>
        <v>0</v>
      </c>
      <c r="E11" s="97">
        <f>[3]不燃・木くず・海岸清掃!$D$43</f>
        <v>0</v>
      </c>
      <c r="F11" s="97">
        <f>[3]不燃・木くず・海岸清掃!$E$43</f>
        <v>0</v>
      </c>
      <c r="G11" s="97">
        <f>SUM(E11:F11)</f>
        <v>0</v>
      </c>
      <c r="H11" s="31">
        <f>ROUND(D11+G11,1)</f>
        <v>0</v>
      </c>
      <c r="I11" s="2"/>
      <c r="J11" s="143"/>
      <c r="K11" s="97">
        <f>[3]不燃・木くず・海岸清掃!$G$43</f>
        <v>0</v>
      </c>
      <c r="L11" s="97">
        <f>[3]不燃・木くず・海岸清掃!$H$43</f>
        <v>0</v>
      </c>
      <c r="M11" s="97">
        <f>SUM(K11:L11)</f>
        <v>0</v>
      </c>
      <c r="N11" s="97">
        <f>[3]不燃・木くず・海岸清掃!$I$43</f>
        <v>0</v>
      </c>
      <c r="O11" s="97">
        <f>[3]不燃・木くず・海岸清掃!$J$43</f>
        <v>0</v>
      </c>
      <c r="P11" s="97">
        <f>SUM(N11:O11)</f>
        <v>0</v>
      </c>
      <c r="Q11" s="36">
        <f>ROUND(M11+P11,1)</f>
        <v>0</v>
      </c>
    </row>
    <row r="12" spans="1:17" ht="1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5"/>
    </row>
    <row r="13" spans="1:17" ht="17.25" customHeight="1" x14ac:dyDescent="0.15">
      <c r="A13" s="145"/>
      <c r="B13" s="31">
        <f>[4]不燃・木くず・海岸清掃!$B$43</f>
        <v>0</v>
      </c>
      <c r="C13" s="31">
        <f>[4]不燃・木くず・海岸清掃!$C$43</f>
        <v>0</v>
      </c>
      <c r="D13" s="31">
        <f>SUM(B13:C13)</f>
        <v>0</v>
      </c>
      <c r="E13" s="31">
        <f>[4]不燃・木くず・海岸清掃!$D$43</f>
        <v>0</v>
      </c>
      <c r="F13" s="31">
        <f>[4]不燃・木くず・海岸清掃!$E$43</f>
        <v>0</v>
      </c>
      <c r="G13" s="31">
        <f>SUM(E13:F13)</f>
        <v>0</v>
      </c>
      <c r="H13" s="68">
        <f>ROUND(D13+G13,1)</f>
        <v>0</v>
      </c>
      <c r="I13" s="3"/>
      <c r="J13" s="142"/>
      <c r="K13" s="31">
        <f>[4]不燃・木くず・海岸清掃!$G$43</f>
        <v>0</v>
      </c>
      <c r="L13" s="31">
        <f>[4]不燃・木くず・海岸清掃!$H$43</f>
        <v>0</v>
      </c>
      <c r="M13" s="31">
        <f>SUM(K13:L13)</f>
        <v>0</v>
      </c>
      <c r="N13" s="31">
        <f>[4]不燃・木くず・海岸清掃!$I$43</f>
        <v>0</v>
      </c>
      <c r="O13" s="31">
        <f>[4]不燃・木くず・海岸清掃!$J$43</f>
        <v>0</v>
      </c>
      <c r="P13" s="31">
        <f>SUM(N13:O13)</f>
        <v>0</v>
      </c>
      <c r="Q13" s="36">
        <f>ROUND(M13+P13,1)</f>
        <v>0</v>
      </c>
    </row>
    <row r="14" spans="1:17" ht="15" customHeight="1" x14ac:dyDescent="0.15">
      <c r="A14" s="138">
        <v>8</v>
      </c>
      <c r="B14" s="99"/>
      <c r="C14" s="99"/>
      <c r="D14" s="99"/>
      <c r="E14" s="99"/>
      <c r="F14" s="99"/>
      <c r="G14" s="99"/>
      <c r="H14" s="28"/>
      <c r="I14" s="2"/>
      <c r="J14" s="143">
        <v>8</v>
      </c>
      <c r="K14" s="99"/>
      <c r="L14" s="99"/>
      <c r="M14" s="99"/>
      <c r="N14" s="99"/>
      <c r="O14" s="99"/>
      <c r="P14" s="99"/>
      <c r="Q14" s="37"/>
    </row>
    <row r="15" spans="1:17" ht="17.25" customHeight="1" x14ac:dyDescent="0.15">
      <c r="A15" s="138"/>
      <c r="B15" s="97">
        <f>[5]不燃・木くず・海岸清掃!$B$43</f>
        <v>0</v>
      </c>
      <c r="C15" s="97">
        <f>[5]不燃・木くず・海岸清掃!$C$43</f>
        <v>0</v>
      </c>
      <c r="D15" s="97">
        <f>SUM(B15:C15)</f>
        <v>0</v>
      </c>
      <c r="E15" s="97">
        <f>[5]不燃・木くず・海岸清掃!$D$43</f>
        <v>0</v>
      </c>
      <c r="F15" s="97">
        <f>[5]不燃・木くず・海岸清掃!$E$43</f>
        <v>0</v>
      </c>
      <c r="G15" s="97">
        <f>SUM(E15:F15)</f>
        <v>0</v>
      </c>
      <c r="H15" s="31">
        <f>ROUND(D15+G15,1)</f>
        <v>0</v>
      </c>
      <c r="I15" s="2"/>
      <c r="J15" s="143"/>
      <c r="K15" s="97">
        <f>[5]不燃・木くず・海岸清掃!$G$43</f>
        <v>0</v>
      </c>
      <c r="L15" s="97">
        <f>[5]不燃・木くず・海岸清掃!$H$43</f>
        <v>0</v>
      </c>
      <c r="M15" s="97">
        <f>SUM(K15:L15)</f>
        <v>0</v>
      </c>
      <c r="N15" s="97">
        <f>[5]不燃・木くず・海岸清掃!$I$43</f>
        <v>0</v>
      </c>
      <c r="O15" s="97">
        <f>[5]不燃・木くず・海岸清掃!$J$43</f>
        <v>0</v>
      </c>
      <c r="P15" s="97">
        <f>SUM(N15:O15)</f>
        <v>0</v>
      </c>
      <c r="Q15" s="36">
        <f>ROUND(M15+P15,1)</f>
        <v>0</v>
      </c>
    </row>
    <row r="16" spans="1:17" ht="15" customHeight="1" x14ac:dyDescent="0.15">
      <c r="A16" s="144">
        <v>9</v>
      </c>
      <c r="B16" s="98"/>
      <c r="C16" s="98"/>
      <c r="D16" s="98"/>
      <c r="E16" s="98"/>
      <c r="F16" s="98"/>
      <c r="G16" s="98"/>
      <c r="H16" s="28"/>
      <c r="I16" s="1"/>
      <c r="J16" s="141">
        <v>9</v>
      </c>
      <c r="K16" s="98"/>
      <c r="L16" s="98"/>
      <c r="M16" s="98"/>
      <c r="N16" s="98"/>
      <c r="O16" s="98"/>
      <c r="P16" s="98"/>
      <c r="Q16" s="37"/>
    </row>
    <row r="17" spans="1:17" ht="17.25" customHeight="1" x14ac:dyDescent="0.15">
      <c r="A17" s="145"/>
      <c r="B17" s="31">
        <f>[6]不燃・木くず・海岸清掃!$B$43</f>
        <v>0</v>
      </c>
      <c r="C17" s="31">
        <f>[6]不燃・木くず・海岸清掃!$C$43</f>
        <v>0</v>
      </c>
      <c r="D17" s="97">
        <f>SUM(B17:C17)</f>
        <v>0</v>
      </c>
      <c r="E17" s="97">
        <f>[6]不燃・木くず・海岸清掃!$D$43</f>
        <v>0</v>
      </c>
      <c r="F17" s="97">
        <f>[6]不燃・木くず・海岸清掃!$E$43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[6]不燃・木くず・海岸清掃!$G$43</f>
        <v>0</v>
      </c>
      <c r="L17" s="31">
        <f>[6]不燃・木くず・海岸清掃!$H$43</f>
        <v>0</v>
      </c>
      <c r="M17" s="97">
        <f>SUM(K17:L17)</f>
        <v>0</v>
      </c>
      <c r="N17" s="97">
        <f>[6]不燃・木くず・海岸清掃!$I$43</f>
        <v>0</v>
      </c>
      <c r="O17" s="97">
        <f>[6]不燃・木くず・海岸清掃!$J$43</f>
        <v>0</v>
      </c>
      <c r="P17" s="97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99"/>
      <c r="C18" s="99"/>
      <c r="D18" s="98"/>
      <c r="E18" s="98"/>
      <c r="F18" s="98"/>
      <c r="G18" s="98"/>
      <c r="H18" s="30"/>
      <c r="I18" s="2"/>
      <c r="J18" s="143">
        <v>10</v>
      </c>
      <c r="K18" s="99"/>
      <c r="L18" s="99"/>
      <c r="M18" s="98"/>
      <c r="N18" s="98"/>
      <c r="O18" s="98"/>
      <c r="P18" s="98"/>
      <c r="Q18" s="35"/>
    </row>
    <row r="19" spans="1:17" ht="17.25" customHeight="1" x14ac:dyDescent="0.15">
      <c r="A19" s="138"/>
      <c r="B19" s="97">
        <f>[7]不燃・木くず・海岸清掃!$B$43</f>
        <v>0</v>
      </c>
      <c r="C19" s="97">
        <f>[7]不燃・木くず・海岸清掃!$C$43</f>
        <v>0</v>
      </c>
      <c r="D19" s="97">
        <f>SUM(B19:C19)</f>
        <v>0</v>
      </c>
      <c r="E19" s="97">
        <f>[7]不燃・木くず・海岸清掃!$D$43</f>
        <v>0</v>
      </c>
      <c r="F19" s="97">
        <f>[7]不燃・木くず・海岸清掃!$E$43</f>
        <v>0</v>
      </c>
      <c r="G19" s="97">
        <f>SUM(E19:F19)</f>
        <v>0</v>
      </c>
      <c r="H19" s="31">
        <f>ROUND(D19+G19,1)</f>
        <v>0</v>
      </c>
      <c r="I19" s="2"/>
      <c r="J19" s="143"/>
      <c r="K19" s="97">
        <f>[7]不燃・木くず・海岸清掃!$G$43</f>
        <v>0</v>
      </c>
      <c r="L19" s="97">
        <f>[7]不燃・木くず・海岸清掃!$H$43</f>
        <v>0</v>
      </c>
      <c r="M19" s="97">
        <f>SUM(K19:L19)</f>
        <v>0</v>
      </c>
      <c r="N19" s="97">
        <f>[7]不燃・木くず・海岸清掃!$I$43</f>
        <v>0</v>
      </c>
      <c r="O19" s="97">
        <f>[7]不燃・木くず・海岸清掃!$J$43</f>
        <v>0</v>
      </c>
      <c r="P19" s="97">
        <f>SUM(N19:O19)</f>
        <v>0</v>
      </c>
      <c r="Q19" s="36">
        <f>ROUND(M19+P19,1)</f>
        <v>0</v>
      </c>
    </row>
    <row r="20" spans="1:17" ht="1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5"/>
    </row>
    <row r="21" spans="1:17" ht="17.25" customHeight="1" x14ac:dyDescent="0.15">
      <c r="A21" s="145"/>
      <c r="B21" s="31">
        <f>[8]不燃・木くず・海岸清掃!$B$43</f>
        <v>0</v>
      </c>
      <c r="C21" s="31">
        <f>[8]不燃・木くず・海岸清掃!$C$43</f>
        <v>0</v>
      </c>
      <c r="D21" s="97">
        <f>SUM(B21:C21)</f>
        <v>0</v>
      </c>
      <c r="E21" s="97">
        <f>[8]不燃・木くず・海岸清掃!$D$43</f>
        <v>0</v>
      </c>
      <c r="F21" s="97">
        <f>[8]不燃・木くず・海岸清掃!$E$43</f>
        <v>0</v>
      </c>
      <c r="G21" s="97">
        <f>SUM(E21:F21)</f>
        <v>0</v>
      </c>
      <c r="H21" s="31">
        <f>ROUND(D21+G21,1)</f>
        <v>0</v>
      </c>
      <c r="I21" s="3"/>
      <c r="J21" s="142"/>
      <c r="K21" s="31">
        <f>[8]不燃・木くず・海岸清掃!$G$43</f>
        <v>0</v>
      </c>
      <c r="L21" s="31">
        <f>[8]不燃・木くず・海岸清掃!$H$43</f>
        <v>0</v>
      </c>
      <c r="M21" s="97">
        <f>SUM(K21:L21)</f>
        <v>0</v>
      </c>
      <c r="N21" s="97">
        <f>[8]不燃・木くず・海岸清掃!$I$43</f>
        <v>0</v>
      </c>
      <c r="O21" s="97">
        <f>[8]不燃・木くず・海岸清掃!$J$43</f>
        <v>0</v>
      </c>
      <c r="P21" s="97">
        <f>SUM(N21:O21)</f>
        <v>0</v>
      </c>
      <c r="Q21" s="36">
        <f>ROUND(M21+P21,1)</f>
        <v>0</v>
      </c>
    </row>
    <row r="22" spans="1:17" ht="15" customHeight="1" x14ac:dyDescent="0.15">
      <c r="A22" s="138">
        <v>12</v>
      </c>
      <c r="B22" s="99"/>
      <c r="C22" s="99"/>
      <c r="D22" s="98"/>
      <c r="E22" s="98"/>
      <c r="F22" s="98"/>
      <c r="G22" s="98"/>
      <c r="H22" s="28"/>
      <c r="I22" s="2"/>
      <c r="J22" s="143">
        <v>12</v>
      </c>
      <c r="K22" s="99"/>
      <c r="L22" s="99"/>
      <c r="M22" s="98"/>
      <c r="N22" s="98"/>
      <c r="O22" s="98"/>
      <c r="P22" s="98"/>
      <c r="Q22" s="37"/>
    </row>
    <row r="23" spans="1:17" ht="17.25" customHeight="1" x14ac:dyDescent="0.15">
      <c r="A23" s="138"/>
      <c r="B23" s="97">
        <f>[9]不燃・木くず・海岸清掃!$B$43</f>
        <v>0</v>
      </c>
      <c r="C23" s="97">
        <f>[9]不燃・木くず・海岸清掃!$C$43</f>
        <v>0</v>
      </c>
      <c r="D23" s="97">
        <f>SUM(B23:C23)</f>
        <v>0</v>
      </c>
      <c r="E23" s="97">
        <f>[9]不燃・木くず・海岸清掃!$D$43</f>
        <v>0</v>
      </c>
      <c r="F23" s="97">
        <f>[9]不燃・木くず・海岸清掃!$E$43</f>
        <v>0</v>
      </c>
      <c r="G23" s="97">
        <f>SUM(E23:F23)</f>
        <v>0</v>
      </c>
      <c r="H23" s="29">
        <f>ROUND(D23+G23,1)</f>
        <v>0</v>
      </c>
      <c r="I23" s="2"/>
      <c r="J23" s="143"/>
      <c r="K23" s="97">
        <f>[9]不燃・木くず・海岸清掃!$G$43</f>
        <v>0</v>
      </c>
      <c r="L23" s="97">
        <f>[9]不燃・木くず・海岸清掃!$H$43</f>
        <v>0</v>
      </c>
      <c r="M23" s="97">
        <f>SUM(K23:L23)</f>
        <v>0</v>
      </c>
      <c r="N23" s="97">
        <f>[9]不燃・木くず・海岸清掃!$I$43</f>
        <v>0</v>
      </c>
      <c r="O23" s="97">
        <f>[9]不燃・木くず・海岸清掃!$J$43</f>
        <v>0</v>
      </c>
      <c r="P23" s="97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5"/>
    </row>
    <row r="25" spans="1:17" ht="17.25" customHeight="1" x14ac:dyDescent="0.15">
      <c r="A25" s="145"/>
      <c r="B25" s="31">
        <f>[10]不燃・木くず・海岸清掃!$B$43</f>
        <v>0</v>
      </c>
      <c r="C25" s="31">
        <f>[10]不燃・木くず・海岸清掃!$C$43</f>
        <v>0</v>
      </c>
      <c r="D25" s="31">
        <f>SUM(B25:C25)</f>
        <v>0</v>
      </c>
      <c r="E25" s="31">
        <f>[10]不燃・木くず・海岸清掃!$D$43</f>
        <v>0</v>
      </c>
      <c r="F25" s="31">
        <f>[10]不燃・木くず・海岸清掃!$E$43</f>
        <v>0</v>
      </c>
      <c r="G25" s="31">
        <f>SUM(E25:F25)</f>
        <v>0</v>
      </c>
      <c r="H25" s="31">
        <f>ROUND(D25+G25,1)</f>
        <v>0</v>
      </c>
      <c r="I25" s="3"/>
      <c r="J25" s="142"/>
      <c r="K25" s="31">
        <f>[10]不燃・木くず・海岸清掃!$G$43</f>
        <v>0</v>
      </c>
      <c r="L25" s="31">
        <f>[10]不燃・木くず・海岸清掃!$H$43</f>
        <v>0</v>
      </c>
      <c r="M25" s="31">
        <f>SUM(K25:L25)</f>
        <v>0</v>
      </c>
      <c r="N25" s="31">
        <f>[10]不燃・木くず・海岸清掃!$I$43</f>
        <v>0</v>
      </c>
      <c r="O25" s="31">
        <f>[10]不燃・木くず・海岸清掃!$J$43</f>
        <v>0</v>
      </c>
      <c r="P25" s="31">
        <f>SUM(N25:O25)</f>
        <v>0</v>
      </c>
      <c r="Q25" s="36">
        <f>ROUND(M25+P25,1)</f>
        <v>0</v>
      </c>
    </row>
    <row r="26" spans="1:17" ht="1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37"/>
    </row>
    <row r="27" spans="1:17" ht="17.25" customHeight="1" x14ac:dyDescent="0.15">
      <c r="A27" s="138"/>
      <c r="B27" s="97">
        <f>[11]不燃・木くず・海岸清掃!$B$43</f>
        <v>0</v>
      </c>
      <c r="C27" s="97">
        <f>[11]不燃・木くず・海岸清掃!$C$43</f>
        <v>0</v>
      </c>
      <c r="D27" s="97">
        <f>SUM(B27:C27)</f>
        <v>0</v>
      </c>
      <c r="E27" s="97">
        <f>[11]不燃・木くず・海岸清掃!$D$43</f>
        <v>0</v>
      </c>
      <c r="F27" s="97">
        <f>[11]不燃・木くず・海岸清掃!$E$43</f>
        <v>0</v>
      </c>
      <c r="G27" s="97">
        <f>SUM(E27:F27)</f>
        <v>0</v>
      </c>
      <c r="H27" s="29">
        <f>ROUND(D27+G27,1)</f>
        <v>0</v>
      </c>
      <c r="I27" s="2"/>
      <c r="J27" s="143"/>
      <c r="K27" s="97">
        <f>[11]不燃・木くず・海岸清掃!$G$43</f>
        <v>0</v>
      </c>
      <c r="L27" s="97">
        <f>[11]不燃・木くず・海岸清掃!$H$43</f>
        <v>0</v>
      </c>
      <c r="M27" s="97">
        <f>SUM(K27:L27)</f>
        <v>0</v>
      </c>
      <c r="N27" s="97">
        <f>[11]不燃・木くず・海岸清掃!$I$43</f>
        <v>0</v>
      </c>
      <c r="O27" s="97">
        <f>[11]不燃・木くず・海岸清掃!$J$43</f>
        <v>0</v>
      </c>
      <c r="P27" s="97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5"/>
    </row>
    <row r="29" spans="1:17" ht="17.25" customHeight="1" x14ac:dyDescent="0.15">
      <c r="A29" s="145"/>
      <c r="B29" s="31">
        <f>[12]不燃・木くず・海岸清掃!$B$43</f>
        <v>0</v>
      </c>
      <c r="C29" s="31">
        <f>[12]不燃・木くず・海岸清掃!$C$43</f>
        <v>0</v>
      </c>
      <c r="D29" s="31">
        <f>SUM(B29:C29)</f>
        <v>0</v>
      </c>
      <c r="E29" s="31">
        <f>[12]不燃・木くず・海岸清掃!$D$43</f>
        <v>0</v>
      </c>
      <c r="F29" s="31">
        <f>[12]不燃・木くず・海岸清掃!$E$43</f>
        <v>0</v>
      </c>
      <c r="G29" s="31">
        <f>SUM(E29:F29)</f>
        <v>0</v>
      </c>
      <c r="H29" s="31">
        <f>ROUND(D29+G29,1)</f>
        <v>0</v>
      </c>
      <c r="I29" s="3"/>
      <c r="J29" s="142"/>
      <c r="K29" s="31">
        <f>[12]不燃・木くず・海岸清掃!$G$43</f>
        <v>0</v>
      </c>
      <c r="L29" s="31">
        <f>[12]不燃・木くず・海岸清掃!$H$43</f>
        <v>0</v>
      </c>
      <c r="M29" s="31">
        <f>SUM(K29:L29)</f>
        <v>0</v>
      </c>
      <c r="N29" s="31">
        <f>[12]不燃・木くず・海岸清掃!$I$43</f>
        <v>0</v>
      </c>
      <c r="O29" s="31">
        <f>[12]不燃・木くず・海岸清掃!$J$43</f>
        <v>0</v>
      </c>
      <c r="P29" s="31">
        <f>SUM(N29:O29)</f>
        <v>0</v>
      </c>
      <c r="Q29" s="36">
        <f>ROUND(M29+P29,1)</f>
        <v>0</v>
      </c>
    </row>
    <row r="30" spans="1:17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34"/>
    </row>
    <row r="31" spans="1:17" ht="17.2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5"/>
    </row>
    <row r="32" spans="1:17" ht="24" customHeight="1" x14ac:dyDescent="0.15">
      <c r="A32" s="146"/>
      <c r="B32" s="100">
        <f t="shared" ref="B32:G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>SUM(H6:H29)</f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38">
        <f>SUM(Q6:Q29)</f>
        <v>0</v>
      </c>
    </row>
  </sheetData>
  <mergeCells count="27">
    <mergeCell ref="J16:J17"/>
    <mergeCell ref="A12:A13"/>
    <mergeCell ref="A16:A17"/>
    <mergeCell ref="A20:A21"/>
    <mergeCell ref="A10:A11"/>
    <mergeCell ref="J12:J13"/>
    <mergeCell ref="J14:J15"/>
    <mergeCell ref="A14:A15"/>
    <mergeCell ref="J18:J19"/>
    <mergeCell ref="A18:A19"/>
    <mergeCell ref="A1:K1"/>
    <mergeCell ref="J6:J7"/>
    <mergeCell ref="J8:J9"/>
    <mergeCell ref="J10:J11"/>
    <mergeCell ref="A6:A7"/>
    <mergeCell ref="A8:A9"/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6:A2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F8EA-5054-4551-AEB3-AEEF6A90BEB8}">
  <dimension ref="A1:R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8" ht="20.25" customHeight="1" x14ac:dyDescent="0.15">
      <c r="A1" s="147" t="str">
        <f>"令和"&amp;'[1]A-1'!$E$9-2018&amp;"年度　一般廃棄物最終処分（埋立）地区別集計表　　【第4－3表】"</f>
        <v>令和9年度　一般廃棄物最終処分（埋立）地区別集計表　　【第4－3表】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8" ht="13.5" customHeight="1" x14ac:dyDescent="0.15"/>
    <row r="3" spans="1:18" ht="18.75" customHeight="1" x14ac:dyDescent="0.15">
      <c r="B3" t="s">
        <v>24</v>
      </c>
      <c r="K3" t="s">
        <v>25</v>
      </c>
      <c r="P3" s="4"/>
      <c r="Q3" s="22" t="s">
        <v>1</v>
      </c>
    </row>
    <row r="4" spans="1:18" ht="7.5" customHeight="1" x14ac:dyDescent="0.15"/>
    <row r="5" spans="1:18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8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8" ht="17.25" customHeight="1" x14ac:dyDescent="0.15">
      <c r="A7" s="138"/>
      <c r="B7" s="97">
        <f>[1]ビン類!$G$43</f>
        <v>0</v>
      </c>
      <c r="C7" s="97">
        <f>[1]ビン類!$H$43</f>
        <v>0</v>
      </c>
      <c r="D7" s="97">
        <f>SUM(B7:C7)</f>
        <v>0</v>
      </c>
      <c r="E7" s="97">
        <f>[1]ビン類!$I$43</f>
        <v>0</v>
      </c>
      <c r="F7" s="97">
        <f>[1]ビン類!$J$43</f>
        <v>0</v>
      </c>
      <c r="G7" s="97">
        <f>SUM(E7:F7)</f>
        <v>0</v>
      </c>
      <c r="H7" s="29">
        <f>ROUND(D7+G7,1)</f>
        <v>0</v>
      </c>
      <c r="I7" s="2"/>
      <c r="J7" s="143"/>
      <c r="K7" s="97">
        <f>[1]ビン類!$R$43</f>
        <v>0</v>
      </c>
      <c r="L7" s="97">
        <f>[1]ビン類!$S$43</f>
        <v>0</v>
      </c>
      <c r="M7" s="97">
        <f>SUM(K7:L7)</f>
        <v>0</v>
      </c>
      <c r="N7" s="97">
        <f>[1]ビン類!$T$43</f>
        <v>0</v>
      </c>
      <c r="O7" s="97">
        <f>[1]ビン類!$U$43</f>
        <v>0</v>
      </c>
      <c r="P7" s="97">
        <f>SUM(N7:O7)</f>
        <v>0</v>
      </c>
      <c r="Q7" s="29">
        <f>ROUND(M7+P7,1)</f>
        <v>0</v>
      </c>
      <c r="R7" s="117"/>
    </row>
    <row r="8" spans="1:18" ht="1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0"/>
      <c r="R8" s="117"/>
    </row>
    <row r="9" spans="1:18" ht="17.25" customHeight="1" x14ac:dyDescent="0.15">
      <c r="A9" s="145"/>
      <c r="B9" s="31">
        <f>[2]ビン類!$G$43</f>
        <v>0</v>
      </c>
      <c r="C9" s="31">
        <f>[2]ビン類!$H$43</f>
        <v>0</v>
      </c>
      <c r="D9" s="97">
        <f>SUM(B9:C9)</f>
        <v>0</v>
      </c>
      <c r="E9" s="97">
        <f>[2]ビン類!$I$43</f>
        <v>0</v>
      </c>
      <c r="F9" s="97">
        <f>[2]ビン類!$J$43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[2]ビン類!$R$43</f>
        <v>0</v>
      </c>
      <c r="L9" s="31">
        <f>[2]ビン類!$S$43</f>
        <v>0</v>
      </c>
      <c r="M9" s="97">
        <f>SUM(K9:L9)</f>
        <v>0</v>
      </c>
      <c r="N9" s="97">
        <f>[2]ビン類!$T$43</f>
        <v>0</v>
      </c>
      <c r="O9" s="97">
        <f>[2]ビン類!$U$43</f>
        <v>0</v>
      </c>
      <c r="P9" s="97">
        <f>SUM(N9:O9)</f>
        <v>0</v>
      </c>
      <c r="Q9" s="29">
        <f>ROUND(M9+P9,1)</f>
        <v>0</v>
      </c>
      <c r="R9" s="117"/>
    </row>
    <row r="10" spans="1:18" ht="15" customHeight="1" x14ac:dyDescent="0.15">
      <c r="A10" s="138">
        <v>6</v>
      </c>
      <c r="B10" s="99"/>
      <c r="C10" s="99"/>
      <c r="D10" s="98"/>
      <c r="E10" s="98"/>
      <c r="F10" s="98"/>
      <c r="G10" s="98"/>
      <c r="H10" s="30"/>
      <c r="I10" s="2"/>
      <c r="J10" s="143">
        <v>6</v>
      </c>
      <c r="K10" s="99"/>
      <c r="L10" s="99"/>
      <c r="M10" s="98"/>
      <c r="N10" s="98"/>
      <c r="O10" s="98"/>
      <c r="P10" s="98"/>
      <c r="Q10" s="30"/>
      <c r="R10" s="117"/>
    </row>
    <row r="11" spans="1:18" ht="17.25" customHeight="1" x14ac:dyDescent="0.15">
      <c r="A11" s="138"/>
      <c r="B11" s="97">
        <f>[3]ビン類!$G$43</f>
        <v>0</v>
      </c>
      <c r="C11" s="97">
        <f>[3]ビン類!$H$43</f>
        <v>0</v>
      </c>
      <c r="D11" s="97">
        <f>SUM(B11:C11)</f>
        <v>0</v>
      </c>
      <c r="E11" s="97">
        <f>[3]ビン類!$I$43</f>
        <v>0</v>
      </c>
      <c r="F11" s="97">
        <f>[3]ビン類!$J$43</f>
        <v>0</v>
      </c>
      <c r="G11" s="97">
        <f>SUM(E11:F11)</f>
        <v>0</v>
      </c>
      <c r="H11" s="31">
        <f>ROUND(D11+G11,1)</f>
        <v>0</v>
      </c>
      <c r="I11" s="2"/>
      <c r="J11" s="143"/>
      <c r="K11" s="97">
        <f>[3]ビン類!$R$43</f>
        <v>0</v>
      </c>
      <c r="L11" s="97">
        <f>[3]ビン類!$S$43</f>
        <v>0</v>
      </c>
      <c r="M11" s="97">
        <f>SUM(K11:L11)</f>
        <v>0</v>
      </c>
      <c r="N11" s="97">
        <f>[3]ビン類!$T$43</f>
        <v>0</v>
      </c>
      <c r="O11" s="97">
        <f>[3]ビン類!$U$43</f>
        <v>0</v>
      </c>
      <c r="P11" s="97">
        <f>SUM(N11:O11)</f>
        <v>0</v>
      </c>
      <c r="Q11" s="120">
        <f>ROUND(M11+P11,1)</f>
        <v>0</v>
      </c>
      <c r="R11" s="117"/>
    </row>
    <row r="12" spans="1:18" ht="1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0"/>
      <c r="R12" s="117"/>
    </row>
    <row r="13" spans="1:18" ht="17.25" customHeight="1" x14ac:dyDescent="0.15">
      <c r="A13" s="145"/>
      <c r="B13" s="31">
        <f>[4]ビン類!$G$43</f>
        <v>0</v>
      </c>
      <c r="C13" s="31">
        <f>[4]ビン類!$H$43</f>
        <v>0</v>
      </c>
      <c r="D13" s="31">
        <f>SUM(B13:C13)</f>
        <v>0</v>
      </c>
      <c r="E13" s="31">
        <f>[4]ビン類!$I$43</f>
        <v>0</v>
      </c>
      <c r="F13" s="31">
        <f>[4]ビン類!$J$43</f>
        <v>0</v>
      </c>
      <c r="G13" s="31">
        <f>SUM(E13:F13)</f>
        <v>0</v>
      </c>
      <c r="H13" s="68">
        <f>ROUND(D13+G13,1)</f>
        <v>0</v>
      </c>
      <c r="I13" s="3"/>
      <c r="J13" s="142"/>
      <c r="K13" s="31">
        <f>[4]ビン類!$R$43</f>
        <v>0</v>
      </c>
      <c r="L13" s="31">
        <f>[4]ビン類!$S$43</f>
        <v>0</v>
      </c>
      <c r="M13" s="31">
        <f>SUM(K13:L13)</f>
        <v>0</v>
      </c>
      <c r="N13" s="31">
        <f>[4]ビン類!$T$43</f>
        <v>0</v>
      </c>
      <c r="O13" s="31">
        <f>[4]ビン類!$U$43</f>
        <v>0</v>
      </c>
      <c r="P13" s="31">
        <f>SUM(N13:O13)</f>
        <v>0</v>
      </c>
      <c r="Q13" s="68">
        <f>ROUND(M13+P13,1)</f>
        <v>0</v>
      </c>
      <c r="R13" s="117"/>
    </row>
    <row r="14" spans="1:18" ht="15" customHeight="1" x14ac:dyDescent="0.15">
      <c r="A14" s="138">
        <v>8</v>
      </c>
      <c r="B14" s="99"/>
      <c r="C14" s="99"/>
      <c r="D14" s="99"/>
      <c r="E14" s="99"/>
      <c r="F14" s="99"/>
      <c r="G14" s="99"/>
      <c r="H14" s="28"/>
      <c r="I14" s="2"/>
      <c r="J14" s="143">
        <v>8</v>
      </c>
      <c r="K14" s="99"/>
      <c r="L14" s="99"/>
      <c r="M14" s="99"/>
      <c r="N14" s="99"/>
      <c r="O14" s="99"/>
      <c r="P14" s="99"/>
      <c r="Q14" s="28"/>
      <c r="R14" s="117"/>
    </row>
    <row r="15" spans="1:18" ht="17.25" customHeight="1" x14ac:dyDescent="0.15">
      <c r="A15" s="138"/>
      <c r="B15" s="97">
        <f>[5]ビン類!$G$43</f>
        <v>0</v>
      </c>
      <c r="C15" s="97">
        <f>[5]ビン類!$H$43</f>
        <v>0</v>
      </c>
      <c r="D15" s="97">
        <f>SUM(B15:C15)</f>
        <v>0</v>
      </c>
      <c r="E15" s="97">
        <f>[5]ビン類!$I$43</f>
        <v>0</v>
      </c>
      <c r="F15" s="97">
        <f>[5]ビン類!$J$43</f>
        <v>0</v>
      </c>
      <c r="G15" s="97">
        <f>SUM(E15:F15)</f>
        <v>0</v>
      </c>
      <c r="H15" s="31">
        <f>ROUND(D15+G15,1)</f>
        <v>0</v>
      </c>
      <c r="I15" s="2"/>
      <c r="J15" s="143"/>
      <c r="K15" s="97">
        <f>[5]ビン類!$R$43</f>
        <v>0</v>
      </c>
      <c r="L15" s="97">
        <f>[5]ビン類!$S$43</f>
        <v>0</v>
      </c>
      <c r="M15" s="97">
        <f>SUM(K15:L15)</f>
        <v>0</v>
      </c>
      <c r="N15" s="97">
        <f>[5]ビン類!$T$43</f>
        <v>0</v>
      </c>
      <c r="O15" s="97">
        <f>[5]ビン類!$U$43</f>
        <v>0</v>
      </c>
      <c r="P15" s="97">
        <f>SUM(N15:O15)</f>
        <v>0</v>
      </c>
      <c r="Q15" s="120">
        <f>ROUND(M15+P15,1)</f>
        <v>0</v>
      </c>
      <c r="R15" s="117"/>
    </row>
    <row r="16" spans="1:18" ht="15" customHeight="1" x14ac:dyDescent="0.15">
      <c r="A16" s="144">
        <v>9</v>
      </c>
      <c r="B16" s="98"/>
      <c r="C16" s="98"/>
      <c r="D16" s="98"/>
      <c r="E16" s="98"/>
      <c r="F16" s="98"/>
      <c r="G16" s="98"/>
      <c r="H16" s="28"/>
      <c r="I16" s="1"/>
      <c r="J16" s="141">
        <v>9</v>
      </c>
      <c r="K16" s="98"/>
      <c r="L16" s="98"/>
      <c r="M16" s="98"/>
      <c r="N16" s="98"/>
      <c r="O16" s="98"/>
      <c r="P16" s="98"/>
      <c r="Q16" s="28"/>
      <c r="R16" s="117"/>
    </row>
    <row r="17" spans="1:18" ht="17.25" customHeight="1" x14ac:dyDescent="0.15">
      <c r="A17" s="145"/>
      <c r="B17" s="31">
        <f>[6]ビン類!$G$43</f>
        <v>0</v>
      </c>
      <c r="C17" s="31">
        <f>[6]ビン類!$H$43</f>
        <v>0</v>
      </c>
      <c r="D17" s="97">
        <f>SUM(B17:C17)</f>
        <v>0</v>
      </c>
      <c r="E17" s="97">
        <f>[6]ビン類!$I$43</f>
        <v>0</v>
      </c>
      <c r="F17" s="97">
        <f>[6]ビン類!$J$43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[6]ビン類!$R$43</f>
        <v>0</v>
      </c>
      <c r="L17" s="31">
        <f>[6]ビン類!$S$43</f>
        <v>0</v>
      </c>
      <c r="M17" s="97">
        <f>SUM(K17:L17)</f>
        <v>0</v>
      </c>
      <c r="N17" s="97">
        <f>[6]ビン類!$T$43</f>
        <v>0</v>
      </c>
      <c r="O17" s="97">
        <f>[6]ビン類!$U$43</f>
        <v>0</v>
      </c>
      <c r="P17" s="97">
        <f>SUM(N17:O17)</f>
        <v>0</v>
      </c>
      <c r="Q17" s="29">
        <f>ROUND(M17+P17,1)</f>
        <v>0</v>
      </c>
      <c r="R17" s="117"/>
    </row>
    <row r="18" spans="1:18" ht="15" customHeight="1" x14ac:dyDescent="0.15">
      <c r="A18" s="138">
        <v>10</v>
      </c>
      <c r="B18" s="99"/>
      <c r="C18" s="99"/>
      <c r="D18" s="98"/>
      <c r="E18" s="98"/>
      <c r="F18" s="98"/>
      <c r="G18" s="98"/>
      <c r="H18" s="30"/>
      <c r="I18" s="2"/>
      <c r="J18" s="143">
        <v>10</v>
      </c>
      <c r="K18" s="99"/>
      <c r="L18" s="99"/>
      <c r="M18" s="98"/>
      <c r="N18" s="98"/>
      <c r="O18" s="98"/>
      <c r="P18" s="98"/>
      <c r="Q18" s="30"/>
      <c r="R18" s="117"/>
    </row>
    <row r="19" spans="1:18" ht="17.25" customHeight="1" x14ac:dyDescent="0.15">
      <c r="A19" s="138"/>
      <c r="B19" s="97">
        <f>[7]ビン類!$G$43</f>
        <v>0</v>
      </c>
      <c r="C19" s="97">
        <f>[7]ビン類!$H$43</f>
        <v>0</v>
      </c>
      <c r="D19" s="97">
        <f>SUM(B19:C19)</f>
        <v>0</v>
      </c>
      <c r="E19" s="97">
        <f>[7]ビン類!$I$43</f>
        <v>0</v>
      </c>
      <c r="F19" s="97">
        <f>[7]ビン類!$J$43</f>
        <v>0</v>
      </c>
      <c r="G19" s="97">
        <f>SUM(E19:F19)</f>
        <v>0</v>
      </c>
      <c r="H19" s="31">
        <f>ROUND(D19+G19,1)</f>
        <v>0</v>
      </c>
      <c r="I19" s="2"/>
      <c r="J19" s="143"/>
      <c r="K19" s="97">
        <f>[7]ビン類!$R$43</f>
        <v>0</v>
      </c>
      <c r="L19" s="97">
        <f>[7]ビン類!$S$43</f>
        <v>0</v>
      </c>
      <c r="M19" s="97">
        <f>SUM(K19:L19)</f>
        <v>0</v>
      </c>
      <c r="N19" s="97">
        <f>[7]ビン類!$T$43</f>
        <v>0</v>
      </c>
      <c r="O19" s="97">
        <f>[7]ビン類!$U$43</f>
        <v>0</v>
      </c>
      <c r="P19" s="97">
        <f>SUM(N19:O19)</f>
        <v>0</v>
      </c>
      <c r="Q19" s="120">
        <f>ROUND(M19+P19,1)</f>
        <v>0</v>
      </c>
      <c r="R19" s="117"/>
    </row>
    <row r="20" spans="1:18" ht="1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0"/>
      <c r="R20" s="117"/>
    </row>
    <row r="21" spans="1:18" ht="17.25" customHeight="1" x14ac:dyDescent="0.15">
      <c r="A21" s="145"/>
      <c r="B21" s="31">
        <f>[8]ビン類!$G$43</f>
        <v>0</v>
      </c>
      <c r="C21" s="31">
        <f>[8]ビン類!$H$43</f>
        <v>0</v>
      </c>
      <c r="D21" s="97">
        <f>SUM(B21:C21)</f>
        <v>0</v>
      </c>
      <c r="E21" s="97">
        <f>[8]ビン類!$I$43</f>
        <v>0</v>
      </c>
      <c r="F21" s="97">
        <f>[8]ビン類!$J$43</f>
        <v>0</v>
      </c>
      <c r="G21" s="97">
        <f>SUM(E21:F21)</f>
        <v>0</v>
      </c>
      <c r="H21" s="31">
        <f>ROUND(D21+G21,1)</f>
        <v>0</v>
      </c>
      <c r="I21" s="3"/>
      <c r="J21" s="142"/>
      <c r="K21" s="31">
        <f>[8]ビン類!$R$43</f>
        <v>0</v>
      </c>
      <c r="L21" s="31">
        <f>[8]ビン類!$S$43</f>
        <v>0</v>
      </c>
      <c r="M21" s="97">
        <f>SUM(K21:L21)</f>
        <v>0</v>
      </c>
      <c r="N21" s="97">
        <f>[8]ビン類!$T$43</f>
        <v>0</v>
      </c>
      <c r="O21" s="97">
        <f>[8]ビン類!$U$43</f>
        <v>0</v>
      </c>
      <c r="P21" s="97">
        <f>SUM(N21:O21)</f>
        <v>0</v>
      </c>
      <c r="Q21" s="120">
        <f>ROUND(M21+P21,1)</f>
        <v>0</v>
      </c>
      <c r="R21" s="117"/>
    </row>
    <row r="22" spans="1:18" ht="15" customHeight="1" x14ac:dyDescent="0.15">
      <c r="A22" s="138">
        <v>12</v>
      </c>
      <c r="B22" s="99"/>
      <c r="C22" s="99"/>
      <c r="D22" s="98"/>
      <c r="E22" s="98"/>
      <c r="F22" s="98"/>
      <c r="G22" s="98"/>
      <c r="H22" s="28"/>
      <c r="I22" s="2"/>
      <c r="J22" s="143">
        <v>12</v>
      </c>
      <c r="K22" s="99"/>
      <c r="L22" s="99"/>
      <c r="M22" s="98"/>
      <c r="N22" s="98"/>
      <c r="O22" s="98"/>
      <c r="P22" s="98"/>
      <c r="Q22" s="28"/>
      <c r="R22" s="117"/>
    </row>
    <row r="23" spans="1:18" ht="17.25" customHeight="1" x14ac:dyDescent="0.15">
      <c r="A23" s="138"/>
      <c r="B23" s="97">
        <f>[9]ビン類!$G$43</f>
        <v>0</v>
      </c>
      <c r="C23" s="97">
        <f>[9]ビン類!$H$43</f>
        <v>0</v>
      </c>
      <c r="D23" s="97">
        <f>SUM(B23:C23)</f>
        <v>0</v>
      </c>
      <c r="E23" s="97">
        <f>[9]ビン類!$I$43</f>
        <v>0</v>
      </c>
      <c r="F23" s="97">
        <f>[9]ビン類!$J$43</f>
        <v>0</v>
      </c>
      <c r="G23" s="97">
        <f>SUM(E23:F23)</f>
        <v>0</v>
      </c>
      <c r="H23" s="29">
        <f>ROUND(D23+G23,1)</f>
        <v>0</v>
      </c>
      <c r="I23" s="2"/>
      <c r="J23" s="143"/>
      <c r="K23" s="97">
        <f>[9]ビン類!$R$43</f>
        <v>0</v>
      </c>
      <c r="L23" s="97">
        <f>[9]ビン類!$S$43</f>
        <v>0</v>
      </c>
      <c r="M23" s="97">
        <f>SUM(K23:L23)</f>
        <v>0</v>
      </c>
      <c r="N23" s="97">
        <f>[9]ビン類!$T$43</f>
        <v>0</v>
      </c>
      <c r="O23" s="97">
        <f>[9]ビン類!$U$43</f>
        <v>0</v>
      </c>
      <c r="P23" s="97">
        <f>SUM(N23:O23)</f>
        <v>0</v>
      </c>
      <c r="Q23" s="29">
        <f>ROUND(M23+P23,1)</f>
        <v>0</v>
      </c>
      <c r="R23" s="117"/>
    </row>
    <row r="24" spans="1:18" ht="1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0"/>
      <c r="R24" s="117"/>
    </row>
    <row r="25" spans="1:18" ht="17.25" customHeight="1" x14ac:dyDescent="0.15">
      <c r="A25" s="145"/>
      <c r="B25" s="31">
        <f>[10]ビン類!$G$43</f>
        <v>0</v>
      </c>
      <c r="C25" s="31">
        <f>[10]ビン類!$H$43</f>
        <v>0</v>
      </c>
      <c r="D25" s="31">
        <f>SUM(B25:C25)</f>
        <v>0</v>
      </c>
      <c r="E25" s="31">
        <f>[10]ビン類!$I$43</f>
        <v>0</v>
      </c>
      <c r="F25" s="31">
        <f>[10]ビン類!$J$43</f>
        <v>0</v>
      </c>
      <c r="G25" s="31">
        <f>SUM(E25:F25)</f>
        <v>0</v>
      </c>
      <c r="H25" s="31">
        <f>ROUND(D25+G25,1)</f>
        <v>0</v>
      </c>
      <c r="I25" s="3"/>
      <c r="J25" s="142"/>
      <c r="K25" s="31">
        <f>[10]ビン類!$R$43</f>
        <v>0</v>
      </c>
      <c r="L25" s="31">
        <f>[10]ビン類!$S$43</f>
        <v>0</v>
      </c>
      <c r="M25" s="31">
        <f>SUM(K25:L25)</f>
        <v>0</v>
      </c>
      <c r="N25" s="31">
        <f>[10]ビン類!$T$43</f>
        <v>0</v>
      </c>
      <c r="O25" s="31">
        <f>[10]ビン類!$U$43</f>
        <v>0</v>
      </c>
      <c r="P25" s="31">
        <f>SUM(N25:O25)</f>
        <v>0</v>
      </c>
      <c r="Q25" s="120">
        <f>ROUND(M25+P25,1)</f>
        <v>0</v>
      </c>
      <c r="R25" s="117"/>
    </row>
    <row r="26" spans="1:18" ht="1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28"/>
      <c r="R26" s="117"/>
    </row>
    <row r="27" spans="1:18" ht="17.25" customHeight="1" x14ac:dyDescent="0.15">
      <c r="A27" s="138"/>
      <c r="B27" s="97">
        <f>[11]ビン類!$G$43</f>
        <v>0</v>
      </c>
      <c r="C27" s="97">
        <f>[11]ビン類!$H$43</f>
        <v>0</v>
      </c>
      <c r="D27" s="97">
        <f>SUM(B27:C27)</f>
        <v>0</v>
      </c>
      <c r="E27" s="97">
        <f>[11]ビン類!$I$43</f>
        <v>0</v>
      </c>
      <c r="F27" s="97">
        <f>[11]ビン類!$J$43</f>
        <v>0</v>
      </c>
      <c r="G27" s="97">
        <f>SUM(E27:F27)</f>
        <v>0</v>
      </c>
      <c r="H27" s="29">
        <f>ROUND(D27+G27,1)</f>
        <v>0</v>
      </c>
      <c r="I27" s="2"/>
      <c r="J27" s="143"/>
      <c r="K27" s="97">
        <f>[11]ビン類!$R$43</f>
        <v>0</v>
      </c>
      <c r="L27" s="97">
        <f>[11]ビン類!$S$43</f>
        <v>0</v>
      </c>
      <c r="M27" s="97">
        <f>SUM(K27:L27)</f>
        <v>0</v>
      </c>
      <c r="N27" s="97">
        <f>[11]ビン類!$T$43</f>
        <v>0</v>
      </c>
      <c r="O27" s="97">
        <f>[11]ビン類!$U$43</f>
        <v>0</v>
      </c>
      <c r="P27" s="97">
        <f>SUM(N27:O27)</f>
        <v>0</v>
      </c>
      <c r="Q27" s="29">
        <f>ROUND(M27+P27,1)</f>
        <v>0</v>
      </c>
      <c r="R27" s="117"/>
    </row>
    <row r="28" spans="1:18" ht="1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0"/>
      <c r="R28" s="117"/>
    </row>
    <row r="29" spans="1:18" ht="17.25" customHeight="1" x14ac:dyDescent="0.15">
      <c r="A29" s="145"/>
      <c r="B29" s="31">
        <f>[12]ビン類!$G$43</f>
        <v>0</v>
      </c>
      <c r="C29" s="31">
        <f>[12]ビン類!$H$43</f>
        <v>0</v>
      </c>
      <c r="D29" s="31">
        <f>SUM(B29:C29)</f>
        <v>0</v>
      </c>
      <c r="E29" s="31">
        <f>[12]ビン類!$I$43</f>
        <v>0</v>
      </c>
      <c r="F29" s="31">
        <f>[12]ビン類!$J$43</f>
        <v>0</v>
      </c>
      <c r="G29" s="31">
        <f>SUM(E29:F29)</f>
        <v>0</v>
      </c>
      <c r="H29" s="31">
        <f>ROUND(D29+G29,1)</f>
        <v>0</v>
      </c>
      <c r="I29" s="3"/>
      <c r="J29" s="142"/>
      <c r="K29" s="31">
        <f>[12]ビン類!$R$43</f>
        <v>0</v>
      </c>
      <c r="L29" s="31">
        <f>[12]ビン類!$S$43</f>
        <v>0</v>
      </c>
      <c r="M29" s="31">
        <f>SUM(K29:L29)</f>
        <v>0</v>
      </c>
      <c r="N29" s="31">
        <f>[12]ビン類!$T$43</f>
        <v>0</v>
      </c>
      <c r="O29" s="31">
        <f>[12]ビン類!$U$43</f>
        <v>0</v>
      </c>
      <c r="P29" s="31">
        <f>SUM(N29:O29)</f>
        <v>0</v>
      </c>
      <c r="Q29" s="120">
        <f>ROUND(M29+P29,1)</f>
        <v>0</v>
      </c>
      <c r="R29" s="117"/>
    </row>
    <row r="30" spans="1:18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29"/>
      <c r="R30" s="117"/>
    </row>
    <row r="31" spans="1:18" ht="17.2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0"/>
      <c r="R31" s="117"/>
    </row>
    <row r="32" spans="1:18" ht="24" customHeight="1" x14ac:dyDescent="0.15">
      <c r="A32" s="146"/>
      <c r="B32" s="100">
        <f t="shared" ref="B32:G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>SUM(H6:H29)</f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121">
        <f>SUM(Q6:Q29)</f>
        <v>0</v>
      </c>
      <c r="R32" s="117"/>
    </row>
  </sheetData>
  <mergeCells count="27">
    <mergeCell ref="A22:A23"/>
    <mergeCell ref="J31:J32"/>
    <mergeCell ref="J28:J29"/>
    <mergeCell ref="J20:J21"/>
    <mergeCell ref="J22:J23"/>
    <mergeCell ref="J24:J25"/>
    <mergeCell ref="J26:J27"/>
    <mergeCell ref="A28:A29"/>
    <mergeCell ref="A31:A32"/>
    <mergeCell ref="A24:A25"/>
    <mergeCell ref="A20:A21"/>
    <mergeCell ref="A26:A27"/>
    <mergeCell ref="J12:J13"/>
    <mergeCell ref="J14:J15"/>
    <mergeCell ref="A14:A15"/>
    <mergeCell ref="J18:J19"/>
    <mergeCell ref="A18:A19"/>
    <mergeCell ref="J16:J17"/>
    <mergeCell ref="A12:A13"/>
    <mergeCell ref="A16:A17"/>
    <mergeCell ref="A1:K1"/>
    <mergeCell ref="J6:J7"/>
    <mergeCell ref="J8:J9"/>
    <mergeCell ref="J10:J11"/>
    <mergeCell ref="A6:A7"/>
    <mergeCell ref="A8:A9"/>
    <mergeCell ref="A10:A11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68B6-4D8F-46E2-9ABE-470A74B19883}">
  <sheetPr codeName="Sheet10"/>
  <dimension ref="A1:Q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7" ht="20.25" customHeight="1" x14ac:dyDescent="0.15">
      <c r="A1" s="147" t="str">
        <f>"令和"&amp;'[1]A-1'!$E$9-2018&amp;"年度　一般廃棄物最終処分（埋立）地区別集計表　　【第4－4表】"</f>
        <v>令和9年度　一般廃棄物最終処分（埋立）地区別集計表　　【第4－4表】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7" ht="13.5" customHeight="1" x14ac:dyDescent="0.15"/>
    <row r="3" spans="1:17" ht="18.75" customHeight="1" x14ac:dyDescent="0.15">
      <c r="B3" t="s">
        <v>26</v>
      </c>
      <c r="K3" t="s">
        <v>27</v>
      </c>
      <c r="P3" s="4"/>
      <c r="Q3" s="22" t="s">
        <v>1</v>
      </c>
    </row>
    <row r="4" spans="1:17" ht="7.5" customHeight="1" x14ac:dyDescent="0.15"/>
    <row r="5" spans="1:17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3" t="s">
        <v>8</v>
      </c>
    </row>
    <row r="6" spans="1:17" ht="1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33"/>
    </row>
    <row r="7" spans="1:17" ht="17.25" customHeight="1" x14ac:dyDescent="0.15">
      <c r="A7" s="138"/>
      <c r="B7" s="97">
        <f>[1]缶類!$G$43</f>
        <v>0</v>
      </c>
      <c r="C7" s="97">
        <f>[1]缶類!$H$43</f>
        <v>0</v>
      </c>
      <c r="D7" s="97">
        <f>SUM(B7:C7)</f>
        <v>0</v>
      </c>
      <c r="E7" s="97">
        <f>[1]缶類!$I$43</f>
        <v>0</v>
      </c>
      <c r="F7" s="97">
        <f>[1]缶類!$J$43</f>
        <v>0</v>
      </c>
      <c r="G7" s="97">
        <f>SUM(E7:F7)</f>
        <v>0</v>
      </c>
      <c r="H7" s="29">
        <f>ROUND(D7+G7,1)</f>
        <v>0</v>
      </c>
      <c r="I7" s="2"/>
      <c r="J7" s="143"/>
      <c r="K7" s="97">
        <f>[1]缶類!$R$43</f>
        <v>0</v>
      </c>
      <c r="L7" s="97">
        <f>[1]缶類!$S$43</f>
        <v>0</v>
      </c>
      <c r="M7" s="97">
        <f>SUM(K7:L7)</f>
        <v>0</v>
      </c>
      <c r="N7" s="97">
        <f>[1]缶類!$T$43</f>
        <v>0</v>
      </c>
      <c r="O7" s="97">
        <f>[1]缶類!$U$43</f>
        <v>0</v>
      </c>
      <c r="P7" s="97">
        <f>SUM(N7:O7)</f>
        <v>0</v>
      </c>
      <c r="Q7" s="34">
        <f>ROUND(M7+P7,1)</f>
        <v>0</v>
      </c>
    </row>
    <row r="8" spans="1:17" ht="1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5"/>
    </row>
    <row r="9" spans="1:17" ht="17.25" customHeight="1" x14ac:dyDescent="0.15">
      <c r="A9" s="145"/>
      <c r="B9" s="31">
        <f>[2]缶類!$G$43</f>
        <v>0</v>
      </c>
      <c r="C9" s="31">
        <f>[2]缶類!$H$43</f>
        <v>0</v>
      </c>
      <c r="D9" s="97">
        <f>SUM(B9:C9)</f>
        <v>0</v>
      </c>
      <c r="E9" s="97">
        <f>[2]缶類!$I$43</f>
        <v>0</v>
      </c>
      <c r="F9" s="97">
        <f>[2]缶類!$J$43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[2]缶類!$R$43</f>
        <v>0</v>
      </c>
      <c r="L9" s="31">
        <f>[2]缶類!$S$43</f>
        <v>0</v>
      </c>
      <c r="M9" s="97">
        <f>SUM(K9:L9)</f>
        <v>0</v>
      </c>
      <c r="N9" s="97">
        <f>[2]缶類!$T$43</f>
        <v>0</v>
      </c>
      <c r="O9" s="97">
        <f>[2]缶類!$U$43</f>
        <v>0</v>
      </c>
      <c r="P9" s="97">
        <f>SUM(N9:O9)</f>
        <v>0</v>
      </c>
      <c r="Q9" s="34">
        <f>ROUND(M9+P9,1)</f>
        <v>0</v>
      </c>
    </row>
    <row r="10" spans="1:17" ht="15" customHeight="1" x14ac:dyDescent="0.15">
      <c r="A10" s="138">
        <v>6</v>
      </c>
      <c r="B10" s="99"/>
      <c r="C10" s="99"/>
      <c r="D10" s="98"/>
      <c r="E10" s="98"/>
      <c r="F10" s="98"/>
      <c r="G10" s="98"/>
      <c r="H10" s="30"/>
      <c r="I10" s="2"/>
      <c r="J10" s="143">
        <v>6</v>
      </c>
      <c r="K10" s="99"/>
      <c r="L10" s="99"/>
      <c r="M10" s="98"/>
      <c r="N10" s="98"/>
      <c r="O10" s="98"/>
      <c r="P10" s="98"/>
      <c r="Q10" s="35"/>
    </row>
    <row r="11" spans="1:17" ht="17.25" customHeight="1" x14ac:dyDescent="0.15">
      <c r="A11" s="138"/>
      <c r="B11" s="97">
        <f>[3]缶類!$G$43</f>
        <v>0</v>
      </c>
      <c r="C11" s="97">
        <f>[3]缶類!$H$43</f>
        <v>0</v>
      </c>
      <c r="D11" s="97">
        <f>SUM(B11:C11)</f>
        <v>0</v>
      </c>
      <c r="E11" s="97">
        <f>[3]缶類!$I$43</f>
        <v>0</v>
      </c>
      <c r="F11" s="97">
        <f>[3]缶類!$J$43</f>
        <v>0</v>
      </c>
      <c r="G11" s="97">
        <f>SUM(E11:F11)</f>
        <v>0</v>
      </c>
      <c r="H11" s="31">
        <f>ROUND(D11+G11,1)</f>
        <v>0</v>
      </c>
      <c r="I11" s="2"/>
      <c r="J11" s="143"/>
      <c r="K11" s="97">
        <f>[3]缶類!$R$43</f>
        <v>0</v>
      </c>
      <c r="L11" s="97">
        <f>[3]缶類!$S$43</f>
        <v>0</v>
      </c>
      <c r="M11" s="97">
        <f>SUM(K11:L11)</f>
        <v>0</v>
      </c>
      <c r="N11" s="97">
        <f>[3]缶類!$T$43</f>
        <v>0</v>
      </c>
      <c r="O11" s="97">
        <f>[3]缶類!$U$43</f>
        <v>0</v>
      </c>
      <c r="P11" s="97">
        <f>SUM(N11:O11)</f>
        <v>0</v>
      </c>
      <c r="Q11" s="36">
        <f>ROUND(M11+P11,1)</f>
        <v>0</v>
      </c>
    </row>
    <row r="12" spans="1:17" ht="1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5"/>
    </row>
    <row r="13" spans="1:17" ht="17.25" customHeight="1" x14ac:dyDescent="0.15">
      <c r="A13" s="145"/>
      <c r="B13" s="31">
        <f>[4]缶類!$G$43</f>
        <v>0</v>
      </c>
      <c r="C13" s="31">
        <f>[4]缶類!$H$43</f>
        <v>0</v>
      </c>
      <c r="D13" s="31">
        <f>SUM(B13:C13)</f>
        <v>0</v>
      </c>
      <c r="E13" s="31">
        <f>[4]缶類!$I$43</f>
        <v>0</v>
      </c>
      <c r="F13" s="31">
        <f>[4]缶類!$J$43</f>
        <v>0</v>
      </c>
      <c r="G13" s="31">
        <f>SUM(E13:F13)</f>
        <v>0</v>
      </c>
      <c r="H13" s="68">
        <f>ROUND(D13+G13,1)</f>
        <v>0</v>
      </c>
      <c r="I13" s="3"/>
      <c r="J13" s="142"/>
      <c r="K13" s="31">
        <f>[4]缶類!$R$43</f>
        <v>0</v>
      </c>
      <c r="L13" s="31">
        <f>[4]缶類!$S$43</f>
        <v>0</v>
      </c>
      <c r="M13" s="31">
        <f>SUM(K13:L13)</f>
        <v>0</v>
      </c>
      <c r="N13" s="31">
        <f>[4]缶類!$T$43</f>
        <v>0</v>
      </c>
      <c r="O13" s="31">
        <f>[4]缶類!$U$43</f>
        <v>0</v>
      </c>
      <c r="P13" s="31">
        <f>SUM(N13:O13)</f>
        <v>0</v>
      </c>
      <c r="Q13" s="36">
        <f>ROUND(M13+P13,1)</f>
        <v>0</v>
      </c>
    </row>
    <row r="14" spans="1:17" ht="15" customHeight="1" x14ac:dyDescent="0.15">
      <c r="A14" s="138">
        <v>8</v>
      </c>
      <c r="B14" s="99"/>
      <c r="C14" s="99"/>
      <c r="D14" s="99"/>
      <c r="E14" s="99"/>
      <c r="F14" s="99"/>
      <c r="G14" s="99"/>
      <c r="H14" s="28"/>
      <c r="I14" s="2"/>
      <c r="J14" s="143">
        <v>8</v>
      </c>
      <c r="K14" s="99"/>
      <c r="L14" s="99"/>
      <c r="M14" s="99"/>
      <c r="N14" s="99"/>
      <c r="O14" s="99"/>
      <c r="P14" s="99"/>
      <c r="Q14" s="37"/>
    </row>
    <row r="15" spans="1:17" ht="17.25" customHeight="1" x14ac:dyDescent="0.15">
      <c r="A15" s="138"/>
      <c r="B15" s="97">
        <f>[5]缶類!$G$43</f>
        <v>0</v>
      </c>
      <c r="C15" s="97">
        <f>[5]缶類!$H$43</f>
        <v>0</v>
      </c>
      <c r="D15" s="97">
        <f>SUM(B15:C15)</f>
        <v>0</v>
      </c>
      <c r="E15" s="97">
        <f>[5]缶類!$I$43</f>
        <v>0</v>
      </c>
      <c r="F15" s="97">
        <f>[5]缶類!$J$43</f>
        <v>0</v>
      </c>
      <c r="G15" s="97">
        <f>SUM(E15:F15)</f>
        <v>0</v>
      </c>
      <c r="H15" s="31">
        <f>ROUND(D15+G15,1)</f>
        <v>0</v>
      </c>
      <c r="I15" s="2"/>
      <c r="J15" s="143"/>
      <c r="K15" s="97">
        <f>[5]缶類!$R$43</f>
        <v>0</v>
      </c>
      <c r="L15" s="97">
        <f>[5]缶類!$S$43</f>
        <v>0</v>
      </c>
      <c r="M15" s="97">
        <f>SUM(K15:L15)</f>
        <v>0</v>
      </c>
      <c r="N15" s="97">
        <f>[5]缶類!$T$43</f>
        <v>0</v>
      </c>
      <c r="O15" s="97">
        <f>[5]缶類!$U$43</f>
        <v>0</v>
      </c>
      <c r="P15" s="97">
        <f>SUM(N15:O15)</f>
        <v>0</v>
      </c>
      <c r="Q15" s="36">
        <f>ROUND(M15+P15,1)</f>
        <v>0</v>
      </c>
    </row>
    <row r="16" spans="1:17" ht="15" customHeight="1" x14ac:dyDescent="0.15">
      <c r="A16" s="144">
        <v>9</v>
      </c>
      <c r="B16" s="98"/>
      <c r="C16" s="98"/>
      <c r="D16" s="98"/>
      <c r="E16" s="98"/>
      <c r="F16" s="98"/>
      <c r="G16" s="98"/>
      <c r="H16" s="28"/>
      <c r="I16" s="1"/>
      <c r="J16" s="141">
        <v>9</v>
      </c>
      <c r="K16" s="98"/>
      <c r="L16" s="98"/>
      <c r="M16" s="98"/>
      <c r="N16" s="98"/>
      <c r="O16" s="98"/>
      <c r="P16" s="98"/>
      <c r="Q16" s="37"/>
    </row>
    <row r="17" spans="1:17" ht="17.25" customHeight="1" x14ac:dyDescent="0.15">
      <c r="A17" s="145"/>
      <c r="B17" s="31">
        <f>[6]缶類!$G$43</f>
        <v>0</v>
      </c>
      <c r="C17" s="31">
        <f>[6]缶類!$H$43</f>
        <v>0</v>
      </c>
      <c r="D17" s="97">
        <f>SUM(B17:C17)</f>
        <v>0</v>
      </c>
      <c r="E17" s="97">
        <f>[6]缶類!$I$43</f>
        <v>0</v>
      </c>
      <c r="F17" s="97">
        <f>[6]缶類!$J$43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[6]缶類!$R$43</f>
        <v>0</v>
      </c>
      <c r="L17" s="31">
        <f>[6]缶類!$S$43</f>
        <v>0</v>
      </c>
      <c r="M17" s="97">
        <f>SUM(K17:L17)</f>
        <v>0</v>
      </c>
      <c r="N17" s="97">
        <f>[6]缶類!$T$43</f>
        <v>0</v>
      </c>
      <c r="O17" s="97">
        <f>[6]缶類!$U$43</f>
        <v>0</v>
      </c>
      <c r="P17" s="97">
        <f>SUM(N17:O17)</f>
        <v>0</v>
      </c>
      <c r="Q17" s="34">
        <f>ROUND(M17+P17,1)</f>
        <v>0</v>
      </c>
    </row>
    <row r="18" spans="1:17" ht="15" customHeight="1" x14ac:dyDescent="0.15">
      <c r="A18" s="138">
        <v>10</v>
      </c>
      <c r="B18" s="99"/>
      <c r="C18" s="99"/>
      <c r="D18" s="98"/>
      <c r="E18" s="98"/>
      <c r="F18" s="98"/>
      <c r="G18" s="98"/>
      <c r="H18" s="30"/>
      <c r="I18" s="2"/>
      <c r="J18" s="143">
        <v>10</v>
      </c>
      <c r="K18" s="99"/>
      <c r="L18" s="99"/>
      <c r="M18" s="98"/>
      <c r="N18" s="98"/>
      <c r="O18" s="98"/>
      <c r="P18" s="98"/>
      <c r="Q18" s="35"/>
    </row>
    <row r="19" spans="1:17" ht="17.25" customHeight="1" x14ac:dyDescent="0.15">
      <c r="A19" s="138"/>
      <c r="B19" s="97">
        <f>[7]缶類!$G$43</f>
        <v>0</v>
      </c>
      <c r="C19" s="97">
        <f>[7]缶類!$H$43</f>
        <v>0</v>
      </c>
      <c r="D19" s="97">
        <f>SUM(B19:C19)</f>
        <v>0</v>
      </c>
      <c r="E19" s="97">
        <f>[7]缶類!$I$43</f>
        <v>0</v>
      </c>
      <c r="F19" s="97">
        <f>[7]缶類!$J$43</f>
        <v>0</v>
      </c>
      <c r="G19" s="97">
        <f>SUM(E19:F19)</f>
        <v>0</v>
      </c>
      <c r="H19" s="31">
        <f>ROUND(D19+G19,1)</f>
        <v>0</v>
      </c>
      <c r="I19" s="2"/>
      <c r="J19" s="143"/>
      <c r="K19" s="97">
        <f>[7]缶類!$R$43</f>
        <v>0</v>
      </c>
      <c r="L19" s="97">
        <f>[7]缶類!$S$43</f>
        <v>0</v>
      </c>
      <c r="M19" s="97">
        <f>SUM(K19:L19)</f>
        <v>0</v>
      </c>
      <c r="N19" s="97">
        <f>[7]缶類!$T$43</f>
        <v>0</v>
      </c>
      <c r="O19" s="97">
        <f>[7]缶類!$U$43</f>
        <v>0</v>
      </c>
      <c r="P19" s="97">
        <f>SUM(N19:O19)</f>
        <v>0</v>
      </c>
      <c r="Q19" s="36">
        <f>ROUND(M19+P19,1)</f>
        <v>0</v>
      </c>
    </row>
    <row r="20" spans="1:17" ht="1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5"/>
    </row>
    <row r="21" spans="1:17" ht="17.25" customHeight="1" x14ac:dyDescent="0.15">
      <c r="A21" s="145"/>
      <c r="B21" s="31">
        <f>[8]缶類!$G$43</f>
        <v>0</v>
      </c>
      <c r="C21" s="31">
        <f>[8]缶類!$H$43</f>
        <v>0</v>
      </c>
      <c r="D21" s="97">
        <f>SUM(B21:C21)</f>
        <v>0</v>
      </c>
      <c r="E21" s="97">
        <f>[8]缶類!$I$43</f>
        <v>0</v>
      </c>
      <c r="F21" s="97">
        <f>[8]缶類!$J$43</f>
        <v>0</v>
      </c>
      <c r="G21" s="97">
        <f>SUM(E21:F21)</f>
        <v>0</v>
      </c>
      <c r="H21" s="31">
        <f>ROUND(D21+G21,1)</f>
        <v>0</v>
      </c>
      <c r="I21" s="3"/>
      <c r="J21" s="142"/>
      <c r="K21" s="31">
        <f>[8]缶類!$R$43</f>
        <v>0</v>
      </c>
      <c r="L21" s="31">
        <f>[8]缶類!$S$43</f>
        <v>0</v>
      </c>
      <c r="M21" s="97">
        <f>SUM(K21:L21)</f>
        <v>0</v>
      </c>
      <c r="N21" s="97">
        <f>[8]缶類!$T$43</f>
        <v>0</v>
      </c>
      <c r="O21" s="97">
        <f>[8]缶類!$U$43</f>
        <v>0</v>
      </c>
      <c r="P21" s="97">
        <f>SUM(N21:O21)</f>
        <v>0</v>
      </c>
      <c r="Q21" s="36">
        <f>ROUND(M21+P21,1)</f>
        <v>0</v>
      </c>
    </row>
    <row r="22" spans="1:17" ht="15" customHeight="1" x14ac:dyDescent="0.15">
      <c r="A22" s="138">
        <v>12</v>
      </c>
      <c r="B22" s="99"/>
      <c r="C22" s="99"/>
      <c r="D22" s="98"/>
      <c r="E22" s="98"/>
      <c r="F22" s="98"/>
      <c r="G22" s="98"/>
      <c r="H22" s="28"/>
      <c r="I22" s="2"/>
      <c r="J22" s="143">
        <v>12</v>
      </c>
      <c r="K22" s="99"/>
      <c r="L22" s="99"/>
      <c r="M22" s="98"/>
      <c r="N22" s="98"/>
      <c r="O22" s="98"/>
      <c r="P22" s="98"/>
      <c r="Q22" s="37"/>
    </row>
    <row r="23" spans="1:17" ht="17.25" customHeight="1" x14ac:dyDescent="0.15">
      <c r="A23" s="138"/>
      <c r="B23" s="97">
        <f>[9]缶類!$G$43</f>
        <v>0</v>
      </c>
      <c r="C23" s="97">
        <f>[9]缶類!$H$43</f>
        <v>0</v>
      </c>
      <c r="D23" s="97">
        <f>SUM(B23:C23)</f>
        <v>0</v>
      </c>
      <c r="E23" s="97">
        <f>[9]缶類!$I$43</f>
        <v>0</v>
      </c>
      <c r="F23" s="97">
        <f>[9]缶類!$J$43</f>
        <v>0</v>
      </c>
      <c r="G23" s="97">
        <f>SUM(E23:F23)</f>
        <v>0</v>
      </c>
      <c r="H23" s="29">
        <f>ROUND(D23+G23,1)</f>
        <v>0</v>
      </c>
      <c r="I23" s="2"/>
      <c r="J23" s="143"/>
      <c r="K23" s="97">
        <f>[9]缶類!$R$43</f>
        <v>0</v>
      </c>
      <c r="L23" s="97">
        <f>[9]缶類!$S$43</f>
        <v>0</v>
      </c>
      <c r="M23" s="97">
        <f>SUM(K23:L23)</f>
        <v>0</v>
      </c>
      <c r="N23" s="97">
        <f>[9]缶類!$T$43</f>
        <v>0</v>
      </c>
      <c r="O23" s="97">
        <f>[9]缶類!$U$43</f>
        <v>0</v>
      </c>
      <c r="P23" s="97">
        <f>SUM(N23:O23)</f>
        <v>0</v>
      </c>
      <c r="Q23" s="34">
        <f>ROUND(M23+P23,1)</f>
        <v>0</v>
      </c>
    </row>
    <row r="24" spans="1:17" ht="1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5"/>
    </row>
    <row r="25" spans="1:17" ht="17.25" customHeight="1" x14ac:dyDescent="0.15">
      <c r="A25" s="145"/>
      <c r="B25" s="31">
        <f>[10]缶類!$G$43</f>
        <v>0</v>
      </c>
      <c r="C25" s="31">
        <f>[10]缶類!$H$43</f>
        <v>0</v>
      </c>
      <c r="D25" s="31">
        <f>SUM(B25:C25)</f>
        <v>0</v>
      </c>
      <c r="E25" s="31">
        <f>[10]缶類!$I$43</f>
        <v>0</v>
      </c>
      <c r="F25" s="31">
        <f>[10]缶類!$J$43</f>
        <v>0</v>
      </c>
      <c r="G25" s="31">
        <f>SUM(E25:F25)</f>
        <v>0</v>
      </c>
      <c r="H25" s="31">
        <f>ROUND(D25+G25,1)</f>
        <v>0</v>
      </c>
      <c r="I25" s="3"/>
      <c r="J25" s="142"/>
      <c r="K25" s="31">
        <f>[10]缶類!$R$43</f>
        <v>0</v>
      </c>
      <c r="L25" s="31">
        <f>[10]缶類!$S$43</f>
        <v>0</v>
      </c>
      <c r="M25" s="31">
        <f>SUM(K25:L25)</f>
        <v>0</v>
      </c>
      <c r="N25" s="31">
        <f>[10]缶類!$T$43</f>
        <v>0</v>
      </c>
      <c r="O25" s="31">
        <f>[10]缶類!$U$43</f>
        <v>0</v>
      </c>
      <c r="P25" s="31">
        <f>SUM(N25:O25)</f>
        <v>0</v>
      </c>
      <c r="Q25" s="36">
        <f>ROUND(M25+P25,1)</f>
        <v>0</v>
      </c>
    </row>
    <row r="26" spans="1:17" ht="1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37"/>
    </row>
    <row r="27" spans="1:17" ht="17.25" customHeight="1" x14ac:dyDescent="0.15">
      <c r="A27" s="138"/>
      <c r="B27" s="97">
        <f>[11]缶類!$G$43</f>
        <v>0</v>
      </c>
      <c r="C27" s="97">
        <f>[11]缶類!$H$43</f>
        <v>0</v>
      </c>
      <c r="D27" s="97">
        <f>SUM(B27:C27)</f>
        <v>0</v>
      </c>
      <c r="E27" s="97">
        <f>[11]缶類!$I$43</f>
        <v>0</v>
      </c>
      <c r="F27" s="97">
        <f>[11]缶類!$J$43</f>
        <v>0</v>
      </c>
      <c r="G27" s="97">
        <f>SUM(E27:F27)</f>
        <v>0</v>
      </c>
      <c r="H27" s="29">
        <f>ROUND(D27+G27,1)</f>
        <v>0</v>
      </c>
      <c r="I27" s="2"/>
      <c r="J27" s="143"/>
      <c r="K27" s="97">
        <f>[11]缶類!$R$43</f>
        <v>0</v>
      </c>
      <c r="L27" s="97">
        <f>[11]缶類!$S$43</f>
        <v>0</v>
      </c>
      <c r="M27" s="97">
        <f>SUM(K27:L27)</f>
        <v>0</v>
      </c>
      <c r="N27" s="97">
        <f>[11]缶類!$T$43</f>
        <v>0</v>
      </c>
      <c r="O27" s="97">
        <f>[11]缶類!$U$43</f>
        <v>0</v>
      </c>
      <c r="P27" s="97">
        <f>SUM(N27:O27)</f>
        <v>0</v>
      </c>
      <c r="Q27" s="34">
        <f>ROUND(M27+P27,1)</f>
        <v>0</v>
      </c>
    </row>
    <row r="28" spans="1:17" ht="1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5"/>
    </row>
    <row r="29" spans="1:17" ht="17.25" customHeight="1" x14ac:dyDescent="0.15">
      <c r="A29" s="145"/>
      <c r="B29" s="31">
        <f>[12]缶類!$G$43</f>
        <v>0</v>
      </c>
      <c r="C29" s="31">
        <f>[12]缶類!$H$43</f>
        <v>0</v>
      </c>
      <c r="D29" s="31">
        <f>SUM(B29:C29)</f>
        <v>0</v>
      </c>
      <c r="E29" s="31">
        <f>[12]缶類!$I$43</f>
        <v>0</v>
      </c>
      <c r="F29" s="31">
        <f>[12]缶類!$J$43</f>
        <v>0</v>
      </c>
      <c r="G29" s="31">
        <f>SUM(E29:F29)</f>
        <v>0</v>
      </c>
      <c r="H29" s="31">
        <f>ROUND(D29+G29,1)</f>
        <v>0</v>
      </c>
      <c r="I29" s="3"/>
      <c r="J29" s="142"/>
      <c r="K29" s="31">
        <f>[12]缶類!$R$43</f>
        <v>0</v>
      </c>
      <c r="L29" s="31">
        <f>[12]缶類!$S$43</f>
        <v>0</v>
      </c>
      <c r="M29" s="31">
        <f>SUM(K29:L29)</f>
        <v>0</v>
      </c>
      <c r="N29" s="31">
        <f>[12]缶類!$T$43</f>
        <v>0</v>
      </c>
      <c r="O29" s="31">
        <f>[12]缶類!$U$43</f>
        <v>0</v>
      </c>
      <c r="P29" s="31">
        <f>SUM(N29:O29)</f>
        <v>0</v>
      </c>
      <c r="Q29" s="36">
        <f>ROUND(M29+P29,1)</f>
        <v>0</v>
      </c>
    </row>
    <row r="30" spans="1:17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34"/>
    </row>
    <row r="31" spans="1:17" ht="17.2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5"/>
    </row>
    <row r="32" spans="1:17" ht="24" customHeight="1" x14ac:dyDescent="0.15">
      <c r="A32" s="146"/>
      <c r="B32" s="100">
        <f t="shared" ref="B32:G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>SUM(H6:H29)</f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38">
        <f>SUM(Q6:Q29)</f>
        <v>0</v>
      </c>
    </row>
  </sheetData>
  <mergeCells count="27">
    <mergeCell ref="J31:J32"/>
    <mergeCell ref="J28:J29"/>
    <mergeCell ref="A26:A27"/>
    <mergeCell ref="J20:J21"/>
    <mergeCell ref="J22:J23"/>
    <mergeCell ref="J24:J25"/>
    <mergeCell ref="A22:A23"/>
    <mergeCell ref="A20:A21"/>
    <mergeCell ref="A31:A32"/>
    <mergeCell ref="A28:A29"/>
    <mergeCell ref="J26:J27"/>
    <mergeCell ref="A24:A25"/>
    <mergeCell ref="A1:K1"/>
    <mergeCell ref="J6:J7"/>
    <mergeCell ref="J8:J9"/>
    <mergeCell ref="J10:J11"/>
    <mergeCell ref="A6:A7"/>
    <mergeCell ref="A8:A9"/>
    <mergeCell ref="A10:A11"/>
    <mergeCell ref="J12:J13"/>
    <mergeCell ref="A12:A13"/>
    <mergeCell ref="J14:J15"/>
    <mergeCell ref="A14:A15"/>
    <mergeCell ref="J18:J19"/>
    <mergeCell ref="J16:J17"/>
    <mergeCell ref="A18:A19"/>
    <mergeCell ref="A16:A1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D78D-DEC1-40D4-86D9-3A4A3506B7BA}">
  <sheetPr codeName="Sheet11"/>
  <dimension ref="A1:R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8" ht="20.25" customHeight="1" x14ac:dyDescent="0.15">
      <c r="A1" s="147" t="str">
        <f>"令和"&amp;'[1]A-1'!$E$9-2018&amp;"年度　一般廃棄物最終処分（埋立）地区別集計表　　【第4－5表】"</f>
        <v>令和9年度　一般廃棄物最終処分（埋立）地区別集計表　　【第4－5表】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8" ht="13.5" customHeight="1" x14ac:dyDescent="0.15"/>
    <row r="3" spans="1:18" ht="18.75" customHeight="1" x14ac:dyDescent="0.15">
      <c r="B3" s="149" t="s">
        <v>39</v>
      </c>
      <c r="C3" s="149"/>
      <c r="K3" s="149" t="s">
        <v>40</v>
      </c>
      <c r="L3" s="149"/>
      <c r="P3" s="4"/>
      <c r="Q3" s="22" t="s">
        <v>1</v>
      </c>
    </row>
    <row r="4" spans="1:18" ht="7.5" customHeight="1" x14ac:dyDescent="0.15"/>
    <row r="5" spans="1:18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1" t="s">
        <v>8</v>
      </c>
    </row>
    <row r="6" spans="1:18" ht="17.25" customHeight="1" x14ac:dyDescent="0.15">
      <c r="A6" s="138">
        <v>4</v>
      </c>
      <c r="B6" s="23"/>
      <c r="C6" s="23"/>
      <c r="D6" s="23"/>
      <c r="E6" s="23"/>
      <c r="F6" s="23"/>
      <c r="G6" s="23"/>
      <c r="H6" s="28"/>
      <c r="I6" s="2"/>
      <c r="J6" s="148">
        <v>4</v>
      </c>
      <c r="K6" s="23"/>
      <c r="L6" s="23"/>
      <c r="M6" s="23"/>
      <c r="N6" s="23"/>
      <c r="O6" s="23"/>
      <c r="P6" s="23"/>
      <c r="Q6" s="119"/>
      <c r="R6" s="117"/>
    </row>
    <row r="7" spans="1:18" ht="17.25" customHeight="1" x14ac:dyDescent="0.15">
      <c r="A7" s="138"/>
      <c r="B7" s="97">
        <f>[1]ペットボトル!$G$43</f>
        <v>0</v>
      </c>
      <c r="C7" s="97">
        <f>[1]ペットボトル!$H$43</f>
        <v>0</v>
      </c>
      <c r="D7" s="97">
        <f>SUM(B7:C7)</f>
        <v>0</v>
      </c>
      <c r="E7" s="97">
        <f>[1]ペットボトル!$I$43</f>
        <v>0</v>
      </c>
      <c r="F7" s="97">
        <f>[1]ペットボトル!$J$43</f>
        <v>0</v>
      </c>
      <c r="G7" s="97">
        <f>SUM(E7:F7)</f>
        <v>0</v>
      </c>
      <c r="H7" s="29">
        <f>ROUND(D7+G7,1)</f>
        <v>0</v>
      </c>
      <c r="I7" s="2"/>
      <c r="J7" s="143"/>
      <c r="K7" s="97">
        <f>[1]ペットボトル!$R$43</f>
        <v>0</v>
      </c>
      <c r="L7" s="97">
        <f>[1]ペットボトル!$S$43</f>
        <v>0</v>
      </c>
      <c r="M7" s="97">
        <f>SUM(K7:L7)</f>
        <v>0</v>
      </c>
      <c r="N7" s="97">
        <f>[1]ペットボトル!$T$43</f>
        <v>0</v>
      </c>
      <c r="O7" s="97">
        <f>[1]ペットボトル!$U$43</f>
        <v>0</v>
      </c>
      <c r="P7" s="97">
        <f>SUM(N7:O7)</f>
        <v>0</v>
      </c>
      <c r="Q7" s="29">
        <f>ROUND(M7+P7,1)</f>
        <v>0</v>
      </c>
      <c r="R7" s="117"/>
    </row>
    <row r="8" spans="1:18" ht="17.2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0"/>
      <c r="R8" s="117"/>
    </row>
    <row r="9" spans="1:18" ht="17.25" customHeight="1" x14ac:dyDescent="0.15">
      <c r="A9" s="145"/>
      <c r="B9" s="31">
        <f>[2]ペットボトル!$G$43</f>
        <v>0</v>
      </c>
      <c r="C9" s="31">
        <f>[2]ペットボトル!$H$43</f>
        <v>0</v>
      </c>
      <c r="D9" s="97">
        <f>SUM(B9:C9)</f>
        <v>0</v>
      </c>
      <c r="E9" s="97">
        <f>[2]ペットボトル!$I$43</f>
        <v>0</v>
      </c>
      <c r="F9" s="97">
        <f>[2]ペットボトル!$J$43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[2]ペットボトル!$R$43</f>
        <v>0</v>
      </c>
      <c r="L9" s="31">
        <f>[2]ペットボトル!$S$43</f>
        <v>0</v>
      </c>
      <c r="M9" s="97">
        <f>SUM(K9:L9)</f>
        <v>0</v>
      </c>
      <c r="N9" s="97">
        <f>[2]ペットボトル!$T$43</f>
        <v>0</v>
      </c>
      <c r="O9" s="97">
        <f>[2]ペットボトル!$U$43</f>
        <v>0</v>
      </c>
      <c r="P9" s="97">
        <f>SUM(N9:O9)</f>
        <v>0</v>
      </c>
      <c r="Q9" s="29">
        <f>ROUND(M9+P9,1)</f>
        <v>0</v>
      </c>
      <c r="R9" s="117"/>
    </row>
    <row r="10" spans="1:18" ht="17.25" customHeight="1" x14ac:dyDescent="0.15">
      <c r="A10" s="138">
        <v>6</v>
      </c>
      <c r="B10" s="99"/>
      <c r="C10" s="99"/>
      <c r="D10" s="98"/>
      <c r="E10" s="98"/>
      <c r="F10" s="98"/>
      <c r="G10" s="98"/>
      <c r="H10" s="30"/>
      <c r="I10" s="2"/>
      <c r="J10" s="143">
        <v>6</v>
      </c>
      <c r="K10" s="99"/>
      <c r="L10" s="99"/>
      <c r="M10" s="98"/>
      <c r="N10" s="98"/>
      <c r="O10" s="98"/>
      <c r="P10" s="98"/>
      <c r="Q10" s="30"/>
      <c r="R10" s="117"/>
    </row>
    <row r="11" spans="1:18" ht="17.25" customHeight="1" x14ac:dyDescent="0.15">
      <c r="A11" s="138"/>
      <c r="B11" s="97">
        <f>[3]ペットボトル!$G$43</f>
        <v>0</v>
      </c>
      <c r="C11" s="97">
        <f>[3]ペットボトル!$H$43</f>
        <v>0</v>
      </c>
      <c r="D11" s="97">
        <f>SUM(B11:C11)</f>
        <v>0</v>
      </c>
      <c r="E11" s="97">
        <f>[3]ペットボトル!$I$43</f>
        <v>0</v>
      </c>
      <c r="F11" s="97">
        <f>[3]ペットボトル!$J$43</f>
        <v>0</v>
      </c>
      <c r="G11" s="97">
        <f>SUM(E11:F11)</f>
        <v>0</v>
      </c>
      <c r="H11" s="31">
        <f>ROUND(D11+G11,1)</f>
        <v>0</v>
      </c>
      <c r="I11" s="2"/>
      <c r="J11" s="143"/>
      <c r="K11" s="97">
        <f>[3]ペットボトル!$R$43</f>
        <v>0</v>
      </c>
      <c r="L11" s="97">
        <f>[3]ペットボトル!$S$43</f>
        <v>0</v>
      </c>
      <c r="M11" s="97">
        <f>SUM(K11:L11)</f>
        <v>0</v>
      </c>
      <c r="N11" s="97">
        <f>[3]ペットボトル!$T$43</f>
        <v>0</v>
      </c>
      <c r="O11" s="97">
        <f>[3]ペットボトル!$U$43</f>
        <v>0</v>
      </c>
      <c r="P11" s="97">
        <f>SUM(N11:O11)</f>
        <v>0</v>
      </c>
      <c r="Q11" s="120">
        <f>ROUND(M11+P11,1)</f>
        <v>0</v>
      </c>
      <c r="R11" s="117"/>
    </row>
    <row r="12" spans="1:18" ht="17.2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0"/>
      <c r="R12" s="117"/>
    </row>
    <row r="13" spans="1:18" ht="17.25" customHeight="1" x14ac:dyDescent="0.15">
      <c r="A13" s="145"/>
      <c r="B13" s="31">
        <f>[4]ペットボトル!$G$43</f>
        <v>0</v>
      </c>
      <c r="C13" s="31">
        <f>[4]ペットボトル!$H$43</f>
        <v>0</v>
      </c>
      <c r="D13" s="31">
        <f>SUM(B13:C13)</f>
        <v>0</v>
      </c>
      <c r="E13" s="31">
        <f>[4]ペットボトル!$I$43</f>
        <v>0</v>
      </c>
      <c r="F13" s="31">
        <f>[4]ペットボトル!$J$43</f>
        <v>0</v>
      </c>
      <c r="G13" s="31">
        <f>SUM(E13:F13)</f>
        <v>0</v>
      </c>
      <c r="H13" s="68">
        <f>ROUND(D13+G13,1)</f>
        <v>0</v>
      </c>
      <c r="I13" s="3"/>
      <c r="J13" s="142"/>
      <c r="K13" s="31">
        <f>[4]ペットボトル!$R$43</f>
        <v>0</v>
      </c>
      <c r="L13" s="31">
        <f>[4]ペットボトル!$S$43</f>
        <v>0</v>
      </c>
      <c r="M13" s="31">
        <f>SUM(K13:L13)</f>
        <v>0</v>
      </c>
      <c r="N13" s="31">
        <f>[4]ペットボトル!$T$43</f>
        <v>0</v>
      </c>
      <c r="O13" s="31">
        <f>[4]ペットボトル!$U$43</f>
        <v>0</v>
      </c>
      <c r="P13" s="31">
        <f>SUM(N13:O13)</f>
        <v>0</v>
      </c>
      <c r="Q13" s="68">
        <f>ROUND(M13+P13,1)</f>
        <v>0</v>
      </c>
      <c r="R13" s="117"/>
    </row>
    <row r="14" spans="1:18" ht="17.25" customHeight="1" x14ac:dyDescent="0.15">
      <c r="A14" s="138">
        <v>8</v>
      </c>
      <c r="B14" s="99"/>
      <c r="C14" s="99"/>
      <c r="D14" s="99"/>
      <c r="E14" s="99"/>
      <c r="F14" s="99"/>
      <c r="G14" s="99"/>
      <c r="H14" s="28"/>
      <c r="I14" s="2"/>
      <c r="J14" s="143">
        <v>8</v>
      </c>
      <c r="K14" s="99"/>
      <c r="L14" s="99"/>
      <c r="M14" s="99"/>
      <c r="N14" s="99"/>
      <c r="O14" s="99"/>
      <c r="P14" s="99"/>
      <c r="Q14" s="28"/>
      <c r="R14" s="117"/>
    </row>
    <row r="15" spans="1:18" ht="17.25" customHeight="1" x14ac:dyDescent="0.15">
      <c r="A15" s="138"/>
      <c r="B15" s="97">
        <f>[5]ペットボトル!$G$43</f>
        <v>0</v>
      </c>
      <c r="C15" s="97">
        <f>[5]ペットボトル!$H$43</f>
        <v>0</v>
      </c>
      <c r="D15" s="97">
        <f>SUM(B15:C15)</f>
        <v>0</v>
      </c>
      <c r="E15" s="97">
        <f>[5]ペットボトル!$I$43</f>
        <v>0</v>
      </c>
      <c r="F15" s="97">
        <f>[5]ペットボトル!$J$43</f>
        <v>0</v>
      </c>
      <c r="G15" s="97">
        <f>SUM(E15:F15)</f>
        <v>0</v>
      </c>
      <c r="H15" s="31">
        <f>ROUND(D15+G15,1)</f>
        <v>0</v>
      </c>
      <c r="I15" s="2"/>
      <c r="J15" s="143"/>
      <c r="K15" s="97">
        <f>[5]ペットボトル!$R$43</f>
        <v>0</v>
      </c>
      <c r="L15" s="97">
        <f>[5]ペットボトル!$S$43</f>
        <v>0</v>
      </c>
      <c r="M15" s="97">
        <f>SUM(K15:L15)</f>
        <v>0</v>
      </c>
      <c r="N15" s="97">
        <f>[5]ペットボトル!$T$43</f>
        <v>0</v>
      </c>
      <c r="O15" s="97">
        <f>[5]ペットボトル!$U$43</f>
        <v>0</v>
      </c>
      <c r="P15" s="97">
        <f>SUM(N15:O15)</f>
        <v>0</v>
      </c>
      <c r="Q15" s="120">
        <f>ROUND(M15+P15,1)</f>
        <v>0</v>
      </c>
      <c r="R15" s="117"/>
    </row>
    <row r="16" spans="1:18" ht="17.25" customHeight="1" x14ac:dyDescent="0.15">
      <c r="A16" s="144">
        <v>9</v>
      </c>
      <c r="B16" s="98"/>
      <c r="C16" s="98"/>
      <c r="D16" s="98"/>
      <c r="E16" s="98"/>
      <c r="F16" s="98"/>
      <c r="G16" s="98"/>
      <c r="H16" s="28"/>
      <c r="I16" s="1"/>
      <c r="J16" s="141">
        <v>9</v>
      </c>
      <c r="K16" s="98"/>
      <c r="L16" s="98"/>
      <c r="M16" s="98"/>
      <c r="N16" s="98"/>
      <c r="O16" s="98"/>
      <c r="P16" s="98"/>
      <c r="Q16" s="28"/>
      <c r="R16" s="117"/>
    </row>
    <row r="17" spans="1:18" ht="17.25" customHeight="1" x14ac:dyDescent="0.15">
      <c r="A17" s="145"/>
      <c r="B17" s="31">
        <f>[6]ペットボトル!$G$43</f>
        <v>0</v>
      </c>
      <c r="C17" s="31">
        <f>[6]ペットボトル!$H$43</f>
        <v>0</v>
      </c>
      <c r="D17" s="97">
        <f>SUM(B17:C17)</f>
        <v>0</v>
      </c>
      <c r="E17" s="97">
        <f>[6]ペットボトル!$I$43</f>
        <v>0</v>
      </c>
      <c r="F17" s="97">
        <f>[6]ペットボトル!$J$43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[6]ペットボトル!$R$43</f>
        <v>0</v>
      </c>
      <c r="L17" s="31">
        <f>[6]ペットボトル!$S$43</f>
        <v>0</v>
      </c>
      <c r="M17" s="97">
        <f>SUM(K17:L17)</f>
        <v>0</v>
      </c>
      <c r="N17" s="97">
        <f>[6]ペットボトル!$T$43</f>
        <v>0</v>
      </c>
      <c r="O17" s="97">
        <f>[6]ペットボトル!$U$43</f>
        <v>0</v>
      </c>
      <c r="P17" s="97">
        <f>SUM(N17:O17)</f>
        <v>0</v>
      </c>
      <c r="Q17" s="29">
        <f>ROUND(M17+P17,1)</f>
        <v>0</v>
      </c>
      <c r="R17" s="117"/>
    </row>
    <row r="18" spans="1:18" ht="17.25" customHeight="1" x14ac:dyDescent="0.15">
      <c r="A18" s="138">
        <v>10</v>
      </c>
      <c r="B18" s="99"/>
      <c r="C18" s="99"/>
      <c r="D18" s="98"/>
      <c r="E18" s="98"/>
      <c r="F18" s="98"/>
      <c r="G18" s="98"/>
      <c r="H18" s="30"/>
      <c r="I18" s="2"/>
      <c r="J18" s="143">
        <v>10</v>
      </c>
      <c r="K18" s="99"/>
      <c r="L18" s="99"/>
      <c r="M18" s="98"/>
      <c r="N18" s="98"/>
      <c r="O18" s="98"/>
      <c r="P18" s="98"/>
      <c r="Q18" s="30"/>
      <c r="R18" s="117"/>
    </row>
    <row r="19" spans="1:18" ht="17.25" customHeight="1" x14ac:dyDescent="0.15">
      <c r="A19" s="138"/>
      <c r="B19" s="31">
        <f>[7]ペットボトル!$G$43</f>
        <v>0</v>
      </c>
      <c r="C19" s="31">
        <f>[7]ペットボトル!$H$43</f>
        <v>0</v>
      </c>
      <c r="D19" s="97">
        <f>SUM(B19:C19)</f>
        <v>0</v>
      </c>
      <c r="E19" s="97">
        <f>[7]ペットボトル!$I$43</f>
        <v>0</v>
      </c>
      <c r="F19" s="97">
        <f>[7]ペットボトル!$J$43</f>
        <v>0</v>
      </c>
      <c r="G19" s="97">
        <f>SUM(E19:F19)</f>
        <v>0</v>
      </c>
      <c r="H19" s="29">
        <f>ROUND(D19+G19,1)</f>
        <v>0</v>
      </c>
      <c r="I19" s="2"/>
      <c r="J19" s="143"/>
      <c r="K19" s="31">
        <f>[7]ペットボトル!$R$43</f>
        <v>0</v>
      </c>
      <c r="L19" s="31">
        <f>[7]ペットボトル!$S$43</f>
        <v>0</v>
      </c>
      <c r="M19" s="97">
        <f>SUM(K19:L19)</f>
        <v>0</v>
      </c>
      <c r="N19" s="97">
        <f>[7]ペットボトル!$T$43</f>
        <v>0</v>
      </c>
      <c r="O19" s="97">
        <f>[7]ペットボトル!$U$43</f>
        <v>0</v>
      </c>
      <c r="P19" s="97">
        <f>SUM(N19:O19)</f>
        <v>0</v>
      </c>
      <c r="Q19" s="29">
        <f>ROUND(M19+P19,1)</f>
        <v>0</v>
      </c>
      <c r="R19" s="117"/>
    </row>
    <row r="20" spans="1:18" ht="17.2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0"/>
      <c r="R20" s="117"/>
    </row>
    <row r="21" spans="1:18" ht="17.25" customHeight="1" x14ac:dyDescent="0.15">
      <c r="A21" s="145"/>
      <c r="B21" s="31">
        <f>[8]ペットボトル!$G$43</f>
        <v>0</v>
      </c>
      <c r="C21" s="31">
        <f>[8]ペットボトル!$H$43</f>
        <v>0</v>
      </c>
      <c r="D21" s="97">
        <f>SUM(B21:C21)</f>
        <v>0</v>
      </c>
      <c r="E21" s="97">
        <f>[8]ペットボトル!$I$43</f>
        <v>0</v>
      </c>
      <c r="F21" s="97">
        <f>[8]ペットボトル!$J$43</f>
        <v>0</v>
      </c>
      <c r="G21" s="31">
        <f>SUM(E21:F21)</f>
        <v>0</v>
      </c>
      <c r="H21" s="127">
        <f>ROUND(D21+G21,1)</f>
        <v>0</v>
      </c>
      <c r="I21" s="3"/>
      <c r="J21" s="142"/>
      <c r="K21" s="31">
        <f>[8]ペットボトル!$R$43</f>
        <v>0</v>
      </c>
      <c r="L21" s="31">
        <f>[8]ペットボトル!$S$43</f>
        <v>0</v>
      </c>
      <c r="M21" s="97">
        <f>SUM(K21:L21)</f>
        <v>0</v>
      </c>
      <c r="N21" s="97">
        <f>[8]ペットボトル!$T$43</f>
        <v>0</v>
      </c>
      <c r="O21" s="97">
        <f>[8]ペットボトル!$U$43</f>
        <v>0</v>
      </c>
      <c r="P21" s="97">
        <f>SUM(N21:O21)</f>
        <v>0</v>
      </c>
      <c r="Q21" s="120">
        <f>ROUND(M21+P21,1)</f>
        <v>0</v>
      </c>
      <c r="R21" s="117"/>
    </row>
    <row r="22" spans="1:18" ht="17.25" customHeight="1" x14ac:dyDescent="0.15">
      <c r="A22" s="138">
        <v>12</v>
      </c>
      <c r="B22" s="99"/>
      <c r="C22" s="99"/>
      <c r="D22" s="98"/>
      <c r="E22" s="98"/>
      <c r="F22" s="98"/>
      <c r="G22" s="99"/>
      <c r="H22" s="28"/>
      <c r="I22" s="2"/>
      <c r="J22" s="143">
        <v>12</v>
      </c>
      <c r="K22" s="99"/>
      <c r="L22" s="99"/>
      <c r="M22" s="98"/>
      <c r="N22" s="98"/>
      <c r="O22" s="98"/>
      <c r="P22" s="98"/>
      <c r="Q22" s="28"/>
      <c r="R22" s="117"/>
    </row>
    <row r="23" spans="1:18" ht="17.25" customHeight="1" x14ac:dyDescent="0.15">
      <c r="A23" s="138"/>
      <c r="B23" s="31">
        <f>[9]ペットボトル!$G$43</f>
        <v>0</v>
      </c>
      <c r="C23" s="31">
        <f>[9]ペットボトル!$H$43</f>
        <v>0</v>
      </c>
      <c r="D23" s="97">
        <f>SUM(B23:C23)</f>
        <v>0</v>
      </c>
      <c r="E23" s="97">
        <f>[9]ペットボトル!$I$43</f>
        <v>0</v>
      </c>
      <c r="F23" s="97">
        <f>[9]ペットボトル!$J$43</f>
        <v>0</v>
      </c>
      <c r="G23" s="31">
        <f>SUM(E23:F23)</f>
        <v>0</v>
      </c>
      <c r="H23" s="29">
        <f>ROUND(D23+G23,1)</f>
        <v>0</v>
      </c>
      <c r="I23" s="2"/>
      <c r="J23" s="143"/>
      <c r="K23" s="97">
        <f>[9]ペットボトル!$R$43</f>
        <v>0</v>
      </c>
      <c r="L23" s="97">
        <f>[9]ペットボトル!$S$43</f>
        <v>0</v>
      </c>
      <c r="M23" s="97">
        <f>SUM(K23:L23)</f>
        <v>0</v>
      </c>
      <c r="N23" s="97">
        <f>[9]ペットボトル!$T$43</f>
        <v>0</v>
      </c>
      <c r="O23" s="97">
        <f>[9]ペットボトル!$U$43</f>
        <v>0</v>
      </c>
      <c r="P23" s="97">
        <f>SUM(N23:O23)</f>
        <v>0</v>
      </c>
      <c r="Q23" s="29">
        <f>ROUND(M23+P23,1)</f>
        <v>0</v>
      </c>
      <c r="R23" s="117"/>
    </row>
    <row r="24" spans="1:18" ht="17.2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0"/>
      <c r="R24" s="117"/>
    </row>
    <row r="25" spans="1:18" ht="17.25" customHeight="1" x14ac:dyDescent="0.15">
      <c r="A25" s="145"/>
      <c r="B25" s="31">
        <f>[10]ペットボトル!$G$43</f>
        <v>0</v>
      </c>
      <c r="C25" s="31">
        <f>[10]ペットボトル!$H$43</f>
        <v>0</v>
      </c>
      <c r="D25" s="31">
        <f>SUM(B25:C25)</f>
        <v>0</v>
      </c>
      <c r="E25" s="31">
        <f>[10]ペットボトル!$I$43</f>
        <v>0</v>
      </c>
      <c r="F25" s="31">
        <f>[10]ペットボトル!$J$43</f>
        <v>0</v>
      </c>
      <c r="G25" s="31">
        <f>SUM(E25:F25)</f>
        <v>0</v>
      </c>
      <c r="H25" s="127">
        <f>ROUND(D25+G25,1)</f>
        <v>0</v>
      </c>
      <c r="I25" s="3"/>
      <c r="J25" s="142"/>
      <c r="K25" s="31">
        <f>[10]ペットボトル!$R$43</f>
        <v>0</v>
      </c>
      <c r="L25" s="31">
        <f>[10]ペットボトル!$S$43</f>
        <v>0</v>
      </c>
      <c r="M25" s="31">
        <f>SUM(K25:L25)</f>
        <v>0</v>
      </c>
      <c r="N25" s="31">
        <f>[10]ペットボトル!$T$43</f>
        <v>0</v>
      </c>
      <c r="O25" s="31">
        <f>[10]ペットボトル!$U$43</f>
        <v>0</v>
      </c>
      <c r="P25" s="31">
        <f>SUM(N25:O25)</f>
        <v>0</v>
      </c>
      <c r="Q25" s="120">
        <f>ROUND(M25+P25,1)</f>
        <v>0</v>
      </c>
      <c r="R25" s="117"/>
    </row>
    <row r="26" spans="1:18" ht="17.2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28"/>
      <c r="R26" s="117"/>
    </row>
    <row r="27" spans="1:18" ht="17.25" customHeight="1" x14ac:dyDescent="0.15">
      <c r="A27" s="138"/>
      <c r="B27" s="31">
        <f>[11]ペットボトル!$G$43</f>
        <v>0</v>
      </c>
      <c r="C27" s="31">
        <f>[11]ペットボトル!$H$43</f>
        <v>0</v>
      </c>
      <c r="D27" s="97">
        <f>SUM(B27:C27)</f>
        <v>0</v>
      </c>
      <c r="E27" s="97">
        <f>[11]ペットボトル!$I$43</f>
        <v>0</v>
      </c>
      <c r="F27" s="97">
        <f>[11]ペットボトル!$J$43</f>
        <v>0</v>
      </c>
      <c r="G27" s="97">
        <f>SUM(E27:F27)</f>
        <v>0</v>
      </c>
      <c r="H27" s="29">
        <f>ROUND(D27+G27,1)</f>
        <v>0</v>
      </c>
      <c r="I27" s="2"/>
      <c r="J27" s="143"/>
      <c r="K27" s="97">
        <f>[11]ペットボトル!$R$43</f>
        <v>0</v>
      </c>
      <c r="L27" s="97">
        <f>[11]ペットボトル!$S$43</f>
        <v>0</v>
      </c>
      <c r="M27" s="97">
        <f>SUM(K27:L27)</f>
        <v>0</v>
      </c>
      <c r="N27" s="97">
        <f>[11]ペットボトル!$T$43</f>
        <v>0</v>
      </c>
      <c r="O27" s="97">
        <f>[11]ペットボトル!$U$43</f>
        <v>0</v>
      </c>
      <c r="P27" s="97">
        <f>SUM(N27:O27)</f>
        <v>0</v>
      </c>
      <c r="Q27" s="29">
        <f>ROUND(M27+P27,1)</f>
        <v>0</v>
      </c>
      <c r="R27" s="117"/>
    </row>
    <row r="28" spans="1:18" ht="17.2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0"/>
      <c r="R28" s="117"/>
    </row>
    <row r="29" spans="1:18" ht="17.25" customHeight="1" x14ac:dyDescent="0.15">
      <c r="A29" s="145"/>
      <c r="B29" s="31">
        <f>[12]ペットボトル!$G$43</f>
        <v>0</v>
      </c>
      <c r="C29" s="31">
        <f>[12]ペットボトル!$H$43</f>
        <v>0</v>
      </c>
      <c r="D29" s="31">
        <f>SUM(B29:C29)</f>
        <v>0</v>
      </c>
      <c r="E29" s="31">
        <f>[12]ペットボトル!$I$43</f>
        <v>0</v>
      </c>
      <c r="F29" s="31">
        <f>[12]ペットボトル!$J$43</f>
        <v>0</v>
      </c>
      <c r="G29" s="31">
        <f>SUM(E29:F29)</f>
        <v>0</v>
      </c>
      <c r="H29" s="127">
        <f>ROUND(D29+G29,1)</f>
        <v>0</v>
      </c>
      <c r="I29" s="3"/>
      <c r="J29" s="142"/>
      <c r="K29" s="31">
        <f>[12]ペットボトル!$R$43</f>
        <v>0</v>
      </c>
      <c r="L29" s="31">
        <f>[12]ペットボトル!$S$43</f>
        <v>0</v>
      </c>
      <c r="M29" s="31">
        <f>SUM(K29:L29)</f>
        <v>0</v>
      </c>
      <c r="N29" s="31">
        <f>[12]ペットボトル!$T$43</f>
        <v>0</v>
      </c>
      <c r="O29" s="31">
        <f>[12]ペットボトル!$U$43</f>
        <v>0</v>
      </c>
      <c r="P29" s="31">
        <f>SUM(N29:O29)</f>
        <v>0</v>
      </c>
      <c r="Q29" s="120">
        <f>ROUND(M29+P29,1)</f>
        <v>0</v>
      </c>
      <c r="R29" s="117"/>
    </row>
    <row r="30" spans="1:18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29"/>
      <c r="R30" s="117"/>
    </row>
    <row r="31" spans="1:18" ht="22.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0"/>
      <c r="R31" s="117"/>
    </row>
    <row r="32" spans="1:18" ht="24" customHeight="1" x14ac:dyDescent="0.15">
      <c r="A32" s="146"/>
      <c r="B32" s="100">
        <f t="shared" ref="B32:G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>SUM(H7+H9+H11+H13+H15+H17+H19+H21+H23+H25+H27+H29)</f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121">
        <f>SUM(Q6:Q29)</f>
        <v>0</v>
      </c>
      <c r="R32" s="117"/>
    </row>
  </sheetData>
  <mergeCells count="29">
    <mergeCell ref="A1:K1"/>
    <mergeCell ref="J6:J7"/>
    <mergeCell ref="J8:J9"/>
    <mergeCell ref="J10:J11"/>
    <mergeCell ref="A6:A7"/>
    <mergeCell ref="A8:A9"/>
    <mergeCell ref="K3:L3"/>
    <mergeCell ref="B3:C3"/>
    <mergeCell ref="J12:J13"/>
    <mergeCell ref="J14:J15"/>
    <mergeCell ref="A14:A15"/>
    <mergeCell ref="J18:J19"/>
    <mergeCell ref="A18:A19"/>
    <mergeCell ref="J16:J17"/>
    <mergeCell ref="A12:A13"/>
    <mergeCell ref="A31:A32"/>
    <mergeCell ref="A24:A25"/>
    <mergeCell ref="A20:A21"/>
    <mergeCell ref="A10:A11"/>
    <mergeCell ref="A26:A27"/>
    <mergeCell ref="A16:A17"/>
    <mergeCell ref="A22:A23"/>
    <mergeCell ref="A28:A29"/>
    <mergeCell ref="J31:J32"/>
    <mergeCell ref="J28:J29"/>
    <mergeCell ref="J20:J21"/>
    <mergeCell ref="J22:J23"/>
    <mergeCell ref="J24:J25"/>
    <mergeCell ref="J26:J27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orientation="landscape" horizont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39C8-5E91-436B-A007-767360A74C6C}">
  <dimension ref="A1:X32"/>
  <sheetViews>
    <sheetView workbookViewId="0">
      <selection sqref="A1:X1"/>
    </sheetView>
  </sheetViews>
  <sheetFormatPr defaultRowHeight="13.5" x14ac:dyDescent="0.15"/>
  <cols>
    <col min="1" max="1" width="3.125" style="49" customWidth="1"/>
    <col min="2" max="8" width="6.125" style="49" customWidth="1"/>
    <col min="9" max="9" width="3.125" style="49" customWidth="1"/>
    <col min="10" max="16" width="6.125" style="49" customWidth="1"/>
    <col min="17" max="17" width="3.125" style="49" customWidth="1"/>
    <col min="18" max="24" width="6.125" style="49" customWidth="1"/>
    <col min="25" max="16384" width="9" style="49"/>
  </cols>
  <sheetData>
    <row r="1" spans="1:24" ht="20.25" customHeight="1" x14ac:dyDescent="0.15">
      <c r="A1" s="150" t="str">
        <f>"令和"&amp;'[1]A-1'!$E$9-2018&amp;"年度　一般廃棄物最終処分（埋立）地区別集計表　　【第4－6表】"</f>
        <v>令和9年度　一般廃棄物最終処分（埋立）地区別集計表　　【第4－6表】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</row>
    <row r="2" spans="1:24" ht="13.5" customHeight="1" x14ac:dyDescent="0.15"/>
    <row r="3" spans="1:24" ht="18.75" customHeight="1" x14ac:dyDescent="0.15">
      <c r="B3" s="152" t="s">
        <v>30</v>
      </c>
      <c r="C3" s="152"/>
      <c r="H3" s="51" t="s">
        <v>1</v>
      </c>
      <c r="J3" s="152" t="s">
        <v>32</v>
      </c>
      <c r="K3" s="152"/>
      <c r="O3" s="50"/>
      <c r="P3" s="51" t="s">
        <v>1</v>
      </c>
      <c r="R3" s="152" t="s">
        <v>43</v>
      </c>
      <c r="S3" s="152"/>
      <c r="T3" s="152"/>
      <c r="W3" s="50"/>
      <c r="X3" s="51" t="s">
        <v>1</v>
      </c>
    </row>
    <row r="4" spans="1:24" ht="7.5" customHeight="1" x14ac:dyDescent="0.15"/>
    <row r="5" spans="1:24" ht="18" customHeight="1" x14ac:dyDescent="0.15">
      <c r="A5" s="52" t="s">
        <v>2</v>
      </c>
      <c r="B5" s="53" t="s">
        <v>6</v>
      </c>
      <c r="C5" s="53" t="s">
        <v>11</v>
      </c>
      <c r="D5" s="53" t="s">
        <v>3</v>
      </c>
      <c r="E5" s="53" t="s">
        <v>4</v>
      </c>
      <c r="F5" s="53" t="s">
        <v>7</v>
      </c>
      <c r="G5" s="53" t="s">
        <v>5</v>
      </c>
      <c r="H5" s="54" t="s">
        <v>8</v>
      </c>
      <c r="I5" s="52" t="s">
        <v>2</v>
      </c>
      <c r="J5" s="53" t="s">
        <v>6</v>
      </c>
      <c r="K5" s="53" t="s">
        <v>11</v>
      </c>
      <c r="L5" s="53" t="s">
        <v>3</v>
      </c>
      <c r="M5" s="53" t="s">
        <v>4</v>
      </c>
      <c r="N5" s="53" t="s">
        <v>7</v>
      </c>
      <c r="O5" s="53" t="s">
        <v>5</v>
      </c>
      <c r="P5" s="54" t="s">
        <v>8</v>
      </c>
      <c r="Q5" s="52" t="s">
        <v>2</v>
      </c>
      <c r="R5" s="53" t="s">
        <v>6</v>
      </c>
      <c r="S5" s="53" t="s">
        <v>11</v>
      </c>
      <c r="T5" s="53" t="s">
        <v>3</v>
      </c>
      <c r="U5" s="53" t="s">
        <v>4</v>
      </c>
      <c r="V5" s="53" t="s">
        <v>7</v>
      </c>
      <c r="W5" s="53" t="s">
        <v>5</v>
      </c>
      <c r="X5" s="54" t="s">
        <v>8</v>
      </c>
    </row>
    <row r="6" spans="1:24" ht="17.25" customHeight="1" x14ac:dyDescent="0.15">
      <c r="A6" s="159">
        <v>4</v>
      </c>
      <c r="B6" s="62"/>
      <c r="C6" s="62"/>
      <c r="D6" s="62"/>
      <c r="E6" s="62"/>
      <c r="F6" s="62"/>
      <c r="G6" s="61"/>
      <c r="H6" s="56"/>
      <c r="I6" s="153">
        <v>4</v>
      </c>
      <c r="J6" s="62"/>
      <c r="K6" s="62"/>
      <c r="L6" s="62"/>
      <c r="M6" s="62"/>
      <c r="N6" s="62"/>
      <c r="O6" s="61"/>
      <c r="P6" s="56"/>
      <c r="Q6" s="153">
        <v>4</v>
      </c>
      <c r="R6" s="62"/>
      <c r="S6" s="62"/>
      <c r="T6" s="62"/>
      <c r="U6" s="62"/>
      <c r="V6" s="62"/>
      <c r="W6" s="61"/>
      <c r="X6" s="128"/>
    </row>
    <row r="7" spans="1:24" ht="17.25" customHeight="1" x14ac:dyDescent="0.15">
      <c r="A7" s="159"/>
      <c r="B7" s="62">
        <f>[1]紙類!$M$43</f>
        <v>0</v>
      </c>
      <c r="C7" s="62">
        <f>[1]紙類!$N$43</f>
        <v>0</v>
      </c>
      <c r="D7" s="62">
        <f>SUM(B7:C7)</f>
        <v>0</v>
      </c>
      <c r="E7" s="62">
        <f>[1]紙類!$O$43</f>
        <v>0</v>
      </c>
      <c r="F7" s="62">
        <f>[1]紙類!$P$43</f>
        <v>0</v>
      </c>
      <c r="G7" s="62">
        <f>SUM(E7:F7)</f>
        <v>0</v>
      </c>
      <c r="H7" s="56">
        <f>ROUND(D7+G7,1)</f>
        <v>0</v>
      </c>
      <c r="I7" s="154"/>
      <c r="J7" s="62">
        <f>[1]不燃・木くず・海岸清掃!$L$43</f>
        <v>0</v>
      </c>
      <c r="K7" s="62">
        <f>[1]不燃・木くず・海岸清掃!$M$43</f>
        <v>0</v>
      </c>
      <c r="L7" s="62">
        <f>SUM(J7:K7)</f>
        <v>0</v>
      </c>
      <c r="M7" s="62">
        <f>[1]不燃・木くず・海岸清掃!$N$43</f>
        <v>0</v>
      </c>
      <c r="N7" s="62">
        <f>[1]不燃・木くず・海岸清掃!$O$43</f>
        <v>0</v>
      </c>
      <c r="O7" s="62">
        <f>SUM(M7:N7)</f>
        <v>0</v>
      </c>
      <c r="P7" s="56">
        <f>ROUND(L7+O7,1)</f>
        <v>0</v>
      </c>
      <c r="Q7" s="154"/>
      <c r="R7" s="62">
        <f>[1]不燃・木くず・海岸清掃!$V$43</f>
        <v>0</v>
      </c>
      <c r="S7" s="62">
        <f>[1]不燃・木くず・海岸清掃!$W$43</f>
        <v>0</v>
      </c>
      <c r="T7" s="62">
        <f>SUM(R7:S7)</f>
        <v>0</v>
      </c>
      <c r="U7" s="62">
        <f>[1]不燃・木くず・海岸清掃!$X$43</f>
        <v>0</v>
      </c>
      <c r="V7" s="62">
        <f>[1]不燃・木くず・海岸清掃!$Y$43</f>
        <v>0</v>
      </c>
      <c r="W7" s="62">
        <f>SUM(U7:V7)</f>
        <v>0</v>
      </c>
      <c r="X7" s="128">
        <f>ROUND(T7+W7,1)</f>
        <v>0</v>
      </c>
    </row>
    <row r="8" spans="1:24" ht="17.25" customHeight="1" x14ac:dyDescent="0.15">
      <c r="A8" s="157">
        <v>5</v>
      </c>
      <c r="B8" s="63"/>
      <c r="C8" s="63"/>
      <c r="D8" s="63"/>
      <c r="E8" s="63"/>
      <c r="F8" s="63"/>
      <c r="G8" s="63"/>
      <c r="H8" s="57"/>
      <c r="I8" s="155">
        <v>5</v>
      </c>
      <c r="J8" s="63"/>
      <c r="K8" s="63"/>
      <c r="L8" s="63"/>
      <c r="M8" s="63"/>
      <c r="N8" s="63"/>
      <c r="O8" s="63"/>
      <c r="P8" s="57"/>
      <c r="Q8" s="155">
        <v>5</v>
      </c>
      <c r="R8" s="63"/>
      <c r="S8" s="63"/>
      <c r="T8" s="63"/>
      <c r="U8" s="63"/>
      <c r="V8" s="63"/>
      <c r="W8" s="63"/>
      <c r="X8" s="129"/>
    </row>
    <row r="9" spans="1:24" ht="17.25" customHeight="1" x14ac:dyDescent="0.15">
      <c r="A9" s="158"/>
      <c r="B9" s="62">
        <f>[2]紙類!$M$43</f>
        <v>0</v>
      </c>
      <c r="C9" s="62">
        <f>[2]紙類!$N$43</f>
        <v>0</v>
      </c>
      <c r="D9" s="62">
        <f>SUM(B9:C9)</f>
        <v>0</v>
      </c>
      <c r="E9" s="62">
        <f>[2]紙類!$O$43</f>
        <v>0</v>
      </c>
      <c r="F9" s="62">
        <f>[2]紙類!$P$43</f>
        <v>0</v>
      </c>
      <c r="G9" s="62">
        <f>SUM(E9:F9)</f>
        <v>0</v>
      </c>
      <c r="H9" s="58">
        <f>ROUND(D9+G9,1)</f>
        <v>0</v>
      </c>
      <c r="I9" s="156"/>
      <c r="J9" s="62">
        <f>[2]不燃・木くず・海岸清掃!$L$43</f>
        <v>0</v>
      </c>
      <c r="K9" s="62">
        <f>[2]不燃・木くず・海岸清掃!$M$43</f>
        <v>0</v>
      </c>
      <c r="L9" s="62">
        <f>SUM(J9:K9)</f>
        <v>0</v>
      </c>
      <c r="M9" s="62">
        <f>[2]不燃・木くず・海岸清掃!$N$43</f>
        <v>0</v>
      </c>
      <c r="N9" s="62">
        <f>[2]不燃・木くず・海岸清掃!$O$43</f>
        <v>0</v>
      </c>
      <c r="O9" s="62">
        <f>SUM(M9:N9)</f>
        <v>0</v>
      </c>
      <c r="P9" s="58">
        <f>ROUND(L9+O9,1)</f>
        <v>0</v>
      </c>
      <c r="Q9" s="156"/>
      <c r="R9" s="62">
        <f>[2]不燃・木くず・海岸清掃!$V$43</f>
        <v>0</v>
      </c>
      <c r="S9" s="62">
        <f>[2]不燃・木くず・海岸清掃!$W$43</f>
        <v>0</v>
      </c>
      <c r="T9" s="62">
        <f>SUM(R9:S9)</f>
        <v>0</v>
      </c>
      <c r="U9" s="62">
        <f>[2]不燃・木くず・海岸清掃!$X$43</f>
        <v>0</v>
      </c>
      <c r="V9" s="62">
        <f>[2]不燃・木くず・海岸清掃!$Y$43</f>
        <v>0</v>
      </c>
      <c r="W9" s="62">
        <f>SUM(U9:V9)</f>
        <v>0</v>
      </c>
      <c r="X9" s="130">
        <f>ROUND(T9+W9,1)</f>
        <v>0</v>
      </c>
    </row>
    <row r="10" spans="1:24" ht="17.25" customHeight="1" x14ac:dyDescent="0.15">
      <c r="A10" s="159">
        <v>6</v>
      </c>
      <c r="B10" s="63"/>
      <c r="C10" s="63"/>
      <c r="D10" s="63"/>
      <c r="E10" s="63"/>
      <c r="F10" s="63"/>
      <c r="G10" s="63"/>
      <c r="H10" s="56"/>
      <c r="I10" s="154">
        <v>6</v>
      </c>
      <c r="J10" s="63"/>
      <c r="K10" s="63"/>
      <c r="L10" s="63"/>
      <c r="M10" s="63"/>
      <c r="N10" s="63"/>
      <c r="O10" s="63"/>
      <c r="P10" s="56"/>
      <c r="Q10" s="154">
        <v>6</v>
      </c>
      <c r="R10" s="63"/>
      <c r="S10" s="63"/>
      <c r="T10" s="63"/>
      <c r="U10" s="63"/>
      <c r="V10" s="63"/>
      <c r="W10" s="63"/>
      <c r="X10" s="128"/>
    </row>
    <row r="11" spans="1:24" ht="17.25" customHeight="1" x14ac:dyDescent="0.15">
      <c r="A11" s="159"/>
      <c r="B11" s="62">
        <f>[3]紙類!$M$43</f>
        <v>0</v>
      </c>
      <c r="C11" s="62">
        <f>[3]紙類!$N$43</f>
        <v>0</v>
      </c>
      <c r="D11" s="62">
        <f>SUM(B11:C11)</f>
        <v>0</v>
      </c>
      <c r="E11" s="62">
        <f>[3]紙類!$O$43</f>
        <v>0</v>
      </c>
      <c r="F11" s="62">
        <f>[3]紙類!$P$43</f>
        <v>0</v>
      </c>
      <c r="G11" s="62">
        <f>SUM(E11:F11)</f>
        <v>0</v>
      </c>
      <c r="H11" s="56">
        <f>ROUND(D11+G11,1)</f>
        <v>0</v>
      </c>
      <c r="I11" s="154"/>
      <c r="J11" s="62">
        <f>[3]不燃・木くず・海岸清掃!$L$43</f>
        <v>0</v>
      </c>
      <c r="K11" s="62">
        <f>[3]不燃・木くず・海岸清掃!$M$43</f>
        <v>0</v>
      </c>
      <c r="L11" s="62">
        <f>SUM(J11:K11)</f>
        <v>0</v>
      </c>
      <c r="M11" s="62">
        <f>[3]不燃・木くず・海岸清掃!$N$43</f>
        <v>0</v>
      </c>
      <c r="N11" s="62">
        <f>[3]不燃・木くず・海岸清掃!$O$43</f>
        <v>0</v>
      </c>
      <c r="O11" s="62">
        <f>SUM(M11:N11)</f>
        <v>0</v>
      </c>
      <c r="P11" s="56">
        <f>ROUND(L11+O11,1)</f>
        <v>0</v>
      </c>
      <c r="Q11" s="154"/>
      <c r="R11" s="62">
        <f>[3]不燃・木くず・海岸清掃!$V$43</f>
        <v>0</v>
      </c>
      <c r="S11" s="62">
        <f>[3]不燃・木くず・海岸清掃!$W$43</f>
        <v>0</v>
      </c>
      <c r="T11" s="62">
        <f>SUM(R11:S11)</f>
        <v>0</v>
      </c>
      <c r="U11" s="62">
        <f>[3]不燃・木くず・海岸清掃!$X$43</f>
        <v>0</v>
      </c>
      <c r="V11" s="62">
        <f>[3]不燃・木くず・海岸清掃!$Y$43</f>
        <v>0</v>
      </c>
      <c r="W11" s="62">
        <f>SUM(U11:V11)</f>
        <v>0</v>
      </c>
      <c r="X11" s="128">
        <f>ROUND(T11+W11,1)</f>
        <v>0</v>
      </c>
    </row>
    <row r="12" spans="1:24" ht="17.25" customHeight="1" x14ac:dyDescent="0.15">
      <c r="A12" s="157">
        <v>7</v>
      </c>
      <c r="B12" s="63"/>
      <c r="C12" s="63"/>
      <c r="D12" s="63"/>
      <c r="E12" s="63"/>
      <c r="F12" s="63"/>
      <c r="G12" s="63"/>
      <c r="H12" s="57"/>
      <c r="I12" s="155">
        <v>7</v>
      </c>
      <c r="J12" s="63"/>
      <c r="K12" s="63"/>
      <c r="L12" s="63"/>
      <c r="M12" s="63"/>
      <c r="N12" s="63"/>
      <c r="O12" s="63"/>
      <c r="P12" s="57"/>
      <c r="Q12" s="155">
        <v>7</v>
      </c>
      <c r="R12" s="63"/>
      <c r="S12" s="63"/>
      <c r="T12" s="63"/>
      <c r="U12" s="63"/>
      <c r="V12" s="63"/>
      <c r="W12" s="63"/>
      <c r="X12" s="129"/>
    </row>
    <row r="13" spans="1:24" ht="17.25" customHeight="1" x14ac:dyDescent="0.15">
      <c r="A13" s="158"/>
      <c r="B13" s="62">
        <f>[4]紙類!$M$43</f>
        <v>0</v>
      </c>
      <c r="C13" s="62">
        <f>[4]紙類!$N$43</f>
        <v>0</v>
      </c>
      <c r="D13" s="62">
        <f>SUM(B13:C13)</f>
        <v>0</v>
      </c>
      <c r="E13" s="62">
        <f>[4]紙類!$O$43</f>
        <v>0</v>
      </c>
      <c r="F13" s="62">
        <f>[4]紙類!$P$43</f>
        <v>0</v>
      </c>
      <c r="G13" s="64">
        <f>SUM(E13:F13)</f>
        <v>0</v>
      </c>
      <c r="H13" s="58">
        <f>ROUND(D13+G13,1)</f>
        <v>0</v>
      </c>
      <c r="I13" s="156"/>
      <c r="J13" s="62">
        <f>[4]不燃・木くず・海岸清掃!$L$43</f>
        <v>0</v>
      </c>
      <c r="K13" s="62">
        <f>[4]不燃・木くず・海岸清掃!$M$43</f>
        <v>0</v>
      </c>
      <c r="L13" s="62">
        <f>SUM(J13:K13)</f>
        <v>0</v>
      </c>
      <c r="M13" s="62">
        <f>[4]不燃・木くず・海岸清掃!$N$43</f>
        <v>0</v>
      </c>
      <c r="N13" s="62">
        <f>[4]不燃・木くず・海岸清掃!$O$43</f>
        <v>0</v>
      </c>
      <c r="O13" s="64">
        <f>SUM(M13:N13)</f>
        <v>0</v>
      </c>
      <c r="P13" s="58">
        <f>ROUND(L13+O13,1)</f>
        <v>0</v>
      </c>
      <c r="Q13" s="156"/>
      <c r="R13" s="62">
        <f>[4]不燃・木くず・海岸清掃!$V$43</f>
        <v>0</v>
      </c>
      <c r="S13" s="62">
        <f>[4]不燃・木くず・海岸清掃!$W$43</f>
        <v>0</v>
      </c>
      <c r="T13" s="62">
        <f>SUM(R13:S13)</f>
        <v>0</v>
      </c>
      <c r="U13" s="62">
        <f>[4]不燃・木くず・海岸清掃!$X$43</f>
        <v>0</v>
      </c>
      <c r="V13" s="62">
        <f>[4]不燃・木くず・海岸清掃!$Y$43</f>
        <v>0</v>
      </c>
      <c r="W13" s="64">
        <f>SUM(U13:V13)</f>
        <v>0</v>
      </c>
      <c r="X13" s="130">
        <f>ROUND(T13+W13,1)</f>
        <v>0</v>
      </c>
    </row>
    <row r="14" spans="1:24" ht="17.25" customHeight="1" x14ac:dyDescent="0.15">
      <c r="A14" s="159">
        <v>8</v>
      </c>
      <c r="B14" s="63"/>
      <c r="C14" s="63"/>
      <c r="D14" s="63"/>
      <c r="E14" s="63"/>
      <c r="F14" s="63"/>
      <c r="G14" s="62"/>
      <c r="H14" s="56"/>
      <c r="I14" s="154">
        <v>8</v>
      </c>
      <c r="J14" s="63"/>
      <c r="K14" s="63"/>
      <c r="L14" s="63"/>
      <c r="M14" s="63"/>
      <c r="N14" s="63"/>
      <c r="O14" s="62"/>
      <c r="P14" s="56"/>
      <c r="Q14" s="154">
        <v>8</v>
      </c>
      <c r="R14" s="63"/>
      <c r="S14" s="63"/>
      <c r="T14" s="63"/>
      <c r="U14" s="63"/>
      <c r="V14" s="63"/>
      <c r="W14" s="62"/>
      <c r="X14" s="128"/>
    </row>
    <row r="15" spans="1:24" ht="17.25" customHeight="1" x14ac:dyDescent="0.15">
      <c r="A15" s="159"/>
      <c r="B15" s="62">
        <f>[5]紙類!$M$43</f>
        <v>0</v>
      </c>
      <c r="C15" s="62">
        <f>[5]紙類!$N$43</f>
        <v>0</v>
      </c>
      <c r="D15" s="62">
        <f>SUM(B15:C15)</f>
        <v>0</v>
      </c>
      <c r="E15" s="62">
        <f>[5]紙類!$O$43</f>
        <v>0</v>
      </c>
      <c r="F15" s="62">
        <f>[5]紙類!$P$43</f>
        <v>0</v>
      </c>
      <c r="G15" s="62">
        <f>SUM(E15:F15)</f>
        <v>0</v>
      </c>
      <c r="H15" s="56">
        <f>ROUND(D15+G15,1)</f>
        <v>0</v>
      </c>
      <c r="I15" s="154"/>
      <c r="J15" s="62">
        <f>[5]不燃・木くず・海岸清掃!$L$43</f>
        <v>0</v>
      </c>
      <c r="K15" s="62">
        <f>[5]不燃・木くず・海岸清掃!$M$43</f>
        <v>0</v>
      </c>
      <c r="L15" s="62">
        <f>SUM(J15:K15)</f>
        <v>0</v>
      </c>
      <c r="M15" s="62">
        <f>[5]不燃・木くず・海岸清掃!$N$43</f>
        <v>0</v>
      </c>
      <c r="N15" s="62">
        <f>[5]不燃・木くず・海岸清掃!$O$43</f>
        <v>0</v>
      </c>
      <c r="O15" s="62">
        <f>SUM(M15:N15)</f>
        <v>0</v>
      </c>
      <c r="P15" s="56">
        <f>ROUND(L15+O15,1)</f>
        <v>0</v>
      </c>
      <c r="Q15" s="154"/>
      <c r="R15" s="62">
        <f>[5]不燃・木くず・海岸清掃!$V$43</f>
        <v>0</v>
      </c>
      <c r="S15" s="62">
        <f>[5]不燃・木くず・海岸清掃!$W$43</f>
        <v>0</v>
      </c>
      <c r="T15" s="62">
        <f>SUM(R15:S15)</f>
        <v>0</v>
      </c>
      <c r="U15" s="62">
        <f>[5]不燃・木くず・海岸清掃!$X$43</f>
        <v>0</v>
      </c>
      <c r="V15" s="62">
        <f>[5]不燃・木くず・海岸清掃!$Y$43</f>
        <v>0</v>
      </c>
      <c r="W15" s="62">
        <f>SUM(U15:V15)</f>
        <v>0</v>
      </c>
      <c r="X15" s="128">
        <f>ROUND(T15+W15,1)</f>
        <v>0</v>
      </c>
    </row>
    <row r="16" spans="1:24" ht="17.25" customHeight="1" x14ac:dyDescent="0.15">
      <c r="A16" s="157">
        <v>9</v>
      </c>
      <c r="B16" s="63"/>
      <c r="C16" s="63"/>
      <c r="D16" s="63"/>
      <c r="E16" s="63"/>
      <c r="F16" s="63"/>
      <c r="G16" s="63"/>
      <c r="H16" s="57"/>
      <c r="I16" s="155">
        <v>9</v>
      </c>
      <c r="J16" s="63"/>
      <c r="K16" s="63"/>
      <c r="L16" s="63"/>
      <c r="M16" s="63"/>
      <c r="N16" s="63"/>
      <c r="O16" s="63"/>
      <c r="P16" s="57"/>
      <c r="Q16" s="155">
        <v>9</v>
      </c>
      <c r="R16" s="63"/>
      <c r="S16" s="63"/>
      <c r="T16" s="63"/>
      <c r="U16" s="63"/>
      <c r="V16" s="63"/>
      <c r="W16" s="63"/>
      <c r="X16" s="129"/>
    </row>
    <row r="17" spans="1:24" ht="17.25" customHeight="1" x14ac:dyDescent="0.15">
      <c r="A17" s="158"/>
      <c r="B17" s="62">
        <f>[6]紙類!$M$43</f>
        <v>0</v>
      </c>
      <c r="C17" s="62">
        <f>[6]紙類!$N$43</f>
        <v>0</v>
      </c>
      <c r="D17" s="62">
        <f>SUM(B17:C17)</f>
        <v>0</v>
      </c>
      <c r="E17" s="62">
        <f>[6]紙類!$O$43</f>
        <v>0</v>
      </c>
      <c r="F17" s="62">
        <f>[6]紙類!$P$43</f>
        <v>0</v>
      </c>
      <c r="G17" s="62">
        <f>SUM(E17:F17)</f>
        <v>0</v>
      </c>
      <c r="H17" s="58">
        <f>ROUND(D17+G17,1)</f>
        <v>0</v>
      </c>
      <c r="I17" s="156"/>
      <c r="J17" s="62">
        <f>[6]不燃・木くず・海岸清掃!$L$43</f>
        <v>0</v>
      </c>
      <c r="K17" s="62">
        <f>[6]不燃・木くず・海岸清掃!$M$43</f>
        <v>0</v>
      </c>
      <c r="L17" s="62">
        <f>SUM(J17:K17)</f>
        <v>0</v>
      </c>
      <c r="M17" s="62">
        <f>[6]不燃・木くず・海岸清掃!$N$43</f>
        <v>0</v>
      </c>
      <c r="N17" s="62">
        <f>[6]不燃・木くず・海岸清掃!$O$43</f>
        <v>0</v>
      </c>
      <c r="O17" s="62">
        <f>SUM(M17:N17)</f>
        <v>0</v>
      </c>
      <c r="P17" s="58">
        <f>ROUND(L17+O17,1)</f>
        <v>0</v>
      </c>
      <c r="Q17" s="156"/>
      <c r="R17" s="62">
        <f>[6]不燃・木くず・海岸清掃!$V$43</f>
        <v>0</v>
      </c>
      <c r="S17" s="62">
        <f>[6]不燃・木くず・海岸清掃!$W$43</f>
        <v>0</v>
      </c>
      <c r="T17" s="62">
        <f>SUM(R17:S17)</f>
        <v>0</v>
      </c>
      <c r="U17" s="62">
        <f>[6]不燃・木くず・海岸清掃!$X$43</f>
        <v>0</v>
      </c>
      <c r="V17" s="62">
        <f>[6]不燃・木くず・海岸清掃!$Y$43</f>
        <v>0</v>
      </c>
      <c r="W17" s="62">
        <f>SUM(U17:V17)</f>
        <v>0</v>
      </c>
      <c r="X17" s="130">
        <f>ROUND(T17+W17,1)</f>
        <v>0</v>
      </c>
    </row>
    <row r="18" spans="1:24" ht="17.25" customHeight="1" x14ac:dyDescent="0.15">
      <c r="A18" s="159">
        <v>10</v>
      </c>
      <c r="B18" s="63"/>
      <c r="C18" s="63"/>
      <c r="D18" s="63"/>
      <c r="E18" s="63"/>
      <c r="F18" s="63"/>
      <c r="G18" s="63"/>
      <c r="H18" s="56"/>
      <c r="I18" s="154">
        <v>10</v>
      </c>
      <c r="J18" s="63"/>
      <c r="K18" s="63"/>
      <c r="L18" s="63"/>
      <c r="M18" s="63"/>
      <c r="N18" s="63"/>
      <c r="O18" s="63"/>
      <c r="P18" s="56"/>
      <c r="Q18" s="154">
        <v>10</v>
      </c>
      <c r="R18" s="63"/>
      <c r="S18" s="63"/>
      <c r="T18" s="63"/>
      <c r="U18" s="63"/>
      <c r="V18" s="63"/>
      <c r="W18" s="63"/>
      <c r="X18" s="128"/>
    </row>
    <row r="19" spans="1:24" ht="17.25" customHeight="1" x14ac:dyDescent="0.15">
      <c r="A19" s="159"/>
      <c r="B19" s="62">
        <f>[7]紙類!$M$43</f>
        <v>0</v>
      </c>
      <c r="C19" s="62">
        <f>[7]紙類!$N$43</f>
        <v>0</v>
      </c>
      <c r="D19" s="62">
        <f>SUM(B19:C19)</f>
        <v>0</v>
      </c>
      <c r="E19" s="62">
        <f>[7]紙類!$O$43</f>
        <v>0</v>
      </c>
      <c r="F19" s="62">
        <f>[7]紙類!$P$43</f>
        <v>0</v>
      </c>
      <c r="G19" s="62">
        <f>SUM(E19:F19)</f>
        <v>0</v>
      </c>
      <c r="H19" s="56">
        <f>ROUND(D19+G19,1)</f>
        <v>0</v>
      </c>
      <c r="I19" s="154"/>
      <c r="J19" s="62">
        <f>[7]不燃・木くず・海岸清掃!$L$43</f>
        <v>0</v>
      </c>
      <c r="K19" s="62">
        <f>[7]不燃・木くず・海岸清掃!$M$43</f>
        <v>0</v>
      </c>
      <c r="L19" s="62">
        <f>SUM(J19:K19)</f>
        <v>0</v>
      </c>
      <c r="M19" s="62">
        <f>[7]不燃・木くず・海岸清掃!$N$43</f>
        <v>0</v>
      </c>
      <c r="N19" s="62">
        <f>[7]不燃・木くず・海岸清掃!$O$43</f>
        <v>0</v>
      </c>
      <c r="O19" s="62">
        <f>SUM(M19:N19)</f>
        <v>0</v>
      </c>
      <c r="P19" s="56">
        <f>ROUND(L19+O19,1)</f>
        <v>0</v>
      </c>
      <c r="Q19" s="154"/>
      <c r="R19" s="62">
        <f>[7]不燃・木くず・海岸清掃!$V$43</f>
        <v>0</v>
      </c>
      <c r="S19" s="62">
        <f>[7]不燃・木くず・海岸清掃!$W$43</f>
        <v>0</v>
      </c>
      <c r="T19" s="62">
        <f>SUM(R19:S19)</f>
        <v>0</v>
      </c>
      <c r="U19" s="62">
        <f>[7]不燃・木くず・海岸清掃!$X$43</f>
        <v>0</v>
      </c>
      <c r="V19" s="62">
        <f>[7]不燃・木くず・海岸清掃!$Y$43</f>
        <v>0</v>
      </c>
      <c r="W19" s="62">
        <f>SUM(U19:V19)</f>
        <v>0</v>
      </c>
      <c r="X19" s="128">
        <f>ROUND(T19+W19,1)</f>
        <v>0</v>
      </c>
    </row>
    <row r="20" spans="1:24" ht="17.25" customHeight="1" x14ac:dyDescent="0.15">
      <c r="A20" s="157">
        <v>11</v>
      </c>
      <c r="B20" s="63"/>
      <c r="C20" s="63"/>
      <c r="D20" s="63"/>
      <c r="E20" s="63"/>
      <c r="F20" s="63"/>
      <c r="G20" s="63"/>
      <c r="H20" s="57"/>
      <c r="I20" s="155">
        <v>11</v>
      </c>
      <c r="J20" s="63"/>
      <c r="K20" s="63"/>
      <c r="L20" s="63"/>
      <c r="M20" s="63"/>
      <c r="N20" s="63"/>
      <c r="O20" s="63"/>
      <c r="P20" s="57"/>
      <c r="Q20" s="155">
        <v>11</v>
      </c>
      <c r="R20" s="63"/>
      <c r="S20" s="63"/>
      <c r="T20" s="63"/>
      <c r="U20" s="63"/>
      <c r="V20" s="63"/>
      <c r="W20" s="63"/>
      <c r="X20" s="129"/>
    </row>
    <row r="21" spans="1:24" ht="17.25" customHeight="1" x14ac:dyDescent="0.15">
      <c r="A21" s="158"/>
      <c r="B21" s="62">
        <f>[8]紙類!$M$43</f>
        <v>0</v>
      </c>
      <c r="C21" s="62">
        <f>[8]紙類!$N$43</f>
        <v>0</v>
      </c>
      <c r="D21" s="62">
        <f>SUM(B21:C21)</f>
        <v>0</v>
      </c>
      <c r="E21" s="62">
        <f>[8]紙類!$O$43</f>
        <v>0</v>
      </c>
      <c r="F21" s="62">
        <f>[8]紙類!$P$43</f>
        <v>0</v>
      </c>
      <c r="G21" s="62">
        <f>SUM(E21:F21)</f>
        <v>0</v>
      </c>
      <c r="H21" s="58">
        <f>ROUND(D21+G21,1)</f>
        <v>0</v>
      </c>
      <c r="I21" s="156"/>
      <c r="J21" s="62">
        <f>[8]不燃・木くず・海岸清掃!$L$43</f>
        <v>0</v>
      </c>
      <c r="K21" s="62">
        <f>[8]不燃・木くず・海岸清掃!$M$43</f>
        <v>0</v>
      </c>
      <c r="L21" s="62">
        <f>SUM(J21:K21)</f>
        <v>0</v>
      </c>
      <c r="M21" s="62">
        <f>[8]不燃・木くず・海岸清掃!$N$43</f>
        <v>0</v>
      </c>
      <c r="N21" s="62">
        <f>[8]不燃・木くず・海岸清掃!$O$43</f>
        <v>0</v>
      </c>
      <c r="O21" s="62">
        <f>SUM(M21:N21)</f>
        <v>0</v>
      </c>
      <c r="P21" s="58">
        <f>ROUND(L21+O21,1)</f>
        <v>0</v>
      </c>
      <c r="Q21" s="156"/>
      <c r="R21" s="62">
        <f>[8]不燃・木くず・海岸清掃!$V$43</f>
        <v>0</v>
      </c>
      <c r="S21" s="62">
        <f>[8]不燃・木くず・海岸清掃!$W$43</f>
        <v>0</v>
      </c>
      <c r="T21" s="62">
        <f>SUM(R21:S21)</f>
        <v>0</v>
      </c>
      <c r="U21" s="62">
        <f>[8]不燃・木くず・海岸清掃!$X$43</f>
        <v>0</v>
      </c>
      <c r="V21" s="62">
        <f>[8]不燃・木くず・海岸清掃!$Y$43</f>
        <v>0</v>
      </c>
      <c r="W21" s="62">
        <f>SUM(U21:V21)</f>
        <v>0</v>
      </c>
      <c r="X21" s="130">
        <f>ROUND(T21+W21,1)</f>
        <v>0</v>
      </c>
    </row>
    <row r="22" spans="1:24" ht="17.25" customHeight="1" x14ac:dyDescent="0.15">
      <c r="A22" s="159">
        <v>12</v>
      </c>
      <c r="B22" s="63"/>
      <c r="C22" s="63"/>
      <c r="D22" s="63"/>
      <c r="E22" s="63"/>
      <c r="F22" s="63"/>
      <c r="G22" s="63"/>
      <c r="H22" s="56"/>
      <c r="I22" s="154">
        <v>12</v>
      </c>
      <c r="J22" s="63"/>
      <c r="K22" s="63"/>
      <c r="L22" s="63"/>
      <c r="M22" s="63"/>
      <c r="N22" s="63"/>
      <c r="O22" s="63"/>
      <c r="P22" s="56"/>
      <c r="Q22" s="154">
        <v>12</v>
      </c>
      <c r="R22" s="63"/>
      <c r="S22" s="63"/>
      <c r="T22" s="63"/>
      <c r="U22" s="63"/>
      <c r="V22" s="63"/>
      <c r="W22" s="63"/>
      <c r="X22" s="128"/>
    </row>
    <row r="23" spans="1:24" ht="17.25" customHeight="1" x14ac:dyDescent="0.15">
      <c r="A23" s="159"/>
      <c r="B23" s="62">
        <f>[9]紙類!$M$43</f>
        <v>0</v>
      </c>
      <c r="C23" s="62">
        <f>[9]紙類!$N$43</f>
        <v>0</v>
      </c>
      <c r="D23" s="62">
        <f>SUM(B23:C23)</f>
        <v>0</v>
      </c>
      <c r="E23" s="62">
        <f>[9]紙類!$O$43</f>
        <v>0</v>
      </c>
      <c r="F23" s="62">
        <f>[9]紙類!$P$43</f>
        <v>0</v>
      </c>
      <c r="G23" s="62">
        <f>SUM(E23:F23)</f>
        <v>0</v>
      </c>
      <c r="H23" s="56">
        <f>ROUND(D23+G23,1)</f>
        <v>0</v>
      </c>
      <c r="I23" s="154"/>
      <c r="J23" s="62">
        <f>[9]不燃・木くず・海岸清掃!$L$43</f>
        <v>0</v>
      </c>
      <c r="K23" s="62">
        <f>[9]不燃・木くず・海岸清掃!$M$43</f>
        <v>0</v>
      </c>
      <c r="L23" s="62">
        <f>SUM(J23:K23)</f>
        <v>0</v>
      </c>
      <c r="M23" s="62">
        <f>[9]不燃・木くず・海岸清掃!$N$43</f>
        <v>0</v>
      </c>
      <c r="N23" s="62">
        <f>[9]不燃・木くず・海岸清掃!$O$43</f>
        <v>0</v>
      </c>
      <c r="O23" s="62">
        <f>SUM(M23:N23)</f>
        <v>0</v>
      </c>
      <c r="P23" s="56">
        <f>ROUND(L23+O23,1)</f>
        <v>0</v>
      </c>
      <c r="Q23" s="154"/>
      <c r="R23" s="62">
        <f>[9]不燃・木くず・海岸清掃!$V$43</f>
        <v>0</v>
      </c>
      <c r="S23" s="62">
        <f>[9]不燃・木くず・海岸清掃!$W$43</f>
        <v>0</v>
      </c>
      <c r="T23" s="62">
        <f>SUM(R23:S23)</f>
        <v>0</v>
      </c>
      <c r="U23" s="62">
        <f>[9]不燃・木くず・海岸清掃!$X$43</f>
        <v>0</v>
      </c>
      <c r="V23" s="62">
        <f>[9]不燃・木くず・海岸清掃!$Y$43</f>
        <v>0</v>
      </c>
      <c r="W23" s="62">
        <f>SUM(U23:V23)</f>
        <v>0</v>
      </c>
      <c r="X23" s="128">
        <f>ROUND(T23+W23,1)</f>
        <v>0</v>
      </c>
    </row>
    <row r="24" spans="1:24" ht="17.25" customHeight="1" x14ac:dyDescent="0.15">
      <c r="A24" s="157">
        <v>1</v>
      </c>
      <c r="B24" s="63"/>
      <c r="C24" s="63"/>
      <c r="D24" s="63"/>
      <c r="E24" s="63"/>
      <c r="F24" s="63"/>
      <c r="G24" s="63"/>
      <c r="H24" s="57"/>
      <c r="I24" s="155">
        <v>1</v>
      </c>
      <c r="J24" s="63"/>
      <c r="K24" s="63"/>
      <c r="L24" s="63"/>
      <c r="M24" s="63"/>
      <c r="N24" s="63"/>
      <c r="O24" s="63"/>
      <c r="P24" s="57"/>
      <c r="Q24" s="155">
        <v>1</v>
      </c>
      <c r="R24" s="63"/>
      <c r="S24" s="63"/>
      <c r="T24" s="63"/>
      <c r="U24" s="63"/>
      <c r="V24" s="63"/>
      <c r="W24" s="63"/>
      <c r="X24" s="129"/>
    </row>
    <row r="25" spans="1:24" ht="17.25" customHeight="1" x14ac:dyDescent="0.15">
      <c r="A25" s="158"/>
      <c r="B25" s="62">
        <f>[10]紙類!$M$43</f>
        <v>0</v>
      </c>
      <c r="C25" s="62">
        <f>[10]紙類!$N$43</f>
        <v>0</v>
      </c>
      <c r="D25" s="62">
        <f>SUM(B25:C25)</f>
        <v>0</v>
      </c>
      <c r="E25" s="62">
        <f>[10]紙類!$O$43</f>
        <v>0</v>
      </c>
      <c r="F25" s="62">
        <f>[10]紙類!$P$43</f>
        <v>0</v>
      </c>
      <c r="G25" s="62">
        <f>SUM(E25:F25)</f>
        <v>0</v>
      </c>
      <c r="H25" s="58">
        <f>ROUND(D25+G25,1)</f>
        <v>0</v>
      </c>
      <c r="I25" s="156"/>
      <c r="J25" s="62">
        <f>[10]不燃・木くず・海岸清掃!$L$43</f>
        <v>0</v>
      </c>
      <c r="K25" s="62">
        <f>[10]不燃・木くず・海岸清掃!$M$43</f>
        <v>0</v>
      </c>
      <c r="L25" s="62">
        <f>SUM(J25:K25)</f>
        <v>0</v>
      </c>
      <c r="M25" s="62">
        <f>[10]不燃・木くず・海岸清掃!$N$43</f>
        <v>0</v>
      </c>
      <c r="N25" s="62">
        <f>[10]不燃・木くず・海岸清掃!$O$43</f>
        <v>0</v>
      </c>
      <c r="O25" s="62">
        <f>SUM(M25:N25)</f>
        <v>0</v>
      </c>
      <c r="P25" s="58">
        <f>ROUND(L25+O25,1)</f>
        <v>0</v>
      </c>
      <c r="Q25" s="156"/>
      <c r="R25" s="62">
        <f>[10]不燃・木くず・海岸清掃!$V$43</f>
        <v>0</v>
      </c>
      <c r="S25" s="62">
        <f>[10]不燃・木くず・海岸清掃!$W$43</f>
        <v>0</v>
      </c>
      <c r="T25" s="62">
        <f>SUM(R25:S25)</f>
        <v>0</v>
      </c>
      <c r="U25" s="62">
        <f>[10]不燃・木くず・海岸清掃!$X$43</f>
        <v>0</v>
      </c>
      <c r="V25" s="62">
        <f>[10]不燃・木くず・海岸清掃!$Y$43</f>
        <v>0</v>
      </c>
      <c r="W25" s="62">
        <f>SUM(U25:V25)</f>
        <v>0</v>
      </c>
      <c r="X25" s="130">
        <f>ROUND(T25+W25,1)</f>
        <v>0</v>
      </c>
    </row>
    <row r="26" spans="1:24" ht="17.25" customHeight="1" x14ac:dyDescent="0.15">
      <c r="A26" s="159">
        <v>2</v>
      </c>
      <c r="B26" s="63"/>
      <c r="C26" s="63"/>
      <c r="D26" s="63"/>
      <c r="E26" s="63"/>
      <c r="F26" s="63"/>
      <c r="G26" s="63"/>
      <c r="H26" s="56"/>
      <c r="I26" s="154">
        <v>2</v>
      </c>
      <c r="J26" s="63"/>
      <c r="K26" s="63"/>
      <c r="L26" s="63"/>
      <c r="M26" s="63"/>
      <c r="N26" s="63"/>
      <c r="O26" s="63"/>
      <c r="P26" s="56"/>
      <c r="Q26" s="154">
        <v>2</v>
      </c>
      <c r="R26" s="63"/>
      <c r="S26" s="63"/>
      <c r="T26" s="63"/>
      <c r="U26" s="63"/>
      <c r="V26" s="63"/>
      <c r="W26" s="63"/>
      <c r="X26" s="128"/>
    </row>
    <row r="27" spans="1:24" ht="17.25" customHeight="1" x14ac:dyDescent="0.15">
      <c r="A27" s="159"/>
      <c r="B27" s="62">
        <f>[11]紙類!$M$43</f>
        <v>0</v>
      </c>
      <c r="C27" s="62">
        <f>[11]紙類!$N$43</f>
        <v>0</v>
      </c>
      <c r="D27" s="62">
        <f>SUM(B27:C27)</f>
        <v>0</v>
      </c>
      <c r="E27" s="62">
        <f>[11]紙類!$O$43</f>
        <v>0</v>
      </c>
      <c r="F27" s="62">
        <f>[11]紙類!$P$43</f>
        <v>0</v>
      </c>
      <c r="G27" s="62">
        <f>SUM(E27:F27)</f>
        <v>0</v>
      </c>
      <c r="H27" s="56">
        <f>ROUND(D27+G27,1)</f>
        <v>0</v>
      </c>
      <c r="I27" s="154"/>
      <c r="J27" s="62">
        <f>[11]不燃・木くず・海岸清掃!$L$43</f>
        <v>0</v>
      </c>
      <c r="K27" s="62">
        <f>[11]不燃・木くず・海岸清掃!$M$43</f>
        <v>0</v>
      </c>
      <c r="L27" s="62">
        <f>SUM(J27:K27)</f>
        <v>0</v>
      </c>
      <c r="M27" s="62">
        <f>[11]不燃・木くず・海岸清掃!$N$43</f>
        <v>0</v>
      </c>
      <c r="N27" s="62">
        <f>[11]不燃・木くず・海岸清掃!$O$43</f>
        <v>0</v>
      </c>
      <c r="O27" s="62">
        <f>SUM(M27:N27)</f>
        <v>0</v>
      </c>
      <c r="P27" s="56">
        <f>ROUND(L27+O27,1)</f>
        <v>0</v>
      </c>
      <c r="Q27" s="154"/>
      <c r="R27" s="62">
        <f>[11]不燃・木くず・海岸清掃!$V$43</f>
        <v>0</v>
      </c>
      <c r="S27" s="62">
        <f>[11]不燃・木くず・海岸清掃!$W$43</f>
        <v>0</v>
      </c>
      <c r="T27" s="62">
        <f>SUM(R27:S27)</f>
        <v>0</v>
      </c>
      <c r="U27" s="62">
        <f>[11]不燃・木くず・海岸清掃!$X$43</f>
        <v>0</v>
      </c>
      <c r="V27" s="62">
        <f>[11]不燃・木くず・海岸清掃!$Y$43</f>
        <v>0</v>
      </c>
      <c r="W27" s="62">
        <f>SUM(U27:V27)</f>
        <v>0</v>
      </c>
      <c r="X27" s="128">
        <f>ROUND(T27+W27,1)</f>
        <v>0</v>
      </c>
    </row>
    <row r="28" spans="1:24" ht="17.25" customHeight="1" x14ac:dyDescent="0.15">
      <c r="A28" s="157">
        <v>3</v>
      </c>
      <c r="B28" s="63"/>
      <c r="C28" s="63"/>
      <c r="D28" s="63"/>
      <c r="E28" s="63"/>
      <c r="F28" s="63"/>
      <c r="G28" s="63"/>
      <c r="H28" s="57"/>
      <c r="I28" s="155">
        <v>3</v>
      </c>
      <c r="J28" s="63"/>
      <c r="K28" s="63"/>
      <c r="L28" s="63"/>
      <c r="M28" s="63"/>
      <c r="N28" s="63"/>
      <c r="O28" s="63"/>
      <c r="P28" s="57"/>
      <c r="Q28" s="155">
        <v>3</v>
      </c>
      <c r="R28" s="63"/>
      <c r="S28" s="63"/>
      <c r="T28" s="63"/>
      <c r="U28" s="63"/>
      <c r="V28" s="63"/>
      <c r="W28" s="63"/>
      <c r="X28" s="129"/>
    </row>
    <row r="29" spans="1:24" ht="17.25" customHeight="1" x14ac:dyDescent="0.15">
      <c r="A29" s="158"/>
      <c r="B29" s="64">
        <f>[12]紙類!$M$43</f>
        <v>0</v>
      </c>
      <c r="C29" s="64">
        <f>[12]紙類!$N$43</f>
        <v>0</v>
      </c>
      <c r="D29" s="64">
        <f>SUM(B29:C29)</f>
        <v>0</v>
      </c>
      <c r="E29" s="64">
        <f>[12]紙類!$O$43</f>
        <v>0</v>
      </c>
      <c r="F29" s="64">
        <f>[12]紙類!$P$43</f>
        <v>0</v>
      </c>
      <c r="G29" s="64">
        <f>SUM(E29:F29)</f>
        <v>0</v>
      </c>
      <c r="H29" s="58">
        <f>ROUND(D29+G29,1)</f>
        <v>0</v>
      </c>
      <c r="I29" s="156"/>
      <c r="J29" s="64">
        <f>[12]不燃・木くず・海岸清掃!$L$43</f>
        <v>0</v>
      </c>
      <c r="K29" s="64">
        <f>[12]不燃・木くず・海岸清掃!$M$43</f>
        <v>0</v>
      </c>
      <c r="L29" s="64">
        <f>SUM(J29:K29)</f>
        <v>0</v>
      </c>
      <c r="M29" s="64">
        <f>[12]不燃・木くず・海岸清掃!$N$43</f>
        <v>0</v>
      </c>
      <c r="N29" s="64">
        <f>[12]不燃・木くず・海岸清掃!$O$43</f>
        <v>0</v>
      </c>
      <c r="O29" s="64">
        <f>SUM(M29:N29)</f>
        <v>0</v>
      </c>
      <c r="P29" s="58">
        <f>ROUND(L29+O29,1)</f>
        <v>0</v>
      </c>
      <c r="Q29" s="156"/>
      <c r="R29" s="64">
        <f>[12]不燃・木くず・海岸清掃!$V$43</f>
        <v>0</v>
      </c>
      <c r="S29" s="64">
        <f>[12]不燃・木くず・海岸清掃!$W$43</f>
        <v>0</v>
      </c>
      <c r="T29" s="64">
        <f>SUM(R29:S29)</f>
        <v>0</v>
      </c>
      <c r="U29" s="64">
        <f>[12]不燃・木くず・海岸清掃!$X$43</f>
        <v>0</v>
      </c>
      <c r="V29" s="64">
        <f>[12]不燃・木くず・海岸清掃!$Y$43</f>
        <v>0</v>
      </c>
      <c r="W29" s="64">
        <f>SUM(U29:V29)</f>
        <v>0</v>
      </c>
      <c r="X29" s="130">
        <f>ROUND(T29+W29,1)</f>
        <v>0</v>
      </c>
    </row>
    <row r="30" spans="1:24" ht="6" customHeight="1" x14ac:dyDescent="0.15">
      <c r="A30" s="55"/>
      <c r="B30" s="62"/>
      <c r="C30" s="62"/>
      <c r="D30" s="62"/>
      <c r="E30" s="62"/>
      <c r="F30" s="62"/>
      <c r="G30" s="62"/>
      <c r="H30" s="56"/>
      <c r="I30" s="59"/>
      <c r="J30" s="62"/>
      <c r="K30" s="62"/>
      <c r="L30" s="62"/>
      <c r="M30" s="62"/>
      <c r="N30" s="62"/>
      <c r="O30" s="62"/>
      <c r="P30" s="56"/>
      <c r="Q30" s="59"/>
      <c r="R30" s="62"/>
      <c r="S30" s="62"/>
      <c r="T30" s="62"/>
      <c r="U30" s="62"/>
      <c r="V30" s="62"/>
      <c r="W30" s="62"/>
      <c r="X30" s="128"/>
    </row>
    <row r="31" spans="1:24" ht="22.5" customHeight="1" x14ac:dyDescent="0.15">
      <c r="A31" s="162" t="s">
        <v>0</v>
      </c>
      <c r="B31" s="63"/>
      <c r="C31" s="63"/>
      <c r="D31" s="63"/>
      <c r="E31" s="63"/>
      <c r="F31" s="63"/>
      <c r="G31" s="63"/>
      <c r="H31" s="57"/>
      <c r="I31" s="160" t="s">
        <v>0</v>
      </c>
      <c r="J31" s="63"/>
      <c r="K31" s="63"/>
      <c r="L31" s="63"/>
      <c r="M31" s="63"/>
      <c r="N31" s="63"/>
      <c r="O31" s="63"/>
      <c r="P31" s="57"/>
      <c r="Q31" s="164" t="s">
        <v>0</v>
      </c>
      <c r="R31" s="63"/>
      <c r="S31" s="63"/>
      <c r="T31" s="63"/>
      <c r="U31" s="63"/>
      <c r="V31" s="63"/>
      <c r="W31" s="63"/>
      <c r="X31" s="129"/>
    </row>
    <row r="32" spans="1:24" ht="24" customHeight="1" x14ac:dyDescent="0.15">
      <c r="A32" s="163"/>
      <c r="B32" s="65">
        <f t="shared" ref="B32:H32" si="0">SUM(B7+B9+B11+B13+B15+B17+B19+B21+B23+B25+B27+B29)</f>
        <v>0</v>
      </c>
      <c r="C32" s="65">
        <f t="shared" si="0"/>
        <v>0</v>
      </c>
      <c r="D32" s="65">
        <f t="shared" si="0"/>
        <v>0</v>
      </c>
      <c r="E32" s="65">
        <f t="shared" si="0"/>
        <v>0</v>
      </c>
      <c r="F32" s="65">
        <f t="shared" si="0"/>
        <v>0</v>
      </c>
      <c r="G32" s="65">
        <f t="shared" si="0"/>
        <v>0</v>
      </c>
      <c r="H32" s="60">
        <f t="shared" si="0"/>
        <v>0</v>
      </c>
      <c r="I32" s="161"/>
      <c r="J32" s="65">
        <f t="shared" ref="J32:O32" si="1">SUM(J7+J9+J11+J13+J15+J17+J19+J21+J23+J25+J27+J29)</f>
        <v>0</v>
      </c>
      <c r="K32" s="65">
        <f t="shared" si="1"/>
        <v>0</v>
      </c>
      <c r="L32" s="65">
        <f t="shared" si="1"/>
        <v>0</v>
      </c>
      <c r="M32" s="65">
        <f t="shared" si="1"/>
        <v>0</v>
      </c>
      <c r="N32" s="65">
        <f t="shared" si="1"/>
        <v>0</v>
      </c>
      <c r="O32" s="65">
        <f t="shared" si="1"/>
        <v>0</v>
      </c>
      <c r="P32" s="60">
        <f>SUM(P6:P29)</f>
        <v>0</v>
      </c>
      <c r="Q32" s="165"/>
      <c r="R32" s="65">
        <f t="shared" ref="R32:W32" si="2">SUM(R7+R9+R11+R13+R15+R17+R19+R21+R23+R25+R27+R29)</f>
        <v>0</v>
      </c>
      <c r="S32" s="65">
        <f t="shared" si="2"/>
        <v>0</v>
      </c>
      <c r="T32" s="65">
        <f t="shared" si="2"/>
        <v>0</v>
      </c>
      <c r="U32" s="65">
        <f t="shared" si="2"/>
        <v>0</v>
      </c>
      <c r="V32" s="65">
        <f t="shared" si="2"/>
        <v>0</v>
      </c>
      <c r="W32" s="65">
        <f t="shared" si="2"/>
        <v>0</v>
      </c>
      <c r="X32" s="131">
        <f>SUM(X6:X29)</f>
        <v>0</v>
      </c>
    </row>
  </sheetData>
  <mergeCells count="43">
    <mergeCell ref="Q24:Q25"/>
    <mergeCell ref="Q20:Q21"/>
    <mergeCell ref="Q18:Q19"/>
    <mergeCell ref="Q22:Q23"/>
    <mergeCell ref="Q31:Q32"/>
    <mergeCell ref="Q28:Q29"/>
    <mergeCell ref="Q26:Q27"/>
    <mergeCell ref="I31:I32"/>
    <mergeCell ref="A31:A32"/>
    <mergeCell ref="A26:A27"/>
    <mergeCell ref="A28:A29"/>
    <mergeCell ref="I26:I27"/>
    <mergeCell ref="I28:I29"/>
    <mergeCell ref="I8:I9"/>
    <mergeCell ref="I10:I11"/>
    <mergeCell ref="A6:A7"/>
    <mergeCell ref="A8:A9"/>
    <mergeCell ref="A10:A11"/>
    <mergeCell ref="A12:A13"/>
    <mergeCell ref="I24:I25"/>
    <mergeCell ref="I14:I15"/>
    <mergeCell ref="I12:I13"/>
    <mergeCell ref="A14:A15"/>
    <mergeCell ref="A16:A17"/>
    <mergeCell ref="I16:I17"/>
    <mergeCell ref="A24:A25"/>
    <mergeCell ref="A22:A23"/>
    <mergeCell ref="I18:I19"/>
    <mergeCell ref="A20:A21"/>
    <mergeCell ref="I22:I23"/>
    <mergeCell ref="A18:A19"/>
    <mergeCell ref="I20:I21"/>
    <mergeCell ref="Q16:Q17"/>
    <mergeCell ref="Q8:Q9"/>
    <mergeCell ref="Q10:Q11"/>
    <mergeCell ref="Q12:Q13"/>
    <mergeCell ref="Q14:Q15"/>
    <mergeCell ref="A1:X1"/>
    <mergeCell ref="B3:C3"/>
    <mergeCell ref="J3:K3"/>
    <mergeCell ref="R3:T3"/>
    <mergeCell ref="Q6:Q7"/>
    <mergeCell ref="I6:I7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orientation="landscape" horizontalDpi="4294967293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D7B6-D93B-458F-949E-27814E4D3C8A}">
  <dimension ref="A1:R32"/>
  <sheetViews>
    <sheetView workbookViewId="0">
      <selection sqref="A1:K1"/>
    </sheetView>
  </sheetViews>
  <sheetFormatPr defaultRowHeight="13.5" x14ac:dyDescent="0.15"/>
  <cols>
    <col min="1" max="1" width="5.625" customWidth="1"/>
    <col min="2" max="3" width="8.125" customWidth="1"/>
    <col min="4" max="4" width="8.625" customWidth="1"/>
    <col min="5" max="6" width="8.125" customWidth="1"/>
    <col min="7" max="7" width="8.625" customWidth="1"/>
    <col min="9" max="9" width="2" customWidth="1"/>
    <col min="10" max="10" width="5.625" customWidth="1"/>
    <col min="11" max="12" width="8.125" customWidth="1"/>
    <col min="13" max="13" width="8.625" customWidth="1"/>
    <col min="14" max="15" width="8.125" customWidth="1"/>
    <col min="16" max="16" width="8.625" customWidth="1"/>
    <col min="18" max="18" width="3.25" customWidth="1"/>
  </cols>
  <sheetData>
    <row r="1" spans="1:18" ht="20.25" customHeight="1" x14ac:dyDescent="0.15">
      <c r="A1" s="147" t="str">
        <f>"令和"&amp;'[1]A-1'!$E$9-2018&amp;"年度　一般廃棄物最終処分（埋立）地区別集計表　　【第4－7表】"</f>
        <v>令和9年度　一般廃棄物最終処分（埋立）地区別集計表　　【第4－7表】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8" ht="13.5" customHeight="1" x14ac:dyDescent="0.15"/>
    <row r="3" spans="1:18" ht="18.75" customHeight="1" x14ac:dyDescent="0.15">
      <c r="B3" s="149" t="s">
        <v>14</v>
      </c>
      <c r="C3" s="149"/>
      <c r="K3" s="149" t="s">
        <v>15</v>
      </c>
      <c r="L3" s="149"/>
      <c r="P3" s="4"/>
      <c r="Q3" s="22" t="s">
        <v>1</v>
      </c>
    </row>
    <row r="4" spans="1:18" ht="7.5" customHeight="1" x14ac:dyDescent="0.15"/>
    <row r="5" spans="1:18" ht="18" customHeight="1" x14ac:dyDescent="0.15">
      <c r="A5" s="9" t="s">
        <v>2</v>
      </c>
      <c r="B5" s="10" t="s">
        <v>6</v>
      </c>
      <c r="C5" s="10" t="s">
        <v>11</v>
      </c>
      <c r="D5" s="8" t="s">
        <v>3</v>
      </c>
      <c r="E5" s="10" t="s">
        <v>4</v>
      </c>
      <c r="F5" s="10" t="s">
        <v>7</v>
      </c>
      <c r="G5" s="8" t="s">
        <v>5</v>
      </c>
      <c r="H5" s="11" t="s">
        <v>8</v>
      </c>
      <c r="I5" s="12"/>
      <c r="J5" s="9" t="s">
        <v>2</v>
      </c>
      <c r="K5" s="10" t="s">
        <v>6</v>
      </c>
      <c r="L5" s="10" t="s">
        <v>11</v>
      </c>
      <c r="M5" s="8" t="s">
        <v>3</v>
      </c>
      <c r="N5" s="10" t="s">
        <v>4</v>
      </c>
      <c r="O5" s="10" t="s">
        <v>7</v>
      </c>
      <c r="P5" s="8" t="s">
        <v>5</v>
      </c>
      <c r="Q5" s="122" t="s">
        <v>8</v>
      </c>
      <c r="R5" s="117"/>
    </row>
    <row r="6" spans="1:18" ht="17.25" customHeight="1" x14ac:dyDescent="0.15">
      <c r="A6" s="138">
        <v>4</v>
      </c>
      <c r="B6" s="99"/>
      <c r="C6" s="99"/>
      <c r="D6" s="99"/>
      <c r="E6" s="99"/>
      <c r="F6" s="99"/>
      <c r="G6" s="99"/>
      <c r="H6" s="28"/>
      <c r="I6" s="2"/>
      <c r="J6" s="148">
        <v>4</v>
      </c>
      <c r="K6" s="99"/>
      <c r="L6" s="99"/>
      <c r="M6" s="99"/>
      <c r="N6" s="99"/>
      <c r="O6" s="99"/>
      <c r="P6" s="99"/>
      <c r="Q6" s="28"/>
      <c r="R6" s="117"/>
    </row>
    <row r="7" spans="1:18" ht="17.25" customHeight="1" x14ac:dyDescent="0.15">
      <c r="A7" s="138"/>
      <c r="B7" s="97">
        <f>[1]粗大!$L$43</f>
        <v>0</v>
      </c>
      <c r="C7" s="97">
        <f>[1]粗大!$M$43</f>
        <v>0</v>
      </c>
      <c r="D7" s="97">
        <f>SUM(B7:C7)</f>
        <v>0</v>
      </c>
      <c r="E7" s="97">
        <f>[1]粗大!$N$43</f>
        <v>0</v>
      </c>
      <c r="F7" s="97">
        <f>[1]粗大!$O$43</f>
        <v>0</v>
      </c>
      <c r="G7" s="97">
        <f>SUM(E7:F7)</f>
        <v>0</v>
      </c>
      <c r="H7" s="29">
        <f>ROUND(D7+G7,1)</f>
        <v>0</v>
      </c>
      <c r="I7" s="2"/>
      <c r="J7" s="143"/>
      <c r="K7" s="97">
        <f>[1]粗大!$V$43</f>
        <v>0</v>
      </c>
      <c r="L7" s="97">
        <f>[1]粗大!$W$43</f>
        <v>0</v>
      </c>
      <c r="M7" s="97">
        <f>SUM(K7:L7)</f>
        <v>0</v>
      </c>
      <c r="N7" s="97">
        <f>[1]粗大!$X$43</f>
        <v>0</v>
      </c>
      <c r="O7" s="97">
        <f>[1]粗大!$Y$43</f>
        <v>0</v>
      </c>
      <c r="P7" s="97">
        <f>SUM(N7:O7)</f>
        <v>0</v>
      </c>
      <c r="Q7" s="29">
        <f>ROUND(M7+P7,1)</f>
        <v>0</v>
      </c>
      <c r="R7" s="117"/>
    </row>
    <row r="8" spans="1:18" ht="17.25" customHeight="1" x14ac:dyDescent="0.15">
      <c r="A8" s="144">
        <v>5</v>
      </c>
      <c r="B8" s="98"/>
      <c r="C8" s="98"/>
      <c r="D8" s="98"/>
      <c r="E8" s="98"/>
      <c r="F8" s="98"/>
      <c r="G8" s="98"/>
      <c r="H8" s="30"/>
      <c r="I8" s="1"/>
      <c r="J8" s="141">
        <v>5</v>
      </c>
      <c r="K8" s="98"/>
      <c r="L8" s="98"/>
      <c r="M8" s="98"/>
      <c r="N8" s="98"/>
      <c r="O8" s="98"/>
      <c r="P8" s="98"/>
      <c r="Q8" s="30"/>
      <c r="R8" s="117"/>
    </row>
    <row r="9" spans="1:18" ht="17.25" customHeight="1" x14ac:dyDescent="0.15">
      <c r="A9" s="145"/>
      <c r="B9" s="31">
        <f>[2]粗大!$L$43</f>
        <v>0</v>
      </c>
      <c r="C9" s="31">
        <f>[2]粗大!$M$43</f>
        <v>0</v>
      </c>
      <c r="D9" s="97">
        <f>SUM(B9:C9)</f>
        <v>0</v>
      </c>
      <c r="E9" s="97">
        <f>[2]粗大!$N$43</f>
        <v>0</v>
      </c>
      <c r="F9" s="97">
        <f>[2]粗大!$O$43</f>
        <v>0</v>
      </c>
      <c r="G9" s="97">
        <f>SUM(E9:F9)</f>
        <v>0</v>
      </c>
      <c r="H9" s="29">
        <f>ROUND(D9+G9,1)</f>
        <v>0</v>
      </c>
      <c r="I9" s="3"/>
      <c r="J9" s="142"/>
      <c r="K9" s="31">
        <f>[2]粗大!$V$43</f>
        <v>0</v>
      </c>
      <c r="L9" s="31">
        <f>[2]粗大!$W$43</f>
        <v>0</v>
      </c>
      <c r="M9" s="97">
        <f>SUM(K9:L9)</f>
        <v>0</v>
      </c>
      <c r="N9" s="97">
        <f>[2]粗大!$X$43</f>
        <v>0</v>
      </c>
      <c r="O9" s="97">
        <f>[2]粗大!$Y$43</f>
        <v>0</v>
      </c>
      <c r="P9" s="97">
        <f>SUM(N9:O9)</f>
        <v>0</v>
      </c>
      <c r="Q9" s="29">
        <f>ROUND(M9+P9,1)</f>
        <v>0</v>
      </c>
      <c r="R9" s="117"/>
    </row>
    <row r="10" spans="1:18" ht="17.25" customHeight="1" x14ac:dyDescent="0.15">
      <c r="A10" s="138">
        <v>6</v>
      </c>
      <c r="B10" s="99"/>
      <c r="C10" s="99"/>
      <c r="D10" s="98"/>
      <c r="E10" s="98"/>
      <c r="F10" s="98"/>
      <c r="G10" s="98"/>
      <c r="H10" s="30"/>
      <c r="I10" s="2"/>
      <c r="J10" s="143">
        <v>6</v>
      </c>
      <c r="K10" s="99"/>
      <c r="L10" s="99"/>
      <c r="M10" s="98"/>
      <c r="N10" s="98"/>
      <c r="O10" s="98"/>
      <c r="P10" s="98"/>
      <c r="Q10" s="30"/>
      <c r="R10" s="117"/>
    </row>
    <row r="11" spans="1:18" ht="17.25" customHeight="1" x14ac:dyDescent="0.15">
      <c r="A11" s="138"/>
      <c r="B11" s="97">
        <f>[3]粗大!$L$43</f>
        <v>0</v>
      </c>
      <c r="C11" s="97">
        <f>[3]粗大!$M$43</f>
        <v>0</v>
      </c>
      <c r="D11" s="97">
        <f>SUM(B11:C11)</f>
        <v>0</v>
      </c>
      <c r="E11" s="97">
        <f>[3]粗大!$N$43</f>
        <v>0</v>
      </c>
      <c r="F11" s="97">
        <f>[3]粗大!$O$43</f>
        <v>0</v>
      </c>
      <c r="G11" s="97">
        <f>SUM(E11:F11)</f>
        <v>0</v>
      </c>
      <c r="H11" s="31">
        <f>ROUND(D11+G11,1)</f>
        <v>0</v>
      </c>
      <c r="I11" s="2"/>
      <c r="J11" s="143"/>
      <c r="K11" s="97">
        <f>[3]粗大!$V$43</f>
        <v>0</v>
      </c>
      <c r="L11" s="97">
        <f>[3]粗大!$W$43</f>
        <v>0</v>
      </c>
      <c r="M11" s="97">
        <f>SUM(K11:L11)</f>
        <v>0</v>
      </c>
      <c r="N11" s="97">
        <f>[3]粗大!$X$43</f>
        <v>0</v>
      </c>
      <c r="O11" s="97">
        <f>[3]粗大!$Y$43</f>
        <v>0</v>
      </c>
      <c r="P11" s="97">
        <f>SUM(N11:O11)</f>
        <v>0</v>
      </c>
      <c r="Q11" s="120">
        <f>ROUND(M11+P11,1)</f>
        <v>0</v>
      </c>
      <c r="R11" s="117"/>
    </row>
    <row r="12" spans="1:18" ht="17.25" customHeight="1" x14ac:dyDescent="0.15">
      <c r="A12" s="144">
        <v>7</v>
      </c>
      <c r="B12" s="98"/>
      <c r="C12" s="98"/>
      <c r="D12" s="98"/>
      <c r="E12" s="98"/>
      <c r="F12" s="98"/>
      <c r="G12" s="98"/>
      <c r="H12" s="30"/>
      <c r="I12" s="1"/>
      <c r="J12" s="141">
        <v>7</v>
      </c>
      <c r="K12" s="98"/>
      <c r="L12" s="98"/>
      <c r="M12" s="98"/>
      <c r="N12" s="98"/>
      <c r="O12" s="98"/>
      <c r="P12" s="98"/>
      <c r="Q12" s="30"/>
      <c r="R12" s="117"/>
    </row>
    <row r="13" spans="1:18" ht="17.25" customHeight="1" x14ac:dyDescent="0.15">
      <c r="A13" s="145"/>
      <c r="B13" s="31">
        <f>[4]粗大!$L$43</f>
        <v>0</v>
      </c>
      <c r="C13" s="31">
        <f>[4]粗大!$M$43</f>
        <v>0</v>
      </c>
      <c r="D13" s="31">
        <f>SUM(B13:C13)</f>
        <v>0</v>
      </c>
      <c r="E13" s="31">
        <f>[4]粗大!$N$43</f>
        <v>0</v>
      </c>
      <c r="F13" s="31">
        <f>[4]粗大!$O$43</f>
        <v>0</v>
      </c>
      <c r="G13" s="31">
        <f>SUM(E13:F13)</f>
        <v>0</v>
      </c>
      <c r="H13" s="68">
        <f>ROUND(D13+G13,1)</f>
        <v>0</v>
      </c>
      <c r="I13" s="3"/>
      <c r="J13" s="142"/>
      <c r="K13" s="31">
        <f>[4]粗大!$V$43</f>
        <v>0</v>
      </c>
      <c r="L13" s="31">
        <f>[4]粗大!$W$43</f>
        <v>0</v>
      </c>
      <c r="M13" s="31">
        <f>SUM(K13:L13)</f>
        <v>0</v>
      </c>
      <c r="N13" s="31">
        <f>[4]粗大!$X$43</f>
        <v>0</v>
      </c>
      <c r="O13" s="31">
        <f>[4]粗大!$Y$43</f>
        <v>0</v>
      </c>
      <c r="P13" s="31">
        <f>SUM(N13:O13)</f>
        <v>0</v>
      </c>
      <c r="Q13" s="68">
        <f>ROUND(M13+P13,1)</f>
        <v>0</v>
      </c>
      <c r="R13" s="117"/>
    </row>
    <row r="14" spans="1:18" ht="17.25" customHeight="1" x14ac:dyDescent="0.15">
      <c r="A14" s="138">
        <v>8</v>
      </c>
      <c r="B14" s="99"/>
      <c r="C14" s="99"/>
      <c r="D14" s="99"/>
      <c r="E14" s="99"/>
      <c r="F14" s="99"/>
      <c r="G14" s="99"/>
      <c r="H14" s="28"/>
      <c r="I14" s="2"/>
      <c r="J14" s="143">
        <v>8</v>
      </c>
      <c r="K14" s="99"/>
      <c r="L14" s="99"/>
      <c r="M14" s="99"/>
      <c r="N14" s="99"/>
      <c r="O14" s="99"/>
      <c r="P14" s="99"/>
      <c r="Q14" s="28"/>
      <c r="R14" s="117"/>
    </row>
    <row r="15" spans="1:18" ht="17.25" customHeight="1" x14ac:dyDescent="0.15">
      <c r="A15" s="138"/>
      <c r="B15" s="97">
        <f>[5]粗大!$L$43</f>
        <v>0</v>
      </c>
      <c r="C15" s="97">
        <f>[5]粗大!$M$43</f>
        <v>0</v>
      </c>
      <c r="D15" s="97">
        <f>SUM(B15:C15)</f>
        <v>0</v>
      </c>
      <c r="E15" s="97">
        <f>[5]粗大!$N$43</f>
        <v>0</v>
      </c>
      <c r="F15" s="97">
        <f>[5]粗大!$O$43</f>
        <v>0</v>
      </c>
      <c r="G15" s="97">
        <f>SUM(E15:F15)</f>
        <v>0</v>
      </c>
      <c r="H15" s="31">
        <f>ROUND(D15+G15,1)</f>
        <v>0</v>
      </c>
      <c r="I15" s="2"/>
      <c r="J15" s="143"/>
      <c r="K15" s="97">
        <f>[5]粗大!$V$43</f>
        <v>0</v>
      </c>
      <c r="L15" s="97">
        <f>[5]粗大!$W$43</f>
        <v>0</v>
      </c>
      <c r="M15" s="97">
        <f>SUM(K15:L15)</f>
        <v>0</v>
      </c>
      <c r="N15" s="97">
        <f>[5]粗大!$X$43</f>
        <v>0</v>
      </c>
      <c r="O15" s="97">
        <f>[5]粗大!$Y$43</f>
        <v>0</v>
      </c>
      <c r="P15" s="97">
        <f>SUM(N15:O15)</f>
        <v>0</v>
      </c>
      <c r="Q15" s="120">
        <f>ROUND(M15+P15,1)</f>
        <v>0</v>
      </c>
      <c r="R15" s="117"/>
    </row>
    <row r="16" spans="1:18" ht="17.25" customHeight="1" x14ac:dyDescent="0.15">
      <c r="A16" s="144">
        <v>9</v>
      </c>
      <c r="B16" s="98"/>
      <c r="C16" s="98"/>
      <c r="D16" s="98"/>
      <c r="E16" s="98"/>
      <c r="F16" s="98"/>
      <c r="G16" s="98"/>
      <c r="H16" s="28"/>
      <c r="I16" s="1"/>
      <c r="J16" s="141">
        <v>9</v>
      </c>
      <c r="K16" s="98"/>
      <c r="L16" s="98"/>
      <c r="M16" s="98"/>
      <c r="N16" s="98"/>
      <c r="O16" s="98"/>
      <c r="P16" s="98"/>
      <c r="Q16" s="28"/>
      <c r="R16" s="117"/>
    </row>
    <row r="17" spans="1:18" ht="17.25" customHeight="1" x14ac:dyDescent="0.15">
      <c r="A17" s="145"/>
      <c r="B17" s="31">
        <f>[6]粗大!$L$43</f>
        <v>0</v>
      </c>
      <c r="C17" s="31">
        <f>[6]粗大!$M$43</f>
        <v>0</v>
      </c>
      <c r="D17" s="97">
        <f>SUM(B17:C17)</f>
        <v>0</v>
      </c>
      <c r="E17" s="97">
        <f>[6]粗大!$N$43</f>
        <v>0</v>
      </c>
      <c r="F17" s="97">
        <f>[6]粗大!$O$43</f>
        <v>0</v>
      </c>
      <c r="G17" s="97">
        <f>SUM(E17:F17)</f>
        <v>0</v>
      </c>
      <c r="H17" s="29">
        <f>ROUND(D17+G17,1)</f>
        <v>0</v>
      </c>
      <c r="I17" s="3"/>
      <c r="J17" s="142"/>
      <c r="K17" s="31">
        <f>[6]粗大!$V$43</f>
        <v>0</v>
      </c>
      <c r="L17" s="31">
        <f>[6]粗大!$W$43</f>
        <v>0</v>
      </c>
      <c r="M17" s="97">
        <f>SUM(K17:L17)</f>
        <v>0</v>
      </c>
      <c r="N17" s="97">
        <f>[6]粗大!$X$43</f>
        <v>0</v>
      </c>
      <c r="O17" s="97">
        <f>[6]粗大!$Y$43</f>
        <v>0</v>
      </c>
      <c r="P17" s="97">
        <f>SUM(N17:O17)</f>
        <v>0</v>
      </c>
      <c r="Q17" s="29">
        <f>ROUND(M17+P17,1)</f>
        <v>0</v>
      </c>
      <c r="R17" s="117"/>
    </row>
    <row r="18" spans="1:18" ht="17.25" customHeight="1" x14ac:dyDescent="0.15">
      <c r="A18" s="138">
        <v>10</v>
      </c>
      <c r="B18" s="99"/>
      <c r="C18" s="99"/>
      <c r="D18" s="98"/>
      <c r="E18" s="98"/>
      <c r="F18" s="98"/>
      <c r="G18" s="98"/>
      <c r="H18" s="30"/>
      <c r="I18" s="2"/>
      <c r="J18" s="143">
        <v>10</v>
      </c>
      <c r="K18" s="99"/>
      <c r="L18" s="99"/>
      <c r="M18" s="98"/>
      <c r="N18" s="98"/>
      <c r="O18" s="98"/>
      <c r="P18" s="98"/>
      <c r="Q18" s="30"/>
      <c r="R18" s="117"/>
    </row>
    <row r="19" spans="1:18" ht="17.25" customHeight="1" x14ac:dyDescent="0.15">
      <c r="A19" s="138"/>
      <c r="B19" s="97">
        <f>[7]粗大!$L$43</f>
        <v>0</v>
      </c>
      <c r="C19" s="97">
        <f>[7]粗大!$M$43</f>
        <v>0</v>
      </c>
      <c r="D19" s="97">
        <f>SUM(B19:C19)</f>
        <v>0</v>
      </c>
      <c r="E19" s="97">
        <f>[7]粗大!$N$43</f>
        <v>0</v>
      </c>
      <c r="F19" s="97">
        <f>[7]粗大!$O$43</f>
        <v>0</v>
      </c>
      <c r="G19" s="97">
        <f>SUM(E19:F19)</f>
        <v>0</v>
      </c>
      <c r="H19" s="31">
        <f>ROUND(D19+G19,1)</f>
        <v>0</v>
      </c>
      <c r="I19" s="2"/>
      <c r="J19" s="143"/>
      <c r="K19" s="97">
        <f>[7]粗大!$V$43</f>
        <v>0</v>
      </c>
      <c r="L19" s="97">
        <f>[7]粗大!$W$43</f>
        <v>0</v>
      </c>
      <c r="M19" s="97">
        <f>SUM(K19:L19)</f>
        <v>0</v>
      </c>
      <c r="N19" s="97">
        <f>[7]粗大!$X$43</f>
        <v>0</v>
      </c>
      <c r="O19" s="97">
        <f>[7]粗大!$Y$43</f>
        <v>0</v>
      </c>
      <c r="P19" s="97">
        <f>SUM(N19:O19)</f>
        <v>0</v>
      </c>
      <c r="Q19" s="120">
        <f>ROUND(M19+P19,1)</f>
        <v>0</v>
      </c>
      <c r="R19" s="117"/>
    </row>
    <row r="20" spans="1:18" ht="17.25" customHeight="1" x14ac:dyDescent="0.15">
      <c r="A20" s="144">
        <v>11</v>
      </c>
      <c r="B20" s="98"/>
      <c r="C20" s="98"/>
      <c r="D20" s="98"/>
      <c r="E20" s="98"/>
      <c r="F20" s="98"/>
      <c r="G20" s="98"/>
      <c r="H20" s="30"/>
      <c r="I20" s="1"/>
      <c r="J20" s="141">
        <v>11</v>
      </c>
      <c r="K20" s="98"/>
      <c r="L20" s="98"/>
      <c r="M20" s="98"/>
      <c r="N20" s="98"/>
      <c r="O20" s="98"/>
      <c r="P20" s="98"/>
      <c r="Q20" s="30"/>
      <c r="R20" s="117"/>
    </row>
    <row r="21" spans="1:18" ht="17.25" customHeight="1" x14ac:dyDescent="0.15">
      <c r="A21" s="145"/>
      <c r="B21" s="31">
        <f>[8]粗大!$L$43</f>
        <v>0</v>
      </c>
      <c r="C21" s="31">
        <f>[8]粗大!$M$43</f>
        <v>0</v>
      </c>
      <c r="D21" s="97">
        <f>SUM(B21:C21)</f>
        <v>0</v>
      </c>
      <c r="E21" s="97">
        <f>[8]粗大!$N$43</f>
        <v>0</v>
      </c>
      <c r="F21" s="97">
        <f>[8]粗大!$O$43</f>
        <v>0</v>
      </c>
      <c r="G21" s="97">
        <f>SUM(E21:F21)</f>
        <v>0</v>
      </c>
      <c r="H21" s="31">
        <f>ROUND(D21+G21,1)</f>
        <v>0</v>
      </c>
      <c r="I21" s="3"/>
      <c r="J21" s="142"/>
      <c r="K21" s="31">
        <f>[8]粗大!$V$43</f>
        <v>0</v>
      </c>
      <c r="L21" s="31">
        <f>[8]粗大!$W$43</f>
        <v>0</v>
      </c>
      <c r="M21" s="97">
        <f>SUM(K21:L21)</f>
        <v>0</v>
      </c>
      <c r="N21" s="97">
        <f>[8]粗大!$X$43</f>
        <v>0</v>
      </c>
      <c r="O21" s="97">
        <f>[8]粗大!$Y$43</f>
        <v>0</v>
      </c>
      <c r="P21" s="97">
        <f>SUM(N21:O21)</f>
        <v>0</v>
      </c>
      <c r="Q21" s="120">
        <f>ROUND(M21+P21,1)</f>
        <v>0</v>
      </c>
      <c r="R21" s="117"/>
    </row>
    <row r="22" spans="1:18" ht="17.25" customHeight="1" x14ac:dyDescent="0.15">
      <c r="A22" s="138">
        <v>12</v>
      </c>
      <c r="B22" s="99"/>
      <c r="C22" s="99"/>
      <c r="D22" s="98"/>
      <c r="E22" s="98"/>
      <c r="F22" s="98"/>
      <c r="G22" s="98"/>
      <c r="H22" s="28"/>
      <c r="I22" s="2"/>
      <c r="J22" s="143">
        <v>12</v>
      </c>
      <c r="K22" s="99"/>
      <c r="L22" s="99"/>
      <c r="M22" s="98"/>
      <c r="N22" s="98"/>
      <c r="O22" s="98"/>
      <c r="P22" s="98"/>
      <c r="Q22" s="28"/>
      <c r="R22" s="117"/>
    </row>
    <row r="23" spans="1:18" ht="17.25" customHeight="1" x14ac:dyDescent="0.15">
      <c r="A23" s="138"/>
      <c r="B23" s="97">
        <f>[9]粗大!$L$43</f>
        <v>0</v>
      </c>
      <c r="C23" s="97">
        <f>[9]粗大!$M$43</f>
        <v>0</v>
      </c>
      <c r="D23" s="97">
        <f>SUM(B23:C23)</f>
        <v>0</v>
      </c>
      <c r="E23" s="97">
        <f>[9]粗大!$N$43</f>
        <v>0</v>
      </c>
      <c r="F23" s="97">
        <f>[9]粗大!$O$43</f>
        <v>0</v>
      </c>
      <c r="G23" s="97">
        <f>SUM(E23:F23)</f>
        <v>0</v>
      </c>
      <c r="H23" s="29">
        <f>ROUND(D23+G23,1)</f>
        <v>0</v>
      </c>
      <c r="I23" s="2"/>
      <c r="J23" s="143"/>
      <c r="K23" s="97">
        <f>[9]粗大!$V$43</f>
        <v>0</v>
      </c>
      <c r="L23" s="97">
        <f>[9]粗大!$W$43</f>
        <v>0</v>
      </c>
      <c r="M23" s="97">
        <f>SUM(K23:L23)</f>
        <v>0</v>
      </c>
      <c r="N23" s="97">
        <f>[9]粗大!$X$43</f>
        <v>0</v>
      </c>
      <c r="O23" s="97">
        <f>[9]粗大!$Y$43</f>
        <v>0</v>
      </c>
      <c r="P23" s="97">
        <f>SUM(N23:O23)</f>
        <v>0</v>
      </c>
      <c r="Q23" s="29">
        <f>ROUND(M23+P23,1)</f>
        <v>0</v>
      </c>
      <c r="R23" s="117"/>
    </row>
    <row r="24" spans="1:18" ht="17.25" customHeight="1" x14ac:dyDescent="0.15">
      <c r="A24" s="144">
        <v>1</v>
      </c>
      <c r="B24" s="98"/>
      <c r="C24" s="98"/>
      <c r="D24" s="98"/>
      <c r="E24" s="98"/>
      <c r="F24" s="98"/>
      <c r="G24" s="98"/>
      <c r="H24" s="30"/>
      <c r="I24" s="1"/>
      <c r="J24" s="141">
        <v>1</v>
      </c>
      <c r="K24" s="98"/>
      <c r="L24" s="98"/>
      <c r="M24" s="98"/>
      <c r="N24" s="98"/>
      <c r="O24" s="98"/>
      <c r="P24" s="98"/>
      <c r="Q24" s="30"/>
      <c r="R24" s="117"/>
    </row>
    <row r="25" spans="1:18" ht="17.25" customHeight="1" x14ac:dyDescent="0.15">
      <c r="A25" s="145"/>
      <c r="B25" s="31">
        <f>[10]粗大!$L$43</f>
        <v>0</v>
      </c>
      <c r="C25" s="31">
        <f>[10]粗大!$M$43</f>
        <v>0</v>
      </c>
      <c r="D25" s="31">
        <f>SUM(B25:C25)</f>
        <v>0</v>
      </c>
      <c r="E25" s="31">
        <f>[10]粗大!$N$43</f>
        <v>0</v>
      </c>
      <c r="F25" s="31">
        <f>[10]粗大!$O$43</f>
        <v>0</v>
      </c>
      <c r="G25" s="31">
        <f>SUM(E25:F25)</f>
        <v>0</v>
      </c>
      <c r="H25" s="31">
        <f>ROUND(D25+G25,1)</f>
        <v>0</v>
      </c>
      <c r="I25" s="3"/>
      <c r="J25" s="142"/>
      <c r="K25" s="31">
        <f>[10]粗大!$V$43</f>
        <v>0</v>
      </c>
      <c r="L25" s="31">
        <f>[10]粗大!$W$43</f>
        <v>0</v>
      </c>
      <c r="M25" s="31">
        <f>SUM(K25:L25)</f>
        <v>0</v>
      </c>
      <c r="N25" s="31">
        <f>[10]粗大!$X$43</f>
        <v>0</v>
      </c>
      <c r="O25" s="31">
        <f>[10]粗大!$Y$43</f>
        <v>0</v>
      </c>
      <c r="P25" s="31">
        <f>SUM(N25:O25)</f>
        <v>0</v>
      </c>
      <c r="Q25" s="120">
        <f>ROUND(M25+P25,1)</f>
        <v>0</v>
      </c>
      <c r="R25" s="117"/>
    </row>
    <row r="26" spans="1:18" ht="17.25" customHeight="1" x14ac:dyDescent="0.15">
      <c r="A26" s="138">
        <v>2</v>
      </c>
      <c r="B26" s="99"/>
      <c r="C26" s="99"/>
      <c r="D26" s="99"/>
      <c r="E26" s="99"/>
      <c r="F26" s="99"/>
      <c r="G26" s="99"/>
      <c r="H26" s="28"/>
      <c r="I26" s="2"/>
      <c r="J26" s="143">
        <v>2</v>
      </c>
      <c r="K26" s="99"/>
      <c r="L26" s="99"/>
      <c r="M26" s="99"/>
      <c r="N26" s="99"/>
      <c r="O26" s="99"/>
      <c r="P26" s="99"/>
      <c r="Q26" s="28"/>
      <c r="R26" s="117"/>
    </row>
    <row r="27" spans="1:18" ht="17.25" customHeight="1" x14ac:dyDescent="0.15">
      <c r="A27" s="138"/>
      <c r="B27" s="97">
        <f>[11]粗大!$L$43</f>
        <v>0</v>
      </c>
      <c r="C27" s="97">
        <f>[11]粗大!$M$43</f>
        <v>0</v>
      </c>
      <c r="D27" s="97">
        <f>SUM(B27:C27)</f>
        <v>0</v>
      </c>
      <c r="E27" s="97">
        <f>[11]粗大!$N$43</f>
        <v>0</v>
      </c>
      <c r="F27" s="97">
        <f>[11]粗大!$O$43</f>
        <v>0</v>
      </c>
      <c r="G27" s="97">
        <f>SUM(E27:F27)</f>
        <v>0</v>
      </c>
      <c r="H27" s="29">
        <f>ROUND(D27+G27,1)</f>
        <v>0</v>
      </c>
      <c r="I27" s="2"/>
      <c r="J27" s="143"/>
      <c r="K27" s="97">
        <f>[11]粗大!$V$43</f>
        <v>0</v>
      </c>
      <c r="L27" s="97">
        <f>[11]粗大!$W$43</f>
        <v>0</v>
      </c>
      <c r="M27" s="97">
        <f>SUM(K27:L27)</f>
        <v>0</v>
      </c>
      <c r="N27" s="97">
        <f>[11]粗大!$X$43</f>
        <v>0</v>
      </c>
      <c r="O27" s="97">
        <f>[11]粗大!$Y$43</f>
        <v>0</v>
      </c>
      <c r="P27" s="97">
        <f>SUM(N27:O27)</f>
        <v>0</v>
      </c>
      <c r="Q27" s="29">
        <f>ROUND(M27+P27,1)</f>
        <v>0</v>
      </c>
      <c r="R27" s="117"/>
    </row>
    <row r="28" spans="1:18" ht="17.25" customHeight="1" x14ac:dyDescent="0.15">
      <c r="A28" s="144">
        <v>3</v>
      </c>
      <c r="B28" s="98"/>
      <c r="C28" s="98"/>
      <c r="D28" s="98"/>
      <c r="E28" s="98"/>
      <c r="F28" s="98"/>
      <c r="G28" s="98"/>
      <c r="H28" s="30"/>
      <c r="I28" s="1"/>
      <c r="J28" s="141">
        <v>3</v>
      </c>
      <c r="K28" s="98"/>
      <c r="L28" s="98"/>
      <c r="M28" s="98"/>
      <c r="N28" s="98"/>
      <c r="O28" s="98"/>
      <c r="P28" s="98"/>
      <c r="Q28" s="30"/>
      <c r="R28" s="117"/>
    </row>
    <row r="29" spans="1:18" ht="17.25" customHeight="1" x14ac:dyDescent="0.15">
      <c r="A29" s="145"/>
      <c r="B29" s="31">
        <f>[12]粗大!$L$43</f>
        <v>0</v>
      </c>
      <c r="C29" s="31">
        <f>[12]粗大!$M$43</f>
        <v>0</v>
      </c>
      <c r="D29" s="31">
        <f>SUM(B29:C29)</f>
        <v>0</v>
      </c>
      <c r="E29" s="31">
        <f>[12]粗大!$N$43</f>
        <v>0</v>
      </c>
      <c r="F29" s="31">
        <f>[12]粗大!$O$43</f>
        <v>0</v>
      </c>
      <c r="G29" s="31">
        <f>SUM(E29:F29)</f>
        <v>0</v>
      </c>
      <c r="H29" s="31">
        <f>ROUND(D29+G29,1)</f>
        <v>0</v>
      </c>
      <c r="I29" s="3"/>
      <c r="J29" s="142"/>
      <c r="K29" s="31">
        <f>[12]粗大!$V$43</f>
        <v>0</v>
      </c>
      <c r="L29" s="31">
        <f>[12]粗大!$W$43</f>
        <v>0</v>
      </c>
      <c r="M29" s="31">
        <f>SUM(K29:L29)</f>
        <v>0</v>
      </c>
      <c r="N29" s="31">
        <f>[12]粗大!$X$43</f>
        <v>0</v>
      </c>
      <c r="O29" s="31">
        <f>[12]粗大!$Y$43</f>
        <v>0</v>
      </c>
      <c r="P29" s="31">
        <f>SUM(N29:O29)</f>
        <v>0</v>
      </c>
      <c r="Q29" s="120">
        <f>ROUND(M29+P29,1)</f>
        <v>0</v>
      </c>
      <c r="R29" s="117"/>
    </row>
    <row r="30" spans="1:18" ht="6" customHeight="1" x14ac:dyDescent="0.15">
      <c r="A30" s="5"/>
      <c r="B30" s="97"/>
      <c r="C30" s="97"/>
      <c r="D30" s="97"/>
      <c r="E30" s="97"/>
      <c r="F30" s="97"/>
      <c r="G30" s="97"/>
      <c r="H30" s="29"/>
      <c r="I30" s="2"/>
      <c r="J30" s="7"/>
      <c r="K30" s="97"/>
      <c r="L30" s="97"/>
      <c r="M30" s="97"/>
      <c r="N30" s="97"/>
      <c r="O30" s="97"/>
      <c r="P30" s="97"/>
      <c r="Q30" s="29"/>
      <c r="R30" s="117"/>
    </row>
    <row r="31" spans="1:18" ht="22.5" customHeight="1" x14ac:dyDescent="0.15">
      <c r="A31" s="144" t="s">
        <v>0</v>
      </c>
      <c r="B31" s="98"/>
      <c r="C31" s="98"/>
      <c r="D31" s="98"/>
      <c r="E31" s="98"/>
      <c r="F31" s="98"/>
      <c r="G31" s="98"/>
      <c r="H31" s="30"/>
      <c r="I31" s="1"/>
      <c r="J31" s="139" t="s">
        <v>0</v>
      </c>
      <c r="K31" s="98"/>
      <c r="L31" s="98"/>
      <c r="M31" s="98"/>
      <c r="N31" s="98"/>
      <c r="O31" s="98"/>
      <c r="P31" s="98"/>
      <c r="Q31" s="30"/>
      <c r="R31" s="117"/>
    </row>
    <row r="32" spans="1:18" ht="24" customHeight="1" x14ac:dyDescent="0.15">
      <c r="A32" s="146"/>
      <c r="B32" s="100">
        <f t="shared" ref="B32:H32" si="0">SUM(B7+B9+B11+B13+B15+B17+B19+B21+B23+B25+B27+B29)</f>
        <v>0</v>
      </c>
      <c r="C32" s="100">
        <f t="shared" si="0"/>
        <v>0</v>
      </c>
      <c r="D32" s="100">
        <f t="shared" si="0"/>
        <v>0</v>
      </c>
      <c r="E32" s="100">
        <f t="shared" si="0"/>
        <v>0</v>
      </c>
      <c r="F32" s="100">
        <f t="shared" si="0"/>
        <v>0</v>
      </c>
      <c r="G32" s="100">
        <f t="shared" si="0"/>
        <v>0</v>
      </c>
      <c r="H32" s="32">
        <f t="shared" si="0"/>
        <v>0</v>
      </c>
      <c r="I32" s="6"/>
      <c r="J32" s="140"/>
      <c r="K32" s="100">
        <f t="shared" ref="K32:P32" si="1">SUM(K7+K9+K11+K13+K15+K17+K19+K21+K23+K25+K27+K29)</f>
        <v>0</v>
      </c>
      <c r="L32" s="100">
        <f t="shared" si="1"/>
        <v>0</v>
      </c>
      <c r="M32" s="100">
        <f t="shared" si="1"/>
        <v>0</v>
      </c>
      <c r="N32" s="100">
        <f t="shared" si="1"/>
        <v>0</v>
      </c>
      <c r="O32" s="100">
        <f t="shared" si="1"/>
        <v>0</v>
      </c>
      <c r="P32" s="100">
        <f t="shared" si="1"/>
        <v>0</v>
      </c>
      <c r="Q32" s="121">
        <f>SUM(Q6:Q29)</f>
        <v>0</v>
      </c>
      <c r="R32" s="117"/>
    </row>
  </sheetData>
  <mergeCells count="29">
    <mergeCell ref="J31:J32"/>
    <mergeCell ref="J28:J29"/>
    <mergeCell ref="J20:J21"/>
    <mergeCell ref="J22:J23"/>
    <mergeCell ref="J24:J25"/>
    <mergeCell ref="J26:J27"/>
    <mergeCell ref="A31:A32"/>
    <mergeCell ref="A24:A25"/>
    <mergeCell ref="A20:A21"/>
    <mergeCell ref="A10:A11"/>
    <mergeCell ref="A26:A27"/>
    <mergeCell ref="A22:A23"/>
    <mergeCell ref="A28:A29"/>
    <mergeCell ref="J12:J13"/>
    <mergeCell ref="J14:J15"/>
    <mergeCell ref="A14:A15"/>
    <mergeCell ref="J18:J19"/>
    <mergeCell ref="A18:A19"/>
    <mergeCell ref="J16:J17"/>
    <mergeCell ref="A12:A13"/>
    <mergeCell ref="A16:A17"/>
    <mergeCell ref="A1:K1"/>
    <mergeCell ref="J6:J7"/>
    <mergeCell ref="J8:J9"/>
    <mergeCell ref="J10:J11"/>
    <mergeCell ref="A6:A7"/>
    <mergeCell ref="A8:A9"/>
    <mergeCell ref="B3:C3"/>
    <mergeCell ref="K3:L3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orientation="landscape" horizontalDpi="4294967293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4D66-5854-4BC2-901B-AD6D40124085}">
  <dimension ref="A1:W32"/>
  <sheetViews>
    <sheetView workbookViewId="0">
      <selection sqref="A1:P1"/>
    </sheetView>
  </sheetViews>
  <sheetFormatPr defaultRowHeight="13.5" x14ac:dyDescent="0.15"/>
  <cols>
    <col min="1" max="1" width="4.625" customWidth="1"/>
    <col min="2" max="18" width="8" customWidth="1"/>
    <col min="19" max="19" width="3.25" customWidth="1"/>
  </cols>
  <sheetData>
    <row r="1" spans="1:23" ht="20.25" customHeight="1" x14ac:dyDescent="0.15">
      <c r="A1" s="147" t="str">
        <f>"令和"&amp;'[1]A-1'!$E$9-2018&amp;"年度　一般廃棄物最終処分（埋立）地区別集計表　　【第4－8表】"</f>
        <v>令和9年度　一般廃棄物最終処分（埋立）地区別集計表　　【第4－8表】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66"/>
      <c r="M1" s="166"/>
      <c r="N1" s="166"/>
      <c r="O1" s="166"/>
      <c r="P1" s="166"/>
    </row>
    <row r="2" spans="1:23" ht="13.5" customHeight="1" x14ac:dyDescent="0.15"/>
    <row r="3" spans="1:23" ht="18.75" customHeight="1" x14ac:dyDescent="0.15">
      <c r="B3" t="s">
        <v>34</v>
      </c>
      <c r="C3" s="48"/>
      <c r="I3" t="s">
        <v>37</v>
      </c>
      <c r="J3" s="48"/>
      <c r="P3" t="s">
        <v>18</v>
      </c>
      <c r="R3" s="22" t="s">
        <v>1</v>
      </c>
    </row>
    <row r="4" spans="1:23" ht="7.5" customHeight="1" x14ac:dyDescent="0.15"/>
    <row r="5" spans="1:23" s="18" customFormat="1" ht="18" customHeight="1" x14ac:dyDescent="0.15">
      <c r="A5" s="73" t="s">
        <v>2</v>
      </c>
      <c r="B5" s="8" t="s">
        <v>6</v>
      </c>
      <c r="C5" s="8" t="s">
        <v>11</v>
      </c>
      <c r="D5" s="8" t="s">
        <v>38</v>
      </c>
      <c r="E5" s="8" t="s">
        <v>4</v>
      </c>
      <c r="F5" s="8" t="s">
        <v>7</v>
      </c>
      <c r="G5" s="8" t="s">
        <v>5</v>
      </c>
      <c r="H5" s="74" t="s">
        <v>8</v>
      </c>
      <c r="I5" s="75" t="s">
        <v>6</v>
      </c>
      <c r="J5" s="8" t="s">
        <v>11</v>
      </c>
      <c r="K5" s="8" t="s">
        <v>38</v>
      </c>
      <c r="L5" s="8" t="s">
        <v>4</v>
      </c>
      <c r="M5" s="8" t="s">
        <v>7</v>
      </c>
      <c r="N5" s="8" t="s">
        <v>5</v>
      </c>
      <c r="O5" s="74" t="s">
        <v>8</v>
      </c>
      <c r="P5" s="75" t="s">
        <v>35</v>
      </c>
      <c r="Q5" s="8" t="s">
        <v>36</v>
      </c>
      <c r="R5" s="74" t="s">
        <v>8</v>
      </c>
      <c r="W5" s="123"/>
    </row>
    <row r="6" spans="1:23" ht="17.25" customHeight="1" x14ac:dyDescent="0.15">
      <c r="A6" s="138">
        <v>4</v>
      </c>
      <c r="B6" s="101"/>
      <c r="C6" s="101"/>
      <c r="D6" s="101"/>
      <c r="E6" s="101"/>
      <c r="F6" s="101"/>
      <c r="G6" s="102"/>
      <c r="H6" s="69"/>
      <c r="I6" s="107"/>
      <c r="J6" s="101"/>
      <c r="K6" s="101"/>
      <c r="L6" s="101"/>
      <c r="M6" s="101"/>
      <c r="N6" s="101"/>
      <c r="O6" s="126"/>
      <c r="P6" s="106"/>
      <c r="Q6" s="99"/>
      <c r="R6" s="69"/>
    </row>
    <row r="7" spans="1:23" ht="17.25" customHeight="1" x14ac:dyDescent="0.15">
      <c r="A7" s="138"/>
      <c r="B7" s="101">
        <f>[1]産廃水産・医療・汚泥!$L$43</f>
        <v>0</v>
      </c>
      <c r="C7" s="101">
        <f>[1]産廃水産・医療・汚泥!$M$43</f>
        <v>0</v>
      </c>
      <c r="D7" s="97">
        <f>SUM(B7:C7)</f>
        <v>0</v>
      </c>
      <c r="E7" s="101">
        <f>[1]産廃水産・医療・汚泥!$N$43</f>
        <v>0</v>
      </c>
      <c r="F7" s="101">
        <f>[1]産廃水産・医療・汚泥!$O$43</f>
        <v>0</v>
      </c>
      <c r="G7" s="97">
        <f>SUM(E7:F7)</f>
        <v>0</v>
      </c>
      <c r="H7" s="69">
        <f>ROUND(D7+G7,1)</f>
        <v>0</v>
      </c>
      <c r="I7" s="107">
        <f>[1]産廃水産・医療・汚泥!$G$43</f>
        <v>0</v>
      </c>
      <c r="J7" s="101">
        <f>[1]産廃水産・医療・汚泥!$H$43</f>
        <v>0</v>
      </c>
      <c r="K7" s="97">
        <f>SUM(I7:J7)</f>
        <v>0</v>
      </c>
      <c r="L7" s="101">
        <f>[1]産廃水産・医療・汚泥!$I$43</f>
        <v>0</v>
      </c>
      <c r="M7" s="101">
        <f>[1]産廃水産・医療・汚泥!$J$43</f>
        <v>0</v>
      </c>
      <c r="N7" s="97">
        <f>SUM(L7:M7)</f>
        <v>0</v>
      </c>
      <c r="O7" s="69">
        <f>ROUND(K7+N7,1)</f>
        <v>0</v>
      </c>
      <c r="P7" s="107">
        <f>[1]産廃水産・医療・汚泥!$V$43</f>
        <v>0</v>
      </c>
      <c r="Q7" s="101">
        <f>[1]産廃水産・医療・汚泥!$W$43</f>
        <v>0</v>
      </c>
      <c r="R7" s="69">
        <f>SUM(P7:Q7)</f>
        <v>0</v>
      </c>
      <c r="W7" s="21"/>
    </row>
    <row r="8" spans="1:23" ht="17.25" customHeight="1" x14ac:dyDescent="0.15">
      <c r="A8" s="144">
        <v>5</v>
      </c>
      <c r="B8" s="103"/>
      <c r="C8" s="103"/>
      <c r="D8" s="103"/>
      <c r="E8" s="103"/>
      <c r="F8" s="103"/>
      <c r="G8" s="103"/>
      <c r="H8" s="70"/>
      <c r="I8" s="124"/>
      <c r="J8" s="103"/>
      <c r="K8" s="103"/>
      <c r="L8" s="103"/>
      <c r="M8" s="103"/>
      <c r="N8" s="103"/>
      <c r="O8" s="70"/>
      <c r="P8" s="67"/>
      <c r="Q8" s="98"/>
      <c r="R8" s="70"/>
      <c r="V8" s="21"/>
    </row>
    <row r="9" spans="1:23" ht="17.25" customHeight="1" x14ac:dyDescent="0.15">
      <c r="A9" s="145"/>
      <c r="B9" s="101"/>
      <c r="C9" s="101"/>
      <c r="D9" s="97">
        <f>SUM(B9:C9)</f>
        <v>0</v>
      </c>
      <c r="E9" s="101"/>
      <c r="F9" s="101"/>
      <c r="G9" s="97">
        <f>SUM(E9:F9)</f>
        <v>0</v>
      </c>
      <c r="H9" s="71">
        <f>ROUND(D9+G9,1)</f>
        <v>0</v>
      </c>
      <c r="I9" s="107">
        <f>[2]産廃水産・医療・汚泥!$G$43</f>
        <v>0</v>
      </c>
      <c r="J9" s="101">
        <f>[2]産廃水産・医療・汚泥!$H$43</f>
        <v>0</v>
      </c>
      <c r="K9" s="97">
        <f>SUM(I9:J9)</f>
        <v>0</v>
      </c>
      <c r="L9" s="101">
        <f>[2]産廃水産・医療・汚泥!$I$43</f>
        <v>0</v>
      </c>
      <c r="M9" s="101">
        <f>[2]産廃水産・医療・汚泥!$J$43</f>
        <v>0</v>
      </c>
      <c r="N9" s="97">
        <f>SUM(L9:M9)</f>
        <v>0</v>
      </c>
      <c r="O9" s="71">
        <f>ROUND(K9+N9,1)</f>
        <v>0</v>
      </c>
      <c r="P9" s="107">
        <f>[2]産廃水産・医療・汚泥!$V$43</f>
        <v>0</v>
      </c>
      <c r="Q9" s="101">
        <f>[2]産廃水産・医療・汚泥!$W$43</f>
        <v>0</v>
      </c>
      <c r="R9" s="69">
        <f>SUM(P9:Q9)</f>
        <v>0</v>
      </c>
      <c r="V9" s="21"/>
    </row>
    <row r="10" spans="1:23" ht="17.25" customHeight="1" x14ac:dyDescent="0.15">
      <c r="A10" s="138">
        <v>6</v>
      </c>
      <c r="B10" s="103"/>
      <c r="C10" s="103"/>
      <c r="D10" s="103"/>
      <c r="E10" s="103"/>
      <c r="F10" s="103"/>
      <c r="G10" s="103"/>
      <c r="H10" s="69"/>
      <c r="I10" s="124"/>
      <c r="J10" s="103"/>
      <c r="K10" s="103"/>
      <c r="L10" s="103"/>
      <c r="M10" s="103"/>
      <c r="N10" s="103"/>
      <c r="O10" s="69"/>
      <c r="P10" s="67"/>
      <c r="Q10" s="98"/>
      <c r="R10" s="70"/>
      <c r="W10" s="21"/>
    </row>
    <row r="11" spans="1:23" ht="17.25" customHeight="1" x14ac:dyDescent="0.15">
      <c r="A11" s="138"/>
      <c r="B11" s="101">
        <f>[3]産廃水産・医療・汚泥!$L$43</f>
        <v>0</v>
      </c>
      <c r="C11" s="101">
        <f>[3]産廃水産・医療・汚泥!$M$43</f>
        <v>0</v>
      </c>
      <c r="D11" s="97">
        <f>SUM(B11:C11)</f>
        <v>0</v>
      </c>
      <c r="E11" s="101">
        <f>[3]産廃水産・医療・汚泥!$N$43</f>
        <v>0</v>
      </c>
      <c r="F11" s="101">
        <f>[3]産廃水産・医療・汚泥!$O$43</f>
        <v>0</v>
      </c>
      <c r="G11" s="97">
        <f>SUM(E11:F11)</f>
        <v>0</v>
      </c>
      <c r="H11" s="69">
        <f>ROUND(D11+G11,1)</f>
        <v>0</v>
      </c>
      <c r="I11" s="107">
        <f>[3]産廃水産・医療・汚泥!$G$43</f>
        <v>0</v>
      </c>
      <c r="J11" s="101">
        <f>[3]産廃水産・医療・汚泥!$H$43</f>
        <v>0</v>
      </c>
      <c r="K11" s="97">
        <f>SUM(I11:J11)</f>
        <v>0</v>
      </c>
      <c r="L11" s="101">
        <f>[3]産廃水産・医療・汚泥!$I$43</f>
        <v>0</v>
      </c>
      <c r="M11" s="101">
        <f>[3]産廃水産・医療・汚泥!$J$43</f>
        <v>0</v>
      </c>
      <c r="N11" s="97">
        <f>SUM(L11:M11)</f>
        <v>0</v>
      </c>
      <c r="O11" s="69">
        <f>ROUND(K11+N11,1)</f>
        <v>0</v>
      </c>
      <c r="P11" s="107">
        <f>[3]産廃水産・医療・汚泥!$V$43</f>
        <v>0</v>
      </c>
      <c r="Q11" s="101">
        <f>[3]産廃水産・医療・汚泥!$W$43</f>
        <v>0</v>
      </c>
      <c r="R11" s="69">
        <f>SUM(P11:Q11)</f>
        <v>0</v>
      </c>
    </row>
    <row r="12" spans="1:23" ht="17.25" customHeight="1" x14ac:dyDescent="0.15">
      <c r="A12" s="144">
        <v>7</v>
      </c>
      <c r="B12" s="103"/>
      <c r="C12" s="103"/>
      <c r="D12" s="103"/>
      <c r="E12" s="103"/>
      <c r="F12" s="103"/>
      <c r="G12" s="103"/>
      <c r="H12" s="70"/>
      <c r="I12" s="124"/>
      <c r="J12" s="103"/>
      <c r="K12" s="103"/>
      <c r="L12" s="103"/>
      <c r="M12" s="103"/>
      <c r="N12" s="103"/>
      <c r="O12" s="70"/>
      <c r="P12" s="67"/>
      <c r="Q12" s="98"/>
      <c r="R12" s="70"/>
    </row>
    <row r="13" spans="1:23" ht="17.25" customHeight="1" x14ac:dyDescent="0.15">
      <c r="A13" s="145"/>
      <c r="B13" s="101">
        <f>[4]産廃水産・医療・汚泥!$L$43</f>
        <v>0</v>
      </c>
      <c r="C13" s="101">
        <f>[4]産廃水産・医療・汚泥!$M$43</f>
        <v>0</v>
      </c>
      <c r="D13" s="97">
        <f>SUM(B13:C13)</f>
        <v>0</v>
      </c>
      <c r="E13" s="101">
        <f>[4]産廃水産・医療・汚泥!$N$43</f>
        <v>0</v>
      </c>
      <c r="F13" s="101">
        <f>[4]産廃水産・医療・汚泥!$O$43</f>
        <v>0</v>
      </c>
      <c r="G13" s="97">
        <f>SUM(E13:F13)</f>
        <v>0</v>
      </c>
      <c r="H13" s="71">
        <f>ROUND(D13+G13,1)</f>
        <v>0</v>
      </c>
      <c r="I13" s="107">
        <f>[4]産廃水産・医療・汚泥!$G$43</f>
        <v>0</v>
      </c>
      <c r="J13" s="101">
        <f>[4]産廃水産・医療・汚泥!$H$43</f>
        <v>0</v>
      </c>
      <c r="K13" s="97">
        <f>SUM(I13:J13)</f>
        <v>0</v>
      </c>
      <c r="L13" s="101">
        <f>[4]産廃水産・医療・汚泥!$I$43</f>
        <v>0</v>
      </c>
      <c r="M13" s="101">
        <f>[4]産廃水産・医療・汚泥!$J$43</f>
        <v>0</v>
      </c>
      <c r="N13" s="97">
        <f>SUM(L13:M13)</f>
        <v>0</v>
      </c>
      <c r="O13" s="71">
        <f>ROUND(K13+N13,1)</f>
        <v>0</v>
      </c>
      <c r="P13" s="107">
        <f>[4]産廃水産・医療・汚泥!$V$43</f>
        <v>0</v>
      </c>
      <c r="Q13" s="101">
        <f>[4]産廃水産・医療・汚泥!$W$43</f>
        <v>0</v>
      </c>
      <c r="R13" s="69">
        <f>SUM(P13:Q13)</f>
        <v>0</v>
      </c>
      <c r="T13" s="21"/>
    </row>
    <row r="14" spans="1:23" ht="17.25" customHeight="1" x14ac:dyDescent="0.15">
      <c r="A14" s="138">
        <v>8</v>
      </c>
      <c r="B14" s="103"/>
      <c r="C14" s="103"/>
      <c r="D14" s="103"/>
      <c r="E14" s="103"/>
      <c r="F14" s="103"/>
      <c r="G14" s="103"/>
      <c r="H14" s="69"/>
      <c r="I14" s="124"/>
      <c r="J14" s="103"/>
      <c r="K14" s="103"/>
      <c r="L14" s="103"/>
      <c r="M14" s="103"/>
      <c r="N14" s="103"/>
      <c r="O14" s="69"/>
      <c r="P14" s="67"/>
      <c r="Q14" s="98"/>
      <c r="R14" s="70"/>
      <c r="V14" s="21"/>
    </row>
    <row r="15" spans="1:23" ht="17.25" customHeight="1" x14ac:dyDescent="0.15">
      <c r="A15" s="138"/>
      <c r="B15" s="101">
        <f>[5]産廃水産・医療・汚泥!$L$43</f>
        <v>0</v>
      </c>
      <c r="C15" s="101">
        <f>[5]産廃水産・医療・汚泥!$M$43</f>
        <v>0</v>
      </c>
      <c r="D15" s="97">
        <f>SUM(B15:C15)</f>
        <v>0</v>
      </c>
      <c r="E15" s="101">
        <f>[5]産廃水産・医療・汚泥!$N$43</f>
        <v>0</v>
      </c>
      <c r="F15" s="101">
        <f>[5]産廃水産・医療・汚泥!$O$43</f>
        <v>0</v>
      </c>
      <c r="G15" s="97">
        <f>SUM(E15:F15)</f>
        <v>0</v>
      </c>
      <c r="H15" s="69">
        <f>ROUND(D15+G15,1)</f>
        <v>0</v>
      </c>
      <c r="I15" s="107">
        <f>[5]産廃水産・医療・汚泥!$G$43</f>
        <v>0</v>
      </c>
      <c r="J15" s="101">
        <f>[5]産廃水産・医療・汚泥!$H$43</f>
        <v>0</v>
      </c>
      <c r="K15" s="97">
        <f>SUM(I15:J15)</f>
        <v>0</v>
      </c>
      <c r="L15" s="101">
        <f>[5]産廃水産・医療・汚泥!$I$43</f>
        <v>0</v>
      </c>
      <c r="M15" s="101">
        <f>[5]産廃水産・医療・汚泥!$J$43</f>
        <v>0</v>
      </c>
      <c r="N15" s="97">
        <f>SUM(L15:M15)</f>
        <v>0</v>
      </c>
      <c r="O15" s="69">
        <f>ROUND(K15+N15,1)</f>
        <v>0</v>
      </c>
      <c r="P15" s="107">
        <f>[5]産廃水産・医療・汚泥!$V$43</f>
        <v>0</v>
      </c>
      <c r="Q15" s="101">
        <f>[5]産廃水産・医療・汚泥!$W$43</f>
        <v>0</v>
      </c>
      <c r="R15" s="69">
        <f>SUM(P15:Q15)</f>
        <v>0</v>
      </c>
      <c r="T15" s="21"/>
      <c r="V15" s="21"/>
    </row>
    <row r="16" spans="1:23" ht="17.25" customHeight="1" x14ac:dyDescent="0.15">
      <c r="A16" s="144">
        <v>9</v>
      </c>
      <c r="B16" s="103"/>
      <c r="C16" s="103"/>
      <c r="D16" s="103"/>
      <c r="E16" s="103"/>
      <c r="F16" s="103"/>
      <c r="G16" s="103"/>
      <c r="H16" s="70"/>
      <c r="I16" s="124"/>
      <c r="J16" s="103"/>
      <c r="K16" s="103"/>
      <c r="L16" s="103"/>
      <c r="M16" s="103"/>
      <c r="N16" s="103"/>
      <c r="O16" s="70"/>
      <c r="P16" s="67"/>
      <c r="Q16" s="98"/>
      <c r="R16" s="70"/>
    </row>
    <row r="17" spans="1:22" ht="17.25" customHeight="1" x14ac:dyDescent="0.15">
      <c r="A17" s="145"/>
      <c r="B17" s="101">
        <f>[6]産廃水産・医療・汚泥!$L$43</f>
        <v>0</v>
      </c>
      <c r="C17" s="101">
        <f>[6]産廃水産・医療・汚泥!$M$43</f>
        <v>0</v>
      </c>
      <c r="D17" s="97">
        <f>SUM(B17:C17)</f>
        <v>0</v>
      </c>
      <c r="E17" s="101">
        <f>[6]産廃水産・医療・汚泥!$N$43</f>
        <v>0</v>
      </c>
      <c r="F17" s="101">
        <f>[6]産廃水産・医療・汚泥!$O$43</f>
        <v>0</v>
      </c>
      <c r="G17" s="97">
        <f>SUM(E17:F17)</f>
        <v>0</v>
      </c>
      <c r="H17" s="71">
        <f>ROUND(D17+G17,1)</f>
        <v>0</v>
      </c>
      <c r="I17" s="107">
        <f>[6]産廃水産・医療・汚泥!$G$43</f>
        <v>0</v>
      </c>
      <c r="J17" s="101">
        <f>[6]産廃水産・医療・汚泥!$H$43</f>
        <v>0</v>
      </c>
      <c r="K17" s="97">
        <f>SUM(I17:J17)</f>
        <v>0</v>
      </c>
      <c r="L17" s="101">
        <f>[6]産廃水産・医療・汚泥!$I$43</f>
        <v>0</v>
      </c>
      <c r="M17" s="101">
        <f>[6]産廃水産・医療・汚泥!$J$43</f>
        <v>0</v>
      </c>
      <c r="N17" s="97">
        <f>SUM(L17:M17)</f>
        <v>0</v>
      </c>
      <c r="O17" s="71">
        <f>ROUND(K17+N17,1)</f>
        <v>0</v>
      </c>
      <c r="P17" s="107">
        <f>[6]産廃水産・医療・汚泥!$V$43</f>
        <v>0</v>
      </c>
      <c r="Q17" s="101">
        <f>[6]産廃水産・医療・汚泥!$W$43</f>
        <v>0</v>
      </c>
      <c r="R17" s="69">
        <f>SUM(P17:Q17)</f>
        <v>0</v>
      </c>
      <c r="T17" s="21"/>
      <c r="V17" s="21"/>
    </row>
    <row r="18" spans="1:22" ht="17.25" customHeight="1" x14ac:dyDescent="0.15">
      <c r="A18" s="138">
        <v>10</v>
      </c>
      <c r="B18" s="103"/>
      <c r="C18" s="103"/>
      <c r="D18" s="103"/>
      <c r="E18" s="103"/>
      <c r="F18" s="103"/>
      <c r="G18" s="103"/>
      <c r="H18" s="69"/>
      <c r="I18" s="124"/>
      <c r="J18" s="103"/>
      <c r="K18" s="103"/>
      <c r="L18" s="103"/>
      <c r="M18" s="103"/>
      <c r="N18" s="103"/>
      <c r="O18" s="69"/>
      <c r="P18" s="67"/>
      <c r="Q18" s="98"/>
      <c r="R18" s="70"/>
    </row>
    <row r="19" spans="1:22" ht="17.25" customHeight="1" x14ac:dyDescent="0.15">
      <c r="A19" s="138"/>
      <c r="B19" s="101"/>
      <c r="C19" s="101"/>
      <c r="D19" s="97">
        <f>SUM(B19:C19)</f>
        <v>0</v>
      </c>
      <c r="E19" s="101"/>
      <c r="F19" s="101"/>
      <c r="G19" s="97">
        <f>SUM(E19:F19)</f>
        <v>0</v>
      </c>
      <c r="H19" s="69">
        <f>ROUND(D19+G19,1)</f>
        <v>0</v>
      </c>
      <c r="I19" s="107">
        <f>[6]産廃水産・医療・汚泥!$G$43</f>
        <v>0</v>
      </c>
      <c r="J19" s="101">
        <f>[7]産廃水産・医療・汚泥!$H$43</f>
        <v>0</v>
      </c>
      <c r="K19" s="97">
        <f>SUM(I19:J19)</f>
        <v>0</v>
      </c>
      <c r="L19" s="101">
        <f>[6]産廃水産・医療・汚泥!$I$43</f>
        <v>0</v>
      </c>
      <c r="M19" s="101">
        <f>[7]産廃水産・医療・汚泥!$J$43</f>
        <v>0</v>
      </c>
      <c r="N19" s="97">
        <f>SUM(L19:M19)</f>
        <v>0</v>
      </c>
      <c r="O19" s="69">
        <f>ROUND(K19+N19,1)</f>
        <v>0</v>
      </c>
      <c r="P19" s="107">
        <f>[7]産廃水産・医療・汚泥!$V$43</f>
        <v>0</v>
      </c>
      <c r="Q19" s="101">
        <f>[7]産廃水産・医療・汚泥!$W$43</f>
        <v>0</v>
      </c>
      <c r="R19" s="69">
        <f>SUM(P19:Q19)</f>
        <v>0</v>
      </c>
      <c r="T19" s="21"/>
    </row>
    <row r="20" spans="1:22" ht="17.25" customHeight="1" x14ac:dyDescent="0.15">
      <c r="A20" s="144">
        <v>11</v>
      </c>
      <c r="B20" s="103"/>
      <c r="C20" s="103"/>
      <c r="D20" s="103"/>
      <c r="E20" s="103"/>
      <c r="F20" s="103"/>
      <c r="G20" s="103"/>
      <c r="H20" s="70"/>
      <c r="I20" s="124"/>
      <c r="J20" s="103"/>
      <c r="K20" s="103"/>
      <c r="L20" s="103"/>
      <c r="M20" s="103"/>
      <c r="N20" s="103"/>
      <c r="O20" s="70"/>
      <c r="P20" s="67"/>
      <c r="Q20" s="98"/>
      <c r="R20" s="70"/>
    </row>
    <row r="21" spans="1:22" ht="17.25" customHeight="1" x14ac:dyDescent="0.15">
      <c r="A21" s="145"/>
      <c r="B21" s="101"/>
      <c r="C21" s="101"/>
      <c r="D21" s="97">
        <f>SUM(B21:C21)</f>
        <v>0</v>
      </c>
      <c r="E21" s="101"/>
      <c r="F21" s="101"/>
      <c r="G21" s="97">
        <f>SUM(E21:F21)</f>
        <v>0</v>
      </c>
      <c r="H21" s="71">
        <f>ROUND(D21+G21,1)</f>
        <v>0</v>
      </c>
      <c r="I21" s="107">
        <f>[8]産廃水産・医療・汚泥!$G$43</f>
        <v>0</v>
      </c>
      <c r="J21" s="101">
        <f>[8]産廃水産・医療・汚泥!$H$43</f>
        <v>0</v>
      </c>
      <c r="K21" s="97">
        <f>SUM(I21:J21)</f>
        <v>0</v>
      </c>
      <c r="L21" s="101">
        <f>[6]産廃水産・医療・汚泥!$I$43</f>
        <v>0</v>
      </c>
      <c r="M21" s="101">
        <f>[8]産廃水産・医療・汚泥!$J$43</f>
        <v>0</v>
      </c>
      <c r="N21" s="97">
        <f>SUM(L21:M21)</f>
        <v>0</v>
      </c>
      <c r="O21" s="71">
        <f>ROUND(K21+N21,1)</f>
        <v>0</v>
      </c>
      <c r="P21" s="107">
        <f>[8]産廃水産・医療・汚泥!$V$43</f>
        <v>0</v>
      </c>
      <c r="Q21" s="101">
        <f>[8]産廃水産・医療・汚泥!$W$43</f>
        <v>0</v>
      </c>
      <c r="R21" s="69">
        <f>SUM(P21:Q21)</f>
        <v>0</v>
      </c>
      <c r="T21" s="21"/>
    </row>
    <row r="22" spans="1:22" ht="17.25" customHeight="1" x14ac:dyDescent="0.15">
      <c r="A22" s="138">
        <v>12</v>
      </c>
      <c r="B22" s="103"/>
      <c r="C22" s="103"/>
      <c r="D22" s="103"/>
      <c r="E22" s="103"/>
      <c r="F22" s="103"/>
      <c r="G22" s="103"/>
      <c r="H22" s="69"/>
      <c r="I22" s="124"/>
      <c r="J22" s="103"/>
      <c r="K22" s="103"/>
      <c r="L22" s="103"/>
      <c r="M22" s="103"/>
      <c r="N22" s="103"/>
      <c r="O22" s="69"/>
      <c r="P22" s="67"/>
      <c r="Q22" s="98"/>
      <c r="R22" s="70"/>
    </row>
    <row r="23" spans="1:22" ht="17.25" customHeight="1" x14ac:dyDescent="0.15">
      <c r="A23" s="138"/>
      <c r="B23" s="101"/>
      <c r="C23" s="101"/>
      <c r="D23" s="97">
        <f>SUM(B23:C23)</f>
        <v>0</v>
      </c>
      <c r="E23" s="101"/>
      <c r="F23" s="101"/>
      <c r="G23" s="97">
        <f>SUM(E23:F23)</f>
        <v>0</v>
      </c>
      <c r="H23" s="69">
        <f>ROUND(D23+G23,1)</f>
        <v>0</v>
      </c>
      <c r="I23" s="107">
        <f>[6]産廃水産・医療・汚泥!$G$43</f>
        <v>0</v>
      </c>
      <c r="J23" s="101">
        <f>[9]産廃水産・医療・汚泥!$H$43</f>
        <v>0</v>
      </c>
      <c r="K23" s="97">
        <f>SUM(I23:J23)</f>
        <v>0</v>
      </c>
      <c r="L23" s="101">
        <f>[6]産廃水産・医療・汚泥!$I$43</f>
        <v>0</v>
      </c>
      <c r="M23" s="101">
        <f>[9]産廃水産・医療・汚泥!$J$43</f>
        <v>0</v>
      </c>
      <c r="N23" s="97">
        <f>SUM(L23:M23)</f>
        <v>0</v>
      </c>
      <c r="O23" s="69">
        <f>ROUND(K23+N23,1)</f>
        <v>0</v>
      </c>
      <c r="P23" s="107">
        <f>[9]産廃水産・医療・汚泥!$V$43</f>
        <v>0</v>
      </c>
      <c r="Q23" s="101">
        <f>[9]産廃水産・医療・汚泥!$W$43</f>
        <v>0</v>
      </c>
      <c r="R23" s="69">
        <f>SUM(P23:Q23)</f>
        <v>0</v>
      </c>
    </row>
    <row r="24" spans="1:22" ht="17.25" customHeight="1" x14ac:dyDescent="0.15">
      <c r="A24" s="144">
        <v>1</v>
      </c>
      <c r="B24" s="103"/>
      <c r="C24" s="103"/>
      <c r="D24" s="103"/>
      <c r="E24" s="103"/>
      <c r="F24" s="103"/>
      <c r="G24" s="103"/>
      <c r="H24" s="70"/>
      <c r="I24" s="124"/>
      <c r="J24" s="103"/>
      <c r="K24" s="103"/>
      <c r="L24" s="103"/>
      <c r="M24" s="103"/>
      <c r="N24" s="103"/>
      <c r="O24" s="70"/>
      <c r="P24" s="67"/>
      <c r="Q24" s="98"/>
      <c r="R24" s="70"/>
    </row>
    <row r="25" spans="1:22" ht="17.25" customHeight="1" x14ac:dyDescent="0.15">
      <c r="A25" s="145"/>
      <c r="B25" s="101"/>
      <c r="C25" s="101"/>
      <c r="D25" s="97">
        <f>SUM(B25:C25)</f>
        <v>0</v>
      </c>
      <c r="E25" s="101"/>
      <c r="F25" s="101"/>
      <c r="G25" s="97">
        <f>SUM(E25:F25)</f>
        <v>0</v>
      </c>
      <c r="H25" s="71">
        <f>ROUND(D25+G25,1)</f>
        <v>0</v>
      </c>
      <c r="I25" s="107">
        <f>[6]産廃水産・医療・汚泥!$G$43</f>
        <v>0</v>
      </c>
      <c r="J25" s="101">
        <f>[10]産廃水産・医療・汚泥!$H$43</f>
        <v>0</v>
      </c>
      <c r="K25" s="97">
        <f>SUM(I25:J25)</f>
        <v>0</v>
      </c>
      <c r="L25" s="101">
        <f>[6]産廃水産・医療・汚泥!$I$43</f>
        <v>0</v>
      </c>
      <c r="M25" s="101">
        <f>[10]産廃水産・医療・汚泥!$J$43</f>
        <v>0</v>
      </c>
      <c r="N25" s="97">
        <f>SUM(L25:M25)</f>
        <v>0</v>
      </c>
      <c r="O25" s="71">
        <f>ROUND(K25+N25,1)</f>
        <v>0</v>
      </c>
      <c r="P25" s="107">
        <f>[10]産廃水産・医療・汚泥!$V$43</f>
        <v>0</v>
      </c>
      <c r="Q25" s="101">
        <f>[10]産廃水産・医療・汚泥!$W$43</f>
        <v>0</v>
      </c>
      <c r="R25" s="69">
        <f>SUM(P25:Q25)</f>
        <v>0</v>
      </c>
    </row>
    <row r="26" spans="1:22" ht="17.25" customHeight="1" x14ac:dyDescent="0.15">
      <c r="A26" s="138">
        <v>2</v>
      </c>
      <c r="B26" s="103"/>
      <c r="C26" s="103"/>
      <c r="D26" s="103"/>
      <c r="E26" s="103"/>
      <c r="F26" s="103"/>
      <c r="G26" s="103"/>
      <c r="H26" s="69"/>
      <c r="I26" s="124"/>
      <c r="J26" s="103"/>
      <c r="K26" s="103"/>
      <c r="L26" s="103"/>
      <c r="M26" s="103"/>
      <c r="N26" s="103"/>
      <c r="O26" s="70"/>
      <c r="P26" s="67"/>
      <c r="Q26" s="98"/>
      <c r="R26" s="70"/>
    </row>
    <row r="27" spans="1:22" ht="17.25" customHeight="1" x14ac:dyDescent="0.15">
      <c r="A27" s="138"/>
      <c r="B27" s="101"/>
      <c r="C27" s="101"/>
      <c r="D27" s="97">
        <f>SUM(B27:C27)</f>
        <v>0</v>
      </c>
      <c r="E27" s="101"/>
      <c r="F27" s="101"/>
      <c r="G27" s="97">
        <f>SUM(E27:F27)</f>
        <v>0</v>
      </c>
      <c r="H27" s="69">
        <f>ROUND(D27+G27,1)</f>
        <v>0</v>
      </c>
      <c r="I27" s="107">
        <f>[6]産廃水産・医療・汚泥!$G$43</f>
        <v>0</v>
      </c>
      <c r="J27" s="101">
        <f>[11]産廃水産・医療・汚泥!$H$43</f>
        <v>0</v>
      </c>
      <c r="K27" s="97">
        <f>SUM(I27:J27)</f>
        <v>0</v>
      </c>
      <c r="L27" s="101">
        <f>[6]産廃水産・医療・汚泥!$I$43</f>
        <v>0</v>
      </c>
      <c r="M27" s="101">
        <f>[11]産廃水産・医療・汚泥!$J$43</f>
        <v>0</v>
      </c>
      <c r="N27" s="97">
        <f>SUM(L27:M27)</f>
        <v>0</v>
      </c>
      <c r="O27" s="71">
        <f>ROUND(K27+N27,1)</f>
        <v>0</v>
      </c>
      <c r="P27" s="107">
        <f>[11]産廃水産・医療・汚泥!$V$43</f>
        <v>0</v>
      </c>
      <c r="Q27" s="101">
        <f>[11]産廃水産・医療・汚泥!$W$43</f>
        <v>0</v>
      </c>
      <c r="R27" s="69">
        <f>SUM(P27:Q27)</f>
        <v>0</v>
      </c>
    </row>
    <row r="28" spans="1:22" ht="17.25" customHeight="1" x14ac:dyDescent="0.15">
      <c r="A28" s="144">
        <v>3</v>
      </c>
      <c r="B28" s="103"/>
      <c r="C28" s="103"/>
      <c r="D28" s="103"/>
      <c r="E28" s="103"/>
      <c r="F28" s="103"/>
      <c r="G28" s="103"/>
      <c r="H28" s="70"/>
      <c r="I28" s="124"/>
      <c r="J28" s="103"/>
      <c r="K28" s="103"/>
      <c r="L28" s="103"/>
      <c r="M28" s="103"/>
      <c r="N28" s="103"/>
      <c r="O28" s="70"/>
      <c r="P28" s="67"/>
      <c r="Q28" s="98"/>
      <c r="R28" s="70"/>
    </row>
    <row r="29" spans="1:22" ht="17.25" customHeight="1" x14ac:dyDescent="0.15">
      <c r="A29" s="145"/>
      <c r="B29" s="104"/>
      <c r="C29" s="104"/>
      <c r="D29" s="31">
        <f>SUM(B29:C29)</f>
        <v>0</v>
      </c>
      <c r="E29" s="104"/>
      <c r="F29" s="104"/>
      <c r="G29" s="31">
        <f>SUM(E29:F29)</f>
        <v>0</v>
      </c>
      <c r="H29" s="71">
        <f>ROUND(D29+G29,1)</f>
        <v>0</v>
      </c>
      <c r="I29" s="108">
        <f>[6]産廃水産・医療・汚泥!$G$43</f>
        <v>0</v>
      </c>
      <c r="J29" s="104">
        <f>[12]産廃水産・医療・汚泥!$H$43</f>
        <v>0</v>
      </c>
      <c r="K29" s="31">
        <f>SUM(I29:J29)</f>
        <v>0</v>
      </c>
      <c r="L29" s="104">
        <f>[6]産廃水産・医療・汚泥!$I$43</f>
        <v>0</v>
      </c>
      <c r="M29" s="104">
        <f>[12]産廃水産・医療・汚泥!$J$43</f>
        <v>0</v>
      </c>
      <c r="N29" s="31">
        <f>SUM(L29:M29)</f>
        <v>0</v>
      </c>
      <c r="O29" s="71">
        <f>ROUND(K29+N29,1)</f>
        <v>0</v>
      </c>
      <c r="P29" s="108">
        <f>[12]産廃水産・医療・汚泥!$V$43</f>
        <v>0</v>
      </c>
      <c r="Q29" s="104">
        <f>[12]産廃水産・医療・汚泥!$W$43</f>
        <v>0</v>
      </c>
      <c r="R29" s="71">
        <f>SUM(P29:Q29)</f>
        <v>0</v>
      </c>
    </row>
    <row r="30" spans="1:22" ht="6" customHeight="1" x14ac:dyDescent="0.15">
      <c r="A30" s="5"/>
      <c r="B30" s="101"/>
      <c r="C30" s="101"/>
      <c r="D30" s="101"/>
      <c r="E30" s="101"/>
      <c r="F30" s="101"/>
      <c r="G30" s="101"/>
      <c r="H30" s="69"/>
      <c r="I30" s="108"/>
      <c r="J30" s="101"/>
      <c r="K30" s="101"/>
      <c r="L30" s="101"/>
      <c r="M30" s="101"/>
      <c r="N30" s="101"/>
      <c r="O30" s="69"/>
      <c r="P30" s="109"/>
      <c r="Q30" s="97"/>
      <c r="R30" s="69"/>
    </row>
    <row r="31" spans="1:22" ht="22.5" customHeight="1" x14ac:dyDescent="0.15">
      <c r="A31" s="144" t="s">
        <v>0</v>
      </c>
      <c r="B31" s="103"/>
      <c r="C31" s="103"/>
      <c r="D31" s="103"/>
      <c r="E31" s="103"/>
      <c r="F31" s="103"/>
      <c r="G31" s="103"/>
      <c r="H31" s="70"/>
      <c r="I31" s="124"/>
      <c r="J31" s="103"/>
      <c r="K31" s="103"/>
      <c r="L31" s="103"/>
      <c r="M31" s="103"/>
      <c r="N31" s="103"/>
      <c r="O31" s="70"/>
      <c r="P31" s="67"/>
      <c r="Q31" s="98"/>
      <c r="R31" s="70"/>
    </row>
    <row r="32" spans="1:22" ht="24" customHeight="1" x14ac:dyDescent="0.15">
      <c r="A32" s="146"/>
      <c r="B32" s="105">
        <f t="shared" ref="B32:H32" si="0">SUM(B7+B9+B11+B13+B15+B17+B19+B21+B23+B25+B27+B29)</f>
        <v>0</v>
      </c>
      <c r="C32" s="105">
        <f t="shared" si="0"/>
        <v>0</v>
      </c>
      <c r="D32" s="105">
        <f t="shared" si="0"/>
        <v>0</v>
      </c>
      <c r="E32" s="105">
        <f t="shared" si="0"/>
        <v>0</v>
      </c>
      <c r="F32" s="105">
        <f t="shared" si="0"/>
        <v>0</v>
      </c>
      <c r="G32" s="105">
        <f t="shared" si="0"/>
        <v>0</v>
      </c>
      <c r="H32" s="72">
        <f t="shared" si="0"/>
        <v>0</v>
      </c>
      <c r="I32" s="125">
        <f t="shared" ref="I32:O32" si="1">SUM(I7+I9+I11+I13+I15+I17+I19+I21+I23+I25+I27+I29)</f>
        <v>0</v>
      </c>
      <c r="J32" s="105">
        <f t="shared" si="1"/>
        <v>0</v>
      </c>
      <c r="K32" s="105">
        <f t="shared" si="1"/>
        <v>0</v>
      </c>
      <c r="L32" s="105">
        <f t="shared" si="1"/>
        <v>0</v>
      </c>
      <c r="M32" s="105">
        <f t="shared" si="1"/>
        <v>0</v>
      </c>
      <c r="N32" s="105">
        <f t="shared" si="1"/>
        <v>0</v>
      </c>
      <c r="O32" s="72">
        <f t="shared" si="1"/>
        <v>0</v>
      </c>
      <c r="P32" s="32">
        <f>SUM(P7+P9+P11+P13+P15+P17+P19+P21+P23+P25+P27+P29)</f>
        <v>0</v>
      </c>
      <c r="Q32" s="100">
        <f>SUM(Q7+Q9+Q11+Q13+Q15+Q17+Q19+Q21+Q23+Q25+Q27+Q29)</f>
        <v>0</v>
      </c>
      <c r="R32" s="72">
        <f>SUM(R7+R9+R11+R13+R15+R17+R19+R21+R23+R25+R27+R29)</f>
        <v>0</v>
      </c>
    </row>
  </sheetData>
  <mergeCells count="14">
    <mergeCell ref="A1:P1"/>
    <mergeCell ref="A6:A7"/>
    <mergeCell ref="A8:A9"/>
    <mergeCell ref="A31:A32"/>
    <mergeCell ref="A24:A25"/>
    <mergeCell ref="A20:A21"/>
    <mergeCell ref="A10:A11"/>
    <mergeCell ref="A26:A27"/>
    <mergeCell ref="A22:A23"/>
    <mergeCell ref="A28:A29"/>
    <mergeCell ref="A14:A15"/>
    <mergeCell ref="A18:A19"/>
    <mergeCell ref="A12:A13"/>
    <mergeCell ref="A16:A17"/>
  </mergeCells>
  <phoneticPr fontId="2"/>
  <printOptions horizontalCentered="1" verticalCentered="1"/>
  <pageMargins left="0.39370078740157483" right="0.39370078740157483" top="0.39370078740157483" bottom="0.39370078740157483" header="0" footer="0"/>
  <pageSetup paperSize="9" orientation="landscape" horizontalDpi="4294967293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E5A8-84B4-481D-A369-9DDBCCD67B6E}">
  <dimension ref="A1:X32"/>
  <sheetViews>
    <sheetView workbookViewId="0">
      <selection sqref="A1:N1"/>
    </sheetView>
  </sheetViews>
  <sheetFormatPr defaultRowHeight="13.5" x14ac:dyDescent="0.15"/>
  <cols>
    <col min="1" max="1" width="3.125" customWidth="1"/>
    <col min="2" max="8" width="6.125" customWidth="1"/>
    <col min="9" max="9" width="3.125" customWidth="1"/>
    <col min="10" max="16" width="6.125" customWidth="1"/>
    <col min="17" max="17" width="3.125" customWidth="1"/>
    <col min="18" max="24" width="6.125" customWidth="1"/>
  </cols>
  <sheetData>
    <row r="1" spans="1:24" ht="20.25" customHeight="1" x14ac:dyDescent="0.15">
      <c r="A1" s="147" t="str">
        <f>"令和"&amp;'[1]A-1'!$E$9-2018&amp;"年度　一般廃棄物(有価物)発生地区別集計表　　【第5 - 1表】"</f>
        <v>令和9年度　一般廃棄物(有価物)発生地区別集計表　　【第5 - 1表】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4" ht="13.5" customHeight="1" x14ac:dyDescent="0.15"/>
    <row r="3" spans="1:24" ht="18.75" customHeight="1" x14ac:dyDescent="0.15">
      <c r="B3" t="s">
        <v>41</v>
      </c>
      <c r="J3" t="s">
        <v>33</v>
      </c>
      <c r="O3" s="4"/>
      <c r="P3" s="4"/>
      <c r="R3" t="s">
        <v>42</v>
      </c>
      <c r="X3" s="4" t="s">
        <v>1</v>
      </c>
    </row>
    <row r="4" spans="1:24" ht="7.5" customHeight="1" x14ac:dyDescent="0.15"/>
    <row r="5" spans="1:24" ht="18" customHeight="1" x14ac:dyDescent="0.15">
      <c r="A5" s="46" t="s">
        <v>2</v>
      </c>
      <c r="B5" s="17" t="s">
        <v>6</v>
      </c>
      <c r="C5" s="13" t="s">
        <v>11</v>
      </c>
      <c r="D5" s="13" t="s">
        <v>21</v>
      </c>
      <c r="E5" s="13" t="s">
        <v>4</v>
      </c>
      <c r="F5" s="13" t="s">
        <v>7</v>
      </c>
      <c r="G5" s="13" t="s">
        <v>5</v>
      </c>
      <c r="H5" s="15" t="s">
        <v>8</v>
      </c>
      <c r="I5" s="46" t="s">
        <v>2</v>
      </c>
      <c r="J5" s="17" t="s">
        <v>6</v>
      </c>
      <c r="K5" s="13" t="s">
        <v>11</v>
      </c>
      <c r="L5" s="13" t="s">
        <v>21</v>
      </c>
      <c r="M5" s="13" t="s">
        <v>4</v>
      </c>
      <c r="N5" s="13" t="s">
        <v>7</v>
      </c>
      <c r="O5" s="13" t="s">
        <v>5</v>
      </c>
      <c r="P5" s="15" t="s">
        <v>8</v>
      </c>
      <c r="Q5" s="46" t="s">
        <v>2</v>
      </c>
      <c r="R5" s="17" t="s">
        <v>6</v>
      </c>
      <c r="S5" s="13" t="s">
        <v>11</v>
      </c>
      <c r="T5" s="13" t="s">
        <v>21</v>
      </c>
      <c r="U5" s="13" t="s">
        <v>4</v>
      </c>
      <c r="V5" s="13" t="s">
        <v>7</v>
      </c>
      <c r="W5" s="13" t="s">
        <v>5</v>
      </c>
      <c r="X5" s="16" t="s">
        <v>8</v>
      </c>
    </row>
    <row r="6" spans="1:24" ht="17.25" customHeight="1" x14ac:dyDescent="0.15">
      <c r="A6" s="172">
        <v>4</v>
      </c>
      <c r="B6" s="110"/>
      <c r="C6" s="110"/>
      <c r="D6" s="110"/>
      <c r="E6" s="110"/>
      <c r="F6" s="110"/>
      <c r="G6" s="110"/>
      <c r="H6" s="39"/>
      <c r="I6" s="175">
        <v>4</v>
      </c>
      <c r="J6" s="110"/>
      <c r="K6" s="110"/>
      <c r="L6" s="110"/>
      <c r="M6" s="110"/>
      <c r="N6" s="110"/>
      <c r="O6" s="110"/>
      <c r="P6" s="39"/>
      <c r="Q6" s="175">
        <v>4</v>
      </c>
      <c r="R6" s="110"/>
      <c r="S6" s="110"/>
      <c r="T6" s="110"/>
      <c r="U6" s="110"/>
      <c r="V6" s="110"/>
      <c r="W6" s="110"/>
      <c r="X6" s="132"/>
    </row>
    <row r="7" spans="1:24" ht="17.25" customHeight="1" x14ac:dyDescent="0.15">
      <c r="A7" s="172"/>
      <c r="B7" s="47">
        <f>[1]ペットボトル!$B$43
+[1]ペットボトル!$M$43</f>
        <v>0</v>
      </c>
      <c r="C7" s="47">
        <f>[1]ペットボトル!$C$43
+[1]ペットボトル!$N$43</f>
        <v>0</v>
      </c>
      <c r="D7" s="47">
        <f>SUM(B7:C7)</f>
        <v>0</v>
      </c>
      <c r="E7" s="47">
        <f>[1]ペットボトル!$D$43
+[1]ペットボトル!$O$43</f>
        <v>0</v>
      </c>
      <c r="F7" s="47">
        <f>[1]ペットボトル!$E$43
+[1]ペットボトル!$P$43</f>
        <v>0</v>
      </c>
      <c r="G7" s="47">
        <f>SUM(E7:F7)</f>
        <v>0</v>
      </c>
      <c r="H7" s="43">
        <f>SUM(D7+G7)</f>
        <v>0</v>
      </c>
      <c r="I7" s="169"/>
      <c r="J7" s="47">
        <f>[1]缶類!$B$43
+[1]缶類!$M$43</f>
        <v>0</v>
      </c>
      <c r="K7" s="47">
        <f>[1]缶類!$C$43
+[1]缶類!$N$43</f>
        <v>0</v>
      </c>
      <c r="L7" s="47">
        <f>SUM(J7:K7)</f>
        <v>0</v>
      </c>
      <c r="M7" s="47">
        <f>[1]缶類!$D$43
+[1]缶類!$O$43</f>
        <v>0</v>
      </c>
      <c r="N7" s="47">
        <f>[1]缶類!$E$43
+[1]缶類!$P$43</f>
        <v>0</v>
      </c>
      <c r="O7" s="47">
        <f>SUM(M7:N7)</f>
        <v>0</v>
      </c>
      <c r="P7" s="43">
        <f>ROUND(L7+O7,1)</f>
        <v>0</v>
      </c>
      <c r="Q7" s="169"/>
      <c r="R7" s="47">
        <f>[1]紙類!$B$43</f>
        <v>0</v>
      </c>
      <c r="S7" s="47">
        <f>[1]紙類!$C$43</f>
        <v>0</v>
      </c>
      <c r="T7" s="47">
        <f>SUM(R7:S7)</f>
        <v>0</v>
      </c>
      <c r="U7" s="47">
        <f>[1]紙類!$D$43</f>
        <v>0</v>
      </c>
      <c r="V7" s="47">
        <f>[1]紙類!$E$43</f>
        <v>0</v>
      </c>
      <c r="W7" s="47">
        <f>SUM(U7:V7)</f>
        <v>0</v>
      </c>
      <c r="X7" s="133">
        <f>ROUND(T7+W7,1)</f>
        <v>0</v>
      </c>
    </row>
    <row r="8" spans="1:24" ht="17.25" customHeight="1" x14ac:dyDescent="0.15">
      <c r="A8" s="173">
        <v>5</v>
      </c>
      <c r="B8" s="111"/>
      <c r="C8" s="111"/>
      <c r="D8" s="111"/>
      <c r="E8" s="111"/>
      <c r="F8" s="111"/>
      <c r="G8" s="111"/>
      <c r="H8" s="114"/>
      <c r="I8" s="170">
        <v>5</v>
      </c>
      <c r="J8" s="111"/>
      <c r="K8" s="111"/>
      <c r="L8" s="111"/>
      <c r="M8" s="111"/>
      <c r="N8" s="111"/>
      <c r="O8" s="111"/>
      <c r="P8" s="114"/>
      <c r="Q8" s="170">
        <v>5</v>
      </c>
      <c r="R8" s="111"/>
      <c r="S8" s="111"/>
      <c r="T8" s="111"/>
      <c r="U8" s="111"/>
      <c r="V8" s="111"/>
      <c r="W8" s="111"/>
      <c r="X8" s="134"/>
    </row>
    <row r="9" spans="1:24" ht="17.25" customHeight="1" x14ac:dyDescent="0.15">
      <c r="A9" s="174"/>
      <c r="B9" s="47">
        <f>[2]ペットボトル!$B$43
+[2]ペットボトル!$M$43</f>
        <v>0</v>
      </c>
      <c r="C9" s="47">
        <f>[2]ペットボトル!$C$43
+[2]ペットボトル!$N$43</f>
        <v>0</v>
      </c>
      <c r="D9" s="47">
        <f>SUM(B9:C9)</f>
        <v>0</v>
      </c>
      <c r="E9" s="47">
        <f>[2]ペットボトル!$D$43
+[2]ペットボトル!$O$43</f>
        <v>0</v>
      </c>
      <c r="F9" s="47">
        <f>[2]ペットボトル!$E$43
+[2]ペットボトル!$P$43</f>
        <v>0</v>
      </c>
      <c r="G9" s="110">
        <f>SUM(E9:F9)</f>
        <v>0</v>
      </c>
      <c r="H9" s="39">
        <f>SUM(D9+G9)</f>
        <v>0</v>
      </c>
      <c r="I9" s="171"/>
      <c r="J9" s="47">
        <f>[2]缶類!$B$43
+[2]缶類!$M$43</f>
        <v>0</v>
      </c>
      <c r="K9" s="47">
        <f>[2]缶類!$C$43
+[2]缶類!$N$43</f>
        <v>0</v>
      </c>
      <c r="L9" s="47">
        <f>SUM(J9:K9)</f>
        <v>0</v>
      </c>
      <c r="M9" s="47">
        <f>[2]缶類!$D$43
+[2]缶類!$O$43</f>
        <v>0</v>
      </c>
      <c r="N9" s="47">
        <f>[2]缶類!$E$43
+[2]缶類!$P$43</f>
        <v>0</v>
      </c>
      <c r="O9" s="110">
        <f>SUM(M9:N9)</f>
        <v>0</v>
      </c>
      <c r="P9" s="39">
        <f>ROUND(L9+O9,1)</f>
        <v>0</v>
      </c>
      <c r="Q9" s="171"/>
      <c r="R9" s="47">
        <f>[2]紙類!$B$43</f>
        <v>0</v>
      </c>
      <c r="S9" s="47">
        <f>[2]紙類!$C$43</f>
        <v>0</v>
      </c>
      <c r="T9" s="47">
        <f>SUM(R9:S9)</f>
        <v>0</v>
      </c>
      <c r="U9" s="47">
        <f>[2]紙類!$D$43</f>
        <v>0</v>
      </c>
      <c r="V9" s="47">
        <f>[2]紙類!$E$43</f>
        <v>0</v>
      </c>
      <c r="W9" s="110">
        <f>SUM(U9:V9)</f>
        <v>0</v>
      </c>
      <c r="X9" s="132">
        <f>ROUND(T9+W9,1)</f>
        <v>0</v>
      </c>
    </row>
    <row r="10" spans="1:24" ht="17.25" customHeight="1" x14ac:dyDescent="0.15">
      <c r="A10" s="172">
        <v>6</v>
      </c>
      <c r="B10" s="111"/>
      <c r="C10" s="111"/>
      <c r="D10" s="111"/>
      <c r="E10" s="111"/>
      <c r="F10" s="111"/>
      <c r="G10" s="111"/>
      <c r="H10" s="114"/>
      <c r="I10" s="169">
        <v>6</v>
      </c>
      <c r="J10" s="111"/>
      <c r="K10" s="111"/>
      <c r="L10" s="111"/>
      <c r="M10" s="111"/>
      <c r="N10" s="111"/>
      <c r="O10" s="111"/>
      <c r="P10" s="114"/>
      <c r="Q10" s="169">
        <v>6</v>
      </c>
      <c r="R10" s="111"/>
      <c r="S10" s="111"/>
      <c r="T10" s="111"/>
      <c r="U10" s="111"/>
      <c r="V10" s="111"/>
      <c r="W10" s="111"/>
      <c r="X10" s="134"/>
    </row>
    <row r="11" spans="1:24" ht="17.25" customHeight="1" x14ac:dyDescent="0.15">
      <c r="A11" s="172"/>
      <c r="B11" s="47">
        <f>[3]ペットボトル!$B$43
+[3]ペットボトル!$M$43</f>
        <v>0</v>
      </c>
      <c r="C11" s="47">
        <f>[3]ペットボトル!$C$43
+[3]ペットボトル!$N$43</f>
        <v>0</v>
      </c>
      <c r="D11" s="47">
        <f>SUM(B11:C11)</f>
        <v>0</v>
      </c>
      <c r="E11" s="47">
        <f>[3]ペットボトル!$D$43
+[3]ペットボトル!$O$43</f>
        <v>0</v>
      </c>
      <c r="F11" s="47">
        <f>[3]ペットボトル!$E$43
+[3]ペットボトル!$P$43</f>
        <v>0</v>
      </c>
      <c r="G11" s="47">
        <f>SUM(E11:F11)</f>
        <v>0</v>
      </c>
      <c r="H11" s="39">
        <f>SUM(D11+G11)</f>
        <v>0</v>
      </c>
      <c r="I11" s="169"/>
      <c r="J11" s="47">
        <f>[3]缶類!$B$43
+[3]缶類!$M$43</f>
        <v>0</v>
      </c>
      <c r="K11" s="47">
        <f>[3]缶類!$C$43
+[3]缶類!$N$43</f>
        <v>0</v>
      </c>
      <c r="L11" s="47">
        <f>SUM(J11:K11)</f>
        <v>0</v>
      </c>
      <c r="M11" s="47">
        <f>[3]缶類!$D$43
+[3]缶類!$O$43</f>
        <v>0</v>
      </c>
      <c r="N11" s="47">
        <f>[3]缶類!$E$43
+[3]缶類!$P$43</f>
        <v>0</v>
      </c>
      <c r="O11" s="47">
        <f>SUM(M11:N11)</f>
        <v>0</v>
      </c>
      <c r="P11" s="39">
        <f>ROUND(L11+O11,1)</f>
        <v>0</v>
      </c>
      <c r="Q11" s="169"/>
      <c r="R11" s="47">
        <f>[3]紙類!$B$43</f>
        <v>0</v>
      </c>
      <c r="S11" s="47">
        <f>[3]紙類!$C$43</f>
        <v>0</v>
      </c>
      <c r="T11" s="47">
        <f>SUM(R11:S11)</f>
        <v>0</v>
      </c>
      <c r="U11" s="47">
        <f>[3]紙類!$D$43</f>
        <v>0</v>
      </c>
      <c r="V11" s="47">
        <f>[3]紙類!$E$43</f>
        <v>0</v>
      </c>
      <c r="W11" s="47">
        <f>SUM(U11:V11)</f>
        <v>0</v>
      </c>
      <c r="X11" s="132">
        <f>ROUND(T11+W11,1)</f>
        <v>0</v>
      </c>
    </row>
    <row r="12" spans="1:24" ht="17.25" customHeight="1" x14ac:dyDescent="0.15">
      <c r="A12" s="173">
        <v>7</v>
      </c>
      <c r="B12" s="111"/>
      <c r="C12" s="111"/>
      <c r="D12" s="111"/>
      <c r="E12" s="111"/>
      <c r="F12" s="111"/>
      <c r="G12" s="111"/>
      <c r="H12" s="114"/>
      <c r="I12" s="170">
        <v>7</v>
      </c>
      <c r="J12" s="111"/>
      <c r="K12" s="111"/>
      <c r="L12" s="111"/>
      <c r="M12" s="111"/>
      <c r="N12" s="111"/>
      <c r="O12" s="111"/>
      <c r="P12" s="114"/>
      <c r="Q12" s="170">
        <v>7</v>
      </c>
      <c r="R12" s="111"/>
      <c r="S12" s="111"/>
      <c r="T12" s="111"/>
      <c r="U12" s="111"/>
      <c r="V12" s="111"/>
      <c r="W12" s="111"/>
      <c r="X12" s="134"/>
    </row>
    <row r="13" spans="1:24" ht="17.25" customHeight="1" x14ac:dyDescent="0.15">
      <c r="A13" s="174"/>
      <c r="B13" s="47">
        <f>[4]ペットボトル!$B$43
+[4]ペットボトル!$M$43</f>
        <v>0</v>
      </c>
      <c r="C13" s="47">
        <f>[4]ペットボトル!$C$43
+[4]ペットボトル!$N$43</f>
        <v>0</v>
      </c>
      <c r="D13" s="47">
        <f>SUM(B13:C13)</f>
        <v>0</v>
      </c>
      <c r="E13" s="47">
        <f>[4]ペットボトル!$D$43
+[4]ペットボトル!$O$43</f>
        <v>0</v>
      </c>
      <c r="F13" s="47">
        <f>[4]ペットボトル!$E$43
+[4]ペットボトル!$P$43</f>
        <v>0</v>
      </c>
      <c r="G13" s="47">
        <f>SUM(E13:F13)</f>
        <v>0</v>
      </c>
      <c r="H13" s="43">
        <f>SUM(D13+G13)</f>
        <v>0</v>
      </c>
      <c r="I13" s="171"/>
      <c r="J13" s="47">
        <f>[4]缶類!$B$43
+[4]缶類!$M$43</f>
        <v>0</v>
      </c>
      <c r="K13" s="47">
        <f>[4]缶類!$C$43
+[4]缶類!$N$43</f>
        <v>0</v>
      </c>
      <c r="L13" s="47">
        <f>SUM(J13:K13)</f>
        <v>0</v>
      </c>
      <c r="M13" s="47">
        <f>[4]缶類!$D$43
+[4]缶類!$O$43</f>
        <v>0</v>
      </c>
      <c r="N13" s="47">
        <f>[4]缶類!$E$43
+[4]缶類!$P$43</f>
        <v>0</v>
      </c>
      <c r="O13" s="47">
        <f>SUM(M13:N13)</f>
        <v>0</v>
      </c>
      <c r="P13" s="43">
        <f>ROUND(L13+O13,1)</f>
        <v>0</v>
      </c>
      <c r="Q13" s="171"/>
      <c r="R13" s="47">
        <f>[4]紙類!$B$43</f>
        <v>0</v>
      </c>
      <c r="S13" s="47">
        <f>[4]紙類!$C$43</f>
        <v>0</v>
      </c>
      <c r="T13" s="47">
        <f>SUM(R13:S13)</f>
        <v>0</v>
      </c>
      <c r="U13" s="47">
        <f>[4]紙類!$D$43</f>
        <v>0</v>
      </c>
      <c r="V13" s="47">
        <f>[4]紙類!$E$43</f>
        <v>0</v>
      </c>
      <c r="W13" s="47">
        <f>SUM(U13:V13)</f>
        <v>0</v>
      </c>
      <c r="X13" s="133">
        <f>ROUND(T13+W13,1)</f>
        <v>0</v>
      </c>
    </row>
    <row r="14" spans="1:24" ht="17.25" customHeight="1" x14ac:dyDescent="0.15">
      <c r="A14" s="172">
        <v>8</v>
      </c>
      <c r="B14" s="111"/>
      <c r="C14" s="111"/>
      <c r="D14" s="111"/>
      <c r="E14" s="111"/>
      <c r="F14" s="111"/>
      <c r="G14" s="110"/>
      <c r="H14" s="39"/>
      <c r="I14" s="169">
        <v>8</v>
      </c>
      <c r="J14" s="111"/>
      <c r="K14" s="111"/>
      <c r="L14" s="111"/>
      <c r="M14" s="111"/>
      <c r="N14" s="111"/>
      <c r="O14" s="110"/>
      <c r="P14" s="39"/>
      <c r="Q14" s="169">
        <v>8</v>
      </c>
      <c r="R14" s="111"/>
      <c r="S14" s="111"/>
      <c r="T14" s="111"/>
      <c r="U14" s="111"/>
      <c r="V14" s="111"/>
      <c r="W14" s="110"/>
      <c r="X14" s="132"/>
    </row>
    <row r="15" spans="1:24" ht="17.25" customHeight="1" x14ac:dyDescent="0.15">
      <c r="A15" s="172"/>
      <c r="B15" s="47">
        <f>[5]ペットボトル!$B$43
+[5]ペットボトル!$M$43</f>
        <v>0</v>
      </c>
      <c r="C15" s="47">
        <f>[5]ペットボトル!$C$43
+[5]ペットボトル!$N$43</f>
        <v>0</v>
      </c>
      <c r="D15" s="47">
        <f>SUM(B15:C15)</f>
        <v>0</v>
      </c>
      <c r="E15" s="47">
        <f>[5]ペットボトル!$D$43
+[5]ペットボトル!$O$43</f>
        <v>0</v>
      </c>
      <c r="F15" s="47">
        <f>[5]ペットボトル!$E$43
+[5]ペットボトル!$P$43</f>
        <v>0</v>
      </c>
      <c r="G15" s="47">
        <f>SUM(E15:F15)</f>
        <v>0</v>
      </c>
      <c r="H15" s="43">
        <f>SUM(D15+G15)</f>
        <v>0</v>
      </c>
      <c r="I15" s="169"/>
      <c r="J15" s="47">
        <f>[5]缶類!$B$43
+[5]缶類!$M$43</f>
        <v>0</v>
      </c>
      <c r="K15" s="47">
        <f>[5]缶類!$C$43
+[5]缶類!$N$43</f>
        <v>0</v>
      </c>
      <c r="L15" s="47">
        <f>SUM(J15:K15)</f>
        <v>0</v>
      </c>
      <c r="M15" s="47">
        <f>[5]缶類!$D$43
+[5]缶類!$O$43</f>
        <v>0</v>
      </c>
      <c r="N15" s="47">
        <f>[5]缶類!$E$43
+[5]缶類!$P$43</f>
        <v>0</v>
      </c>
      <c r="O15" s="47">
        <f>SUM(M15:N15)</f>
        <v>0</v>
      </c>
      <c r="P15" s="43">
        <f>ROUND(L15+O15,1)</f>
        <v>0</v>
      </c>
      <c r="Q15" s="169"/>
      <c r="R15" s="47">
        <f>[5]紙類!$B$43</f>
        <v>0</v>
      </c>
      <c r="S15" s="47">
        <f>[5]紙類!$C$43</f>
        <v>0</v>
      </c>
      <c r="T15" s="47">
        <f>SUM(R15:S15)</f>
        <v>0</v>
      </c>
      <c r="U15" s="47">
        <f>[5]紙類!$D$43</f>
        <v>0</v>
      </c>
      <c r="V15" s="47">
        <f>[5]紙類!$E$43</f>
        <v>0</v>
      </c>
      <c r="W15" s="47">
        <f>SUM(U15:V15)</f>
        <v>0</v>
      </c>
      <c r="X15" s="133">
        <f>ROUND(T15+W15,1)</f>
        <v>0</v>
      </c>
    </row>
    <row r="16" spans="1:24" ht="17.25" customHeight="1" x14ac:dyDescent="0.15">
      <c r="A16" s="173">
        <v>9</v>
      </c>
      <c r="B16" s="111"/>
      <c r="C16" s="111"/>
      <c r="D16" s="111"/>
      <c r="E16" s="111"/>
      <c r="F16" s="111"/>
      <c r="G16" s="111"/>
      <c r="H16" s="114"/>
      <c r="I16" s="170">
        <v>9</v>
      </c>
      <c r="J16" s="111"/>
      <c r="K16" s="111"/>
      <c r="L16" s="111"/>
      <c r="M16" s="111"/>
      <c r="N16" s="111"/>
      <c r="O16" s="111"/>
      <c r="P16" s="114"/>
      <c r="Q16" s="170">
        <v>9</v>
      </c>
      <c r="R16" s="111"/>
      <c r="S16" s="111"/>
      <c r="T16" s="111"/>
      <c r="U16" s="111"/>
      <c r="V16" s="111"/>
      <c r="W16" s="111"/>
      <c r="X16" s="134"/>
    </row>
    <row r="17" spans="1:24" ht="17.25" customHeight="1" x14ac:dyDescent="0.15">
      <c r="A17" s="174"/>
      <c r="B17" s="47">
        <f>[6]ペットボトル!$B$43
+[6]ペットボトル!$M$43</f>
        <v>0</v>
      </c>
      <c r="C17" s="47">
        <f>[6]ペットボトル!$C$43
+[6]ペットボトル!$N$43</f>
        <v>0</v>
      </c>
      <c r="D17" s="47">
        <f>SUM(B17:C17)</f>
        <v>0</v>
      </c>
      <c r="E17" s="47">
        <f>[6]ペットボトル!$D$43
+[6]ペットボトル!$O$43</f>
        <v>0</v>
      </c>
      <c r="F17" s="47">
        <f>[6]ペットボトル!$E$43
+[6]ペットボトル!$P$43</f>
        <v>0</v>
      </c>
      <c r="G17" s="110">
        <f>SUM(E17:F17)</f>
        <v>0</v>
      </c>
      <c r="H17" s="43">
        <f>SUM(D17+G17)</f>
        <v>0</v>
      </c>
      <c r="I17" s="171"/>
      <c r="J17" s="47">
        <f>[6]缶類!$B$43
+[6]缶類!$M$43</f>
        <v>0</v>
      </c>
      <c r="K17" s="47">
        <f>[6]缶類!$C$43
+[6]缶類!$N$43</f>
        <v>0</v>
      </c>
      <c r="L17" s="47">
        <f>SUM(J17:K17)</f>
        <v>0</v>
      </c>
      <c r="M17" s="47">
        <f>[6]缶類!$D$43
+[6]缶類!$O$43</f>
        <v>0</v>
      </c>
      <c r="N17" s="47">
        <f>[6]缶類!$E$43
+[6]缶類!$P$43</f>
        <v>0</v>
      </c>
      <c r="O17" s="110">
        <f>SUM(M17:N17)</f>
        <v>0</v>
      </c>
      <c r="P17" s="43">
        <f>ROUND(L17+O17,1)</f>
        <v>0</v>
      </c>
      <c r="Q17" s="171"/>
      <c r="R17" s="47">
        <f>[6]紙類!$B$43</f>
        <v>0</v>
      </c>
      <c r="S17" s="47">
        <f>[6]紙類!$C$43</f>
        <v>0</v>
      </c>
      <c r="T17" s="47">
        <f>SUM(R17:S17)</f>
        <v>0</v>
      </c>
      <c r="U17" s="47">
        <f>[6]紙類!$D$43</f>
        <v>0</v>
      </c>
      <c r="V17" s="47">
        <f>[6]紙類!$E$43</f>
        <v>0</v>
      </c>
      <c r="W17" s="110">
        <f>SUM(U17:V17)</f>
        <v>0</v>
      </c>
      <c r="X17" s="133">
        <f>ROUND(T17+W17,1)</f>
        <v>0</v>
      </c>
    </row>
    <row r="18" spans="1:24" ht="17.25" customHeight="1" x14ac:dyDescent="0.15">
      <c r="A18" s="172">
        <v>10</v>
      </c>
      <c r="B18" s="111"/>
      <c r="C18" s="111"/>
      <c r="D18" s="111"/>
      <c r="E18" s="111"/>
      <c r="F18" s="111"/>
      <c r="G18" s="111"/>
      <c r="H18" s="114"/>
      <c r="I18" s="169">
        <v>10</v>
      </c>
      <c r="J18" s="111"/>
      <c r="K18" s="111"/>
      <c r="L18" s="111"/>
      <c r="M18" s="111"/>
      <c r="N18" s="111"/>
      <c r="O18" s="111"/>
      <c r="P18" s="114"/>
      <c r="Q18" s="169">
        <v>10</v>
      </c>
      <c r="R18" s="111"/>
      <c r="S18" s="111"/>
      <c r="T18" s="111"/>
      <c r="U18" s="111"/>
      <c r="V18" s="111"/>
      <c r="W18" s="111"/>
      <c r="X18" s="134"/>
    </row>
    <row r="19" spans="1:24" ht="17.25" customHeight="1" x14ac:dyDescent="0.15">
      <c r="A19" s="172"/>
      <c r="B19" s="47">
        <f>[7]ペットボトル!$B$43
+[6]ペットボトル!$M$43</f>
        <v>0</v>
      </c>
      <c r="C19" s="47">
        <f>[7]ペットボトル!$C$43
+[6]ペットボトル!$N$43</f>
        <v>0</v>
      </c>
      <c r="D19" s="47">
        <f>SUM(B19:C19)</f>
        <v>0</v>
      </c>
      <c r="E19" s="47">
        <f>[7]ペットボトル!$D$43
+[6]ペットボトル!$O$43</f>
        <v>0</v>
      </c>
      <c r="F19" s="47">
        <f>[7]ペットボトル!$E$43
+[6]ペットボトル!$P$43</f>
        <v>0</v>
      </c>
      <c r="G19" s="110">
        <f>SUM(E19:F19)</f>
        <v>0</v>
      </c>
      <c r="H19" s="43">
        <f>SUM(D19+G19)</f>
        <v>0</v>
      </c>
      <c r="I19" s="169"/>
      <c r="J19" s="47">
        <f>[7]缶類!$B$43
+[7]缶類!$M$43</f>
        <v>0</v>
      </c>
      <c r="K19" s="47">
        <f>[7]缶類!$C$43
+[7]缶類!$N$43</f>
        <v>0</v>
      </c>
      <c r="L19" s="47">
        <f>SUM(J19:K19)</f>
        <v>0</v>
      </c>
      <c r="M19" s="47">
        <f>[7]缶類!$D$43
+[7]缶類!$O$43</f>
        <v>0</v>
      </c>
      <c r="N19" s="47">
        <f>[7]缶類!$E$43
+[7]缶類!$P$43</f>
        <v>0</v>
      </c>
      <c r="O19" s="110">
        <f>SUM(M19:N19)</f>
        <v>0</v>
      </c>
      <c r="P19" s="39">
        <f>ROUND(L19+O19,1)</f>
        <v>0</v>
      </c>
      <c r="Q19" s="169"/>
      <c r="R19" s="47">
        <f>[7]紙類!$B$43</f>
        <v>0</v>
      </c>
      <c r="S19" s="47">
        <f>[7]紙類!$C$43</f>
        <v>0</v>
      </c>
      <c r="T19" s="47">
        <f>SUM(R19:S19)</f>
        <v>0</v>
      </c>
      <c r="U19" s="47">
        <f>[7]紙類!$D$43</f>
        <v>0</v>
      </c>
      <c r="V19" s="47">
        <f>[7]紙類!$E$43</f>
        <v>0</v>
      </c>
      <c r="W19" s="110">
        <f>SUM(U19:V19)</f>
        <v>0</v>
      </c>
      <c r="X19" s="132">
        <f>ROUND(T19+W19,1)</f>
        <v>0</v>
      </c>
    </row>
    <row r="20" spans="1:24" ht="17.25" customHeight="1" x14ac:dyDescent="0.15">
      <c r="A20" s="173">
        <v>11</v>
      </c>
      <c r="B20" s="111"/>
      <c r="C20" s="111"/>
      <c r="D20" s="111"/>
      <c r="E20" s="111"/>
      <c r="F20" s="111"/>
      <c r="G20" s="111"/>
      <c r="H20" s="114"/>
      <c r="I20" s="170">
        <v>11</v>
      </c>
      <c r="J20" s="111"/>
      <c r="K20" s="111"/>
      <c r="L20" s="111"/>
      <c r="M20" s="111"/>
      <c r="N20" s="111"/>
      <c r="O20" s="111"/>
      <c r="P20" s="114"/>
      <c r="Q20" s="170">
        <v>11</v>
      </c>
      <c r="R20" s="111"/>
      <c r="S20" s="111"/>
      <c r="T20" s="111"/>
      <c r="U20" s="111"/>
      <c r="V20" s="111"/>
      <c r="W20" s="111"/>
      <c r="X20" s="134"/>
    </row>
    <row r="21" spans="1:24" ht="17.25" customHeight="1" x14ac:dyDescent="0.15">
      <c r="A21" s="174"/>
      <c r="B21" s="47">
        <f>[8]ペットボトル!$B$43
+[6]ペットボトル!$M$43</f>
        <v>0</v>
      </c>
      <c r="C21" s="47">
        <f>[8]ペットボトル!$C$43
+[6]ペットボトル!$N$43</f>
        <v>0</v>
      </c>
      <c r="D21" s="47">
        <f>SUM(B21:C21)</f>
        <v>0</v>
      </c>
      <c r="E21" s="47">
        <f>[8]ペットボトル!$D$43
+[6]ペットボトル!$O$43</f>
        <v>0</v>
      </c>
      <c r="F21" s="47">
        <f>[8]ペットボトル!$E$43
+[6]ペットボトル!$P$43</f>
        <v>0</v>
      </c>
      <c r="G21" s="110">
        <f>SUM(E21:F21)</f>
        <v>0</v>
      </c>
      <c r="H21" s="43">
        <f>SUM(D21+G21)</f>
        <v>0</v>
      </c>
      <c r="I21" s="171"/>
      <c r="J21" s="47">
        <f>[8]缶類!$B$43
+[8]缶類!$M$43</f>
        <v>0</v>
      </c>
      <c r="K21" s="47">
        <f>[8]缶類!$C$43
+[8]缶類!$N$43</f>
        <v>0</v>
      </c>
      <c r="L21" s="47">
        <f>SUM(J21:K21)</f>
        <v>0</v>
      </c>
      <c r="M21" s="47">
        <f>[8]缶類!$D$43
+[8]缶類!$O$43</f>
        <v>0</v>
      </c>
      <c r="N21" s="47">
        <f>[8]缶類!$E$43
+[8]缶類!$P$43</f>
        <v>0</v>
      </c>
      <c r="O21" s="110">
        <f>SUM(M21:N21)</f>
        <v>0</v>
      </c>
      <c r="P21" s="43">
        <f>ROUND(L21+O21,1)</f>
        <v>0</v>
      </c>
      <c r="Q21" s="171"/>
      <c r="R21" s="47">
        <f>[8]紙類!$B$43</f>
        <v>0</v>
      </c>
      <c r="S21" s="47">
        <f>[8]紙類!$C$43</f>
        <v>0</v>
      </c>
      <c r="T21" s="47">
        <f>SUM(R21:S21)</f>
        <v>0</v>
      </c>
      <c r="U21" s="47">
        <f>[8]紙類!$D$43</f>
        <v>0</v>
      </c>
      <c r="V21" s="47">
        <f>[8]紙類!$E$43</f>
        <v>0</v>
      </c>
      <c r="W21" s="110">
        <f>SUM(U21:V21)</f>
        <v>0</v>
      </c>
      <c r="X21" s="133">
        <f>ROUND(T21+W21,1)</f>
        <v>0</v>
      </c>
    </row>
    <row r="22" spans="1:24" ht="17.25" customHeight="1" x14ac:dyDescent="0.15">
      <c r="A22" s="172">
        <v>12</v>
      </c>
      <c r="B22" s="111"/>
      <c r="C22" s="111"/>
      <c r="D22" s="111"/>
      <c r="E22" s="111"/>
      <c r="F22" s="111"/>
      <c r="G22" s="111"/>
      <c r="H22" s="39"/>
      <c r="I22" s="169">
        <v>12</v>
      </c>
      <c r="J22" s="111"/>
      <c r="K22" s="111"/>
      <c r="L22" s="111"/>
      <c r="M22" s="111"/>
      <c r="N22" s="111"/>
      <c r="O22" s="111"/>
      <c r="P22" s="39"/>
      <c r="Q22" s="169">
        <v>12</v>
      </c>
      <c r="R22" s="111"/>
      <c r="S22" s="111"/>
      <c r="T22" s="111"/>
      <c r="U22" s="111"/>
      <c r="V22" s="111"/>
      <c r="W22" s="111"/>
      <c r="X22" s="132"/>
    </row>
    <row r="23" spans="1:24" ht="17.25" customHeight="1" x14ac:dyDescent="0.15">
      <c r="A23" s="172"/>
      <c r="B23" s="47">
        <f>[9]ペットボトル!$B$43
+[9]ペットボトル!$M$43</f>
        <v>0</v>
      </c>
      <c r="C23" s="47">
        <f>[9]ペットボトル!$C$43
+[9]ペットボトル!$N$43</f>
        <v>0</v>
      </c>
      <c r="D23" s="47">
        <f>SUM(B23:C23)</f>
        <v>0</v>
      </c>
      <c r="E23" s="47">
        <f>[9]ペットボトル!$D$43
+[9]ペットボトル!$O$43</f>
        <v>0</v>
      </c>
      <c r="F23" s="47">
        <f>[9]ペットボトル!$E$43
+[9]ペットボトル!$P$43</f>
        <v>0</v>
      </c>
      <c r="G23" s="110">
        <f>SUM(E23:F23)</f>
        <v>0</v>
      </c>
      <c r="H23" s="39">
        <f>SUM(D23+G23)</f>
        <v>0</v>
      </c>
      <c r="I23" s="169"/>
      <c r="J23" s="47">
        <f>[9]缶類!$B$43
+[9]缶類!$M$43</f>
        <v>0</v>
      </c>
      <c r="K23" s="47">
        <f>[9]缶類!$C$43
+[9]缶類!$N$43</f>
        <v>0</v>
      </c>
      <c r="L23" s="47">
        <f>SUM(J23:K23)</f>
        <v>0</v>
      </c>
      <c r="M23" s="47">
        <f>[9]缶類!$D$43
+[9]缶類!$O$43</f>
        <v>0</v>
      </c>
      <c r="N23" s="47">
        <f>[9]缶類!$E$43
+[9]缶類!$P$43</f>
        <v>0</v>
      </c>
      <c r="O23" s="110">
        <f>SUM(M23:N23)</f>
        <v>0</v>
      </c>
      <c r="P23" s="39">
        <f>ROUND(L23+O23,1)</f>
        <v>0</v>
      </c>
      <c r="Q23" s="169"/>
      <c r="R23" s="47">
        <f>[9]紙類!$B$43</f>
        <v>0</v>
      </c>
      <c r="S23" s="47">
        <f>[9]紙類!$C$43</f>
        <v>0</v>
      </c>
      <c r="T23" s="47">
        <f>SUM(R23:S23)</f>
        <v>0</v>
      </c>
      <c r="U23" s="47">
        <f>[9]紙類!$D$43</f>
        <v>0</v>
      </c>
      <c r="V23" s="47">
        <f>[9]紙類!$E$43</f>
        <v>0</v>
      </c>
      <c r="W23" s="110">
        <f>SUM(U23:V23)</f>
        <v>0</v>
      </c>
      <c r="X23" s="132">
        <f>ROUND(T23+W23,1)</f>
        <v>0</v>
      </c>
    </row>
    <row r="24" spans="1:24" ht="17.25" customHeight="1" x14ac:dyDescent="0.15">
      <c r="A24" s="173">
        <v>1</v>
      </c>
      <c r="B24" s="111"/>
      <c r="C24" s="111"/>
      <c r="D24" s="111"/>
      <c r="E24" s="111"/>
      <c r="F24" s="111"/>
      <c r="G24" s="111"/>
      <c r="H24" s="114"/>
      <c r="I24" s="170">
        <v>1</v>
      </c>
      <c r="J24" s="111"/>
      <c r="K24" s="111"/>
      <c r="L24" s="111"/>
      <c r="M24" s="111"/>
      <c r="N24" s="111"/>
      <c r="O24" s="111"/>
      <c r="P24" s="114"/>
      <c r="Q24" s="170">
        <v>1</v>
      </c>
      <c r="R24" s="111"/>
      <c r="S24" s="111"/>
      <c r="T24" s="111"/>
      <c r="U24" s="111"/>
      <c r="V24" s="111"/>
      <c r="W24" s="111"/>
      <c r="X24" s="134"/>
    </row>
    <row r="25" spans="1:24" ht="17.25" customHeight="1" x14ac:dyDescent="0.15">
      <c r="A25" s="174"/>
      <c r="B25" s="47">
        <f>[10]ペットボトル!$B$43
+[10]ペットボトル!$M$43</f>
        <v>0</v>
      </c>
      <c r="C25" s="47">
        <f>[10]ペットボトル!$C$43
+[10]ペットボトル!$N$43</f>
        <v>0</v>
      </c>
      <c r="D25" s="47">
        <f>SUM(B25:C25)</f>
        <v>0</v>
      </c>
      <c r="E25" s="47">
        <f>[10]ペットボトル!$D$43
+[10]ペットボトル!$O$43</f>
        <v>0</v>
      </c>
      <c r="F25" s="47">
        <f>[10]ペットボトル!$E$43
+[10]ペットボトル!$P$43</f>
        <v>0</v>
      </c>
      <c r="G25" s="110">
        <f>SUM(E25:F25)</f>
        <v>0</v>
      </c>
      <c r="H25" s="43">
        <f>SUM(D25+G25)</f>
        <v>0</v>
      </c>
      <c r="I25" s="171"/>
      <c r="J25" s="47">
        <f>[10]缶類!$B$43
+[10]缶類!$M$43</f>
        <v>0</v>
      </c>
      <c r="K25" s="47">
        <f>[10]缶類!$C$43
+[10]缶類!$N$43</f>
        <v>0</v>
      </c>
      <c r="L25" s="47">
        <f>SUM(J25:K25)</f>
        <v>0</v>
      </c>
      <c r="M25" s="47">
        <f>[10]缶類!$D$43
+[10]缶類!$O$43</f>
        <v>0</v>
      </c>
      <c r="N25" s="47">
        <f>[10]缶類!$E$43
+[10]缶類!$P$43</f>
        <v>0</v>
      </c>
      <c r="O25" s="110">
        <f>SUM(M25:N25)</f>
        <v>0</v>
      </c>
      <c r="P25" s="43">
        <f>ROUND(L25+O25,1)</f>
        <v>0</v>
      </c>
      <c r="Q25" s="171"/>
      <c r="R25" s="47">
        <f>[10]紙類!$B$43</f>
        <v>0</v>
      </c>
      <c r="S25" s="47">
        <f>[10]紙類!$C$43</f>
        <v>0</v>
      </c>
      <c r="T25" s="47">
        <f>SUM(R25:S25)</f>
        <v>0</v>
      </c>
      <c r="U25" s="47">
        <f>[10]紙類!$D$43</f>
        <v>0</v>
      </c>
      <c r="V25" s="47">
        <f>[10]紙類!$E$43</f>
        <v>0</v>
      </c>
      <c r="W25" s="110">
        <f>SUM(U25:V25)</f>
        <v>0</v>
      </c>
      <c r="X25" s="133">
        <f>ROUND(T25+W25,1)</f>
        <v>0</v>
      </c>
    </row>
    <row r="26" spans="1:24" ht="17.25" customHeight="1" x14ac:dyDescent="0.15">
      <c r="A26" s="172">
        <v>2</v>
      </c>
      <c r="B26" s="111"/>
      <c r="C26" s="111"/>
      <c r="D26" s="111"/>
      <c r="E26" s="111"/>
      <c r="F26" s="111"/>
      <c r="G26" s="111"/>
      <c r="H26" s="114"/>
      <c r="I26" s="169">
        <v>2</v>
      </c>
      <c r="J26" s="111"/>
      <c r="K26" s="111"/>
      <c r="L26" s="111"/>
      <c r="M26" s="111"/>
      <c r="N26" s="111"/>
      <c r="O26" s="111"/>
      <c r="P26" s="114"/>
      <c r="Q26" s="169">
        <v>2</v>
      </c>
      <c r="R26" s="111"/>
      <c r="S26" s="111"/>
      <c r="T26" s="111"/>
      <c r="U26" s="111"/>
      <c r="V26" s="111"/>
      <c r="W26" s="111"/>
      <c r="X26" s="134"/>
    </row>
    <row r="27" spans="1:24" ht="17.25" customHeight="1" x14ac:dyDescent="0.15">
      <c r="A27" s="172"/>
      <c r="B27" s="47">
        <f>[11]ペットボトル!$B$43
+[11]ペットボトル!$M$43</f>
        <v>0</v>
      </c>
      <c r="C27" s="47">
        <f>[11]ペットボトル!$C$43
+[11]ペットボトル!$N$43</f>
        <v>0</v>
      </c>
      <c r="D27" s="47">
        <f>SUM(B27:C27)</f>
        <v>0</v>
      </c>
      <c r="E27" s="47">
        <f>[11]ペットボトル!$D$43
+[11]ペットボトル!$O$43</f>
        <v>0</v>
      </c>
      <c r="F27" s="47">
        <f>[11]ペットボトル!$E$43
+[11]ペットボトル!$P$43</f>
        <v>0</v>
      </c>
      <c r="G27" s="110">
        <f>SUM(E27:F27)</f>
        <v>0</v>
      </c>
      <c r="H27" s="39">
        <f>SUM(D27+G27)</f>
        <v>0</v>
      </c>
      <c r="I27" s="169"/>
      <c r="J27" s="47">
        <f>[11]缶類!$B$43
+[11]缶類!$M$43</f>
        <v>0</v>
      </c>
      <c r="K27" s="47">
        <f>[11]缶類!$C$43
+[11]缶類!$N$43</f>
        <v>0</v>
      </c>
      <c r="L27" s="47">
        <f>SUM(J27:K27)</f>
        <v>0</v>
      </c>
      <c r="M27" s="47">
        <f>[11]缶類!$D$43
+[11]缶類!$O$43</f>
        <v>0</v>
      </c>
      <c r="N27" s="47">
        <f>[11]缶類!$E$43
+[11]缶類!$P$43</f>
        <v>0</v>
      </c>
      <c r="O27" s="110">
        <f>SUM(M27:N27)</f>
        <v>0</v>
      </c>
      <c r="P27" s="39">
        <f>ROUND(L27+O27,1)</f>
        <v>0</v>
      </c>
      <c r="Q27" s="169"/>
      <c r="R27" s="47">
        <f>[11]紙類!$B$43</f>
        <v>0</v>
      </c>
      <c r="S27" s="47">
        <f>[11]紙類!$C$43</f>
        <v>0</v>
      </c>
      <c r="T27" s="47">
        <f>SUM(R27:S27)</f>
        <v>0</v>
      </c>
      <c r="U27" s="47">
        <f>[11]紙類!$D$43</f>
        <v>0</v>
      </c>
      <c r="V27" s="47">
        <f>[11]紙類!$E$43</f>
        <v>0</v>
      </c>
      <c r="W27" s="110">
        <f>SUM(U27:V27)</f>
        <v>0</v>
      </c>
      <c r="X27" s="132">
        <f>ROUND(T27+W27,1)</f>
        <v>0</v>
      </c>
    </row>
    <row r="28" spans="1:24" ht="17.25" customHeight="1" x14ac:dyDescent="0.15">
      <c r="A28" s="173">
        <v>3</v>
      </c>
      <c r="B28" s="111"/>
      <c r="C28" s="111"/>
      <c r="D28" s="111"/>
      <c r="E28" s="111"/>
      <c r="F28" s="111"/>
      <c r="G28" s="111"/>
      <c r="H28" s="114"/>
      <c r="I28" s="170">
        <v>3</v>
      </c>
      <c r="J28" s="111"/>
      <c r="K28" s="111"/>
      <c r="L28" s="111"/>
      <c r="M28" s="111"/>
      <c r="N28" s="111"/>
      <c r="O28" s="111"/>
      <c r="P28" s="114"/>
      <c r="Q28" s="170">
        <v>3</v>
      </c>
      <c r="R28" s="111"/>
      <c r="S28" s="111"/>
      <c r="T28" s="111"/>
      <c r="U28" s="111"/>
      <c r="V28" s="111"/>
      <c r="W28" s="111"/>
      <c r="X28" s="134"/>
    </row>
    <row r="29" spans="1:24" ht="17.25" customHeight="1" x14ac:dyDescent="0.15">
      <c r="A29" s="174"/>
      <c r="B29" s="47">
        <f>[12]ペットボトル!$B$43
+[12]ペットボトル!$M$43</f>
        <v>0</v>
      </c>
      <c r="C29" s="47">
        <f>[12]ペットボトル!$C$43
+[12]ペットボトル!$N$43</f>
        <v>0</v>
      </c>
      <c r="D29" s="47">
        <f>SUM(B29:C29)</f>
        <v>0</v>
      </c>
      <c r="E29" s="47">
        <f>[12]ペットボトル!$D$43
+[12]ペットボトル!$O$43</f>
        <v>0</v>
      </c>
      <c r="F29" s="47">
        <f>[12]ペットボトル!$E$43
+[12]ペットボトル!$P$43</f>
        <v>0</v>
      </c>
      <c r="G29" s="47">
        <f>SUM(E29:F29)</f>
        <v>0</v>
      </c>
      <c r="H29" s="43">
        <f>SUM(D29+G29)</f>
        <v>0</v>
      </c>
      <c r="I29" s="171"/>
      <c r="J29" s="47">
        <f>[12]缶類!$B$43
+[12]缶類!$M$43</f>
        <v>0</v>
      </c>
      <c r="K29" s="47">
        <f>[12]缶類!$C$43
+[12]缶類!$N$43</f>
        <v>0</v>
      </c>
      <c r="L29" s="47">
        <f>SUM(J29:K29)</f>
        <v>0</v>
      </c>
      <c r="M29" s="47">
        <f>[12]缶類!$D$43
+[12]缶類!$O$43</f>
        <v>0</v>
      </c>
      <c r="N29" s="47">
        <f>[12]缶類!$E$43
+[12]缶類!$P$43</f>
        <v>0</v>
      </c>
      <c r="O29" s="47">
        <f>SUM(M29:N29)</f>
        <v>0</v>
      </c>
      <c r="P29" s="43">
        <f>ROUND(L29+O29,1)</f>
        <v>0</v>
      </c>
      <c r="Q29" s="171"/>
      <c r="R29" s="47">
        <f>[12]紙類!$B$43</f>
        <v>0</v>
      </c>
      <c r="S29" s="47">
        <f>[12]紙類!$C$43</f>
        <v>0</v>
      </c>
      <c r="T29" s="47">
        <f>SUM(R29:S29)</f>
        <v>0</v>
      </c>
      <c r="U29" s="47">
        <f>[12]紙類!$D$43</f>
        <v>0</v>
      </c>
      <c r="V29" s="47">
        <f>[12]紙類!$E$43</f>
        <v>0</v>
      </c>
      <c r="W29" s="47">
        <f>SUM(U29:V29)</f>
        <v>0</v>
      </c>
      <c r="X29" s="133">
        <f>ROUND(T29+W29,1)</f>
        <v>0</v>
      </c>
    </row>
    <row r="30" spans="1:24" ht="6" customHeight="1" x14ac:dyDescent="0.15">
      <c r="A30" s="14"/>
      <c r="B30" s="110"/>
      <c r="C30" s="110"/>
      <c r="D30" s="110"/>
      <c r="E30" s="110"/>
      <c r="F30" s="110"/>
      <c r="G30" s="110"/>
      <c r="H30" s="39"/>
      <c r="I30" s="118"/>
      <c r="J30" s="110"/>
      <c r="K30" s="110"/>
      <c r="L30" s="110"/>
      <c r="M30" s="110"/>
      <c r="N30" s="110"/>
      <c r="O30" s="110"/>
      <c r="P30" s="39"/>
      <c r="Q30" s="118"/>
      <c r="R30" s="110"/>
      <c r="S30" s="110"/>
      <c r="T30" s="110"/>
      <c r="U30" s="110"/>
      <c r="V30" s="110"/>
      <c r="W30" s="110"/>
      <c r="X30" s="132"/>
    </row>
    <row r="31" spans="1:24" ht="22.5" customHeight="1" x14ac:dyDescent="0.15">
      <c r="A31" s="176" t="s">
        <v>0</v>
      </c>
      <c r="B31" s="44"/>
      <c r="C31" s="44"/>
      <c r="D31" s="44"/>
      <c r="E31" s="44"/>
      <c r="F31" s="44"/>
      <c r="G31" s="44"/>
      <c r="H31" s="115"/>
      <c r="I31" s="167" t="s">
        <v>0</v>
      </c>
      <c r="J31" s="44"/>
      <c r="K31" s="44"/>
      <c r="L31" s="44"/>
      <c r="M31" s="44"/>
      <c r="N31" s="44"/>
      <c r="O31" s="44"/>
      <c r="P31" s="115"/>
      <c r="Q31" s="167" t="s">
        <v>0</v>
      </c>
      <c r="R31" s="44"/>
      <c r="S31" s="44"/>
      <c r="T31" s="44"/>
      <c r="U31" s="44"/>
      <c r="V31" s="44"/>
      <c r="W31" s="44"/>
      <c r="X31" s="135"/>
    </row>
    <row r="32" spans="1:24" ht="24" customHeight="1" x14ac:dyDescent="0.15">
      <c r="A32" s="177"/>
      <c r="B32" s="112">
        <f t="shared" ref="B32:G32" si="0">SUM(B7+B9+B11+B13+B15+B17+B19+B21+B23+B25+B27+B29)</f>
        <v>0</v>
      </c>
      <c r="C32" s="112">
        <f t="shared" si="0"/>
        <v>0</v>
      </c>
      <c r="D32" s="112">
        <f t="shared" si="0"/>
        <v>0</v>
      </c>
      <c r="E32" s="112">
        <f t="shared" si="0"/>
        <v>0</v>
      </c>
      <c r="F32" s="112">
        <f t="shared" si="0"/>
        <v>0</v>
      </c>
      <c r="G32" s="112">
        <f t="shared" si="0"/>
        <v>0</v>
      </c>
      <c r="H32" s="116">
        <f>SUM(H6:H29)</f>
        <v>0</v>
      </c>
      <c r="I32" s="168"/>
      <c r="J32" s="112">
        <f t="shared" ref="J32:O32" si="1">SUM(J7+J9+J11+J13+J15+J17+J19+J21+J23+J25+J27+J29)</f>
        <v>0</v>
      </c>
      <c r="K32" s="112">
        <f t="shared" si="1"/>
        <v>0</v>
      </c>
      <c r="L32" s="112">
        <f t="shared" si="1"/>
        <v>0</v>
      </c>
      <c r="M32" s="112">
        <f t="shared" si="1"/>
        <v>0</v>
      </c>
      <c r="N32" s="112">
        <f t="shared" si="1"/>
        <v>0</v>
      </c>
      <c r="O32" s="112">
        <f t="shared" si="1"/>
        <v>0</v>
      </c>
      <c r="P32" s="116">
        <f>SUM(P6:P29)</f>
        <v>0</v>
      </c>
      <c r="Q32" s="168"/>
      <c r="R32" s="112">
        <f t="shared" ref="R32:W32" si="2">SUM(R7+R9+R11+R13+R15+R17+R19+R21+R23+R25+R27+R29)</f>
        <v>0</v>
      </c>
      <c r="S32" s="112">
        <f t="shared" si="2"/>
        <v>0</v>
      </c>
      <c r="T32" s="112">
        <f t="shared" si="2"/>
        <v>0</v>
      </c>
      <c r="U32" s="112">
        <f t="shared" si="2"/>
        <v>0</v>
      </c>
      <c r="V32" s="112">
        <f t="shared" si="2"/>
        <v>0</v>
      </c>
      <c r="W32" s="112">
        <f t="shared" si="2"/>
        <v>0</v>
      </c>
      <c r="X32" s="136">
        <f>SUM(X6:X29)</f>
        <v>0</v>
      </c>
    </row>
  </sheetData>
  <mergeCells count="40">
    <mergeCell ref="I31:I32"/>
    <mergeCell ref="A24:A25"/>
    <mergeCell ref="A26:A27"/>
    <mergeCell ref="A28:A29"/>
    <mergeCell ref="I28:I29"/>
    <mergeCell ref="A31:A32"/>
    <mergeCell ref="I22:I23"/>
    <mergeCell ref="I24:I25"/>
    <mergeCell ref="I26:I27"/>
    <mergeCell ref="A6:A7"/>
    <mergeCell ref="A8:A9"/>
    <mergeCell ref="A10:A11"/>
    <mergeCell ref="A12:A13"/>
    <mergeCell ref="A22:A23"/>
    <mergeCell ref="Q12:Q13"/>
    <mergeCell ref="I14:I15"/>
    <mergeCell ref="Q18:Q19"/>
    <mergeCell ref="I18:I19"/>
    <mergeCell ref="Q6:Q7"/>
    <mergeCell ref="Q8:Q9"/>
    <mergeCell ref="Q10:Q11"/>
    <mergeCell ref="I10:I11"/>
    <mergeCell ref="I6:I7"/>
    <mergeCell ref="I8:I9"/>
    <mergeCell ref="Q31:Q32"/>
    <mergeCell ref="A1:N1"/>
    <mergeCell ref="Q22:Q23"/>
    <mergeCell ref="Q24:Q25"/>
    <mergeCell ref="Q26:Q27"/>
    <mergeCell ref="Q28:Q29"/>
    <mergeCell ref="A18:A19"/>
    <mergeCell ref="A20:A21"/>
    <mergeCell ref="A16:A17"/>
    <mergeCell ref="A14:A15"/>
    <mergeCell ref="Q20:Q21"/>
    <mergeCell ref="I12:I13"/>
    <mergeCell ref="Q14:Q15"/>
    <mergeCell ref="Q16:Q17"/>
    <mergeCell ref="I20:I21"/>
    <mergeCell ref="I16:I17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7EEC-46B4-46D0-B4DC-16352461BF46}">
  <sheetPr codeName="Sheet13"/>
  <dimension ref="A1:X32"/>
  <sheetViews>
    <sheetView workbookViewId="0">
      <selection activeCell="O1" sqref="O1"/>
    </sheetView>
  </sheetViews>
  <sheetFormatPr defaultRowHeight="13.5" x14ac:dyDescent="0.15"/>
  <cols>
    <col min="1" max="1" width="3.125" customWidth="1"/>
    <col min="2" max="8" width="6.125" customWidth="1"/>
    <col min="9" max="9" width="3.125" customWidth="1"/>
    <col min="10" max="16" width="6.125" customWidth="1"/>
    <col min="17" max="17" width="3.125" customWidth="1"/>
    <col min="18" max="24" width="6.125" customWidth="1"/>
  </cols>
  <sheetData>
    <row r="1" spans="1:24" ht="20.25" customHeight="1" x14ac:dyDescent="0.15">
      <c r="A1" s="147" t="str">
        <f>"令和"&amp;'[1]A-1'!$E$9-2018&amp;"年度　一般廃棄物(有価物)発生地区別集計表　　【第5 - 2表】"</f>
        <v>令和9年度　一般廃棄物(有価物)発生地区別集計表　　【第5 - 2表】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</row>
    <row r="2" spans="1:24" ht="13.5" customHeight="1" x14ac:dyDescent="0.15"/>
    <row r="3" spans="1:24" ht="18.75" customHeight="1" x14ac:dyDescent="0.15">
      <c r="B3" t="s">
        <v>44</v>
      </c>
      <c r="J3" t="s">
        <v>19</v>
      </c>
      <c r="O3" s="4"/>
      <c r="P3" s="4"/>
      <c r="R3" t="s">
        <v>20</v>
      </c>
      <c r="X3" s="4" t="s">
        <v>1</v>
      </c>
    </row>
    <row r="4" spans="1:24" ht="7.5" customHeight="1" x14ac:dyDescent="0.15"/>
    <row r="5" spans="1:24" ht="18" customHeight="1" x14ac:dyDescent="0.15">
      <c r="A5" s="46" t="s">
        <v>2</v>
      </c>
      <c r="B5" s="17" t="s">
        <v>6</v>
      </c>
      <c r="C5" s="13" t="s">
        <v>11</v>
      </c>
      <c r="D5" s="13" t="s">
        <v>21</v>
      </c>
      <c r="E5" s="13" t="s">
        <v>4</v>
      </c>
      <c r="F5" s="13" t="s">
        <v>7</v>
      </c>
      <c r="G5" s="13" t="s">
        <v>5</v>
      </c>
      <c r="H5" s="15" t="s">
        <v>8</v>
      </c>
      <c r="I5" s="46" t="s">
        <v>2</v>
      </c>
      <c r="J5" s="17" t="s">
        <v>6</v>
      </c>
      <c r="K5" s="13" t="s">
        <v>11</v>
      </c>
      <c r="L5" s="13" t="s">
        <v>21</v>
      </c>
      <c r="M5" s="13" t="s">
        <v>4</v>
      </c>
      <c r="N5" s="13" t="s">
        <v>7</v>
      </c>
      <c r="O5" s="13" t="s">
        <v>5</v>
      </c>
      <c r="P5" s="15" t="s">
        <v>8</v>
      </c>
      <c r="Q5" s="46" t="s">
        <v>2</v>
      </c>
      <c r="R5" s="17" t="s">
        <v>6</v>
      </c>
      <c r="S5" s="13" t="s">
        <v>11</v>
      </c>
      <c r="T5" s="13" t="s">
        <v>21</v>
      </c>
      <c r="U5" s="13" t="s">
        <v>4</v>
      </c>
      <c r="V5" s="13" t="s">
        <v>7</v>
      </c>
      <c r="W5" s="13" t="s">
        <v>5</v>
      </c>
      <c r="X5" s="16" t="s">
        <v>8</v>
      </c>
    </row>
    <row r="6" spans="1:24" ht="17.25" customHeight="1" x14ac:dyDescent="0.15">
      <c r="A6" s="172">
        <v>4</v>
      </c>
      <c r="B6" s="110"/>
      <c r="C6" s="110"/>
      <c r="D6" s="110"/>
      <c r="E6" s="110"/>
      <c r="F6" s="110"/>
      <c r="G6" s="110"/>
      <c r="H6" s="39"/>
      <c r="I6" s="183">
        <v>4</v>
      </c>
      <c r="J6" s="110"/>
      <c r="K6" s="110"/>
      <c r="L6" s="110"/>
      <c r="M6" s="110"/>
      <c r="N6" s="110"/>
      <c r="O6" s="110"/>
      <c r="P6" s="39"/>
      <c r="Q6" s="183">
        <v>4</v>
      </c>
      <c r="R6" s="110"/>
      <c r="S6" s="110"/>
      <c r="T6" s="110"/>
      <c r="U6" s="110"/>
      <c r="V6" s="110"/>
      <c r="W6" s="110"/>
      <c r="X6" s="132"/>
    </row>
    <row r="7" spans="1:24" ht="17.25" customHeight="1" x14ac:dyDescent="0.15">
      <c r="A7" s="172"/>
      <c r="B7" s="47">
        <f>[1]不燃・木くず・海岸清掃!$Q$43</f>
        <v>0</v>
      </c>
      <c r="C7" s="47">
        <f>[1]不燃・木くず・海岸清掃!$R$43</f>
        <v>0</v>
      </c>
      <c r="D7" s="47">
        <f>SUM(B7:C7)</f>
        <v>0</v>
      </c>
      <c r="E7" s="47">
        <f>[1]不燃・木くず・海岸清掃!$S$43</f>
        <v>0</v>
      </c>
      <c r="F7" s="47">
        <f>[1]不燃・木くず・海岸清掃!$T$43</f>
        <v>0</v>
      </c>
      <c r="G7" s="47">
        <f>SUM(E7:F7)</f>
        <v>0</v>
      </c>
      <c r="H7" s="40">
        <f>SUM(D7+G7)</f>
        <v>0</v>
      </c>
      <c r="I7" s="182"/>
      <c r="J7" s="47">
        <f>[1]粗大!$G$43</f>
        <v>0</v>
      </c>
      <c r="K7" s="47">
        <f>[1]粗大!$H$43</f>
        <v>0</v>
      </c>
      <c r="L7" s="47">
        <f>SUM(J7:K7)</f>
        <v>0</v>
      </c>
      <c r="M7" s="47">
        <f>[1]粗大!$I$43</f>
        <v>0</v>
      </c>
      <c r="N7" s="47">
        <f>[1]粗大!$J$43</f>
        <v>0</v>
      </c>
      <c r="O7" s="47">
        <f>SUM(M7:N7)</f>
        <v>0</v>
      </c>
      <c r="P7" s="40">
        <f>ROUND(L7+O7,1)</f>
        <v>0</v>
      </c>
      <c r="Q7" s="182"/>
      <c r="R7" s="47">
        <f>[1]粗大!$Q$43</f>
        <v>0</v>
      </c>
      <c r="S7" s="47">
        <f>[1]粗大!$R$43</f>
        <v>0</v>
      </c>
      <c r="T7" s="47">
        <f>SUM(R7:S7)</f>
        <v>0</v>
      </c>
      <c r="U7" s="47">
        <f>[1]粗大!$S$43</f>
        <v>0</v>
      </c>
      <c r="V7" s="47">
        <f>[1]粗大!$T$43</f>
        <v>0</v>
      </c>
      <c r="W7" s="47">
        <f>SUM(U7:V7)</f>
        <v>0</v>
      </c>
      <c r="X7" s="133">
        <f>ROUND(T7+W7,1)</f>
        <v>0</v>
      </c>
    </row>
    <row r="8" spans="1:24" ht="17.25" customHeight="1" x14ac:dyDescent="0.15">
      <c r="A8" s="173">
        <v>5</v>
      </c>
      <c r="B8" s="111"/>
      <c r="C8" s="111"/>
      <c r="D8" s="111"/>
      <c r="E8" s="111"/>
      <c r="F8" s="111"/>
      <c r="G8" s="111"/>
      <c r="H8" s="41"/>
      <c r="I8" s="180">
        <v>5</v>
      </c>
      <c r="J8" s="111"/>
      <c r="K8" s="111"/>
      <c r="L8" s="111"/>
      <c r="M8" s="111"/>
      <c r="N8" s="111"/>
      <c r="O8" s="111"/>
      <c r="P8" s="41"/>
      <c r="Q8" s="180">
        <v>5</v>
      </c>
      <c r="R8" s="111"/>
      <c r="S8" s="111"/>
      <c r="T8" s="111"/>
      <c r="U8" s="111"/>
      <c r="V8" s="111"/>
      <c r="W8" s="111"/>
      <c r="X8" s="134"/>
    </row>
    <row r="9" spans="1:24" ht="17.25" customHeight="1" x14ac:dyDescent="0.15">
      <c r="A9" s="174"/>
      <c r="B9" s="47">
        <f>[2]不燃・木くず・海岸清掃!$Q$43</f>
        <v>0</v>
      </c>
      <c r="C9" s="47">
        <f>[2]不燃・木くず・海岸清掃!$R$43</f>
        <v>0</v>
      </c>
      <c r="D9" s="47">
        <f>SUM(B9:C9)</f>
        <v>0</v>
      </c>
      <c r="E9" s="47">
        <f>[2]不燃・木くず・海岸清掃!$S$43</f>
        <v>0</v>
      </c>
      <c r="F9" s="47">
        <f>[2]不燃・木くず・海岸清掃!$T$43</f>
        <v>0</v>
      </c>
      <c r="G9" s="110">
        <f>SUM(E9:F9)</f>
        <v>0</v>
      </c>
      <c r="H9" s="39">
        <f>SUM(D9+G9)</f>
        <v>0</v>
      </c>
      <c r="I9" s="181"/>
      <c r="J9" s="47">
        <f>[2]粗大!$G$43</f>
        <v>0</v>
      </c>
      <c r="K9" s="47">
        <f>[2]粗大!$H$43</f>
        <v>0</v>
      </c>
      <c r="L9" s="47">
        <f>SUM(J9:K9)</f>
        <v>0</v>
      </c>
      <c r="M9" s="47">
        <f>[2]粗大!$I$43</f>
        <v>0</v>
      </c>
      <c r="N9" s="47">
        <f>[2]粗大!$J$43</f>
        <v>0</v>
      </c>
      <c r="O9" s="110">
        <f>SUM(M9:N9)</f>
        <v>0</v>
      </c>
      <c r="P9" s="39">
        <f>ROUND(L9+O9,1)</f>
        <v>0</v>
      </c>
      <c r="Q9" s="181"/>
      <c r="R9" s="47">
        <f>[2]粗大!$Q$43</f>
        <v>0</v>
      </c>
      <c r="S9" s="47">
        <f>[2]粗大!$R$43</f>
        <v>0</v>
      </c>
      <c r="T9" s="47">
        <f>SUM(R9:S9)</f>
        <v>0</v>
      </c>
      <c r="U9" s="47">
        <f>[2]粗大!$S$43</f>
        <v>0</v>
      </c>
      <c r="V9" s="47">
        <f>[2]粗大!$T$43</f>
        <v>0</v>
      </c>
      <c r="W9" s="110">
        <f>SUM(U9:V9)</f>
        <v>0</v>
      </c>
      <c r="X9" s="132">
        <f>ROUND(T9+W9,1)</f>
        <v>0</v>
      </c>
    </row>
    <row r="10" spans="1:24" ht="17.25" customHeight="1" x14ac:dyDescent="0.15">
      <c r="A10" s="172">
        <v>6</v>
      </c>
      <c r="B10" s="111"/>
      <c r="C10" s="111"/>
      <c r="D10" s="111"/>
      <c r="E10" s="111"/>
      <c r="F10" s="111"/>
      <c r="G10" s="111"/>
      <c r="H10" s="41"/>
      <c r="I10" s="182">
        <v>6</v>
      </c>
      <c r="J10" s="111"/>
      <c r="K10" s="111"/>
      <c r="L10" s="111"/>
      <c r="M10" s="111"/>
      <c r="N10" s="111"/>
      <c r="O10" s="111"/>
      <c r="P10" s="41"/>
      <c r="Q10" s="182">
        <v>6</v>
      </c>
      <c r="R10" s="111"/>
      <c r="S10" s="111"/>
      <c r="T10" s="111"/>
      <c r="U10" s="111"/>
      <c r="V10" s="111"/>
      <c r="W10" s="111"/>
      <c r="X10" s="134"/>
    </row>
    <row r="11" spans="1:24" ht="17.25" customHeight="1" x14ac:dyDescent="0.15">
      <c r="A11" s="172"/>
      <c r="B11" s="47">
        <f>[3]不燃・木くず・海岸清掃!$Q$43</f>
        <v>0</v>
      </c>
      <c r="C11" s="47">
        <f>[3]不燃・木くず・海岸清掃!$R$43</f>
        <v>0</v>
      </c>
      <c r="D11" s="47">
        <f>SUM(B11:C11)</f>
        <v>0</v>
      </c>
      <c r="E11" s="47">
        <f>[3]不燃・木くず・海岸清掃!$S$43</f>
        <v>0</v>
      </c>
      <c r="F11" s="47">
        <f>[3]不燃・木くず・海岸清掃!$T$43</f>
        <v>0</v>
      </c>
      <c r="G11" s="47">
        <f>SUM(E11:F11)</f>
        <v>0</v>
      </c>
      <c r="H11" s="42">
        <f>SUM(D11+G11)</f>
        <v>0</v>
      </c>
      <c r="I11" s="182"/>
      <c r="J11" s="47">
        <f>[3]粗大!$G$43</f>
        <v>0</v>
      </c>
      <c r="K11" s="47">
        <f>[3]粗大!$H$43</f>
        <v>0</v>
      </c>
      <c r="L11" s="47">
        <f>SUM(J11:K11)</f>
        <v>0</v>
      </c>
      <c r="M11" s="47">
        <f>[3]粗大!$I$43</f>
        <v>0</v>
      </c>
      <c r="N11" s="47">
        <f>[3]粗大!$J$43</f>
        <v>0</v>
      </c>
      <c r="O11" s="47">
        <f>SUM(M11:N11)</f>
        <v>0</v>
      </c>
      <c r="P11" s="42">
        <f>ROUND(L11+O11,1)</f>
        <v>0</v>
      </c>
      <c r="Q11" s="182"/>
      <c r="R11" s="47">
        <f>[3]粗大!$Q$43</f>
        <v>0</v>
      </c>
      <c r="S11" s="47">
        <f>[3]粗大!$R$43</f>
        <v>0</v>
      </c>
      <c r="T11" s="47">
        <f>SUM(R11:S11)</f>
        <v>0</v>
      </c>
      <c r="U11" s="47">
        <f>[3]粗大!$S$43</f>
        <v>0</v>
      </c>
      <c r="V11" s="47">
        <f>[3]粗大!$T$43</f>
        <v>0</v>
      </c>
      <c r="W11" s="47">
        <f>SUM(U11:V11)</f>
        <v>0</v>
      </c>
      <c r="X11" s="132">
        <f>ROUND(T11+W11,1)</f>
        <v>0</v>
      </c>
    </row>
    <row r="12" spans="1:24" ht="17.25" customHeight="1" x14ac:dyDescent="0.15">
      <c r="A12" s="173">
        <v>7</v>
      </c>
      <c r="B12" s="111"/>
      <c r="C12" s="111"/>
      <c r="D12" s="111"/>
      <c r="E12" s="111"/>
      <c r="F12" s="111"/>
      <c r="G12" s="111"/>
      <c r="H12" s="41"/>
      <c r="I12" s="180">
        <v>7</v>
      </c>
      <c r="J12" s="111"/>
      <c r="K12" s="111"/>
      <c r="L12" s="111"/>
      <c r="M12" s="111"/>
      <c r="N12" s="111"/>
      <c r="O12" s="111"/>
      <c r="P12" s="41"/>
      <c r="Q12" s="180">
        <v>7</v>
      </c>
      <c r="R12" s="111"/>
      <c r="S12" s="111"/>
      <c r="T12" s="111"/>
      <c r="U12" s="111"/>
      <c r="V12" s="111"/>
      <c r="W12" s="111"/>
      <c r="X12" s="134"/>
    </row>
    <row r="13" spans="1:24" ht="17.25" customHeight="1" x14ac:dyDescent="0.15">
      <c r="A13" s="174"/>
      <c r="B13" s="47">
        <f>[4]不燃・木くず・海岸清掃!$Q$43</f>
        <v>0</v>
      </c>
      <c r="C13" s="47">
        <f>[4]不燃・木くず・海岸清掃!$R$43</f>
        <v>0</v>
      </c>
      <c r="D13" s="47">
        <f>SUM(B13:C13)</f>
        <v>0</v>
      </c>
      <c r="E13" s="47">
        <f>[4]不燃・木くず・海岸清掃!$S$43</f>
        <v>0</v>
      </c>
      <c r="F13" s="47">
        <f>[4]不燃・木くず・海岸清掃!$T$43</f>
        <v>0</v>
      </c>
      <c r="G13" s="47">
        <f>SUM(E13:F13)</f>
        <v>0</v>
      </c>
      <c r="H13" s="43">
        <f>SUM(D13+G13)</f>
        <v>0</v>
      </c>
      <c r="I13" s="181"/>
      <c r="J13" s="47">
        <f>[4]粗大!$G$43</f>
        <v>0</v>
      </c>
      <c r="K13" s="47">
        <f>[4]粗大!$H$43</f>
        <v>0</v>
      </c>
      <c r="L13" s="47">
        <f>SUM(J13:K13)</f>
        <v>0</v>
      </c>
      <c r="M13" s="47">
        <f>[4]粗大!$I$43</f>
        <v>0</v>
      </c>
      <c r="N13" s="47">
        <f>[4]粗大!$J$43</f>
        <v>0</v>
      </c>
      <c r="O13" s="47">
        <f>SUM(M13:N13)</f>
        <v>0</v>
      </c>
      <c r="P13" s="43">
        <f>ROUND(L13+O13,1)</f>
        <v>0</v>
      </c>
      <c r="Q13" s="181"/>
      <c r="R13" s="47">
        <f>[4]粗大!$Q$43</f>
        <v>0</v>
      </c>
      <c r="S13" s="47">
        <f>[4]粗大!$R$43</f>
        <v>0</v>
      </c>
      <c r="T13" s="47">
        <f>SUM(R13:S13)</f>
        <v>0</v>
      </c>
      <c r="U13" s="47">
        <f>[4]粗大!$S$43</f>
        <v>0</v>
      </c>
      <c r="V13" s="47">
        <f>[4]粗大!$T$43</f>
        <v>0</v>
      </c>
      <c r="W13" s="47">
        <f>SUM(U13:V13)</f>
        <v>0</v>
      </c>
      <c r="X13" s="133">
        <f>ROUND(T13+W13,1)</f>
        <v>0</v>
      </c>
    </row>
    <row r="14" spans="1:24" ht="17.25" customHeight="1" x14ac:dyDescent="0.15">
      <c r="A14" s="172">
        <v>8</v>
      </c>
      <c r="B14" s="111"/>
      <c r="C14" s="111"/>
      <c r="D14" s="111"/>
      <c r="E14" s="111"/>
      <c r="F14" s="111"/>
      <c r="G14" s="110"/>
      <c r="H14" s="39"/>
      <c r="I14" s="182">
        <v>8</v>
      </c>
      <c r="J14" s="111"/>
      <c r="K14" s="111"/>
      <c r="L14" s="111"/>
      <c r="M14" s="111"/>
      <c r="N14" s="111"/>
      <c r="O14" s="110"/>
      <c r="P14" s="39"/>
      <c r="Q14" s="182">
        <v>8</v>
      </c>
      <c r="R14" s="111"/>
      <c r="S14" s="111"/>
      <c r="T14" s="111"/>
      <c r="U14" s="111"/>
      <c r="V14" s="111"/>
      <c r="W14" s="110"/>
      <c r="X14" s="132"/>
    </row>
    <row r="15" spans="1:24" ht="17.25" customHeight="1" x14ac:dyDescent="0.15">
      <c r="A15" s="172"/>
      <c r="B15" s="47">
        <f>[5]不燃・木くず・海岸清掃!$Q$43</f>
        <v>0</v>
      </c>
      <c r="C15" s="47">
        <f>[5]不燃・木くず・海岸清掃!$R$43</f>
        <v>0</v>
      </c>
      <c r="D15" s="47">
        <f>SUM(B15:C15)</f>
        <v>0</v>
      </c>
      <c r="E15" s="47">
        <f>[5]不燃・木くず・海岸清掃!$S$43</f>
        <v>0</v>
      </c>
      <c r="F15" s="47">
        <f>[5]不燃・木くず・海岸清掃!$T$43</f>
        <v>0</v>
      </c>
      <c r="G15" s="47">
        <f>SUM(E15:F15)</f>
        <v>0</v>
      </c>
      <c r="H15" s="40">
        <f>SUM(D15+G15)</f>
        <v>0</v>
      </c>
      <c r="I15" s="182"/>
      <c r="J15" s="47">
        <f>[5]粗大!$G$43</f>
        <v>0</v>
      </c>
      <c r="K15" s="47">
        <f>[5]粗大!$H$43</f>
        <v>0</v>
      </c>
      <c r="L15" s="47">
        <f>SUM(J15:K15)</f>
        <v>0</v>
      </c>
      <c r="M15" s="47">
        <f>[5]粗大!$I$43</f>
        <v>0</v>
      </c>
      <c r="N15" s="47">
        <f>[5]粗大!$J$43</f>
        <v>0</v>
      </c>
      <c r="O15" s="47">
        <f>SUM(M15:N15)</f>
        <v>0</v>
      </c>
      <c r="P15" s="40">
        <f>ROUND(L15+O15,1)</f>
        <v>0</v>
      </c>
      <c r="Q15" s="182"/>
      <c r="R15" s="47">
        <f>[5]粗大!$Q$43</f>
        <v>0</v>
      </c>
      <c r="S15" s="47">
        <f>[5]粗大!$R$43</f>
        <v>0</v>
      </c>
      <c r="T15" s="47">
        <f>SUM(R15:S15)</f>
        <v>0</v>
      </c>
      <c r="U15" s="47">
        <f>[5]粗大!$S$43</f>
        <v>0</v>
      </c>
      <c r="V15" s="47">
        <f>[5]粗大!$T$43</f>
        <v>0</v>
      </c>
      <c r="W15" s="47">
        <f>SUM(U15:V15)</f>
        <v>0</v>
      </c>
      <c r="X15" s="133">
        <f>ROUND(T15+W15,1)</f>
        <v>0</v>
      </c>
    </row>
    <row r="16" spans="1:24" ht="17.25" customHeight="1" x14ac:dyDescent="0.15">
      <c r="A16" s="173">
        <v>9</v>
      </c>
      <c r="B16" s="111"/>
      <c r="C16" s="111"/>
      <c r="D16" s="111"/>
      <c r="E16" s="111"/>
      <c r="F16" s="111"/>
      <c r="G16" s="111"/>
      <c r="H16" s="41"/>
      <c r="I16" s="180">
        <v>9</v>
      </c>
      <c r="J16" s="111"/>
      <c r="K16" s="111"/>
      <c r="L16" s="111"/>
      <c r="M16" s="111"/>
      <c r="N16" s="111"/>
      <c r="O16" s="111"/>
      <c r="P16" s="41"/>
      <c r="Q16" s="180">
        <v>9</v>
      </c>
      <c r="R16" s="111"/>
      <c r="S16" s="111"/>
      <c r="T16" s="111"/>
      <c r="U16" s="111"/>
      <c r="V16" s="111"/>
      <c r="W16" s="111"/>
      <c r="X16" s="134"/>
    </row>
    <row r="17" spans="1:24" ht="17.25" customHeight="1" x14ac:dyDescent="0.15">
      <c r="A17" s="174"/>
      <c r="B17" s="47">
        <f>[6]不燃・木くず・海岸清掃!$Q$43</f>
        <v>0</v>
      </c>
      <c r="C17" s="47">
        <f>[6]不燃・木くず・海岸清掃!$R$43</f>
        <v>0</v>
      </c>
      <c r="D17" s="47">
        <f>SUM(B17:C17)</f>
        <v>0</v>
      </c>
      <c r="E17" s="47">
        <f>[6]不燃・木くず・海岸清掃!$S$43</f>
        <v>0</v>
      </c>
      <c r="F17" s="47">
        <f>[6]不燃・木くず・海岸清掃!$T$43</f>
        <v>0</v>
      </c>
      <c r="G17" s="110">
        <f>SUM(E17:F17)</f>
        <v>0</v>
      </c>
      <c r="H17" s="43">
        <f>SUM(D17+G17)</f>
        <v>0</v>
      </c>
      <c r="I17" s="181"/>
      <c r="J17" s="47">
        <f>[6]粗大!$G$43</f>
        <v>0</v>
      </c>
      <c r="K17" s="47">
        <f>[6]粗大!$H$43</f>
        <v>0</v>
      </c>
      <c r="L17" s="47">
        <f>SUM(J17:K17)</f>
        <v>0</v>
      </c>
      <c r="M17" s="47">
        <f>[6]粗大!$I$43</f>
        <v>0</v>
      </c>
      <c r="N17" s="47">
        <f>[6]粗大!$J$43</f>
        <v>0</v>
      </c>
      <c r="O17" s="110">
        <f>SUM(M17:N17)</f>
        <v>0</v>
      </c>
      <c r="P17" s="43">
        <f>ROUND(L17+O17,1)</f>
        <v>0</v>
      </c>
      <c r="Q17" s="181"/>
      <c r="R17" s="47">
        <f>[6]粗大!$Q$43</f>
        <v>0</v>
      </c>
      <c r="S17" s="47">
        <f>[6]粗大!$R$43</f>
        <v>0</v>
      </c>
      <c r="T17" s="47">
        <f>SUM(R17:S17)</f>
        <v>0</v>
      </c>
      <c r="U17" s="47">
        <f>[6]粗大!$S$43</f>
        <v>0</v>
      </c>
      <c r="V17" s="47">
        <f>[6]粗大!$T$43</f>
        <v>0</v>
      </c>
      <c r="W17" s="110">
        <f>SUM(U17:V17)</f>
        <v>0</v>
      </c>
      <c r="X17" s="133">
        <f>ROUND(T17+W17,1)</f>
        <v>0</v>
      </c>
    </row>
    <row r="18" spans="1:24" ht="17.25" customHeight="1" x14ac:dyDescent="0.15">
      <c r="A18" s="172">
        <v>10</v>
      </c>
      <c r="B18" s="111"/>
      <c r="C18" s="111"/>
      <c r="D18" s="111"/>
      <c r="E18" s="111"/>
      <c r="F18" s="111"/>
      <c r="G18" s="111"/>
      <c r="H18" s="41"/>
      <c r="I18" s="182">
        <v>10</v>
      </c>
      <c r="J18" s="111"/>
      <c r="K18" s="111"/>
      <c r="L18" s="111"/>
      <c r="M18" s="111"/>
      <c r="N18" s="111"/>
      <c r="O18" s="111"/>
      <c r="P18" s="41"/>
      <c r="Q18" s="182">
        <v>10</v>
      </c>
      <c r="R18" s="111"/>
      <c r="S18" s="111"/>
      <c r="T18" s="111"/>
      <c r="U18" s="111"/>
      <c r="V18" s="111"/>
      <c r="W18" s="111"/>
      <c r="X18" s="134"/>
    </row>
    <row r="19" spans="1:24" ht="17.25" customHeight="1" x14ac:dyDescent="0.15">
      <c r="A19" s="172"/>
      <c r="B19" s="47">
        <f>[7]不燃・木くず・海岸清掃!$Q$43</f>
        <v>0</v>
      </c>
      <c r="C19" s="47">
        <f>[7]不燃・木くず・海岸清掃!$R$43</f>
        <v>0</v>
      </c>
      <c r="D19" s="47">
        <f>SUM(B19:C19)</f>
        <v>0</v>
      </c>
      <c r="E19" s="47">
        <f>[7]不燃・木くず・海岸清掃!$S$43</f>
        <v>0</v>
      </c>
      <c r="F19" s="47">
        <f>[7]不燃・木くず・海岸清掃!$T$43</f>
        <v>0</v>
      </c>
      <c r="G19" s="110">
        <f>SUM(E19:F19)</f>
        <v>0</v>
      </c>
      <c r="H19" s="42">
        <f>SUM(D19+G19)</f>
        <v>0</v>
      </c>
      <c r="I19" s="182"/>
      <c r="J19" s="47">
        <f>[7]粗大!$G$43</f>
        <v>0</v>
      </c>
      <c r="K19" s="47">
        <f>[7]粗大!$H$43</f>
        <v>0</v>
      </c>
      <c r="L19" s="47">
        <f>SUM(J19:K19)</f>
        <v>0</v>
      </c>
      <c r="M19" s="47">
        <f>[7]粗大!$I$43</f>
        <v>0</v>
      </c>
      <c r="N19" s="47">
        <f>[7]粗大!$J$43</f>
        <v>0</v>
      </c>
      <c r="O19" s="110">
        <f>SUM(M19:N19)</f>
        <v>0</v>
      </c>
      <c r="P19" s="42">
        <f>ROUND(L19+O19,1)</f>
        <v>0</v>
      </c>
      <c r="Q19" s="182"/>
      <c r="R19" s="47">
        <f>[7]粗大!$Q$43</f>
        <v>0</v>
      </c>
      <c r="S19" s="47">
        <f>[7]粗大!$R$43</f>
        <v>0</v>
      </c>
      <c r="T19" s="47">
        <f>SUM(R19:S19)</f>
        <v>0</v>
      </c>
      <c r="U19" s="47">
        <f>[7]粗大!$S$43</f>
        <v>0</v>
      </c>
      <c r="V19" s="47">
        <f>[7]粗大!$T$43</f>
        <v>0</v>
      </c>
      <c r="W19" s="110">
        <f>SUM(U19:V19)</f>
        <v>0</v>
      </c>
      <c r="X19" s="132">
        <f>ROUND(T19+W19,1)</f>
        <v>0</v>
      </c>
    </row>
    <row r="20" spans="1:24" ht="17.25" customHeight="1" x14ac:dyDescent="0.15">
      <c r="A20" s="173">
        <v>11</v>
      </c>
      <c r="B20" s="111"/>
      <c r="C20" s="111"/>
      <c r="D20" s="111"/>
      <c r="E20" s="111"/>
      <c r="F20" s="111"/>
      <c r="G20" s="111"/>
      <c r="H20" s="41"/>
      <c r="I20" s="180">
        <v>11</v>
      </c>
      <c r="J20" s="111"/>
      <c r="K20" s="111"/>
      <c r="L20" s="111"/>
      <c r="M20" s="111"/>
      <c r="N20" s="111"/>
      <c r="O20" s="111"/>
      <c r="P20" s="41"/>
      <c r="Q20" s="180">
        <v>11</v>
      </c>
      <c r="R20" s="111"/>
      <c r="S20" s="111"/>
      <c r="T20" s="111"/>
      <c r="U20" s="111"/>
      <c r="V20" s="111"/>
      <c r="W20" s="111"/>
      <c r="X20" s="134"/>
    </row>
    <row r="21" spans="1:24" ht="17.25" customHeight="1" x14ac:dyDescent="0.15">
      <c r="A21" s="174"/>
      <c r="B21" s="47">
        <f>[8]不燃・木くず・海岸清掃!$Q$43</f>
        <v>0</v>
      </c>
      <c r="C21" s="47">
        <f>[8]不燃・木くず・海岸清掃!$R$43</f>
        <v>0</v>
      </c>
      <c r="D21" s="47">
        <f>SUM(B21:C21)</f>
        <v>0</v>
      </c>
      <c r="E21" s="47">
        <f>[8]不燃・木くず・海岸清掃!$S$43</f>
        <v>0</v>
      </c>
      <c r="F21" s="47">
        <f>[8]不燃・木くず・海岸清掃!$T$43</f>
        <v>0</v>
      </c>
      <c r="G21" s="110">
        <f t="shared" ref="G21:G29" si="0">SUM(E21:F21)</f>
        <v>0</v>
      </c>
      <c r="H21" s="43">
        <f>SUM(D21+G21)</f>
        <v>0</v>
      </c>
      <c r="I21" s="181"/>
      <c r="J21" s="47">
        <f>[8]粗大!$G$43</f>
        <v>0</v>
      </c>
      <c r="K21" s="47">
        <f>[8]粗大!$H$43</f>
        <v>0</v>
      </c>
      <c r="L21" s="47">
        <f>SUM(J21:K21)</f>
        <v>0</v>
      </c>
      <c r="M21" s="47">
        <f>[8]粗大!$I$43</f>
        <v>0</v>
      </c>
      <c r="N21" s="47">
        <f>[8]粗大!$J$43</f>
        <v>0</v>
      </c>
      <c r="O21" s="110">
        <f>SUM(M21:N21)</f>
        <v>0</v>
      </c>
      <c r="P21" s="43">
        <f>ROUND(L21+O21,1)</f>
        <v>0</v>
      </c>
      <c r="Q21" s="181"/>
      <c r="R21" s="47">
        <f>[8]粗大!$Q$43</f>
        <v>0</v>
      </c>
      <c r="S21" s="47">
        <f>[8]粗大!$R$43</f>
        <v>0</v>
      </c>
      <c r="T21" s="47">
        <f>SUM(R21:S21)</f>
        <v>0</v>
      </c>
      <c r="U21" s="47">
        <f>[8]粗大!$S$43</f>
        <v>0</v>
      </c>
      <c r="V21" s="47">
        <f>[8]粗大!$T$43</f>
        <v>0</v>
      </c>
      <c r="W21" s="110">
        <f>SUM(U21:V21)</f>
        <v>0</v>
      </c>
      <c r="X21" s="133">
        <f>ROUND(T21+W21,1)</f>
        <v>0</v>
      </c>
    </row>
    <row r="22" spans="1:24" ht="17.25" customHeight="1" x14ac:dyDescent="0.15">
      <c r="A22" s="172">
        <v>12</v>
      </c>
      <c r="B22" s="111"/>
      <c r="C22" s="111"/>
      <c r="D22" s="111"/>
      <c r="E22" s="111"/>
      <c r="F22" s="111"/>
      <c r="G22" s="111"/>
      <c r="H22" s="42"/>
      <c r="I22" s="182">
        <v>12</v>
      </c>
      <c r="J22" s="111"/>
      <c r="K22" s="111"/>
      <c r="L22" s="111"/>
      <c r="M22" s="111"/>
      <c r="N22" s="111"/>
      <c r="O22" s="111"/>
      <c r="P22" s="42"/>
      <c r="Q22" s="182">
        <v>12</v>
      </c>
      <c r="R22" s="111"/>
      <c r="S22" s="111"/>
      <c r="T22" s="111"/>
      <c r="U22" s="111"/>
      <c r="V22" s="111"/>
      <c r="W22" s="111"/>
      <c r="X22" s="132"/>
    </row>
    <row r="23" spans="1:24" ht="17.25" customHeight="1" x14ac:dyDescent="0.15">
      <c r="A23" s="172"/>
      <c r="B23" s="47">
        <f>[9]不燃・木くず・海岸清掃!$Q$43</f>
        <v>0</v>
      </c>
      <c r="C23" s="47">
        <f>[9]不燃・木くず・海岸清掃!$R$43</f>
        <v>0</v>
      </c>
      <c r="D23" s="47">
        <f>SUM(B23:C23)</f>
        <v>0</v>
      </c>
      <c r="E23" s="47">
        <f>[9]不燃・木くず・海岸清掃!$S$43</f>
        <v>0</v>
      </c>
      <c r="F23" s="47">
        <f>[9]不燃・木くず・海岸清掃!$T$43</f>
        <v>0</v>
      </c>
      <c r="G23" s="110">
        <f t="shared" si="0"/>
        <v>0</v>
      </c>
      <c r="H23" s="42">
        <f>SUM(D23+G23)</f>
        <v>0</v>
      </c>
      <c r="I23" s="182"/>
      <c r="J23" s="47">
        <f>[9]粗大!$G$43</f>
        <v>0</v>
      </c>
      <c r="K23" s="47">
        <f>[9]粗大!$H$43</f>
        <v>0</v>
      </c>
      <c r="L23" s="47">
        <f>SUM(J23:K23)</f>
        <v>0</v>
      </c>
      <c r="M23" s="47">
        <f>[9]粗大!$I$43</f>
        <v>0</v>
      </c>
      <c r="N23" s="47">
        <f>[9]粗大!$J$43</f>
        <v>0</v>
      </c>
      <c r="O23" s="110">
        <f>SUM(M23:N23)</f>
        <v>0</v>
      </c>
      <c r="P23" s="42">
        <f>ROUND(L23+O23,1)</f>
        <v>0</v>
      </c>
      <c r="Q23" s="182"/>
      <c r="R23" s="47">
        <f>[9]粗大!$Q$43</f>
        <v>0</v>
      </c>
      <c r="S23" s="47">
        <f>[9]粗大!$R$43</f>
        <v>0</v>
      </c>
      <c r="T23" s="47">
        <f>SUM(R23:S23)</f>
        <v>0</v>
      </c>
      <c r="U23" s="47">
        <f>[9]粗大!$S$43</f>
        <v>0</v>
      </c>
      <c r="V23" s="47">
        <f>[9]粗大!$T$43</f>
        <v>0</v>
      </c>
      <c r="W23" s="110">
        <f>SUM(U23:V23)</f>
        <v>0</v>
      </c>
      <c r="X23" s="132">
        <f>ROUND(T23+W23,1)</f>
        <v>0</v>
      </c>
    </row>
    <row r="24" spans="1:24" ht="17.25" customHeight="1" x14ac:dyDescent="0.15">
      <c r="A24" s="173">
        <v>1</v>
      </c>
      <c r="B24" s="111"/>
      <c r="C24" s="111"/>
      <c r="D24" s="111"/>
      <c r="E24" s="111"/>
      <c r="F24" s="111"/>
      <c r="G24" s="111"/>
      <c r="H24" s="41"/>
      <c r="I24" s="180">
        <v>1</v>
      </c>
      <c r="J24" s="111"/>
      <c r="K24" s="111"/>
      <c r="L24" s="111"/>
      <c r="M24" s="111"/>
      <c r="N24" s="111"/>
      <c r="O24" s="111"/>
      <c r="P24" s="41"/>
      <c r="Q24" s="180">
        <v>1</v>
      </c>
      <c r="R24" s="111"/>
      <c r="S24" s="111"/>
      <c r="T24" s="111"/>
      <c r="U24" s="111"/>
      <c r="V24" s="111"/>
      <c r="W24" s="111"/>
      <c r="X24" s="134"/>
    </row>
    <row r="25" spans="1:24" ht="17.25" customHeight="1" x14ac:dyDescent="0.15">
      <c r="A25" s="174"/>
      <c r="B25" s="47">
        <f>[10]不燃・木くず・海岸清掃!$Q$43</f>
        <v>0</v>
      </c>
      <c r="C25" s="47">
        <f>[10]不燃・木くず・海岸清掃!$R$43</f>
        <v>0</v>
      </c>
      <c r="D25" s="47">
        <f>SUM(B25:C25)</f>
        <v>0</v>
      </c>
      <c r="E25" s="47">
        <f>[10]不燃・木くず・海岸清掃!$S$43</f>
        <v>0</v>
      </c>
      <c r="F25" s="47">
        <f>[10]不燃・木くず・海岸清掃!$T$43</f>
        <v>0</v>
      </c>
      <c r="G25" s="110">
        <f t="shared" si="0"/>
        <v>0</v>
      </c>
      <c r="H25" s="43">
        <f>SUM(D25+G25)</f>
        <v>0</v>
      </c>
      <c r="I25" s="181"/>
      <c r="J25" s="47">
        <f>[10]粗大!$G$43</f>
        <v>0</v>
      </c>
      <c r="K25" s="47">
        <f>[10]粗大!$H$43</f>
        <v>0</v>
      </c>
      <c r="L25" s="47">
        <f>SUM(J25:K25)</f>
        <v>0</v>
      </c>
      <c r="M25" s="47">
        <f>[10]粗大!$I$43</f>
        <v>0</v>
      </c>
      <c r="N25" s="47">
        <f>[10]粗大!$J$43</f>
        <v>0</v>
      </c>
      <c r="O25" s="110">
        <f>SUM(M25:N25)</f>
        <v>0</v>
      </c>
      <c r="P25" s="43">
        <f>ROUND(L25+O25,1)</f>
        <v>0</v>
      </c>
      <c r="Q25" s="181"/>
      <c r="R25" s="47">
        <f>[10]粗大!$Q$43</f>
        <v>0</v>
      </c>
      <c r="S25" s="47">
        <f>[10]粗大!$R$43</f>
        <v>0</v>
      </c>
      <c r="T25" s="47">
        <f>SUM(R25:S25)</f>
        <v>0</v>
      </c>
      <c r="U25" s="47">
        <f>[10]粗大!$S$43</f>
        <v>0</v>
      </c>
      <c r="V25" s="47">
        <f>[10]粗大!$T$43</f>
        <v>0</v>
      </c>
      <c r="W25" s="110">
        <f>SUM(U25:V25)</f>
        <v>0</v>
      </c>
      <c r="X25" s="133">
        <f>ROUND(T25+W25,1)</f>
        <v>0</v>
      </c>
    </row>
    <row r="26" spans="1:24" ht="17.25" customHeight="1" x14ac:dyDescent="0.15">
      <c r="A26" s="172">
        <v>2</v>
      </c>
      <c r="B26" s="111"/>
      <c r="C26" s="111"/>
      <c r="D26" s="111"/>
      <c r="E26" s="111"/>
      <c r="F26" s="111"/>
      <c r="G26" s="111"/>
      <c r="H26" s="41"/>
      <c r="I26" s="182">
        <v>2</v>
      </c>
      <c r="J26" s="111"/>
      <c r="K26" s="111"/>
      <c r="L26" s="111"/>
      <c r="M26" s="111"/>
      <c r="N26" s="111"/>
      <c r="O26" s="111"/>
      <c r="P26" s="41"/>
      <c r="Q26" s="182">
        <v>2</v>
      </c>
      <c r="R26" s="111"/>
      <c r="S26" s="111"/>
      <c r="T26" s="111"/>
      <c r="U26" s="111"/>
      <c r="V26" s="111"/>
      <c r="W26" s="111"/>
      <c r="X26" s="134"/>
    </row>
    <row r="27" spans="1:24" ht="17.25" customHeight="1" x14ac:dyDescent="0.15">
      <c r="A27" s="172"/>
      <c r="B27" s="47">
        <f>[11]不燃・木くず・海岸清掃!$Q$43</f>
        <v>0</v>
      </c>
      <c r="C27" s="47">
        <f>[11]不燃・木くず・海岸清掃!$R$43</f>
        <v>0</v>
      </c>
      <c r="D27" s="47">
        <f>SUM(B27:C27)</f>
        <v>0</v>
      </c>
      <c r="E27" s="47">
        <f>[11]不燃・木くず・海岸清掃!$S$43</f>
        <v>0</v>
      </c>
      <c r="F27" s="47">
        <f>[11]不燃・木くず・海岸清掃!$T$43</f>
        <v>0</v>
      </c>
      <c r="G27" s="110">
        <f t="shared" si="0"/>
        <v>0</v>
      </c>
      <c r="H27" s="42">
        <f>SUM(D27+G27)</f>
        <v>0</v>
      </c>
      <c r="I27" s="182"/>
      <c r="J27" s="47">
        <f>[11]粗大!$G$43</f>
        <v>0</v>
      </c>
      <c r="K27" s="47">
        <f>[11]粗大!$H$43</f>
        <v>0</v>
      </c>
      <c r="L27" s="47">
        <f>SUM(J27:K27)</f>
        <v>0</v>
      </c>
      <c r="M27" s="47">
        <f>[11]粗大!$I$43</f>
        <v>0</v>
      </c>
      <c r="N27" s="47">
        <f>[11]粗大!$J$43</f>
        <v>0</v>
      </c>
      <c r="O27" s="110">
        <f>SUM(M27:N27)</f>
        <v>0</v>
      </c>
      <c r="P27" s="42">
        <f>ROUND(L27+O27,1)</f>
        <v>0</v>
      </c>
      <c r="Q27" s="182"/>
      <c r="R27" s="47">
        <f>[11]粗大!$Q$43</f>
        <v>0</v>
      </c>
      <c r="S27" s="47">
        <f>[11]粗大!$R$43</f>
        <v>0</v>
      </c>
      <c r="T27" s="47">
        <f>SUM(R27:S27)</f>
        <v>0</v>
      </c>
      <c r="U27" s="47">
        <f>[11]粗大!$S$43</f>
        <v>0</v>
      </c>
      <c r="V27" s="47">
        <f>[11]粗大!$T$43</f>
        <v>0</v>
      </c>
      <c r="W27" s="110">
        <f>SUM(U27:V27)</f>
        <v>0</v>
      </c>
      <c r="X27" s="132">
        <f>ROUND(T27+W27,1)</f>
        <v>0</v>
      </c>
    </row>
    <row r="28" spans="1:24" ht="17.25" customHeight="1" x14ac:dyDescent="0.15">
      <c r="A28" s="173">
        <v>3</v>
      </c>
      <c r="B28" s="111"/>
      <c r="C28" s="111"/>
      <c r="D28" s="111"/>
      <c r="E28" s="111"/>
      <c r="F28" s="111"/>
      <c r="G28" s="111"/>
      <c r="H28" s="41"/>
      <c r="I28" s="180">
        <v>3</v>
      </c>
      <c r="J28" s="111"/>
      <c r="K28" s="111"/>
      <c r="L28" s="111"/>
      <c r="M28" s="111"/>
      <c r="N28" s="111"/>
      <c r="O28" s="111"/>
      <c r="P28" s="41"/>
      <c r="Q28" s="180">
        <v>3</v>
      </c>
      <c r="R28" s="111"/>
      <c r="S28" s="111"/>
      <c r="T28" s="111"/>
      <c r="U28" s="111"/>
      <c r="V28" s="111"/>
      <c r="W28" s="111"/>
      <c r="X28" s="134"/>
    </row>
    <row r="29" spans="1:24" ht="17.25" customHeight="1" x14ac:dyDescent="0.15">
      <c r="A29" s="174"/>
      <c r="B29" s="47">
        <f>[12]不燃・木くず・海岸清掃!$Q$43</f>
        <v>0</v>
      </c>
      <c r="C29" s="47">
        <f>[12]不燃・木くず・海岸清掃!$R$43</f>
        <v>0</v>
      </c>
      <c r="D29" s="47">
        <f>SUM(B29:C29)</f>
        <v>0</v>
      </c>
      <c r="E29" s="47">
        <f>[12]不燃・木くず・海岸清掃!$S$43</f>
        <v>0</v>
      </c>
      <c r="F29" s="47">
        <f>[12]不燃・木くず・海岸清掃!$T$43</f>
        <v>0</v>
      </c>
      <c r="G29" s="47">
        <f t="shared" si="0"/>
        <v>0</v>
      </c>
      <c r="H29" s="43">
        <f>SUM(D29+G29)</f>
        <v>0</v>
      </c>
      <c r="I29" s="181"/>
      <c r="J29" s="47">
        <f>[12]粗大!$G$43</f>
        <v>0</v>
      </c>
      <c r="K29" s="47">
        <f>[12]粗大!$H$43</f>
        <v>0</v>
      </c>
      <c r="L29" s="47">
        <f>SUM(J29:K29)</f>
        <v>0</v>
      </c>
      <c r="M29" s="47">
        <f>[12]粗大!$I$43</f>
        <v>0</v>
      </c>
      <c r="N29" s="47">
        <f>[12]粗大!$J$43</f>
        <v>0</v>
      </c>
      <c r="O29" s="47">
        <f>SUM(M29:N29)</f>
        <v>0</v>
      </c>
      <c r="P29" s="43">
        <f>ROUND(L29+O29,1)</f>
        <v>0</v>
      </c>
      <c r="Q29" s="181"/>
      <c r="R29" s="47">
        <f>[12]粗大!$Q$43</f>
        <v>0</v>
      </c>
      <c r="S29" s="47">
        <f>[12]粗大!$R$43</f>
        <v>0</v>
      </c>
      <c r="T29" s="47">
        <f>SUM(R29:S29)</f>
        <v>0</v>
      </c>
      <c r="U29" s="47">
        <f>[12]粗大!$S$43</f>
        <v>0</v>
      </c>
      <c r="V29" s="47">
        <f>[12]粗大!$T$43</f>
        <v>0</v>
      </c>
      <c r="W29" s="47">
        <f>SUM(U29:V29)</f>
        <v>0</v>
      </c>
      <c r="X29" s="133">
        <f>ROUND(T29+W29,1)</f>
        <v>0</v>
      </c>
    </row>
    <row r="30" spans="1:24" ht="6" customHeight="1" x14ac:dyDescent="0.15">
      <c r="A30" s="14"/>
      <c r="B30" s="110"/>
      <c r="C30" s="110"/>
      <c r="D30" s="110"/>
      <c r="E30" s="110"/>
      <c r="F30" s="110"/>
      <c r="G30" s="110"/>
      <c r="H30" s="39"/>
      <c r="I30" s="19"/>
      <c r="J30" s="110"/>
      <c r="K30" s="110"/>
      <c r="L30" s="110"/>
      <c r="M30" s="110"/>
      <c r="N30" s="110"/>
      <c r="O30" s="110"/>
      <c r="P30" s="39"/>
      <c r="Q30" s="19"/>
      <c r="R30" s="110"/>
      <c r="S30" s="110"/>
      <c r="T30" s="110"/>
      <c r="U30" s="110"/>
      <c r="V30" s="110"/>
      <c r="W30" s="110"/>
      <c r="X30" s="132"/>
    </row>
    <row r="31" spans="1:24" ht="22.5" customHeight="1" x14ac:dyDescent="0.15">
      <c r="A31" s="176" t="s">
        <v>0</v>
      </c>
      <c r="B31" s="44"/>
      <c r="C31" s="44"/>
      <c r="D31" s="44"/>
      <c r="E31" s="44"/>
      <c r="F31" s="44"/>
      <c r="G31" s="44"/>
      <c r="H31" s="44"/>
      <c r="I31" s="178" t="s">
        <v>0</v>
      </c>
      <c r="J31" s="44"/>
      <c r="K31" s="44"/>
      <c r="L31" s="44"/>
      <c r="M31" s="44"/>
      <c r="N31" s="44"/>
      <c r="O31" s="44"/>
      <c r="P31" s="44"/>
      <c r="Q31" s="178" t="s">
        <v>0</v>
      </c>
      <c r="R31" s="44"/>
      <c r="S31" s="44"/>
      <c r="T31" s="44"/>
      <c r="U31" s="44"/>
      <c r="V31" s="44"/>
      <c r="W31" s="44"/>
      <c r="X31" s="135"/>
    </row>
    <row r="32" spans="1:24" ht="24" customHeight="1" x14ac:dyDescent="0.15">
      <c r="A32" s="177"/>
      <c r="B32" s="112">
        <f t="shared" ref="B32:G32" si="1">SUM(B7+B9+B11+B13+B15+B17+B19+B21+B23+B25+B27+B29)</f>
        <v>0</v>
      </c>
      <c r="C32" s="112">
        <f t="shared" si="1"/>
        <v>0</v>
      </c>
      <c r="D32" s="112">
        <f t="shared" si="1"/>
        <v>0</v>
      </c>
      <c r="E32" s="112">
        <f t="shared" si="1"/>
        <v>0</v>
      </c>
      <c r="F32" s="112">
        <f t="shared" si="1"/>
        <v>0</v>
      </c>
      <c r="G32" s="112">
        <f t="shared" si="1"/>
        <v>0</v>
      </c>
      <c r="H32" s="45">
        <f>SUM(H6:H29)</f>
        <v>0</v>
      </c>
      <c r="I32" s="179"/>
      <c r="J32" s="112">
        <f t="shared" ref="J32:O32" si="2">SUM(J7+J9+J11+J13+J15+J17+J19+J21+J23+J25+J27+J29)</f>
        <v>0</v>
      </c>
      <c r="K32" s="112">
        <f t="shared" si="2"/>
        <v>0</v>
      </c>
      <c r="L32" s="112">
        <f t="shared" si="2"/>
        <v>0</v>
      </c>
      <c r="M32" s="112">
        <f t="shared" si="2"/>
        <v>0</v>
      </c>
      <c r="N32" s="112">
        <f t="shared" si="2"/>
        <v>0</v>
      </c>
      <c r="O32" s="112">
        <f t="shared" si="2"/>
        <v>0</v>
      </c>
      <c r="P32" s="45">
        <f>SUM(P6:P29)</f>
        <v>0</v>
      </c>
      <c r="Q32" s="179"/>
      <c r="R32" s="112">
        <f t="shared" ref="R32:W32" si="3">SUM(R7+R9+R11+R13+R15+R17+R19+R21+R23+R25+R27+R29)</f>
        <v>0</v>
      </c>
      <c r="S32" s="112">
        <f t="shared" si="3"/>
        <v>0</v>
      </c>
      <c r="T32" s="112">
        <f t="shared" si="3"/>
        <v>0</v>
      </c>
      <c r="U32" s="112">
        <f t="shared" si="3"/>
        <v>0</v>
      </c>
      <c r="V32" s="112">
        <f t="shared" si="3"/>
        <v>0</v>
      </c>
      <c r="W32" s="112">
        <f t="shared" si="3"/>
        <v>0</v>
      </c>
      <c r="X32" s="136">
        <f>SUM(X6:X29)</f>
        <v>0</v>
      </c>
    </row>
  </sheetData>
  <mergeCells count="40">
    <mergeCell ref="Q31:Q32"/>
    <mergeCell ref="A1:N1"/>
    <mergeCell ref="Q22:Q23"/>
    <mergeCell ref="Q24:Q25"/>
    <mergeCell ref="Q26:Q27"/>
    <mergeCell ref="Q28:Q29"/>
    <mergeCell ref="A18:A19"/>
    <mergeCell ref="A20:A21"/>
    <mergeCell ref="A16:A17"/>
    <mergeCell ref="A14:A15"/>
    <mergeCell ref="Q20:Q21"/>
    <mergeCell ref="I12:I13"/>
    <mergeCell ref="Q14:Q15"/>
    <mergeCell ref="Q16:Q17"/>
    <mergeCell ref="I20:I21"/>
    <mergeCell ref="I16:I17"/>
    <mergeCell ref="Q12:Q13"/>
    <mergeCell ref="I14:I15"/>
    <mergeCell ref="Q18:Q19"/>
    <mergeCell ref="I18:I19"/>
    <mergeCell ref="Q6:Q7"/>
    <mergeCell ref="Q8:Q9"/>
    <mergeCell ref="Q10:Q11"/>
    <mergeCell ref="I10:I11"/>
    <mergeCell ref="I6:I7"/>
    <mergeCell ref="I8:I9"/>
    <mergeCell ref="I22:I23"/>
    <mergeCell ref="I24:I25"/>
    <mergeCell ref="I26:I27"/>
    <mergeCell ref="A6:A7"/>
    <mergeCell ref="A8:A9"/>
    <mergeCell ref="A10:A11"/>
    <mergeCell ref="A12:A13"/>
    <mergeCell ref="A22:A23"/>
    <mergeCell ref="I31:I32"/>
    <mergeCell ref="A24:A25"/>
    <mergeCell ref="A26:A27"/>
    <mergeCell ref="A28:A29"/>
    <mergeCell ref="I28:I29"/>
    <mergeCell ref="A31:A32"/>
  </mergeCells>
  <phoneticPr fontId="2"/>
  <printOptions horizontalCentered="1" verticalCentered="1"/>
  <pageMargins left="0.39370078740157483" right="0.39370078740157483" top="0.39370078740157483" bottom="0.39370078740157483" header="0.51181102362204722" footer="0.39370078740157483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1-1</vt:lpstr>
      <vt:lpstr>1-2</vt:lpstr>
      <vt:lpstr>1-3</vt:lpstr>
      <vt:lpstr>1-4</vt:lpstr>
      <vt:lpstr>1-5</vt:lpstr>
      <vt:lpstr>1-6</vt:lpstr>
      <vt:lpstr>1-7</vt:lpstr>
      <vt:lpstr>2-1</vt:lpstr>
      <vt:lpstr>2-2</vt:lpstr>
      <vt:lpstr>2-3</vt:lpstr>
      <vt:lpstr>3-1</vt:lpstr>
      <vt:lpstr>3-2</vt:lpstr>
      <vt:lpstr>4-1</vt:lpstr>
      <vt:lpstr>4-2</vt:lpstr>
      <vt:lpstr>4-3</vt:lpstr>
      <vt:lpstr>4-4</vt:lpstr>
      <vt:lpstr>4-5</vt:lpstr>
      <vt:lpstr>4-6</vt:lpstr>
      <vt:lpstr>4-7</vt:lpstr>
      <vt:lpstr>4-8</vt:lpstr>
      <vt:lpstr>5-1</vt:lpstr>
      <vt:lpstr>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利尻郡清掃施設組合</dc:creator>
  <cp:lastModifiedBy>Lay Hirosaki</cp:lastModifiedBy>
  <cp:lastPrinted>2015-04-01T03:52:55Z</cp:lastPrinted>
  <dcterms:created xsi:type="dcterms:W3CDTF">2006-06-20T00:58:36Z</dcterms:created>
  <dcterms:modified xsi:type="dcterms:W3CDTF">2026-04-02T00:01:52Z</dcterms:modified>
</cp:coreProperties>
</file>