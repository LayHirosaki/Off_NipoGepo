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E9BEC4E8-00E2-4292-BDF2-878BCEEB241C}" xr6:coauthVersionLast="47" xr6:coauthVersionMax="47" xr10:uidLastSave="{00000000-0000-0000-0000-000000000000}"/>
  <bookViews>
    <workbookView xWindow="7995" yWindow="765" windowWidth="18615" windowHeight="14715" tabRatio="848" xr2:uid="{05AC9425-1B6D-40D6-9236-EBE587E5E04F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6" s="1"/>
  <c r="C44" i="1"/>
  <c r="C45" i="1"/>
  <c r="D44" i="1"/>
  <c r="E44" i="1"/>
  <c r="F44" i="1"/>
  <c r="G44" i="1"/>
  <c r="M44" i="1"/>
  <c r="D45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E45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E47" i="6"/>
  <c r="F47" i="6"/>
  <c r="G47" i="6"/>
  <c r="H47" i="6"/>
  <c r="I47" i="6"/>
  <c r="J47" i="6"/>
  <c r="K47" i="6"/>
  <c r="L47" i="6"/>
  <c r="M47" i="6"/>
  <c r="N47" i="6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C20" i="3" s="1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C44" i="3" s="1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D16" i="3" s="1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K12" i="8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C25" i="3" s="1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P12" i="11"/>
  <c r="F14" i="3" s="1"/>
  <c r="U12" i="11"/>
  <c r="U43" i="11" s="1"/>
  <c r="X12" i="11"/>
  <c r="E14" i="3"/>
  <c r="F13" i="11"/>
  <c r="K13" i="11"/>
  <c r="G15" i="3" s="1"/>
  <c r="P13" i="11"/>
  <c r="X13" i="11"/>
  <c r="E15" i="3" s="1"/>
  <c r="F14" i="11"/>
  <c r="K14" i="11"/>
  <c r="G16" i="3" s="1"/>
  <c r="P14" i="11"/>
  <c r="F16" i="3" s="1"/>
  <c r="X14" i="11"/>
  <c r="E16" i="3" s="1"/>
  <c r="F15" i="11"/>
  <c r="K15" i="11"/>
  <c r="G17" i="3" s="1"/>
  <c r="P15" i="11"/>
  <c r="F17" i="3" s="1"/>
  <c r="X15" i="11"/>
  <c r="E17" i="3" s="1"/>
  <c r="F16" i="11"/>
  <c r="K16" i="11"/>
  <c r="G18" i="3" s="1"/>
  <c r="P16" i="11"/>
  <c r="F18" i="3"/>
  <c r="X16" i="11"/>
  <c r="E18" i="3"/>
  <c r="F17" i="11"/>
  <c r="K17" i="11"/>
  <c r="G19" i="3" s="1"/>
  <c r="P17" i="11"/>
  <c r="F19" i="3" s="1"/>
  <c r="X17" i="11"/>
  <c r="E19" i="3"/>
  <c r="F18" i="11"/>
  <c r="K18" i="11"/>
  <c r="G20" i="3" s="1"/>
  <c r="P18" i="11"/>
  <c r="F20" i="3" s="1"/>
  <c r="X18" i="11"/>
  <c r="E20" i="3"/>
  <c r="F19" i="11"/>
  <c r="K19" i="11"/>
  <c r="G21" i="3" s="1"/>
  <c r="P19" i="11"/>
  <c r="F21" i="3"/>
  <c r="X19" i="11"/>
  <c r="E21" i="3"/>
  <c r="F20" i="11"/>
  <c r="K20" i="11"/>
  <c r="G22" i="3"/>
  <c r="P20" i="11"/>
  <c r="F22" i="3" s="1"/>
  <c r="X20" i="11"/>
  <c r="E22" i="3" s="1"/>
  <c r="F21" i="11"/>
  <c r="K21" i="11"/>
  <c r="G23" i="3" s="1"/>
  <c r="P21" i="11"/>
  <c r="F23" i="3"/>
  <c r="X21" i="11"/>
  <c r="E23" i="3"/>
  <c r="F22" i="11"/>
  <c r="K22" i="11"/>
  <c r="G24" i="3" s="1"/>
  <c r="P22" i="11"/>
  <c r="F24" i="3" s="1"/>
  <c r="X22" i="11"/>
  <c r="E24" i="3" s="1"/>
  <c r="F23" i="11"/>
  <c r="K23" i="11"/>
  <c r="G25" i="3" s="1"/>
  <c r="P23" i="11"/>
  <c r="F25" i="3" s="1"/>
  <c r="X23" i="11"/>
  <c r="E25" i="3" s="1"/>
  <c r="F24" i="11"/>
  <c r="K24" i="11"/>
  <c r="G26" i="3" s="1"/>
  <c r="P24" i="11"/>
  <c r="F26" i="3"/>
  <c r="X24" i="11"/>
  <c r="E26" i="3"/>
  <c r="F25" i="11"/>
  <c r="K25" i="11"/>
  <c r="G27" i="3" s="1"/>
  <c r="P25" i="11"/>
  <c r="F27" i="3"/>
  <c r="X25" i="11"/>
  <c r="E27" i="3"/>
  <c r="F26" i="11"/>
  <c r="K26" i="11"/>
  <c r="G28" i="3" s="1"/>
  <c r="P26" i="11"/>
  <c r="F28" i="3" s="1"/>
  <c r="X26" i="11"/>
  <c r="E28" i="3" s="1"/>
  <c r="F27" i="11"/>
  <c r="K27" i="11"/>
  <c r="G29" i="3" s="1"/>
  <c r="P27" i="11"/>
  <c r="F29" i="3"/>
  <c r="X27" i="11"/>
  <c r="E29" i="3" s="1"/>
  <c r="F28" i="11"/>
  <c r="K28" i="11"/>
  <c r="G30" i="3" s="1"/>
  <c r="P28" i="11"/>
  <c r="F30" i="3" s="1"/>
  <c r="X28" i="11"/>
  <c r="E30" i="3"/>
  <c r="F29" i="11"/>
  <c r="K29" i="11"/>
  <c r="G31" i="3" s="1"/>
  <c r="P29" i="11"/>
  <c r="F31" i="3"/>
  <c r="X29" i="11"/>
  <c r="E31" i="3" s="1"/>
  <c r="F30" i="11"/>
  <c r="K30" i="11"/>
  <c r="G32" i="3" s="1"/>
  <c r="P30" i="11"/>
  <c r="F32" i="3"/>
  <c r="X30" i="11"/>
  <c r="E32" i="3" s="1"/>
  <c r="F31" i="11"/>
  <c r="K31" i="11"/>
  <c r="G33" i="3" s="1"/>
  <c r="P31" i="11"/>
  <c r="F33" i="3"/>
  <c r="X31" i="11"/>
  <c r="E33" i="3"/>
  <c r="F32" i="11"/>
  <c r="K32" i="11"/>
  <c r="G34" i="3"/>
  <c r="P32" i="11"/>
  <c r="F34" i="3" s="1"/>
  <c r="X32" i="11"/>
  <c r="E34" i="3" s="1"/>
  <c r="F33" i="11"/>
  <c r="K33" i="11"/>
  <c r="G35" i="3" s="1"/>
  <c r="P33" i="11"/>
  <c r="F35" i="3" s="1"/>
  <c r="X33" i="11"/>
  <c r="E35" i="3" s="1"/>
  <c r="F34" i="11"/>
  <c r="K34" i="11"/>
  <c r="G36" i="3" s="1"/>
  <c r="P34" i="11"/>
  <c r="F36" i="3"/>
  <c r="X34" i="11"/>
  <c r="E36" i="3"/>
  <c r="F35" i="11"/>
  <c r="K35" i="11"/>
  <c r="G37" i="3"/>
  <c r="P35" i="11"/>
  <c r="F37" i="3"/>
  <c r="X35" i="11"/>
  <c r="E37" i="3" s="1"/>
  <c r="F36" i="11"/>
  <c r="K36" i="11"/>
  <c r="G38" i="3" s="1"/>
  <c r="P36" i="11"/>
  <c r="F38" i="3" s="1"/>
  <c r="X36" i="11"/>
  <c r="E38" i="3"/>
  <c r="F37" i="11"/>
  <c r="K37" i="11"/>
  <c r="G39" i="3" s="1"/>
  <c r="P37" i="11"/>
  <c r="F39" i="3" s="1"/>
  <c r="X37" i="11"/>
  <c r="E39" i="3"/>
  <c r="F38" i="11"/>
  <c r="K38" i="11"/>
  <c r="G40" i="3" s="1"/>
  <c r="P38" i="11"/>
  <c r="F40" i="3" s="1"/>
  <c r="X38" i="11"/>
  <c r="E40" i="3" s="1"/>
  <c r="F39" i="11"/>
  <c r="K39" i="11"/>
  <c r="G41" i="3" s="1"/>
  <c r="P39" i="11"/>
  <c r="F41" i="3" s="1"/>
  <c r="X39" i="11"/>
  <c r="E41" i="3"/>
  <c r="F40" i="11"/>
  <c r="K40" i="11"/>
  <c r="G42" i="3" s="1"/>
  <c r="P40" i="11"/>
  <c r="F42" i="3" s="1"/>
  <c r="U40" i="11"/>
  <c r="X40" i="11"/>
  <c r="E42" i="3" s="1"/>
  <c r="F41" i="11"/>
  <c r="K41" i="11"/>
  <c r="G43" i="3" s="1"/>
  <c r="P41" i="11"/>
  <c r="F43" i="3"/>
  <c r="U41" i="11"/>
  <c r="X41" i="11"/>
  <c r="E43" i="3" s="1"/>
  <c r="F42" i="11"/>
  <c r="K42" i="11"/>
  <c r="G44" i="3" s="1"/>
  <c r="P42" i="11"/>
  <c r="F44" i="3"/>
  <c r="U42" i="11"/>
  <c r="X42" i="11"/>
  <c r="E44" i="3" s="1"/>
  <c r="B43" i="11"/>
  <c r="C43" i="11"/>
  <c r="D43" i="11"/>
  <c r="E43" i="11"/>
  <c r="G43" i="11"/>
  <c r="H43" i="11"/>
  <c r="I43" i="11"/>
  <c r="J43" i="11"/>
  <c r="L43" i="11"/>
  <c r="M43" i="11"/>
  <c r="N43" i="11"/>
  <c r="O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B15" i="1" s="1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B19" i="1" s="1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B25" i="1" s="1"/>
  <c r="F25" i="15"/>
  <c r="K25" i="15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B30" i="1" s="1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B35" i="1" s="1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B39" i="1" s="1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B42" i="1" s="1"/>
  <c r="F42" i="15"/>
  <c r="K42" i="15"/>
  <c r="B43" i="1" s="1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K13" i="13"/>
  <c r="P13" i="13"/>
  <c r="U13" i="13"/>
  <c r="Z13" i="13"/>
  <c r="D15" i="3" s="1"/>
  <c r="F14" i="13"/>
  <c r="K14" i="13"/>
  <c r="P14" i="13"/>
  <c r="U14" i="13"/>
  <c r="Z14" i="13"/>
  <c r="F15" i="13"/>
  <c r="K15" i="13"/>
  <c r="P15" i="13"/>
  <c r="U15" i="13"/>
  <c r="Z15" i="13"/>
  <c r="F16" i="13"/>
  <c r="K16" i="13"/>
  <c r="P16" i="13"/>
  <c r="U16" i="13"/>
  <c r="Z16" i="13"/>
  <c r="F17" i="13"/>
  <c r="K17" i="13"/>
  <c r="P17" i="13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C22" i="3" s="1"/>
  <c r="K20" i="13"/>
  <c r="P20" i="13"/>
  <c r="U20" i="13"/>
  <c r="Z20" i="13"/>
  <c r="F21" i="13"/>
  <c r="C23" i="3" s="1"/>
  <c r="K21" i="13"/>
  <c r="P21" i="13"/>
  <c r="U21" i="13"/>
  <c r="Z21" i="13"/>
  <c r="F22" i="13"/>
  <c r="C24" i="3" s="1"/>
  <c r="K22" i="13"/>
  <c r="P22" i="13"/>
  <c r="U22" i="13"/>
  <c r="Z22" i="13"/>
  <c r="D24" i="3" s="1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C28" i="3" s="1"/>
  <c r="K26" i="13"/>
  <c r="P26" i="13"/>
  <c r="U26" i="13"/>
  <c r="Z26" i="13"/>
  <c r="F27" i="13"/>
  <c r="K27" i="13"/>
  <c r="P27" i="13"/>
  <c r="U27" i="13"/>
  <c r="Z27" i="13"/>
  <c r="F28" i="13"/>
  <c r="C30" i="3" s="1"/>
  <c r="K28" i="13"/>
  <c r="P28" i="13"/>
  <c r="U28" i="13"/>
  <c r="Z28" i="13"/>
  <c r="F29" i="13"/>
  <c r="C31" i="3" s="1"/>
  <c r="K29" i="13"/>
  <c r="P29" i="13"/>
  <c r="U29" i="13"/>
  <c r="Z29" i="13"/>
  <c r="F30" i="13"/>
  <c r="K30" i="13"/>
  <c r="P30" i="13"/>
  <c r="U30" i="13"/>
  <c r="Z30" i="13"/>
  <c r="F31" i="13"/>
  <c r="C33" i="3" s="1"/>
  <c r="K31" i="13"/>
  <c r="P31" i="13"/>
  <c r="U31" i="13"/>
  <c r="Z31" i="13"/>
  <c r="F32" i="13"/>
  <c r="K32" i="13"/>
  <c r="P32" i="13"/>
  <c r="U32" i="13"/>
  <c r="Z32" i="13"/>
  <c r="F33" i="13"/>
  <c r="C35" i="3" s="1"/>
  <c r="K33" i="13"/>
  <c r="P33" i="13"/>
  <c r="U33" i="13"/>
  <c r="Z33" i="13"/>
  <c r="F34" i="13"/>
  <c r="K34" i="13"/>
  <c r="D36" i="3" s="1"/>
  <c r="P34" i="13"/>
  <c r="U34" i="13"/>
  <c r="Z34" i="13"/>
  <c r="F35" i="13"/>
  <c r="C37" i="3" s="1"/>
  <c r="K35" i="13"/>
  <c r="P35" i="13"/>
  <c r="U35" i="13"/>
  <c r="Z35" i="13"/>
  <c r="F36" i="13"/>
  <c r="K36" i="13"/>
  <c r="P36" i="13"/>
  <c r="U36" i="13"/>
  <c r="Z36" i="13"/>
  <c r="F37" i="13"/>
  <c r="C39" i="3"/>
  <c r="K37" i="13"/>
  <c r="P37" i="13"/>
  <c r="U37" i="13"/>
  <c r="Z37" i="13"/>
  <c r="F38" i="13"/>
  <c r="C40" i="3" s="1"/>
  <c r="K38" i="13"/>
  <c r="P38" i="13"/>
  <c r="Z38" i="13"/>
  <c r="F39" i="13"/>
  <c r="K39" i="13"/>
  <c r="P39" i="13"/>
  <c r="Z39" i="13"/>
  <c r="F40" i="13"/>
  <c r="K40" i="13"/>
  <c r="P40" i="13"/>
  <c r="Z40" i="13"/>
  <c r="F41" i="13"/>
  <c r="C43" i="3" s="1"/>
  <c r="K41" i="13"/>
  <c r="P41" i="13"/>
  <c r="Z41" i="13"/>
  <c r="D43" i="3" s="1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D38" i="3"/>
  <c r="K43" i="10"/>
  <c r="G14" i="3"/>
  <c r="F15" i="3"/>
  <c r="C15" i="3"/>
  <c r="K43" i="16"/>
  <c r="B9" i="8" l="1"/>
  <c r="B9" i="14"/>
  <c r="B9" i="13"/>
  <c r="B9" i="15"/>
  <c r="B9" i="11"/>
  <c r="B9" i="7"/>
  <c r="B9" i="16"/>
  <c r="B9" i="9"/>
  <c r="B9" i="10"/>
  <c r="B9" i="3"/>
  <c r="Q43" i="8"/>
  <c r="C21" i="3"/>
  <c r="C17" i="3"/>
  <c r="Q43" i="10"/>
  <c r="B43" i="3"/>
  <c r="I43" i="3" s="1"/>
  <c r="D39" i="3"/>
  <c r="D27" i="3"/>
  <c r="D21" i="3"/>
  <c r="P43" i="9"/>
  <c r="Z44" i="7"/>
  <c r="B40" i="1"/>
  <c r="B36" i="1"/>
  <c r="B24" i="1"/>
  <c r="B20" i="1"/>
  <c r="Q43" i="16"/>
  <c r="D18" i="3"/>
  <c r="B18" i="3" s="1"/>
  <c r="I18" i="3" s="1"/>
  <c r="V43" i="8"/>
  <c r="C27" i="3"/>
  <c r="B26" i="1"/>
  <c r="B22" i="1"/>
  <c r="B18" i="1"/>
  <c r="B14" i="1"/>
  <c r="B27" i="1"/>
  <c r="F43" i="13"/>
  <c r="Q43" i="14"/>
  <c r="D42" i="3"/>
  <c r="C36" i="3"/>
  <c r="B36" i="3" s="1"/>
  <c r="I36" i="3" s="1"/>
  <c r="D20" i="3"/>
  <c r="B20" i="3" s="1"/>
  <c r="I20" i="3" s="1"/>
  <c r="Z43" i="13"/>
  <c r="C32" i="3"/>
  <c r="B32" i="3" s="1"/>
  <c r="I32" i="3" s="1"/>
  <c r="B31" i="1"/>
  <c r="H47" i="3"/>
  <c r="B15" i="3"/>
  <c r="I15" i="3" s="1"/>
  <c r="U43" i="13"/>
  <c r="F43" i="9"/>
  <c r="Q43" i="15"/>
  <c r="X43" i="11"/>
  <c r="C34" i="3"/>
  <c r="B34" i="3" s="1"/>
  <c r="I34" i="3" s="1"/>
  <c r="C18" i="3"/>
  <c r="C14" i="3"/>
  <c r="K44" i="7"/>
  <c r="D32" i="3"/>
  <c r="D29" i="3"/>
  <c r="D14" i="3"/>
  <c r="B14" i="3" s="1"/>
  <c r="B29" i="1"/>
  <c r="B21" i="1"/>
  <c r="B34" i="1"/>
  <c r="D17" i="3"/>
  <c r="C26" i="3"/>
  <c r="D23" i="3"/>
  <c r="U44" i="7"/>
  <c r="K43" i="15"/>
  <c r="D41" i="3"/>
  <c r="C41" i="3"/>
  <c r="D25" i="3"/>
  <c r="B25" i="3" s="1"/>
  <c r="I25" i="3" s="1"/>
  <c r="B23" i="3"/>
  <c r="I23" i="3" s="1"/>
  <c r="P44" i="7"/>
  <c r="F43" i="11"/>
  <c r="B38" i="1"/>
  <c r="F43" i="16"/>
  <c r="P43" i="13"/>
  <c r="D35" i="3"/>
  <c r="B35" i="3" s="1"/>
  <c r="I35" i="3" s="1"/>
  <c r="D44" i="3"/>
  <c r="AE44" i="7"/>
  <c r="B24" i="3"/>
  <c r="I24" i="3" s="1"/>
  <c r="K43" i="14"/>
  <c r="D28" i="3"/>
  <c r="C29" i="3"/>
  <c r="B29" i="3" s="1"/>
  <c r="I29" i="3" s="1"/>
  <c r="K43" i="9"/>
  <c r="Z43" i="9"/>
  <c r="U43" i="9"/>
  <c r="F44" i="7"/>
  <c r="F43" i="15"/>
  <c r="B32" i="1"/>
  <c r="B28" i="1"/>
  <c r="B41" i="1"/>
  <c r="B33" i="1"/>
  <c r="V43" i="10"/>
  <c r="B23" i="1"/>
  <c r="D40" i="3"/>
  <c r="B40" i="3" s="1"/>
  <c r="I40" i="3" s="1"/>
  <c r="K43" i="13"/>
  <c r="C16" i="3"/>
  <c r="F43" i="14"/>
  <c r="C42" i="3"/>
  <c r="C38" i="3"/>
  <c r="B38" i="3" s="1"/>
  <c r="I38" i="3" s="1"/>
  <c r="F43" i="10"/>
  <c r="V43" i="16"/>
  <c r="D33" i="3"/>
  <c r="B33" i="3" s="1"/>
  <c r="I33" i="3" s="1"/>
  <c r="D34" i="3"/>
  <c r="D37" i="3"/>
  <c r="B37" i="3" s="1"/>
  <c r="I37" i="3" s="1"/>
  <c r="D19" i="3"/>
  <c r="V43" i="15"/>
  <c r="D30" i="3"/>
  <c r="B30" i="3" s="1"/>
  <c r="I30" i="3" s="1"/>
  <c r="D26" i="3"/>
  <c r="D22" i="3"/>
  <c r="B22" i="3" s="1"/>
  <c r="I22" i="3" s="1"/>
  <c r="V43" i="14"/>
  <c r="B37" i="1"/>
  <c r="B17" i="1"/>
  <c r="B13" i="1"/>
  <c r="E46" i="3"/>
  <c r="E45" i="3"/>
  <c r="E48" i="3"/>
  <c r="E47" i="3"/>
  <c r="B39" i="3"/>
  <c r="I39" i="3" s="1"/>
  <c r="B27" i="3"/>
  <c r="I27" i="3" s="1"/>
  <c r="F48" i="3"/>
  <c r="F47" i="3"/>
  <c r="F46" i="3"/>
  <c r="F45" i="3"/>
  <c r="B26" i="3"/>
  <c r="I26" i="3" s="1"/>
  <c r="B44" i="3"/>
  <c r="I44" i="3" s="1"/>
  <c r="B28" i="3"/>
  <c r="I28" i="3" s="1"/>
  <c r="B16" i="3"/>
  <c r="I16" i="3" s="1"/>
  <c r="G47" i="3"/>
  <c r="G48" i="3"/>
  <c r="B42" i="3"/>
  <c r="I42" i="3" s="1"/>
  <c r="G46" i="3"/>
  <c r="K43" i="8"/>
  <c r="B16" i="1"/>
  <c r="P43" i="11"/>
  <c r="D31" i="3"/>
  <c r="K43" i="11"/>
  <c r="C21" i="6"/>
  <c r="H48" i="3"/>
  <c r="H46" i="3"/>
  <c r="G45" i="3"/>
  <c r="H45" i="3"/>
  <c r="C19" i="3"/>
  <c r="B19" i="3" s="1"/>
  <c r="I19" i="3" s="1"/>
  <c r="F43" i="8"/>
  <c r="B41" i="3" l="1"/>
  <c r="I41" i="3" s="1"/>
  <c r="D46" i="3"/>
  <c r="B44" i="1"/>
  <c r="C48" i="3"/>
  <c r="C46" i="3"/>
  <c r="B17" i="3"/>
  <c r="I17" i="3" s="1"/>
  <c r="B21" i="3"/>
  <c r="I21" i="3" s="1"/>
  <c r="D47" i="3"/>
  <c r="D48" i="3"/>
  <c r="D45" i="3"/>
  <c r="B31" i="3"/>
  <c r="I31" i="3" s="1"/>
  <c r="C45" i="3"/>
  <c r="B45" i="1"/>
  <c r="B47" i="1"/>
  <c r="C47" i="3"/>
  <c r="C44" i="6"/>
  <c r="C47" i="6"/>
  <c r="C45" i="6"/>
  <c r="C46" i="6"/>
  <c r="B46" i="1"/>
  <c r="I14" i="3"/>
  <c r="B46" i="3"/>
  <c r="B47" i="3" l="1"/>
  <c r="B48" i="3"/>
  <c r="I47" i="3"/>
  <c r="I48" i="3"/>
  <c r="I46" i="3"/>
  <c r="I45" i="3"/>
  <c r="B45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<sst xmlns="http://schemas.openxmlformats.org/spreadsheetml/2006/main" count="484" uniqueCount="197">
  <si>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</si>
  <si>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</si>
  <si>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</si>
  <si>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</si>
  <si>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</si>
  <si>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</si>
  <si>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</si>
  <si>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</si>
  <si>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</si>
  <si>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</si>
  <si>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</si>
  <si>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</si>
  <si>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</si>
  <si>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</si>
  <si>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</si>
  <si>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</si>
  <si>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</si>
  <si>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</si>
  <si>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</si>
  <si>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</si>
  <si>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</si>
  <si>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</si>
  <si>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</si>
  <si>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</si>
  <si>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</si>
  <si>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</si>
  <si>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</si>
  <si>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</si>
  <si>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</si>
  <si>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</si>
  <si>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</si>
  <si>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</si>
  <si>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</si>
  <si>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</si>
  <si>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</si>
  <si>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</si>
  <si>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</si>
  <si>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</si>
  <si>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</si>
  <si>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</si>
  <si>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</si>
  <si>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</si>
  <si>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</si>
  <si>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</si>
  <si>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</si>
  <si>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</si>
  <si>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</si>
  <si>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</si>
  <si>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</si>
  <si>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</si>
  <si>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</si>
  <si>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</si>
  <si>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</si>
  <si>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</si>
  <si>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</si>
  <si>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</si>
  <si>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</si>
  <si>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</si>
  <si>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</si>
  <si>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</si>
  <si>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</si>
  <si>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</si>
  <si>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</si>
  <si>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</si>
  <si>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</si>
  <si>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</si>
  <si>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</si>
  <si>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</si>
  <si>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</si>
  <si>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</si>
  <si>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</si>
  <si>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</si>
  <si>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</si>
  <si>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</si>
  <si>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</si>
  <si>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</si>
  <si>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</si>
  <si>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</si>
  <si>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</si>
  <si>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</si>
  <si>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</si>
  <si>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</si>
  <si>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</si>
  <si>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</si>
  <si>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</si>
  <si>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</si>
  <si>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</si>
  <si>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</si>
  <si>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</si>
  <si>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</si>
  <si>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</si>
  <si>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</si>
  <si>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</si>
  <si>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</si>
  <si>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</si>
  <si>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</si>
  <si>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</si>
  <si>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</si>
  <si>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</si>
  <si>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</si>
  <si>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</si>
  <si>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</si>
  <si>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</si>
  <si>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</si>
  <si>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</si>
  <si>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</si>
  <si>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</si>
  <si>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</si>
  <si>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</si>
  <si>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</si>
  <si>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</si>
  <si>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</si>
  <si>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</si>
  <si>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</si>
  <si>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</si>
  <si>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</si>
  <si>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</si>
  <si>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</si>
  <si>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</si>
  <si>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</si>
  <si>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</si>
  <si>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</si>
  <si>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</si>
  <si>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</si>
  <si>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</si>
  <si>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</si>
  <si>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</si>
  <si>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</si>
  <si>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</si>
  <si>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</si>
  <si>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</si>
  <si>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</si>
  <si>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</si>
  <si>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</si>
  <si>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</si>
  <si>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</si>
  <si>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</si>
  <si>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</si>
  <si>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</si>
  <si>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</si>
  <si>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</si>
  <si>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</si>
  <si>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</si>
  <si>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</si>
  <si>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</si>
  <si>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</si>
  <si>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</si>
  <si>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</si>
  <si>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</si>
  <si>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</si>
  <si>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</si>
  <si>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</si>
  <si>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</si>
  <si>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</si>
  <si>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</si>
  <si>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</si>
  <si>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</si>
  <si>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</si>
  <si>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</si>
  <si>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</si>
  <si>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</si>
  <si>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</si>
  <si>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</si>
  <si>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</si>
  <si>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</si>
  <si>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</si>
  <si>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</si>
  <si>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</si>
  <si>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</si>
  <si>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</si>
  <si>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</si>
  <si>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</si>
  <si>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</si>
  <si>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</si>
  <si>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</si>
  <si>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</si>
  <si>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</si>
  <si>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</si>
  <si>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</si>
  <si>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</si>
  <si>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</si>
  <si>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</si>
  <si>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</si>
  <si>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</si>
  <si>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</si>
  <si>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</si>
  <si>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</si>
  <si>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</si>
  <si>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</si>
  <si>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</si>
  <si>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</si>
  <si>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</si>
  <si>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</si>
  <si>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</si>
  <si>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資源ごみ（ペットボトル）</t>
    <rPh sb="0" eb="2">
      <t>シゲン</t>
    </rPh>
    <phoneticPr fontId="3"/>
  </si>
  <si>
    <t>回転円盤式生物処理+凝集沈澱処理+砂ろ過方式+接触曝気高度処理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rPh sb="23" eb="27">
      <t>セッショクバッキ</t>
    </rPh>
    <rPh sb="27" eb="31">
      <t>コウドショリ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</si>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</sst>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1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C293E-03EB-4B3C-9C91-4A0D27397061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K13" sqref="K12:K13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8" t="s">
        <v>25</v>
      </c>
      <c r="B4" s="148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</row>
    <row r="5" spans="1:18" s="3" customFormat="1" ht="13.5" customHeight="1" x14ac:dyDescent="0.15">
      <c r="A5" s="2"/>
      <c r="I5" s="147" t="s">
        <v>32</v>
      </c>
      <c r="J5" s="147"/>
      <c r="K5" s="147" t="s">
        <v>30</v>
      </c>
      <c r="L5" s="147"/>
      <c r="M5" s="147"/>
      <c r="N5" s="147"/>
      <c r="O5" s="147" t="s">
        <v>69</v>
      </c>
      <c r="P5" s="147"/>
      <c r="Q5" s="149" t="s">
        <v>26</v>
      </c>
      <c r="R5" s="150"/>
    </row>
    <row r="6" spans="1:18" s="3" customFormat="1" ht="13.5" customHeight="1" x14ac:dyDescent="0.15">
      <c r="A6" s="2"/>
      <c r="I6" s="147" t="s">
        <v>71</v>
      </c>
      <c r="J6" s="147"/>
      <c r="K6" s="147" t="s">
        <v>31</v>
      </c>
      <c r="L6" s="147"/>
      <c r="M6" s="147"/>
      <c r="N6" s="147"/>
      <c r="O6" s="147" t="s">
        <v>70</v>
      </c>
      <c r="P6" s="147"/>
      <c r="Q6" s="147" t="s">
        <v>27</v>
      </c>
      <c r="R6" s="147"/>
    </row>
    <row r="7" spans="1:18" s="3" customFormat="1" ht="13.5" customHeight="1" x14ac:dyDescent="0.15">
      <c r="A7" s="2"/>
      <c r="I7" s="147" t="s">
        <v>33</v>
      </c>
      <c r="J7" s="147"/>
      <c r="K7" s="146" t="s">
        <v>196</v>
      </c>
      <c r="L7" s="147"/>
      <c r="M7" s="147"/>
      <c r="N7" s="147"/>
      <c r="O7" s="147" t="s">
        <v>29</v>
      </c>
      <c r="P7" s="147"/>
      <c r="Q7" s="147" t="s">
        <v>28</v>
      </c>
      <c r="R7" s="147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4" t="str">
        <f>"("&amp;TEXT(DATE('[1]A-1'!$E$9, 8, 1), "ggge年mm月")&amp;")"</f>
        <v>(令和9年08月)</v>
      </c>
      <c r="C9" s="144"/>
      <c r="D9" s="145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1" t="s">
        <v>24</v>
      </c>
      <c r="O10" s="142"/>
      <c r="P10" s="142"/>
      <c r="Q10" s="142"/>
      <c r="R10" s="143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7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7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7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7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7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18635D29-CCCE-442F-B27D-2D62100E769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DAB2-FD6F-4E26-857B-D77EE48CFBBA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8" t="s">
        <v>35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1" t="s">
        <v>32</v>
      </c>
      <c r="G5" s="151"/>
      <c r="H5" s="151" t="s">
        <v>30</v>
      </c>
      <c r="I5" s="151"/>
      <c r="J5" s="151" t="s">
        <v>72</v>
      </c>
      <c r="K5" s="151"/>
      <c r="L5" s="151" t="s">
        <v>36</v>
      </c>
      <c r="M5" s="151"/>
      <c r="N5" s="151"/>
    </row>
    <row r="6" spans="1:16" x14ac:dyDescent="0.15">
      <c r="A6" s="2"/>
      <c r="F6" s="151" t="s">
        <v>74</v>
      </c>
      <c r="G6" s="151"/>
      <c r="H6" s="152" t="s">
        <v>31</v>
      </c>
      <c r="I6" s="154"/>
      <c r="J6" s="151" t="s">
        <v>73</v>
      </c>
      <c r="K6" s="151"/>
      <c r="L6" s="151" t="s">
        <v>37</v>
      </c>
      <c r="M6" s="151"/>
      <c r="N6" s="151"/>
    </row>
    <row r="7" spans="1:16" x14ac:dyDescent="0.15">
      <c r="A7" s="2"/>
      <c r="F7" s="151" t="s">
        <v>33</v>
      </c>
      <c r="G7" s="151"/>
      <c r="H7" s="151" t="s">
        <v>196</v>
      </c>
      <c r="I7" s="151"/>
      <c r="J7" s="151" t="s">
        <v>29</v>
      </c>
      <c r="K7" s="151"/>
      <c r="L7" s="151" t="s">
        <v>38</v>
      </c>
      <c r="M7" s="151"/>
      <c r="N7" s="151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4" t="str">
        <f>'A-1'!B9:D9</f>
        <v>(令和9年08月)</v>
      </c>
      <c r="C9" s="144"/>
      <c r="D9" s="145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2" t="s">
        <v>39</v>
      </c>
      <c r="E10" s="153"/>
      <c r="F10" s="153"/>
      <c r="G10" s="153"/>
      <c r="H10" s="153"/>
      <c r="I10" s="154"/>
      <c r="J10" s="39" t="s">
        <v>13</v>
      </c>
      <c r="K10" s="39" t="s">
        <v>40</v>
      </c>
      <c r="L10" s="39" t="s">
        <v>41</v>
      </c>
      <c r="M10" s="152" t="s">
        <v>42</v>
      </c>
      <c r="N10" s="154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2" t="s">
        <v>43</v>
      </c>
      <c r="E11" s="153"/>
      <c r="F11" s="154"/>
      <c r="G11" s="155" t="s">
        <v>101</v>
      </c>
      <c r="H11" s="156"/>
      <c r="I11" s="157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9FB9384B-FA38-4B54-9896-8850F85AB14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0B998-7D4D-4F12-8F87-5AD5902BD6BC}">
  <sheetPr codeName="Sheet11"/>
  <dimension ref="A1:V48"/>
  <sheetViews>
    <sheetView workbookViewId="0">
      <pane ySplit="13" topLeftCell="A14" activePane="bottomLeft" state="frozen"/>
      <selection pane="bottomLeft" activeCell="A24" sqref="A24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4" t="s">
        <v>64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</row>
    <row r="2" spans="1:22" s="44" customFormat="1" ht="12" customHeight="1" x14ac:dyDescent="0.15">
      <c r="H2" s="158" t="s">
        <v>32</v>
      </c>
      <c r="I2" s="159"/>
      <c r="J2" s="160" t="s">
        <v>30</v>
      </c>
      <c r="K2" s="161"/>
      <c r="L2" s="162"/>
      <c r="M2" s="158" t="s">
        <v>75</v>
      </c>
      <c r="N2" s="163"/>
      <c r="O2" s="159"/>
      <c r="P2" s="160" t="s">
        <v>195</v>
      </c>
      <c r="Q2" s="161"/>
      <c r="R2" s="161"/>
      <c r="S2" s="161"/>
      <c r="T2" s="162"/>
    </row>
    <row r="3" spans="1:22" s="44" customFormat="1" ht="12" customHeight="1" x14ac:dyDescent="0.15">
      <c r="H3" s="158" t="s">
        <v>78</v>
      </c>
      <c r="I3" s="159"/>
      <c r="J3" s="160" t="s">
        <v>173</v>
      </c>
      <c r="K3" s="161"/>
      <c r="L3" s="162"/>
      <c r="M3" s="158" t="s">
        <v>76</v>
      </c>
      <c r="N3" s="163"/>
      <c r="O3" s="159"/>
      <c r="P3" s="160" t="s">
        <v>160</v>
      </c>
      <c r="Q3" s="161"/>
      <c r="R3" s="161"/>
      <c r="S3" s="161"/>
      <c r="T3" s="162"/>
    </row>
    <row r="4" spans="1:22" s="44" customFormat="1" ht="12" customHeight="1" x14ac:dyDescent="0.15">
      <c r="H4" s="158" t="s">
        <v>66</v>
      </c>
      <c r="I4" s="159"/>
      <c r="J4" s="160" t="s">
        <v>174</v>
      </c>
      <c r="K4" s="161"/>
      <c r="L4" s="162"/>
      <c r="M4" s="158" t="s">
        <v>77</v>
      </c>
      <c r="N4" s="163"/>
      <c r="O4" s="159"/>
      <c r="P4" s="160" t="s">
        <v>175</v>
      </c>
      <c r="Q4" s="161"/>
      <c r="R4" s="161"/>
      <c r="S4" s="161"/>
      <c r="T4" s="162"/>
    </row>
    <row r="5" spans="1:22" s="44" customFormat="1" ht="12" customHeight="1" x14ac:dyDescent="0.15">
      <c r="H5" s="158" t="s">
        <v>67</v>
      </c>
      <c r="I5" s="159"/>
      <c r="J5" s="160" t="s">
        <v>176</v>
      </c>
      <c r="K5" s="161"/>
      <c r="L5" s="162"/>
      <c r="M5" s="158" t="s">
        <v>79</v>
      </c>
      <c r="N5" s="159"/>
      <c r="O5" s="59" t="s">
        <v>177</v>
      </c>
      <c r="P5" s="160" t="s">
        <v>171</v>
      </c>
      <c r="Q5" s="161"/>
      <c r="R5" s="161"/>
      <c r="S5" s="161"/>
      <c r="T5" s="162"/>
    </row>
    <row r="6" spans="1:22" s="44" customFormat="1" ht="12" customHeight="1" x14ac:dyDescent="0.15">
      <c r="H6" s="158" t="s">
        <v>33</v>
      </c>
      <c r="I6" s="159"/>
      <c r="J6" s="158" t="s">
        <v>65</v>
      </c>
      <c r="K6" s="163"/>
      <c r="L6" s="159"/>
      <c r="M6" s="158" t="s">
        <v>80</v>
      </c>
      <c r="N6" s="159"/>
      <c r="O6" s="59" t="s">
        <v>178</v>
      </c>
      <c r="P6" s="160" t="s">
        <v>172</v>
      </c>
      <c r="Q6" s="161"/>
      <c r="R6" s="161"/>
      <c r="S6" s="161"/>
      <c r="T6" s="162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4" t="str">
        <f>'A-1'!B9:D9</f>
        <v>(令和9年08月)</v>
      </c>
      <c r="C9" s="144"/>
      <c r="D9" s="145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5" t="s">
        <v>56</v>
      </c>
      <c r="D10" s="166"/>
      <c r="E10" s="166"/>
      <c r="F10" s="166"/>
      <c r="G10" s="166"/>
      <c r="H10" s="166"/>
      <c r="I10" s="75"/>
      <c r="J10" s="167" t="s">
        <v>81</v>
      </c>
      <c r="K10" s="168"/>
      <c r="L10" s="168"/>
      <c r="M10" s="168"/>
      <c r="N10" s="168"/>
      <c r="O10" s="168"/>
      <c r="P10" s="168"/>
      <c r="Q10" s="168"/>
      <c r="R10" s="168"/>
      <c r="S10" s="168"/>
      <c r="T10" s="169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183</v>
      </c>
      <c r="I11" s="125" t="s">
        <v>57</v>
      </c>
      <c r="J11" s="79" t="s">
        <v>58</v>
      </c>
      <c r="K11" s="79" t="s">
        <v>60</v>
      </c>
      <c r="L11" s="167" t="s">
        <v>62</v>
      </c>
      <c r="M11" s="168"/>
      <c r="N11" s="168"/>
      <c r="O11" s="168"/>
      <c r="P11" s="167" t="s">
        <v>63</v>
      </c>
      <c r="Q11" s="168"/>
      <c r="R11" s="168"/>
      <c r="S11" s="168"/>
      <c r="T11" s="169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170</v>
      </c>
      <c r="G12" s="77" t="s">
        <v>168</v>
      </c>
      <c r="H12" s="80" t="s">
        <v>184</v>
      </c>
      <c r="I12" s="126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185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188</v>
      </c>
      <c r="M13" s="81" t="s">
        <v>186</v>
      </c>
      <c r="N13" s="81" t="s">
        <v>187</v>
      </c>
      <c r="O13" s="81" t="s">
        <v>172</v>
      </c>
      <c r="P13" s="58" t="s">
        <v>188</v>
      </c>
      <c r="Q13" s="81" t="s">
        <v>186</v>
      </c>
      <c r="R13" s="81" t="s">
        <v>187</v>
      </c>
      <c r="S13" s="81" t="s">
        <v>172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T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0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0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0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P2:T2"/>
    <mergeCell ref="P3:T3"/>
    <mergeCell ref="P4:T4"/>
    <mergeCell ref="J5:L5"/>
    <mergeCell ref="J6:L6"/>
    <mergeCell ref="H3:I3"/>
    <mergeCell ref="H4:I4"/>
    <mergeCell ref="H5:I5"/>
    <mergeCell ref="H6:I6"/>
    <mergeCell ref="M6:N6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185F5AC4-E8D1-4ABE-B476-B958347C3CC2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8CC6E-2E9A-463A-9910-1108481181D4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23" sqref="A23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3" t="s">
        <v>138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4" t="str">
        <f>'A-1'!B9:D9</f>
        <v>(令和9年08月)</v>
      </c>
      <c r="C9" s="174"/>
      <c r="D9" s="175"/>
    </row>
    <row r="10" spans="1:31" s="108" customFormat="1" ht="15" customHeight="1" x14ac:dyDescent="0.15">
      <c r="A10" s="110"/>
      <c r="B10" s="170" t="s">
        <v>82</v>
      </c>
      <c r="C10" s="171"/>
      <c r="D10" s="171"/>
      <c r="E10" s="171"/>
      <c r="F10" s="172"/>
      <c r="G10" s="170" t="s">
        <v>82</v>
      </c>
      <c r="H10" s="171"/>
      <c r="I10" s="171"/>
      <c r="J10" s="171"/>
      <c r="K10" s="172"/>
      <c r="L10" s="170" t="s">
        <v>82</v>
      </c>
      <c r="M10" s="171"/>
      <c r="N10" s="171"/>
      <c r="O10" s="171"/>
      <c r="P10" s="172"/>
      <c r="Q10" s="170" t="s">
        <v>82</v>
      </c>
      <c r="R10" s="171"/>
      <c r="S10" s="171"/>
      <c r="T10" s="171"/>
      <c r="U10" s="172"/>
      <c r="V10" s="170" t="s">
        <v>82</v>
      </c>
      <c r="W10" s="171"/>
      <c r="X10" s="171"/>
      <c r="Y10" s="171"/>
      <c r="Z10" s="172"/>
      <c r="AA10" s="170" t="s">
        <v>82</v>
      </c>
      <c r="AB10" s="171"/>
      <c r="AC10" s="171"/>
      <c r="AD10" s="171"/>
      <c r="AE10" s="172"/>
    </row>
    <row r="11" spans="1:31" s="108" customFormat="1" ht="15" customHeight="1" x14ac:dyDescent="0.15">
      <c r="A11" s="111" t="s">
        <v>83</v>
      </c>
      <c r="B11" s="170" t="s">
        <v>94</v>
      </c>
      <c r="C11" s="171"/>
      <c r="D11" s="171"/>
      <c r="E11" s="171"/>
      <c r="F11" s="172"/>
      <c r="G11" s="170" t="s">
        <v>99</v>
      </c>
      <c r="H11" s="171"/>
      <c r="I11" s="171"/>
      <c r="J11" s="171"/>
      <c r="K11" s="172"/>
      <c r="L11" s="170" t="s">
        <v>137</v>
      </c>
      <c r="M11" s="171"/>
      <c r="N11" s="171"/>
      <c r="O11" s="171"/>
      <c r="P11" s="172"/>
      <c r="Q11" s="170" t="s">
        <v>128</v>
      </c>
      <c r="R11" s="171"/>
      <c r="S11" s="171"/>
      <c r="T11" s="171"/>
      <c r="U11" s="172"/>
      <c r="V11" s="170" t="s">
        <v>194</v>
      </c>
      <c r="W11" s="171"/>
      <c r="X11" s="171"/>
      <c r="Y11" s="171"/>
      <c r="Z11" s="172"/>
      <c r="AA11" s="170" t="s">
        <v>136</v>
      </c>
      <c r="AB11" s="171"/>
      <c r="AC11" s="171"/>
      <c r="AD11" s="171"/>
      <c r="AE11" s="172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5"/>
      <c r="W28" s="135"/>
      <c r="X28" s="135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5"/>
      <c r="W29" s="135"/>
      <c r="X29" s="135"/>
      <c r="Y29" s="135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5"/>
      <c r="R30" s="135"/>
      <c r="S30" s="135"/>
      <c r="T30" s="135"/>
      <c r="U30" s="124">
        <f t="shared" si="3"/>
        <v>0</v>
      </c>
      <c r="V30" s="135"/>
      <c r="W30" s="135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5"/>
      <c r="R31" s="135"/>
      <c r="S31" s="135"/>
      <c r="T31" s="135"/>
      <c r="U31" s="124">
        <f t="shared" si="3"/>
        <v>0</v>
      </c>
      <c r="V31" s="135"/>
      <c r="W31" s="135"/>
      <c r="X31" s="135"/>
      <c r="Y31" s="135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5"/>
      <c r="U32" s="124">
        <f t="shared" si="3"/>
        <v>0</v>
      </c>
      <c r="V32" s="135"/>
      <c r="W32" s="135"/>
      <c r="X32" s="135"/>
      <c r="Y32" s="135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5"/>
      <c r="S33" s="135"/>
      <c r="T33" s="135"/>
      <c r="U33" s="124">
        <f t="shared" si="3"/>
        <v>0</v>
      </c>
      <c r="V33" s="135"/>
      <c r="W33" s="135"/>
      <c r="X33" s="135"/>
      <c r="Y33" s="135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5"/>
      <c r="T34" s="135"/>
      <c r="U34" s="124">
        <f t="shared" si="3"/>
        <v>0</v>
      </c>
      <c r="V34" s="135"/>
      <c r="W34" s="135"/>
      <c r="X34" s="135"/>
      <c r="Y34" s="135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6"/>
      <c r="E42" s="135"/>
      <c r="F42" s="124">
        <f t="shared" si="0"/>
        <v>0</v>
      </c>
      <c r="G42" s="135"/>
      <c r="H42" s="135"/>
      <c r="I42" s="136"/>
      <c r="J42" s="135"/>
      <c r="K42" s="124">
        <f t="shared" si="1"/>
        <v>0</v>
      </c>
      <c r="L42" s="135"/>
      <c r="M42" s="135"/>
      <c r="N42" s="136"/>
      <c r="O42" s="135"/>
      <c r="P42" s="124">
        <f t="shared" si="2"/>
        <v>0</v>
      </c>
      <c r="Q42" s="135"/>
      <c r="R42" s="135"/>
      <c r="S42" s="136"/>
      <c r="T42" s="135"/>
      <c r="U42" s="124">
        <f t="shared" si="3"/>
        <v>0</v>
      </c>
      <c r="V42" s="135"/>
      <c r="W42" s="135"/>
      <c r="X42" s="136"/>
      <c r="Y42" s="135"/>
      <c r="Z42" s="124">
        <f t="shared" si="4"/>
        <v>0</v>
      </c>
      <c r="AA42" s="135"/>
      <c r="AB42" s="135"/>
      <c r="AC42" s="136"/>
      <c r="AD42" s="135"/>
      <c r="AE42" s="124">
        <f t="shared" si="5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8E1F8377-C165-46B4-A828-CC8821556A3C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1B7A-6DB5-4DD0-AA38-459CC913DD78}">
  <sheetPr codeName="Sheet2"/>
  <dimension ref="A1:V43"/>
  <sheetViews>
    <sheetView showZeros="0" workbookViewId="0">
      <pane ySplit="11" topLeftCell="A12" activePane="bottomLeft" state="frozen"/>
      <selection pane="bottomLeft" activeCell="A22" sqref="A22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3" t="s">
        <v>156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79" t="str">
        <f>'A-1'!B9:D9</f>
        <v>(令和9年08月)</v>
      </c>
      <c r="C9" s="179"/>
      <c r="D9" s="180"/>
    </row>
    <row r="10" spans="1:22" s="108" customFormat="1" ht="15" customHeight="1" x14ac:dyDescent="0.15">
      <c r="A10" s="116"/>
      <c r="B10" s="181" t="s">
        <v>97</v>
      </c>
      <c r="C10" s="182"/>
      <c r="D10" s="182"/>
      <c r="E10" s="182"/>
      <c r="F10" s="183"/>
      <c r="G10" s="181" t="s">
        <v>98</v>
      </c>
      <c r="H10" s="182"/>
      <c r="I10" s="182"/>
      <c r="J10" s="182"/>
      <c r="K10" s="183"/>
      <c r="L10" s="116"/>
      <c r="M10" s="176" t="s">
        <v>157</v>
      </c>
      <c r="N10" s="177"/>
      <c r="O10" s="177"/>
      <c r="P10" s="177"/>
      <c r="Q10" s="178"/>
      <c r="R10" s="176" t="s">
        <v>158</v>
      </c>
      <c r="S10" s="177"/>
      <c r="T10" s="177"/>
      <c r="U10" s="177"/>
      <c r="V10" s="178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BFDB4668-2E24-44E5-9100-1EA87E89ECD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CDBDE-5D06-46DA-A1C1-CCBE5250F295}">
  <sheetPr codeName="Sheet5"/>
  <dimension ref="A1:Z43"/>
  <sheetViews>
    <sheetView showZeros="0" workbookViewId="0">
      <pane ySplit="11" topLeftCell="A12" activePane="bottomLeft" state="frozen"/>
      <selection pane="bottomLeft" activeCell="I17" sqref="I17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7" t="s">
        <v>155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4" t="str">
        <f>'A-1'!B9:D9</f>
        <v>(令和9年08月)</v>
      </c>
      <c r="C9" s="144"/>
      <c r="D9" s="145"/>
    </row>
    <row r="10" spans="1:26" ht="15" customHeight="1" x14ac:dyDescent="0.15">
      <c r="A10" s="103"/>
      <c r="B10" s="184" t="s">
        <v>95</v>
      </c>
      <c r="C10" s="185"/>
      <c r="D10" s="185"/>
      <c r="E10" s="185"/>
      <c r="F10" s="186"/>
      <c r="G10" s="184" t="s">
        <v>96</v>
      </c>
      <c r="H10" s="185"/>
      <c r="I10" s="185"/>
      <c r="J10" s="185"/>
      <c r="K10" s="186"/>
      <c r="L10" s="184" t="s">
        <v>139</v>
      </c>
      <c r="M10" s="185"/>
      <c r="N10" s="185"/>
      <c r="O10" s="185"/>
      <c r="P10" s="186"/>
      <c r="Q10" s="184" t="s">
        <v>154</v>
      </c>
      <c r="R10" s="185"/>
      <c r="S10" s="185"/>
      <c r="T10" s="185"/>
      <c r="U10" s="186"/>
      <c r="V10" s="184" t="s">
        <v>140</v>
      </c>
      <c r="W10" s="185"/>
      <c r="X10" s="185"/>
      <c r="Y10" s="185"/>
      <c r="Z10" s="186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>
        <v>31</v>
      </c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5D39AA7C-74D4-4B62-AA0B-EC20D7A2F1F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772C-DC88-4326-AB67-5852C8E0B99F}">
  <dimension ref="A1:V43"/>
  <sheetViews>
    <sheetView showZeros="0" workbookViewId="0">
      <pane ySplit="11" topLeftCell="A12" activePane="bottomLeft" state="frozen"/>
      <selection pane="bottomLeft" activeCell="M29" sqref="M2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7" t="s">
        <v>150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4" t="str">
        <f>'A-1'!B9:D9</f>
        <v>(令和9年08月)</v>
      </c>
      <c r="C9" s="144"/>
      <c r="D9" s="145"/>
    </row>
    <row r="10" spans="1:22" ht="15" customHeight="1" x14ac:dyDescent="0.15">
      <c r="A10" s="103"/>
      <c r="B10" s="184" t="s">
        <v>149</v>
      </c>
      <c r="C10" s="185"/>
      <c r="D10" s="185"/>
      <c r="E10" s="185"/>
      <c r="F10" s="186"/>
      <c r="G10" s="184" t="s">
        <v>151</v>
      </c>
      <c r="H10" s="185"/>
      <c r="I10" s="185"/>
      <c r="J10" s="185"/>
      <c r="K10" s="186"/>
      <c r="L10" s="103"/>
      <c r="M10" s="184" t="s">
        <v>152</v>
      </c>
      <c r="N10" s="185"/>
      <c r="O10" s="185"/>
      <c r="P10" s="185"/>
      <c r="Q10" s="186"/>
      <c r="R10" s="184" t="s">
        <v>153</v>
      </c>
      <c r="S10" s="185"/>
      <c r="T10" s="185"/>
      <c r="U10" s="185"/>
      <c r="V10" s="186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860A7A46-F329-4515-ABED-6438C2B029A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362C4-5CDD-4B8B-8EF0-D34186A4223D}">
  <sheetPr codeName="Sheet8"/>
  <dimension ref="A1:V43"/>
  <sheetViews>
    <sheetView showZeros="0" workbookViewId="0">
      <pane ySplit="11" topLeftCell="A12" activePane="bottomLeft" state="frozen"/>
      <selection pane="bottomLeft" activeCell="L22" sqref="L22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7" t="s">
        <v>144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4" t="str">
        <f>'A-1'!B9:D9</f>
        <v>(令和9年08月)</v>
      </c>
      <c r="C9" s="144"/>
      <c r="D9" s="145"/>
    </row>
    <row r="10" spans="1:22" ht="15" customHeight="1" x14ac:dyDescent="0.15">
      <c r="A10" s="103"/>
      <c r="B10" s="184" t="s">
        <v>112</v>
      </c>
      <c r="C10" s="185"/>
      <c r="D10" s="185"/>
      <c r="E10" s="185"/>
      <c r="F10" s="186"/>
      <c r="G10" s="184" t="s">
        <v>115</v>
      </c>
      <c r="H10" s="185"/>
      <c r="I10" s="185"/>
      <c r="J10" s="185"/>
      <c r="K10" s="186"/>
      <c r="L10" s="103"/>
      <c r="M10" s="184" t="s">
        <v>113</v>
      </c>
      <c r="N10" s="185"/>
      <c r="O10" s="185"/>
      <c r="P10" s="185"/>
      <c r="Q10" s="186"/>
      <c r="R10" s="184" t="s">
        <v>114</v>
      </c>
      <c r="S10" s="185"/>
      <c r="T10" s="185"/>
      <c r="U10" s="185"/>
      <c r="V10" s="186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 t="shared" ref="K13:K42" si="1">SUM(G13:J13)</f>
        <v>0</v>
      </c>
      <c r="L13" s="24">
        <v>2</v>
      </c>
      <c r="M13" s="128"/>
      <c r="N13" s="128"/>
      <c r="O13" s="128"/>
      <c r="P13" s="128"/>
      <c r="Q13" s="128">
        <f t="shared" ref="Q13:Q42" si="2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3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3">SUM(B15:E15)</f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3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3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3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3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3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3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3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9">
        <f t="shared" si="3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3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3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3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3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3"/>
        <v>0</v>
      </c>
      <c r="G28" s="129"/>
      <c r="H28" s="129"/>
      <c r="I28" s="129"/>
      <c r="J28" s="129"/>
      <c r="K28" s="123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3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3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3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3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3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3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3"/>
        <v>0</v>
      </c>
      <c r="G35" s="132"/>
      <c r="H35" s="132"/>
      <c r="I35" s="129"/>
      <c r="J35" s="129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3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3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3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3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3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3"/>
        <v>0</v>
      </c>
      <c r="G41" s="129"/>
      <c r="H41" s="129"/>
      <c r="I41" s="123"/>
      <c r="J41" s="123"/>
      <c r="K41" s="123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AD2FFEAB-7457-4D7E-83A3-F1B88E22594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BD5A-ACC8-4BE1-AD09-BECCCB387FF4}">
  <sheetPr codeName="Sheet3"/>
  <dimension ref="A1:V43"/>
  <sheetViews>
    <sheetView showZeros="0" workbookViewId="0">
      <pane ySplit="11" topLeftCell="A12" activePane="bottomLeft" state="frozen"/>
      <selection pane="bottomLeft" activeCell="L22" sqref="L22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87" t="s">
        <v>189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4" t="str">
        <f>'A-1'!B9:D9</f>
        <v>(令和9年08月)</v>
      </c>
      <c r="C9" s="144"/>
      <c r="D9" s="145"/>
    </row>
    <row r="10" spans="1:22" ht="15" customHeight="1" x14ac:dyDescent="0.15">
      <c r="A10" s="103"/>
      <c r="B10" s="184" t="s">
        <v>190</v>
      </c>
      <c r="C10" s="185"/>
      <c r="D10" s="185"/>
      <c r="E10" s="185"/>
      <c r="F10" s="186"/>
      <c r="G10" s="184" t="s">
        <v>191</v>
      </c>
      <c r="H10" s="185"/>
      <c r="I10" s="185"/>
      <c r="J10" s="185"/>
      <c r="K10" s="186"/>
      <c r="L10" s="103"/>
      <c r="M10" s="184" t="s">
        <v>192</v>
      </c>
      <c r="N10" s="185"/>
      <c r="O10" s="185"/>
      <c r="P10" s="185"/>
      <c r="Q10" s="186"/>
      <c r="R10" s="184" t="s">
        <v>193</v>
      </c>
      <c r="S10" s="185"/>
      <c r="T10" s="185"/>
      <c r="U10" s="185"/>
      <c r="V10" s="186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FF7A2534-DDEB-4DB8-92CA-D8012443535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3665-B860-4996-AAAB-57E1BE0625EC}">
  <dimension ref="A1:V43"/>
  <sheetViews>
    <sheetView showZeros="0" workbookViewId="0">
      <pane ySplit="11" topLeftCell="A12" activePane="bottomLeft" state="frozen"/>
      <selection pane="bottomLeft" activeCell="L22" sqref="L22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7" t="s">
        <v>145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4" t="str">
        <f>'A-1'!B9:D9</f>
        <v>(令和9年08月)</v>
      </c>
      <c r="C9" s="144"/>
      <c r="D9" s="145"/>
    </row>
    <row r="10" spans="1:22" ht="15" customHeight="1" x14ac:dyDescent="0.15">
      <c r="A10" s="103"/>
      <c r="B10" s="184" t="s">
        <v>146</v>
      </c>
      <c r="C10" s="185"/>
      <c r="D10" s="185"/>
      <c r="E10" s="185"/>
      <c r="F10" s="186"/>
      <c r="G10" s="184" t="s">
        <v>147</v>
      </c>
      <c r="H10" s="185"/>
      <c r="I10" s="185"/>
      <c r="J10" s="185"/>
      <c r="K10" s="186"/>
      <c r="L10" s="103"/>
      <c r="M10" s="184" t="s">
        <v>159</v>
      </c>
      <c r="N10" s="185"/>
      <c r="O10" s="185"/>
      <c r="P10" s="185"/>
      <c r="Q10" s="186"/>
      <c r="R10" s="184" t="s">
        <v>148</v>
      </c>
      <c r="S10" s="185"/>
      <c r="T10" s="185"/>
      <c r="U10" s="185"/>
      <c r="V10" s="186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39B8842C-EEA4-44EE-A3A2-62BF1E51061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EA59E-0429-408F-9141-8815A2930A17}">
  <sheetPr codeName="Sheet4"/>
  <dimension ref="A1:Z43"/>
  <sheetViews>
    <sheetView showZeros="0" workbookViewId="0">
      <pane ySplit="11" topLeftCell="A12" activePane="bottomLeft" state="frozen"/>
      <selection pane="bottomLeft" activeCell="A22" sqref="A22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7" t="s">
        <v>90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4" t="str">
        <f>'A-1'!B9:D9</f>
        <v>(令和9年08月)</v>
      </c>
      <c r="C9" s="144"/>
      <c r="D9" s="145"/>
      <c r="G9" s="144"/>
      <c r="H9" s="144"/>
      <c r="I9" s="145"/>
    </row>
    <row r="10" spans="1:26" ht="15" customHeight="1" x14ac:dyDescent="0.15">
      <c r="A10" s="103"/>
      <c r="B10" s="184" t="s">
        <v>143</v>
      </c>
      <c r="C10" s="185"/>
      <c r="D10" s="185"/>
      <c r="E10" s="185"/>
      <c r="F10" s="186"/>
      <c r="G10" s="184" t="s">
        <v>141</v>
      </c>
      <c r="H10" s="185"/>
      <c r="I10" s="185"/>
      <c r="J10" s="185"/>
      <c r="K10" s="186"/>
      <c r="L10" s="184" t="s">
        <v>103</v>
      </c>
      <c r="M10" s="185"/>
      <c r="N10" s="185"/>
      <c r="O10" s="185"/>
      <c r="P10" s="186"/>
      <c r="Q10" s="184" t="s">
        <v>142</v>
      </c>
      <c r="R10" s="185"/>
      <c r="S10" s="185"/>
      <c r="T10" s="185"/>
      <c r="U10" s="186"/>
      <c r="V10" s="184" t="s">
        <v>91</v>
      </c>
      <c r="W10" s="185"/>
      <c r="X10" s="185"/>
      <c r="Y10" s="185"/>
      <c r="Z10" s="186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28"/>
      <c r="M13" s="128"/>
      <c r="N13" s="128"/>
      <c r="O13" s="128"/>
      <c r="P13" s="128">
        <f t="shared" ref="P13:P42" si="4">SUM(L13:O13)</f>
        <v>0</v>
      </c>
      <c r="Q13" s="130"/>
      <c r="R13" s="130"/>
      <c r="S13" s="134"/>
      <c r="T13" s="128"/>
      <c r="U13" s="130">
        <f t="shared" si="2"/>
        <v>0</v>
      </c>
      <c r="V13" s="128"/>
      <c r="W13" s="128"/>
      <c r="X13" s="128"/>
      <c r="Y13" s="128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33"/>
      <c r="H14" s="130"/>
      <c r="I14" s="133"/>
      <c r="J14" s="133"/>
      <c r="K14" s="130">
        <f t="shared" si="1"/>
        <v>0</v>
      </c>
      <c r="L14" s="128"/>
      <c r="M14" s="128"/>
      <c r="N14" s="128"/>
      <c r="O14" s="128"/>
      <c r="P14" s="128">
        <f t="shared" si="4"/>
        <v>0</v>
      </c>
      <c r="Q14" s="128"/>
      <c r="R14" s="130"/>
      <c r="S14" s="133"/>
      <c r="T14" s="133"/>
      <c r="U14" s="130">
        <f t="shared" si="2"/>
        <v>0</v>
      </c>
      <c r="V14" s="128"/>
      <c r="W14" s="128"/>
      <c r="X14" s="128"/>
      <c r="Y14" s="133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28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33"/>
      <c r="C21" s="130"/>
      <c r="D21" s="130"/>
      <c r="E21" s="130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3"/>
      <c r="M21" s="133"/>
      <c r="N21" s="133"/>
      <c r="O21" s="133"/>
      <c r="P21" s="133">
        <f t="shared" si="4"/>
        <v>0</v>
      </c>
      <c r="Q21" s="133"/>
      <c r="R21" s="130"/>
      <c r="S21" s="130"/>
      <c r="T21" s="130"/>
      <c r="U21" s="130">
        <f t="shared" si="2"/>
        <v>0</v>
      </c>
      <c r="V21" s="128"/>
      <c r="W21" s="128"/>
      <c r="X21" s="128"/>
      <c r="Y21" s="128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28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28"/>
      <c r="M27" s="128"/>
      <c r="N27" s="128"/>
      <c r="O27" s="128"/>
      <c r="P27" s="128">
        <f t="shared" si="4"/>
        <v>0</v>
      </c>
      <c r="Q27" s="128"/>
      <c r="R27" s="128"/>
      <c r="S27" s="128"/>
      <c r="T27" s="128"/>
      <c r="U27" s="128">
        <f t="shared" si="2"/>
        <v>0</v>
      </c>
      <c r="V27" s="128"/>
      <c r="W27" s="128"/>
      <c r="X27" s="128"/>
      <c r="Y27" s="128"/>
      <c r="Z27" s="128">
        <f t="shared" si="3"/>
        <v>0</v>
      </c>
    </row>
    <row r="28" spans="1:26" ht="15" customHeight="1" x14ac:dyDescent="0.15">
      <c r="A28" s="24">
        <v>17</v>
      </c>
      <c r="B28" s="128"/>
      <c r="C28" s="128"/>
      <c r="D28" s="128"/>
      <c r="E28" s="128"/>
      <c r="F28" s="128">
        <f t="shared" si="0"/>
        <v>0</v>
      </c>
      <c r="G28" s="133"/>
      <c r="H28" s="133"/>
      <c r="I28" s="133"/>
      <c r="J28" s="133"/>
      <c r="K28" s="133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2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33"/>
      <c r="C35" s="133"/>
      <c r="D35" s="128"/>
      <c r="E35" s="128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28"/>
      <c r="M35" s="128"/>
      <c r="N35" s="128"/>
      <c r="O35" s="128"/>
      <c r="P35" s="128">
        <f t="shared" si="4"/>
        <v>0</v>
      </c>
      <c r="Q35" s="128"/>
      <c r="R35" s="128"/>
      <c r="S35" s="128"/>
      <c r="T35" s="128"/>
      <c r="U35" s="128">
        <f t="shared" si="2"/>
        <v>0</v>
      </c>
      <c r="V35" s="128"/>
      <c r="W35" s="128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33"/>
      <c r="S40" s="133"/>
      <c r="T40" s="133"/>
      <c r="U40" s="133">
        <f t="shared" si="2"/>
        <v>0</v>
      </c>
      <c r="V40" s="128"/>
      <c r="W40" s="128"/>
      <c r="X40" s="128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34"/>
      <c r="S41" s="134"/>
      <c r="T41" s="134"/>
      <c r="U41" s="134">
        <f t="shared" si="2"/>
        <v>0</v>
      </c>
      <c r="V41" s="128"/>
      <c r="W41" s="128"/>
      <c r="X41" s="128"/>
      <c r="Y41" s="128"/>
      <c r="Z41" s="128">
        <f t="shared" si="3"/>
        <v>0</v>
      </c>
    </row>
    <row r="42" spans="1:26" ht="15" customHeight="1" x14ac:dyDescent="0.15">
      <c r="A42" s="24">
        <v>31</v>
      </c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39FC0CCE-73D2-407E-9D72-EDE1C3F1267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DEFBC-5705-4BC7-8924-EFD40F0D6E13}">
  <sheetPr codeName="Sheet6"/>
  <dimension ref="A1:X43"/>
  <sheetViews>
    <sheetView showZeros="0" workbookViewId="0">
      <pane ySplit="11" topLeftCell="A12" activePane="bottomLeft" state="frozen"/>
      <selection pane="bottomLeft" activeCell="A22" sqref="A22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88" t="s">
        <v>92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4" t="str">
        <f>'A-1'!B9:D9</f>
        <v>(令和9年08月)</v>
      </c>
      <c r="C9" s="144"/>
      <c r="D9" s="145"/>
    </row>
    <row r="10" spans="1:24" ht="15" customHeight="1" x14ac:dyDescent="0.15">
      <c r="A10" s="103"/>
      <c r="B10" s="184" t="s">
        <v>179</v>
      </c>
      <c r="C10" s="185"/>
      <c r="D10" s="185"/>
      <c r="E10" s="185"/>
      <c r="F10" s="186"/>
      <c r="G10" s="184" t="s">
        <v>180</v>
      </c>
      <c r="H10" s="185"/>
      <c r="I10" s="185"/>
      <c r="J10" s="185"/>
      <c r="K10" s="186"/>
      <c r="L10" s="151" t="s">
        <v>161</v>
      </c>
      <c r="M10" s="151"/>
      <c r="N10" s="151"/>
      <c r="O10" s="151"/>
      <c r="P10" s="151"/>
      <c r="Q10" s="184" t="s">
        <v>181</v>
      </c>
      <c r="R10" s="185"/>
      <c r="S10" s="185"/>
      <c r="T10" s="185"/>
      <c r="U10" s="186"/>
      <c r="V10" s="189" t="s">
        <v>182</v>
      </c>
      <c r="W10" s="190"/>
      <c r="X10" s="191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>
        <f t="shared" ref="P12:P42" si="2">SUM(L12:O12)</f>
        <v>0</v>
      </c>
      <c r="Q12" s="128"/>
      <c r="R12" s="128"/>
      <c r="S12" s="128"/>
      <c r="T12" s="128"/>
      <c r="U12" s="128">
        <f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>
        <f t="shared" si="2"/>
        <v>0</v>
      </c>
      <c r="Q13" s="128"/>
      <c r="R13" s="128"/>
      <c r="S13" s="128"/>
      <c r="T13" s="128"/>
      <c r="U13" s="128"/>
      <c r="V13" s="128"/>
      <c r="W13" s="128"/>
      <c r="X13" s="128">
        <f t="shared" si="3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3">
        <f t="shared" si="2"/>
        <v>0</v>
      </c>
      <c r="Q14" s="130"/>
      <c r="R14" s="130"/>
      <c r="S14" s="130"/>
      <c r="T14" s="130"/>
      <c r="U14" s="130"/>
      <c r="V14" s="130"/>
      <c r="W14" s="130"/>
      <c r="X14" s="130">
        <f t="shared" si="3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>
        <f t="shared" si="2"/>
        <v>0</v>
      </c>
      <c r="Q15" s="128"/>
      <c r="R15" s="128"/>
      <c r="S15" s="128"/>
      <c r="T15" s="128"/>
      <c r="U15" s="128"/>
      <c r="V15" s="128"/>
      <c r="W15" s="128"/>
      <c r="X15" s="128">
        <f t="shared" si="3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>
        <f t="shared" si="2"/>
        <v>0</v>
      </c>
      <c r="Q16" s="128"/>
      <c r="R16" s="128"/>
      <c r="S16" s="128"/>
      <c r="T16" s="128"/>
      <c r="U16" s="128"/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>
        <f t="shared" si="2"/>
        <v>0</v>
      </c>
      <c r="Q17" s="128"/>
      <c r="R17" s="128"/>
      <c r="S17" s="128"/>
      <c r="T17" s="128"/>
      <c r="U17" s="128"/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>
        <f t="shared" si="2"/>
        <v>0</v>
      </c>
      <c r="Q18" s="128"/>
      <c r="R18" s="128"/>
      <c r="S18" s="128"/>
      <c r="T18" s="128"/>
      <c r="U18" s="128"/>
      <c r="V18" s="128"/>
      <c r="W18" s="128"/>
      <c r="X18" s="128">
        <f t="shared" si="3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>
        <f t="shared" si="2"/>
        <v>0</v>
      </c>
      <c r="Q19" s="128"/>
      <c r="R19" s="128"/>
      <c r="S19" s="128"/>
      <c r="T19" s="128"/>
      <c r="U19" s="128"/>
      <c r="V19" s="128"/>
      <c r="W19" s="128"/>
      <c r="X19" s="128">
        <f t="shared" si="3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>
        <f t="shared" si="2"/>
        <v>0</v>
      </c>
      <c r="Q20" s="128"/>
      <c r="R20" s="128"/>
      <c r="S20" s="130"/>
      <c r="T20" s="130"/>
      <c r="U20" s="130"/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>
        <f t="shared" si="2"/>
        <v>0</v>
      </c>
      <c r="Q21" s="130"/>
      <c r="R21" s="130"/>
      <c r="S21" s="130"/>
      <c r="T21" s="130"/>
      <c r="U21" s="130"/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>
        <f t="shared" si="2"/>
        <v>0</v>
      </c>
      <c r="Q22" s="128"/>
      <c r="R22" s="128"/>
      <c r="S22" s="128"/>
      <c r="T22" s="128"/>
      <c r="U22" s="128"/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>
        <f t="shared" si="2"/>
        <v>0</v>
      </c>
      <c r="Q23" s="128"/>
      <c r="R23" s="128"/>
      <c r="S23" s="128"/>
      <c r="T23" s="128"/>
      <c r="U23" s="128"/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>
        <f t="shared" si="2"/>
        <v>0</v>
      </c>
      <c r="Q24" s="128"/>
      <c r="R24" s="128"/>
      <c r="S24" s="128"/>
      <c r="T24" s="128"/>
      <c r="U24" s="128"/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>
        <f t="shared" si="2"/>
        <v>0</v>
      </c>
      <c r="Q25" s="128"/>
      <c r="R25" s="128"/>
      <c r="S25" s="128"/>
      <c r="T25" s="128"/>
      <c r="U25" s="128"/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>
        <f t="shared" si="2"/>
        <v>0</v>
      </c>
      <c r="Q26" s="128"/>
      <c r="R26" s="128"/>
      <c r="S26" s="128"/>
      <c r="T26" s="128"/>
      <c r="U26" s="128"/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31"/>
      <c r="M27" s="131"/>
      <c r="N27" s="131"/>
      <c r="O27" s="131"/>
      <c r="P27" s="123">
        <f t="shared" si="2"/>
        <v>0</v>
      </c>
      <c r="Q27" s="130"/>
      <c r="R27" s="130"/>
      <c r="S27" s="130"/>
      <c r="T27" s="130"/>
      <c r="U27" s="130"/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3">
        <f t="shared" si="2"/>
        <v>0</v>
      </c>
      <c r="Q28" s="133"/>
      <c r="R28" s="130"/>
      <c r="S28" s="130"/>
      <c r="T28" s="130"/>
      <c r="U28" s="130"/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>
        <f t="shared" si="2"/>
        <v>0</v>
      </c>
      <c r="Q29" s="128"/>
      <c r="R29" s="128"/>
      <c r="S29" s="128"/>
      <c r="T29" s="128"/>
      <c r="U29" s="128"/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>
        <f t="shared" si="2"/>
        <v>0</v>
      </c>
      <c r="Q30" s="128"/>
      <c r="R30" s="128"/>
      <c r="S30" s="128"/>
      <c r="T30" s="128"/>
      <c r="U30" s="128"/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>
        <f t="shared" si="2"/>
        <v>0</v>
      </c>
      <c r="Q31" s="128"/>
      <c r="R31" s="128"/>
      <c r="S31" s="128"/>
      <c r="T31" s="128"/>
      <c r="U31" s="128"/>
      <c r="V31" s="128"/>
      <c r="W31" s="128"/>
      <c r="X31" s="128">
        <f t="shared" si="3"/>
        <v>0</v>
      </c>
    </row>
    <row r="32" spans="1:24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>
        <f t="shared" si="2"/>
        <v>0</v>
      </c>
      <c r="Q32" s="128"/>
      <c r="R32" s="128"/>
      <c r="S32" s="128"/>
      <c r="T32" s="128"/>
      <c r="U32" s="128"/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>
        <f t="shared" si="2"/>
        <v>0</v>
      </c>
      <c r="Q33" s="128"/>
      <c r="R33" s="128"/>
      <c r="S33" s="128"/>
      <c r="T33" s="128"/>
      <c r="U33" s="128"/>
      <c r="V33" s="128"/>
      <c r="W33" s="128"/>
      <c r="X33" s="128">
        <f t="shared" si="3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>
        <f t="shared" si="2"/>
        <v>0</v>
      </c>
      <c r="Q34" s="130"/>
      <c r="R34" s="130"/>
      <c r="S34" s="130"/>
      <c r="T34" s="130"/>
      <c r="U34" s="130"/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>
        <f t="shared" si="2"/>
        <v>0</v>
      </c>
      <c r="Q35" s="130"/>
      <c r="R35" s="130"/>
      <c r="S35" s="130"/>
      <c r="T35" s="130"/>
      <c r="U35" s="130"/>
      <c r="V35" s="133"/>
      <c r="W35" s="133"/>
      <c r="X35" s="133">
        <f t="shared" si="3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>
        <f t="shared" si="2"/>
        <v>0</v>
      </c>
      <c r="Q36" s="128"/>
      <c r="R36" s="128"/>
      <c r="S36" s="128"/>
      <c r="T36" s="128"/>
      <c r="U36" s="128"/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>
        <f t="shared" si="2"/>
        <v>0</v>
      </c>
      <c r="Q37" s="128"/>
      <c r="R37" s="128"/>
      <c r="S37" s="128"/>
      <c r="T37" s="128"/>
      <c r="U37" s="128"/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>
        <f t="shared" si="2"/>
        <v>0</v>
      </c>
      <c r="Q38" s="128"/>
      <c r="R38" s="128"/>
      <c r="S38" s="128"/>
      <c r="T38" s="128"/>
      <c r="U38" s="128"/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>
        <f t="shared" si="2"/>
        <v>0</v>
      </c>
      <c r="Q39" s="128"/>
      <c r="R39" s="128"/>
      <c r="S39" s="128"/>
      <c r="T39" s="128"/>
      <c r="U39" s="128"/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>
        <f t="shared" si="2"/>
        <v>0</v>
      </c>
      <c r="Q40" s="128"/>
      <c r="R40" s="133"/>
      <c r="S40" s="133"/>
      <c r="T40" s="128"/>
      <c r="U40" s="128">
        <f>SUM(Q40:T40)</f>
        <v>0</v>
      </c>
      <c r="V40" s="128"/>
      <c r="W40" s="128"/>
      <c r="X40" s="128">
        <f t="shared" si="3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3">
        <f t="shared" si="2"/>
        <v>0</v>
      </c>
      <c r="Q41" s="130"/>
      <c r="R41" s="130"/>
      <c r="S41" s="128"/>
      <c r="T41" s="128"/>
      <c r="U41" s="128">
        <f>SUM(Q41:T41)</f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>
        <f t="shared" si="2"/>
        <v>0</v>
      </c>
      <c r="Q42" s="128"/>
      <c r="R42" s="128"/>
      <c r="S42" s="128"/>
      <c r="T42" s="128"/>
      <c r="U42" s="128">
        <f>SUM(Q42:T42)</f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>
        <f>SUM(L12:L42)</f>
        <v>0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ROUND(SUM(P12:P42),1)</f>
        <v>0</v>
      </c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198D2BC6-6EF4-4E8F-A63E-EBE8325C4FA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2017-08-31T23:21:37Z</cp:lastPrinted>
  <dcterms:created xsi:type="dcterms:W3CDTF">2000-07-13T03:30:24Z</dcterms:created>
  <dcterms:modified xsi:type="dcterms:W3CDTF">2026-04-03T04:02:10Z</dcterms:modified>
</cp:coreProperties>
</file>