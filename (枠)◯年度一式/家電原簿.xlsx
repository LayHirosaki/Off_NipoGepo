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"/>
    </mc:Choice>
  </mc:AlternateContent>
  <xr:revisionPtr revIDLastSave="0" documentId="13_ncr:1_{86B15F04-B5CA-4EE7-A6AF-61B6C1C3A764}" xr6:coauthVersionLast="47" xr6:coauthVersionMax="47" xr10:uidLastSave="{00000000-0000-0000-0000-000000000000}"/>
  <bookViews>
    <workbookView xWindow="360" yWindow="495" windowWidth="16245" windowHeight="14565" tabRatio="913" firstSheet="1" activeTab="11" xr2:uid="{B9CDFD5E-F0D0-4E17-B204-1137CFB6A23D}"/>
  </bookViews>
  <sheets>
    <sheet name="調定04" sheetId="26" r:id="rId1"/>
    <sheet name="調定05" sheetId="28" r:id="rId2"/>
    <sheet name="調定06" sheetId="27" r:id="rId3"/>
    <sheet name="調定07" sheetId="29" r:id="rId4"/>
    <sheet name="調定08" sheetId="31" r:id="rId5"/>
    <sheet name="調定09" sheetId="30" r:id="rId6"/>
    <sheet name="調定10" sheetId="32" r:id="rId7"/>
    <sheet name="調定11" sheetId="33" r:id="rId8"/>
    <sheet name="調定12" sheetId="34" r:id="rId9"/>
    <sheet name="調定01" sheetId="35" r:id="rId10"/>
    <sheet name="調定02" sheetId="36" r:id="rId11"/>
    <sheet name="調定03" sheetId="37" r:id="rId12"/>
    <sheet name="収入原簿" sheetId="24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6" i="37" l="1"/>
  <c r="M96" i="37"/>
  <c r="K96" i="37"/>
  <c r="I96" i="37"/>
  <c r="G96" i="37"/>
  <c r="E96" i="37"/>
  <c r="P94" i="37"/>
  <c r="P92" i="37"/>
  <c r="P90" i="37"/>
  <c r="P88" i="37"/>
  <c r="P86" i="37"/>
  <c r="P84" i="37"/>
  <c r="P82" i="37"/>
  <c r="P80" i="37"/>
  <c r="P78" i="37"/>
  <c r="P76" i="37"/>
  <c r="P96" i="37" s="1"/>
  <c r="O72" i="37"/>
  <c r="M72" i="37"/>
  <c r="K72" i="37"/>
  <c r="I72" i="37"/>
  <c r="G72" i="37"/>
  <c r="E72" i="37"/>
  <c r="P64" i="37"/>
  <c r="P62" i="37"/>
  <c r="P60" i="37"/>
  <c r="P58" i="37"/>
  <c r="P56" i="37"/>
  <c r="P54" i="37"/>
  <c r="P52" i="37"/>
  <c r="P72" i="37" s="1"/>
  <c r="O48" i="37"/>
  <c r="M48" i="37"/>
  <c r="K48" i="37"/>
  <c r="I48" i="37"/>
  <c r="G48" i="37"/>
  <c r="E48" i="37"/>
  <c r="P46" i="37"/>
  <c r="P44" i="37"/>
  <c r="P42" i="37"/>
  <c r="P40" i="37"/>
  <c r="P38" i="37"/>
  <c r="P36" i="37"/>
  <c r="P34" i="37"/>
  <c r="P32" i="37"/>
  <c r="P30" i="37"/>
  <c r="P28" i="37"/>
  <c r="P48" i="37" s="1"/>
  <c r="O24" i="37"/>
  <c r="M24" i="37"/>
  <c r="K24" i="37"/>
  <c r="I24" i="37"/>
  <c r="G24" i="37"/>
  <c r="E24" i="37"/>
  <c r="P22" i="37"/>
  <c r="P20" i="37"/>
  <c r="P4" i="37"/>
  <c r="P24" i="37" s="1"/>
  <c r="A1" i="37"/>
  <c r="A49" i="37" s="1"/>
  <c r="O96" i="36"/>
  <c r="M96" i="36"/>
  <c r="K96" i="36"/>
  <c r="I96" i="36"/>
  <c r="G96" i="36"/>
  <c r="E96" i="36"/>
  <c r="P94" i="36"/>
  <c r="P92" i="36"/>
  <c r="P90" i="36"/>
  <c r="P88" i="36"/>
  <c r="P86" i="36"/>
  <c r="P84" i="36"/>
  <c r="P82" i="36"/>
  <c r="P80" i="36"/>
  <c r="P78" i="36"/>
  <c r="P76" i="36"/>
  <c r="P96" i="36" s="1"/>
  <c r="O72" i="36"/>
  <c r="M72" i="36"/>
  <c r="K72" i="36"/>
  <c r="I72" i="36"/>
  <c r="G72" i="36"/>
  <c r="E72" i="36"/>
  <c r="P64" i="36"/>
  <c r="P62" i="36"/>
  <c r="P60" i="36"/>
  <c r="P58" i="36"/>
  <c r="P56" i="36"/>
  <c r="P54" i="36"/>
  <c r="P52" i="36"/>
  <c r="P72" i="36" s="1"/>
  <c r="O48" i="36"/>
  <c r="M48" i="36"/>
  <c r="K48" i="36"/>
  <c r="I48" i="36"/>
  <c r="G48" i="36"/>
  <c r="E48" i="36"/>
  <c r="P46" i="36"/>
  <c r="P44" i="36"/>
  <c r="P42" i="36"/>
  <c r="P40" i="36"/>
  <c r="P38" i="36"/>
  <c r="P36" i="36"/>
  <c r="P34" i="36"/>
  <c r="P32" i="36"/>
  <c r="P30" i="36"/>
  <c r="P28" i="36"/>
  <c r="P48" i="36" s="1"/>
  <c r="O24" i="36"/>
  <c r="M24" i="36"/>
  <c r="K24" i="36"/>
  <c r="I24" i="36"/>
  <c r="G24" i="36"/>
  <c r="E24" i="36"/>
  <c r="P22" i="36"/>
  <c r="P20" i="36"/>
  <c r="P4" i="36"/>
  <c r="P24" i="36" s="1"/>
  <c r="A1" i="36"/>
  <c r="A49" i="36" s="1"/>
  <c r="O96" i="35"/>
  <c r="M96" i="35"/>
  <c r="K96" i="35"/>
  <c r="I96" i="35"/>
  <c r="G96" i="35"/>
  <c r="E96" i="35"/>
  <c r="P94" i="35"/>
  <c r="P92" i="35"/>
  <c r="P90" i="35"/>
  <c r="P88" i="35"/>
  <c r="P86" i="35"/>
  <c r="P84" i="35"/>
  <c r="P82" i="35"/>
  <c r="P80" i="35"/>
  <c r="P78" i="35"/>
  <c r="P76" i="35"/>
  <c r="P96" i="35" s="1"/>
  <c r="O72" i="35"/>
  <c r="M72" i="35"/>
  <c r="K72" i="35"/>
  <c r="I72" i="35"/>
  <c r="G72" i="35"/>
  <c r="E72" i="35"/>
  <c r="P64" i="35"/>
  <c r="P62" i="35"/>
  <c r="P60" i="35"/>
  <c r="P58" i="35"/>
  <c r="P56" i="35"/>
  <c r="P54" i="35"/>
  <c r="P52" i="35"/>
  <c r="P72" i="35" s="1"/>
  <c r="O48" i="35"/>
  <c r="M48" i="35"/>
  <c r="K48" i="35"/>
  <c r="I48" i="35"/>
  <c r="G48" i="35"/>
  <c r="E48" i="35"/>
  <c r="P46" i="35"/>
  <c r="P44" i="35"/>
  <c r="P42" i="35"/>
  <c r="P40" i="35"/>
  <c r="P38" i="35"/>
  <c r="P36" i="35"/>
  <c r="P34" i="35"/>
  <c r="P32" i="35"/>
  <c r="P30" i="35"/>
  <c r="P28" i="35"/>
  <c r="P48" i="35" s="1"/>
  <c r="O24" i="35"/>
  <c r="M24" i="35"/>
  <c r="K24" i="35"/>
  <c r="I24" i="35"/>
  <c r="G24" i="35"/>
  <c r="E24" i="35"/>
  <c r="P22" i="35"/>
  <c r="P20" i="35"/>
  <c r="P4" i="35"/>
  <c r="P24" i="35" s="1"/>
  <c r="A1" i="35"/>
  <c r="A49" i="35" s="1"/>
  <c r="O96" i="34"/>
  <c r="M96" i="34"/>
  <c r="K96" i="34"/>
  <c r="I96" i="34"/>
  <c r="G96" i="34"/>
  <c r="E96" i="34"/>
  <c r="P94" i="34"/>
  <c r="P92" i="34"/>
  <c r="P90" i="34"/>
  <c r="P88" i="34"/>
  <c r="P86" i="34"/>
  <c r="P84" i="34"/>
  <c r="P82" i="34"/>
  <c r="P80" i="34"/>
  <c r="P78" i="34"/>
  <c r="P76" i="34"/>
  <c r="P96" i="34" s="1"/>
  <c r="O72" i="34"/>
  <c r="M72" i="34"/>
  <c r="K72" i="34"/>
  <c r="I72" i="34"/>
  <c r="G72" i="34"/>
  <c r="E72" i="34"/>
  <c r="P64" i="34"/>
  <c r="P62" i="34"/>
  <c r="P60" i="34"/>
  <c r="P58" i="34"/>
  <c r="P56" i="34"/>
  <c r="P54" i="34"/>
  <c r="P52" i="34"/>
  <c r="P72" i="34" s="1"/>
  <c r="O48" i="34"/>
  <c r="M48" i="34"/>
  <c r="K48" i="34"/>
  <c r="I48" i="34"/>
  <c r="G48" i="34"/>
  <c r="E48" i="34"/>
  <c r="P46" i="34"/>
  <c r="P44" i="34"/>
  <c r="P42" i="34"/>
  <c r="P40" i="34"/>
  <c r="P38" i="34"/>
  <c r="P36" i="34"/>
  <c r="P34" i="34"/>
  <c r="P32" i="34"/>
  <c r="P30" i="34"/>
  <c r="P28" i="34"/>
  <c r="P48" i="34" s="1"/>
  <c r="O24" i="34"/>
  <c r="M24" i="34"/>
  <c r="K24" i="34"/>
  <c r="I24" i="34"/>
  <c r="G24" i="34"/>
  <c r="E24" i="34"/>
  <c r="P22" i="34"/>
  <c r="P20" i="34"/>
  <c r="P4" i="34"/>
  <c r="P24" i="34" s="1"/>
  <c r="A1" i="34"/>
  <c r="A49" i="34" s="1"/>
  <c r="O96" i="33"/>
  <c r="M96" i="33"/>
  <c r="K96" i="33"/>
  <c r="I96" i="33"/>
  <c r="G96" i="33"/>
  <c r="E96" i="33"/>
  <c r="P94" i="33"/>
  <c r="P92" i="33"/>
  <c r="P90" i="33"/>
  <c r="P88" i="33"/>
  <c r="P86" i="33"/>
  <c r="P84" i="33"/>
  <c r="P82" i="33"/>
  <c r="P80" i="33"/>
  <c r="P78" i="33"/>
  <c r="P76" i="33"/>
  <c r="P96" i="33" s="1"/>
  <c r="O72" i="33"/>
  <c r="M72" i="33"/>
  <c r="K72" i="33"/>
  <c r="I72" i="33"/>
  <c r="G72" i="33"/>
  <c r="E72" i="33"/>
  <c r="P64" i="33"/>
  <c r="P62" i="33"/>
  <c r="P60" i="33"/>
  <c r="P58" i="33"/>
  <c r="P56" i="33"/>
  <c r="P54" i="33"/>
  <c r="P52" i="33"/>
  <c r="P72" i="33" s="1"/>
  <c r="O48" i="33"/>
  <c r="M48" i="33"/>
  <c r="K48" i="33"/>
  <c r="I48" i="33"/>
  <c r="G48" i="33"/>
  <c r="E48" i="33"/>
  <c r="P46" i="33"/>
  <c r="P44" i="33"/>
  <c r="P42" i="33"/>
  <c r="P40" i="33"/>
  <c r="P38" i="33"/>
  <c r="P36" i="33"/>
  <c r="P34" i="33"/>
  <c r="P32" i="33"/>
  <c r="P30" i="33"/>
  <c r="P28" i="33"/>
  <c r="P48" i="33" s="1"/>
  <c r="O24" i="33"/>
  <c r="M24" i="33"/>
  <c r="K24" i="33"/>
  <c r="I24" i="33"/>
  <c r="G24" i="33"/>
  <c r="E24" i="33"/>
  <c r="P22" i="33"/>
  <c r="P20" i="33"/>
  <c r="P4" i="33"/>
  <c r="P24" i="33" s="1"/>
  <c r="A1" i="33"/>
  <c r="A49" i="33" s="1"/>
  <c r="O96" i="32"/>
  <c r="M96" i="32"/>
  <c r="K96" i="32"/>
  <c r="I96" i="32"/>
  <c r="G96" i="32"/>
  <c r="E96" i="32"/>
  <c r="P94" i="32"/>
  <c r="P92" i="32"/>
  <c r="P90" i="32"/>
  <c r="P88" i="32"/>
  <c r="P86" i="32"/>
  <c r="P84" i="32"/>
  <c r="P82" i="32"/>
  <c r="P80" i="32"/>
  <c r="P78" i="32"/>
  <c r="P76" i="32"/>
  <c r="P96" i="32" s="1"/>
  <c r="A73" i="32"/>
  <c r="P72" i="32"/>
  <c r="O72" i="32"/>
  <c r="M72" i="32"/>
  <c r="K72" i="32"/>
  <c r="I72" i="32"/>
  <c r="G72" i="32"/>
  <c r="E72" i="32"/>
  <c r="P64" i="32"/>
  <c r="P62" i="32"/>
  <c r="P60" i="32"/>
  <c r="P58" i="32"/>
  <c r="P56" i="32"/>
  <c r="P54" i="32"/>
  <c r="P52" i="32"/>
  <c r="O48" i="32"/>
  <c r="M48" i="32"/>
  <c r="K48" i="32"/>
  <c r="I48" i="32"/>
  <c r="G48" i="32"/>
  <c r="E48" i="32"/>
  <c r="P46" i="32"/>
  <c r="P44" i="32"/>
  <c r="P42" i="32"/>
  <c r="P40" i="32"/>
  <c r="P38" i="32"/>
  <c r="P36" i="32"/>
  <c r="P34" i="32"/>
  <c r="P32" i="32"/>
  <c r="P30" i="32"/>
  <c r="P28" i="32"/>
  <c r="P48" i="32" s="1"/>
  <c r="A25" i="32"/>
  <c r="P24" i="32"/>
  <c r="O24" i="32"/>
  <c r="M24" i="32"/>
  <c r="K24" i="32"/>
  <c r="I24" i="32"/>
  <c r="G24" i="32"/>
  <c r="E24" i="32"/>
  <c r="P22" i="32"/>
  <c r="P20" i="32"/>
  <c r="P4" i="32"/>
  <c r="A1" i="32"/>
  <c r="A49" i="32" s="1"/>
  <c r="O96" i="30"/>
  <c r="M96" i="30"/>
  <c r="K96" i="30"/>
  <c r="I96" i="30"/>
  <c r="G96" i="30"/>
  <c r="E96" i="30"/>
  <c r="P94" i="30"/>
  <c r="P92" i="30"/>
  <c r="P90" i="30"/>
  <c r="P88" i="30"/>
  <c r="P86" i="30"/>
  <c r="P84" i="30"/>
  <c r="P82" i="30"/>
  <c r="P80" i="30"/>
  <c r="P78" i="30"/>
  <c r="P76" i="30"/>
  <c r="P96" i="30" s="1"/>
  <c r="O72" i="30"/>
  <c r="M72" i="30"/>
  <c r="K72" i="30"/>
  <c r="I72" i="30"/>
  <c r="G72" i="30"/>
  <c r="E72" i="30"/>
  <c r="P64" i="30"/>
  <c r="P62" i="30"/>
  <c r="P60" i="30"/>
  <c r="P58" i="30"/>
  <c r="P56" i="30"/>
  <c r="P54" i="30"/>
  <c r="P52" i="30"/>
  <c r="P72" i="30" s="1"/>
  <c r="O48" i="30"/>
  <c r="M48" i="30"/>
  <c r="K48" i="30"/>
  <c r="I48" i="30"/>
  <c r="G48" i="30"/>
  <c r="E48" i="30"/>
  <c r="P46" i="30"/>
  <c r="P44" i="30"/>
  <c r="P42" i="30"/>
  <c r="P40" i="30"/>
  <c r="P38" i="30"/>
  <c r="P36" i="30"/>
  <c r="P34" i="30"/>
  <c r="P32" i="30"/>
  <c r="P30" i="30"/>
  <c r="P28" i="30"/>
  <c r="P48" i="30" s="1"/>
  <c r="O24" i="30"/>
  <c r="M24" i="30"/>
  <c r="K24" i="30"/>
  <c r="I24" i="30"/>
  <c r="G24" i="30"/>
  <c r="E24" i="30"/>
  <c r="P22" i="30"/>
  <c r="P20" i="30"/>
  <c r="P4" i="30"/>
  <c r="P24" i="30" s="1"/>
  <c r="A1" i="30"/>
  <c r="A49" i="30" s="1"/>
  <c r="O96" i="31"/>
  <c r="M96" i="31"/>
  <c r="K96" i="31"/>
  <c r="I96" i="31"/>
  <c r="G96" i="31"/>
  <c r="E96" i="31"/>
  <c r="P94" i="31"/>
  <c r="P92" i="31"/>
  <c r="P90" i="31"/>
  <c r="P88" i="31"/>
  <c r="P86" i="31"/>
  <c r="P84" i="31"/>
  <c r="P82" i="31"/>
  <c r="P80" i="31"/>
  <c r="P78" i="31"/>
  <c r="P76" i="31"/>
  <c r="P96" i="31" s="1"/>
  <c r="P72" i="31"/>
  <c r="O72" i="31"/>
  <c r="M72" i="31"/>
  <c r="K72" i="31"/>
  <c r="I72" i="31"/>
  <c r="G72" i="31"/>
  <c r="E72" i="31"/>
  <c r="P64" i="31"/>
  <c r="P62" i="31"/>
  <c r="P60" i="31"/>
  <c r="P58" i="31"/>
  <c r="P56" i="31"/>
  <c r="P54" i="31"/>
  <c r="P52" i="31"/>
  <c r="O48" i="31"/>
  <c r="M48" i="31"/>
  <c r="K48" i="31"/>
  <c r="I48" i="31"/>
  <c r="G48" i="31"/>
  <c r="E48" i="31"/>
  <c r="P46" i="31"/>
  <c r="P44" i="31"/>
  <c r="P42" i="31"/>
  <c r="P40" i="31"/>
  <c r="P38" i="31"/>
  <c r="P36" i="31"/>
  <c r="P34" i="31"/>
  <c r="P32" i="31"/>
  <c r="P30" i="31"/>
  <c r="P28" i="31"/>
  <c r="P48" i="31" s="1"/>
  <c r="A25" i="31"/>
  <c r="P24" i="31"/>
  <c r="O24" i="31"/>
  <c r="M24" i="31"/>
  <c r="K24" i="31"/>
  <c r="I24" i="31"/>
  <c r="G24" i="31"/>
  <c r="E24" i="31"/>
  <c r="P22" i="31"/>
  <c r="P20" i="31"/>
  <c r="P4" i="31"/>
  <c r="A1" i="31"/>
  <c r="A49" i="31" s="1"/>
  <c r="O96" i="29"/>
  <c r="M96" i="29"/>
  <c r="K96" i="29"/>
  <c r="I96" i="29"/>
  <c r="G96" i="29"/>
  <c r="E96" i="29"/>
  <c r="P94" i="29"/>
  <c r="P92" i="29"/>
  <c r="P90" i="29"/>
  <c r="P88" i="29"/>
  <c r="P86" i="29"/>
  <c r="P84" i="29"/>
  <c r="P82" i="29"/>
  <c r="P80" i="29"/>
  <c r="P78" i="29"/>
  <c r="P76" i="29"/>
  <c r="P96" i="29" s="1"/>
  <c r="O72" i="29"/>
  <c r="M72" i="29"/>
  <c r="K72" i="29"/>
  <c r="I72" i="29"/>
  <c r="G72" i="29"/>
  <c r="E72" i="29"/>
  <c r="P64" i="29"/>
  <c r="P62" i="29"/>
  <c r="P60" i="29"/>
  <c r="P58" i="29"/>
  <c r="P56" i="29"/>
  <c r="P54" i="29"/>
  <c r="P52" i="29"/>
  <c r="P72" i="29" s="1"/>
  <c r="A49" i="29"/>
  <c r="O48" i="29"/>
  <c r="M48" i="29"/>
  <c r="K48" i="29"/>
  <c r="I48" i="29"/>
  <c r="G48" i="29"/>
  <c r="E48" i="29"/>
  <c r="P46" i="29"/>
  <c r="P44" i="29"/>
  <c r="P42" i="29"/>
  <c r="P40" i="29"/>
  <c r="P38" i="29"/>
  <c r="P36" i="29"/>
  <c r="P34" i="29"/>
  <c r="P32" i="29"/>
  <c r="P30" i="29"/>
  <c r="P28" i="29"/>
  <c r="P48" i="29" s="1"/>
  <c r="O24" i="29"/>
  <c r="M24" i="29"/>
  <c r="K24" i="29"/>
  <c r="I24" i="29"/>
  <c r="G24" i="29"/>
  <c r="E24" i="29"/>
  <c r="P22" i="29"/>
  <c r="P20" i="29"/>
  <c r="P4" i="29"/>
  <c r="P24" i="29" s="1"/>
  <c r="A1" i="29"/>
  <c r="A73" i="29" s="1"/>
  <c r="O96" i="27"/>
  <c r="M96" i="27"/>
  <c r="K96" i="27"/>
  <c r="I96" i="27"/>
  <c r="G96" i="27"/>
  <c r="E96" i="27"/>
  <c r="P94" i="27"/>
  <c r="P92" i="27"/>
  <c r="P90" i="27"/>
  <c r="P88" i="27"/>
  <c r="P86" i="27"/>
  <c r="P84" i="27"/>
  <c r="P82" i="27"/>
  <c r="P80" i="27"/>
  <c r="P78" i="27"/>
  <c r="P76" i="27"/>
  <c r="P96" i="27" s="1"/>
  <c r="O72" i="27"/>
  <c r="M72" i="27"/>
  <c r="K72" i="27"/>
  <c r="I72" i="27"/>
  <c r="G72" i="27"/>
  <c r="E72" i="27"/>
  <c r="P64" i="27"/>
  <c r="P62" i="27"/>
  <c r="P60" i="27"/>
  <c r="P58" i="27"/>
  <c r="P56" i="27"/>
  <c r="P54" i="27"/>
  <c r="P52" i="27"/>
  <c r="P72" i="27" s="1"/>
  <c r="O48" i="27"/>
  <c r="M48" i="27"/>
  <c r="K48" i="27"/>
  <c r="I48" i="27"/>
  <c r="G48" i="27"/>
  <c r="E48" i="27"/>
  <c r="P46" i="27"/>
  <c r="P44" i="27"/>
  <c r="P42" i="27"/>
  <c r="P40" i="27"/>
  <c r="P38" i="27"/>
  <c r="P36" i="27"/>
  <c r="P34" i="27"/>
  <c r="P32" i="27"/>
  <c r="P30" i="27"/>
  <c r="P28" i="27"/>
  <c r="P48" i="27" s="1"/>
  <c r="O24" i="27"/>
  <c r="M24" i="27"/>
  <c r="K24" i="27"/>
  <c r="I24" i="27"/>
  <c r="G24" i="27"/>
  <c r="E24" i="27"/>
  <c r="P22" i="27"/>
  <c r="P20" i="27"/>
  <c r="P4" i="27"/>
  <c r="P24" i="27" s="1"/>
  <c r="A1" i="27"/>
  <c r="A49" i="27" s="1"/>
  <c r="O96" i="28"/>
  <c r="M96" i="28"/>
  <c r="K96" i="28"/>
  <c r="I96" i="28"/>
  <c r="G96" i="28"/>
  <c r="E96" i="28"/>
  <c r="P94" i="28"/>
  <c r="P92" i="28"/>
  <c r="P90" i="28"/>
  <c r="P88" i="28"/>
  <c r="P86" i="28"/>
  <c r="P84" i="28"/>
  <c r="P82" i="28"/>
  <c r="P80" i="28"/>
  <c r="P78" i="28"/>
  <c r="P76" i="28"/>
  <c r="P96" i="28" s="1"/>
  <c r="O72" i="28"/>
  <c r="M72" i="28"/>
  <c r="K72" i="28"/>
  <c r="I72" i="28"/>
  <c r="G72" i="28"/>
  <c r="E72" i="28"/>
  <c r="P64" i="28"/>
  <c r="P62" i="28"/>
  <c r="P60" i="28"/>
  <c r="P58" i="28"/>
  <c r="P56" i="28"/>
  <c r="P54" i="28"/>
  <c r="P52" i="28"/>
  <c r="P72" i="28" s="1"/>
  <c r="O48" i="28"/>
  <c r="M48" i="28"/>
  <c r="K48" i="28"/>
  <c r="I48" i="28"/>
  <c r="G48" i="28"/>
  <c r="E48" i="28"/>
  <c r="P46" i="28"/>
  <c r="P44" i="28"/>
  <c r="P42" i="28"/>
  <c r="P40" i="28"/>
  <c r="P38" i="28"/>
  <c r="P36" i="28"/>
  <c r="P34" i="28"/>
  <c r="P32" i="28"/>
  <c r="P30" i="28"/>
  <c r="P28" i="28"/>
  <c r="P48" i="28" s="1"/>
  <c r="O24" i="28"/>
  <c r="M24" i="28"/>
  <c r="K24" i="28"/>
  <c r="I24" i="28"/>
  <c r="G24" i="28"/>
  <c r="E24" i="28"/>
  <c r="P22" i="28"/>
  <c r="P20" i="28"/>
  <c r="P4" i="28"/>
  <c r="P24" i="28" s="1"/>
  <c r="A1" i="28"/>
  <c r="A49" i="28" s="1"/>
  <c r="A1" i="24"/>
  <c r="A1" i="26"/>
  <c r="A25" i="37" l="1"/>
  <c r="A73" i="37"/>
  <c r="A73" i="36"/>
  <c r="A25" i="36"/>
  <c r="A25" i="35"/>
  <c r="A73" i="35"/>
  <c r="A73" i="34"/>
  <c r="A25" i="34"/>
  <c r="A25" i="33"/>
  <c r="A73" i="33"/>
  <c r="A25" i="30"/>
  <c r="A73" i="30"/>
  <c r="A73" i="31"/>
  <c r="A25" i="29"/>
  <c r="A25" i="27"/>
  <c r="A73" i="27"/>
  <c r="A25" i="28"/>
  <c r="A73" i="28"/>
  <c r="A49" i="26"/>
  <c r="P4" i="24"/>
  <c r="P6" i="24"/>
  <c r="P24" i="24" s="1"/>
  <c r="Q24" i="24" s="1"/>
  <c r="P8" i="24"/>
  <c r="P10" i="24"/>
  <c r="P12" i="24"/>
  <c r="P14" i="24"/>
  <c r="P16" i="24"/>
  <c r="P18" i="24"/>
  <c r="P20" i="24"/>
  <c r="P22" i="24"/>
  <c r="E24" i="24"/>
  <c r="G24" i="24"/>
  <c r="I24" i="24"/>
  <c r="K24" i="24"/>
  <c r="M24" i="24"/>
  <c r="O24" i="24"/>
  <c r="A25" i="24"/>
  <c r="A49" i="24" s="1"/>
  <c r="A73" i="24" s="1"/>
  <c r="A97" i="24" s="1"/>
  <c r="A121" i="24" s="1"/>
  <c r="A145" i="24" s="1"/>
  <c r="A169" i="24" s="1"/>
  <c r="A193" i="24" s="1"/>
  <c r="A217" i="24" s="1"/>
  <c r="A241" i="24" s="1"/>
  <c r="A265" i="24" s="1"/>
  <c r="P28" i="24"/>
  <c r="P30" i="24"/>
  <c r="R48" i="24"/>
  <c r="P32" i="24"/>
  <c r="P34" i="24"/>
  <c r="P48" i="24"/>
  <c r="Q48" i="24" s="1"/>
  <c r="P36" i="24"/>
  <c r="P38" i="24"/>
  <c r="P40" i="24"/>
  <c r="P42" i="24"/>
  <c r="P44" i="24"/>
  <c r="P46" i="24"/>
  <c r="E48" i="24"/>
  <c r="G48" i="24"/>
  <c r="I48" i="24"/>
  <c r="K48" i="24"/>
  <c r="M48" i="24"/>
  <c r="O48" i="24"/>
  <c r="P52" i="24"/>
  <c r="P54" i="24"/>
  <c r="R72" i="24"/>
  <c r="P56" i="24"/>
  <c r="P58" i="24"/>
  <c r="P60" i="24"/>
  <c r="P62" i="24"/>
  <c r="P72" i="24" s="1"/>
  <c r="Q72" i="24" s="1"/>
  <c r="P64" i="24"/>
  <c r="P66" i="24"/>
  <c r="P68" i="24"/>
  <c r="P70" i="24"/>
  <c r="E72" i="24"/>
  <c r="G72" i="24"/>
  <c r="I72" i="24"/>
  <c r="K72" i="24"/>
  <c r="M72" i="24"/>
  <c r="O72" i="24"/>
  <c r="P76" i="24"/>
  <c r="P78" i="24"/>
  <c r="P80" i="24"/>
  <c r="P82" i="24"/>
  <c r="P84" i="24"/>
  <c r="P86" i="24"/>
  <c r="P88" i="24"/>
  <c r="P90" i="24"/>
  <c r="P92" i="24"/>
  <c r="P96" i="24" s="1"/>
  <c r="Q96" i="24" s="1"/>
  <c r="P94" i="24"/>
  <c r="E96" i="24"/>
  <c r="G96" i="24"/>
  <c r="I96" i="24"/>
  <c r="K96" i="24"/>
  <c r="M96" i="24"/>
  <c r="O96" i="24"/>
  <c r="P100" i="24"/>
  <c r="P102" i="24"/>
  <c r="P104" i="24"/>
  <c r="P106" i="24"/>
  <c r="P108" i="24"/>
  <c r="P110" i="24"/>
  <c r="P112" i="24"/>
  <c r="P114" i="24"/>
  <c r="P116" i="24"/>
  <c r="P118" i="24"/>
  <c r="E120" i="24"/>
  <c r="G120" i="24"/>
  <c r="I120" i="24"/>
  <c r="K120" i="24"/>
  <c r="M120" i="24"/>
  <c r="O120" i="24"/>
  <c r="P120" i="24"/>
  <c r="R120" i="24"/>
  <c r="Q120" i="24" s="1"/>
  <c r="P124" i="24"/>
  <c r="P126" i="24"/>
  <c r="P128" i="24"/>
  <c r="P130" i="24"/>
  <c r="P132" i="24"/>
  <c r="P144" i="24" s="1"/>
  <c r="Q144" i="24" s="1"/>
  <c r="P134" i="24"/>
  <c r="R144" i="24"/>
  <c r="P136" i="24"/>
  <c r="P138" i="24"/>
  <c r="P140" i="24"/>
  <c r="P142" i="24"/>
  <c r="E144" i="24"/>
  <c r="G144" i="24"/>
  <c r="I144" i="24"/>
  <c r="K144" i="24"/>
  <c r="M144" i="24"/>
  <c r="O144" i="24"/>
  <c r="P148" i="24"/>
  <c r="P150" i="24"/>
  <c r="P152" i="24"/>
  <c r="P154" i="24"/>
  <c r="P156" i="24"/>
  <c r="P158" i="24"/>
  <c r="P160" i="24"/>
  <c r="P168" i="24" s="1"/>
  <c r="Q168" i="24" s="1"/>
  <c r="P162" i="24"/>
  <c r="P164" i="24"/>
  <c r="P166" i="24"/>
  <c r="R168" i="24" s="1"/>
  <c r="E168" i="24"/>
  <c r="G168" i="24"/>
  <c r="I168" i="24"/>
  <c r="K168" i="24"/>
  <c r="M168" i="24"/>
  <c r="O168" i="24"/>
  <c r="P172" i="24"/>
  <c r="P174" i="24"/>
  <c r="P176" i="24"/>
  <c r="P178" i="24"/>
  <c r="P180" i="24"/>
  <c r="P182" i="24"/>
  <c r="P184" i="24"/>
  <c r="P186" i="24"/>
  <c r="P188" i="24"/>
  <c r="P192" i="24" s="1"/>
  <c r="Q192" i="24" s="1"/>
  <c r="P190" i="24"/>
  <c r="E192" i="24"/>
  <c r="G192" i="24"/>
  <c r="I192" i="24"/>
  <c r="K192" i="24"/>
  <c r="M192" i="24"/>
  <c r="O192" i="24"/>
  <c r="P196" i="24"/>
  <c r="P198" i="24"/>
  <c r="P200" i="24"/>
  <c r="P202" i="24"/>
  <c r="P204" i="24"/>
  <c r="P206" i="24"/>
  <c r="P208" i="24"/>
  <c r="P210" i="24"/>
  <c r="P212" i="24"/>
  <c r="P216" i="24" s="1"/>
  <c r="P214" i="24"/>
  <c r="E216" i="24"/>
  <c r="G216" i="24"/>
  <c r="I216" i="24"/>
  <c r="K216" i="24"/>
  <c r="M216" i="24"/>
  <c r="O216" i="24"/>
  <c r="P220" i="24"/>
  <c r="P222" i="24"/>
  <c r="P224" i="24"/>
  <c r="P226" i="24"/>
  <c r="P228" i="24"/>
  <c r="P230" i="24"/>
  <c r="P232" i="24"/>
  <c r="P234" i="24"/>
  <c r="R240" i="24" s="1"/>
  <c r="P236" i="24"/>
  <c r="P238" i="24"/>
  <c r="E240" i="24"/>
  <c r="G240" i="24"/>
  <c r="I240" i="24"/>
  <c r="K240" i="24"/>
  <c r="M240" i="24"/>
  <c r="O240" i="24"/>
  <c r="P244" i="24"/>
  <c r="P264" i="24" s="1"/>
  <c r="Q264" i="24" s="1"/>
  <c r="P246" i="24"/>
  <c r="P248" i="24"/>
  <c r="P250" i="24"/>
  <c r="P252" i="24"/>
  <c r="P254" i="24"/>
  <c r="P256" i="24"/>
  <c r="P258" i="24"/>
  <c r="P260" i="24"/>
  <c r="P262" i="24"/>
  <c r="E264" i="24"/>
  <c r="G264" i="24"/>
  <c r="I264" i="24"/>
  <c r="K264" i="24"/>
  <c r="M264" i="24"/>
  <c r="O264" i="24"/>
  <c r="R264" i="24"/>
  <c r="P268" i="24"/>
  <c r="R288" i="24" s="1"/>
  <c r="P270" i="24"/>
  <c r="P272" i="24"/>
  <c r="P274" i="24"/>
  <c r="P276" i="24"/>
  <c r="P278" i="24"/>
  <c r="P280" i="24"/>
  <c r="P282" i="24"/>
  <c r="P284" i="24"/>
  <c r="P286" i="24"/>
  <c r="E288" i="24"/>
  <c r="G288" i="24"/>
  <c r="I288" i="24"/>
  <c r="K288" i="24"/>
  <c r="M288" i="24"/>
  <c r="O288" i="24"/>
  <c r="P574" i="24"/>
  <c r="P4" i="26"/>
  <c r="P24" i="26" s="1"/>
  <c r="P20" i="26"/>
  <c r="P22" i="26"/>
  <c r="E24" i="26"/>
  <c r="G24" i="26"/>
  <c r="I24" i="26"/>
  <c r="K24" i="26"/>
  <c r="M24" i="26"/>
  <c r="O24" i="26"/>
  <c r="P28" i="26"/>
  <c r="P48" i="26" s="1"/>
  <c r="P30" i="26"/>
  <c r="P32" i="26"/>
  <c r="P34" i="26"/>
  <c r="P36" i="26"/>
  <c r="P38" i="26"/>
  <c r="P40" i="26"/>
  <c r="P42" i="26"/>
  <c r="P44" i="26"/>
  <c r="P46" i="26"/>
  <c r="E48" i="26"/>
  <c r="G48" i="26"/>
  <c r="I48" i="26"/>
  <c r="K48" i="26"/>
  <c r="M48" i="26"/>
  <c r="O48" i="26"/>
  <c r="P52" i="26"/>
  <c r="P54" i="26"/>
  <c r="P56" i="26"/>
  <c r="P72" i="26" s="1"/>
  <c r="P58" i="26"/>
  <c r="P60" i="26"/>
  <c r="P62" i="26"/>
  <c r="P64" i="26"/>
  <c r="E72" i="26"/>
  <c r="G72" i="26"/>
  <c r="I72" i="26"/>
  <c r="K72" i="26"/>
  <c r="M72" i="26"/>
  <c r="O72" i="26"/>
  <c r="P76" i="26"/>
  <c r="P78" i="26"/>
  <c r="P80" i="26"/>
  <c r="P82" i="26"/>
  <c r="P96" i="26" s="1"/>
  <c r="P84" i="26"/>
  <c r="P86" i="26"/>
  <c r="P88" i="26"/>
  <c r="P90" i="26"/>
  <c r="P92" i="26"/>
  <c r="P94" i="26"/>
  <c r="E96" i="26"/>
  <c r="G96" i="26"/>
  <c r="I96" i="26"/>
  <c r="K96" i="26"/>
  <c r="M96" i="26"/>
  <c r="O96" i="26"/>
  <c r="P240" i="24"/>
  <c r="R192" i="24"/>
  <c r="R96" i="24"/>
  <c r="R24" i="24"/>
  <c r="A73" i="26" l="1"/>
  <c r="A25" i="26"/>
  <c r="Q240" i="24"/>
  <c r="R216" i="24"/>
  <c r="Q216" i="24" s="1"/>
  <c r="P288" i="24"/>
  <c r="Q288" i="24" s="1"/>
</calcChain>
</file>

<file path=xl/sharedStrings.xml><?xml version="1.0" encoding="utf-8"?>
<sst xmlns="http://schemas.openxmlformats.org/spreadsheetml/2006/main" count="5406" uniqueCount="41">
  <si>
    <t>番号</t>
    <rPh sb="0" eb="2">
      <t>バンゴウ</t>
    </rPh>
    <phoneticPr fontId="3"/>
  </si>
  <si>
    <t>台数</t>
    <rPh sb="0" eb="2">
      <t>ダイスウ</t>
    </rPh>
    <phoneticPr fontId="3"/>
  </si>
  <si>
    <t>日付</t>
    <rPh sb="0" eb="2">
      <t>ヒヅケ</t>
    </rPh>
    <phoneticPr fontId="3"/>
  </si>
  <si>
    <t>排　出　者</t>
    <rPh sb="0" eb="1">
      <t>ハイ</t>
    </rPh>
    <rPh sb="2" eb="3">
      <t>デ</t>
    </rPh>
    <rPh sb="4" eb="5">
      <t>シャ</t>
    </rPh>
    <phoneticPr fontId="3"/>
  </si>
  <si>
    <t>手数料
合　計</t>
    <rPh sb="0" eb="3">
      <t>テスウリョウ</t>
    </rPh>
    <rPh sb="4" eb="5">
      <t>ゴウ</t>
    </rPh>
    <rPh sb="6" eb="7">
      <t>ケイ</t>
    </rPh>
    <phoneticPr fontId="3"/>
  </si>
  <si>
    <t>領　　収
年　月　日</t>
    <rPh sb="0" eb="1">
      <t>リョウ</t>
    </rPh>
    <rPh sb="3" eb="4">
      <t>オサム</t>
    </rPh>
    <rPh sb="5" eb="6">
      <t>トシ</t>
    </rPh>
    <rPh sb="7" eb="8">
      <t>ツキ</t>
    </rPh>
    <rPh sb="9" eb="10">
      <t>ヒ</t>
    </rPh>
    <phoneticPr fontId="3"/>
  </si>
  <si>
    <t>領収証
番　号</t>
    <rPh sb="0" eb="1">
      <t>リョウ</t>
    </rPh>
    <rPh sb="1" eb="2">
      <t>シュウ</t>
    </rPh>
    <rPh sb="2" eb="3">
      <t>ショウ</t>
    </rPh>
    <rPh sb="4" eb="5">
      <t>バン</t>
    </rPh>
    <rPh sb="6" eb="7">
      <t>ゴウ</t>
    </rPh>
    <phoneticPr fontId="3"/>
  </si>
  <si>
    <t>手数料</t>
    <rPh sb="0" eb="3">
      <t>テスウリョウ</t>
    </rPh>
    <phoneticPr fontId="3"/>
  </si>
  <si>
    <t>冷蔵庫</t>
    <rPh sb="0" eb="3">
      <t>レイゾウコ</t>
    </rPh>
    <phoneticPr fontId="3"/>
  </si>
  <si>
    <t>冷凍庫</t>
    <rPh sb="0" eb="3">
      <t>レイトウコ</t>
    </rPh>
    <phoneticPr fontId="3"/>
  </si>
  <si>
    <t>洗濯機</t>
    <rPh sb="0" eb="3">
      <t>センタクキ</t>
    </rPh>
    <phoneticPr fontId="3"/>
  </si>
  <si>
    <t>乾燥機</t>
    <rPh sb="0" eb="3">
      <t>カンソウキ</t>
    </rPh>
    <phoneticPr fontId="3"/>
  </si>
  <si>
    <t>エアコン</t>
    <phoneticPr fontId="3"/>
  </si>
  <si>
    <t>テレビ</t>
    <phoneticPr fontId="3"/>
  </si>
  <si>
    <t>品　目</t>
    <rPh sb="0" eb="1">
      <t>シナ</t>
    </rPh>
    <rPh sb="2" eb="3">
      <t>メ</t>
    </rPh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</si>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</sst>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\.d"/>
    <numFmt numFmtId="177" formatCode="#,##0_);[Red]\(#,##0\)"/>
    <numFmt numFmtId="178" formatCode="#,##0;[Red]#,##0"/>
    <numFmt numFmtId="179" formatCode="#,##0_ 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/>
  </cellStyleXfs>
  <cellXfs count="81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78" fontId="4" fillId="0" borderId="1" xfId="0" applyNumberFormat="1" applyFont="1" applyBorder="1" applyAlignment="1">
      <alignment horizontal="center" vertical="top" wrapText="1"/>
    </xf>
    <xf numFmtId="178" fontId="4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178" fontId="2" fillId="0" borderId="3" xfId="0" applyNumberFormat="1" applyFont="1" applyBorder="1" applyAlignment="1">
      <alignment horizontal="center" vertical="center" wrapText="1"/>
    </xf>
    <xf numFmtId="179" fontId="2" fillId="0" borderId="3" xfId="0" applyNumberFormat="1" applyFont="1" applyBorder="1" applyAlignment="1">
      <alignment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center"/>
    </xf>
    <xf numFmtId="178" fontId="4" fillId="0" borderId="0" xfId="0" applyNumberFormat="1" applyFont="1" applyBorder="1" applyAlignment="1">
      <alignment horizontal="center" vertical="top" wrapText="1"/>
    </xf>
    <xf numFmtId="178" fontId="4" fillId="0" borderId="0" xfId="0" applyNumberFormat="1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178" fontId="2" fillId="0" borderId="0" xfId="0" applyNumberFormat="1" applyFont="1" applyBorder="1" applyAlignment="1">
      <alignment horizontal="center" vertical="center" wrapText="1"/>
    </xf>
    <xf numFmtId="179" fontId="2" fillId="0" borderId="0" xfId="0" applyNumberFormat="1" applyFont="1" applyBorder="1" applyAlignment="1">
      <alignment vertical="center"/>
    </xf>
    <xf numFmtId="178" fontId="4" fillId="0" borderId="4" xfId="0" applyNumberFormat="1" applyFont="1" applyBorder="1" applyAlignment="1">
      <alignment horizontal="center" vertical="top" wrapText="1"/>
    </xf>
    <xf numFmtId="178" fontId="4" fillId="0" borderId="4" xfId="0" applyNumberFormat="1" applyFont="1" applyBorder="1" applyAlignment="1">
      <alignment horizontal="center" vertical="top"/>
    </xf>
    <xf numFmtId="178" fontId="5" fillId="0" borderId="0" xfId="0" applyNumberFormat="1" applyFont="1" applyBorder="1" applyAlignment="1">
      <alignment horizontal="right" vertical="center"/>
    </xf>
    <xf numFmtId="178" fontId="5" fillId="2" borderId="0" xfId="0" applyNumberFormat="1" applyFont="1" applyFill="1" applyBorder="1" applyAlignment="1">
      <alignment horizontal="right" vertical="center"/>
    </xf>
    <xf numFmtId="178" fontId="6" fillId="0" borderId="0" xfId="0" applyNumberFormat="1" applyFont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177" fontId="4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57" fontId="4" fillId="0" borderId="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38" fontId="1" fillId="0" borderId="10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8" fontId="1" fillId="0" borderId="9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8" fontId="2" fillId="0" borderId="10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8" fontId="2" fillId="0" borderId="9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right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57" fontId="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38" fontId="2" fillId="0" borderId="0" xfId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628650</xdr:colOff>
      <xdr:row>91</xdr:row>
      <xdr:rowOff>0</xdr:rowOff>
    </xdr:from>
    <xdr:to>
      <xdr:col>17</xdr:col>
      <xdr:colOff>628650</xdr:colOff>
      <xdr:row>91</xdr:row>
      <xdr:rowOff>0</xdr:rowOff>
    </xdr:to>
    <xdr:cxnSp macro="">
      <xdr:nvCxnSpPr>
        <xdr:cNvPr id="1817" name="直線コネクタ 3">
          <a:extLst>
            <a:ext uri="{FF2B5EF4-FFF2-40B4-BE49-F238E27FC236}">
              <a16:creationId xmlns:a16="http://schemas.microsoft.com/office/drawing/2014/main" id="{45B86A80-DF1F-504A-D09B-F0CE6E109107}"/>
            </a:ext>
          </a:extLst>
        </xdr:cNvPr>
        <xdr:cNvCxnSpPr>
          <a:cxnSpLocks noChangeShapeType="1"/>
        </xdr:cNvCxnSpPr>
      </xdr:nvCxnSpPr>
      <xdr:spPr bwMode="auto">
        <a:xfrm>
          <a:off x="10601325" y="28041600"/>
          <a:ext cx="0" cy="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9525</xdr:colOff>
      <xdr:row>229</xdr:row>
      <xdr:rowOff>9525</xdr:rowOff>
    </xdr:to>
    <xdr:cxnSp macro="">
      <xdr:nvCxnSpPr>
        <xdr:cNvPr id="1818" name="直線コネクタ 3">
          <a:extLst>
            <a:ext uri="{FF2B5EF4-FFF2-40B4-BE49-F238E27FC236}">
              <a16:creationId xmlns:a16="http://schemas.microsoft.com/office/drawing/2014/main" id="{F1D1E23E-C5BD-D91D-DCFD-B6B86A6D853C}"/>
            </a:ext>
          </a:extLst>
        </xdr:cNvPr>
        <xdr:cNvCxnSpPr>
          <a:cxnSpLocks noChangeShapeType="1"/>
        </xdr:cNvCxnSpPr>
      </xdr:nvCxnSpPr>
      <xdr:spPr bwMode="auto">
        <a:xfrm flipH="1" flipV="1">
          <a:off x="0" y="70504050"/>
          <a:ext cx="9525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</xdr:colOff>
      <xdr:row>229</xdr:row>
      <xdr:rowOff>19050</xdr:rowOff>
    </xdr:from>
    <xdr:to>
      <xdr:col>0</xdr:col>
      <xdr:colOff>19050</xdr:colOff>
      <xdr:row>229</xdr:row>
      <xdr:rowOff>28575</xdr:rowOff>
    </xdr:to>
    <xdr:cxnSp macro="">
      <xdr:nvCxnSpPr>
        <xdr:cNvPr id="1819" name="直線コネクタ 7">
          <a:extLst>
            <a:ext uri="{FF2B5EF4-FFF2-40B4-BE49-F238E27FC236}">
              <a16:creationId xmlns:a16="http://schemas.microsoft.com/office/drawing/2014/main" id="{C9D1FD6B-83FE-FE7B-9742-4072B780C334}"/>
            </a:ext>
          </a:extLst>
        </xdr:cNvPr>
        <xdr:cNvCxnSpPr>
          <a:cxnSpLocks noChangeShapeType="1"/>
        </xdr:cNvCxnSpPr>
      </xdr:nvCxnSpPr>
      <xdr:spPr bwMode="auto">
        <a:xfrm>
          <a:off x="9525" y="70523100"/>
          <a:ext cx="9525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/&#31649;&#29702;&#26376;&#22577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9D51-4FBA-40E5-903F-E45E9E4D0B2A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8" t="s">
        <v>14</v>
      </c>
      <c r="E2" s="51" t="s">
        <v>1</v>
      </c>
      <c r="F2" s="8" t="s">
        <v>14</v>
      </c>
      <c r="G2" s="53" t="s">
        <v>1</v>
      </c>
      <c r="H2" s="8" t="s">
        <v>14</v>
      </c>
      <c r="I2" s="45" t="s">
        <v>1</v>
      </c>
      <c r="J2" s="8" t="s">
        <v>14</v>
      </c>
      <c r="K2" s="45" t="s">
        <v>1</v>
      </c>
      <c r="L2" s="8" t="s">
        <v>14</v>
      </c>
      <c r="M2" s="45" t="s">
        <v>1</v>
      </c>
      <c r="N2" s="8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9" t="s">
        <v>7</v>
      </c>
      <c r="E3" s="52"/>
      <c r="F3" s="9" t="s">
        <v>7</v>
      </c>
      <c r="G3" s="45"/>
      <c r="H3" s="9" t="s">
        <v>7</v>
      </c>
      <c r="I3" s="54"/>
      <c r="J3" s="9" t="s">
        <v>7</v>
      </c>
      <c r="K3" s="45"/>
      <c r="L3" s="9" t="s">
        <v>7</v>
      </c>
      <c r="M3" s="54"/>
      <c r="N3" s="9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19</v>
      </c>
      <c r="E22" s="36"/>
      <c r="F22" s="5" t="s">
        <v>20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1" customFormat="1" ht="21" customHeight="1" thickTop="1" x14ac:dyDescent="0.15">
      <c r="A24" s="20"/>
      <c r="B24" s="21"/>
      <c r="C24" s="22"/>
      <c r="D24" s="23" t="s">
        <v>39</v>
      </c>
      <c r="E24" s="20" t="str">
        <f>IF(SUM(E4:E23)=0,"",SUM(E4:E23))</f>
        <v/>
      </c>
      <c r="F24" s="23" t="s">
        <v>40</v>
      </c>
      <c r="G24" s="20" t="str">
        <f>IF(SUM(G4:G23)=0,"",SUM(G4:G23))</f>
        <v/>
      </c>
      <c r="H24" s="23" t="s">
        <v>8</v>
      </c>
      <c r="I24" s="20" t="str">
        <f>IF(SUM(I4:I23)=0,"",SUM(I4:I23))</f>
        <v/>
      </c>
      <c r="J24" s="23" t="s">
        <v>9</v>
      </c>
      <c r="K24" s="20" t="str">
        <f>IF(SUM(K4:K23)=0,"",SUM(K4:K23))</f>
        <v/>
      </c>
      <c r="L24" s="23" t="s">
        <v>10</v>
      </c>
      <c r="M24" s="20" t="str">
        <f>IF(SUM(M4:M23)=0,"",SUM(M4:M23))</f>
        <v/>
      </c>
      <c r="N24" s="23" t="s">
        <v>11</v>
      </c>
      <c r="O24" s="20" t="str">
        <f>IF(SUM(O4:O23)=0,"",SUM(O4:O23))</f>
        <v/>
      </c>
      <c r="P24" s="24" t="str">
        <f>IF(SUM(P4:P23)=0,"",SUM(P4:P23))</f>
        <v/>
      </c>
      <c r="Q24" s="20"/>
      <c r="R24" s="20"/>
    </row>
    <row r="25" spans="1:18" s="1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8" t="s">
        <v>14</v>
      </c>
      <c r="E26" s="51" t="s">
        <v>1</v>
      </c>
      <c r="F26" s="8" t="s">
        <v>14</v>
      </c>
      <c r="G26" s="53" t="s">
        <v>1</v>
      </c>
      <c r="H26" s="8" t="s">
        <v>14</v>
      </c>
      <c r="I26" s="45" t="s">
        <v>1</v>
      </c>
      <c r="J26" s="8" t="s">
        <v>14</v>
      </c>
      <c r="K26" s="45" t="s">
        <v>1</v>
      </c>
      <c r="L26" s="8" t="s">
        <v>14</v>
      </c>
      <c r="M26" s="45" t="s">
        <v>1</v>
      </c>
      <c r="N26" s="8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9" t="s">
        <v>7</v>
      </c>
      <c r="E27" s="52"/>
      <c r="F27" s="9" t="s">
        <v>7</v>
      </c>
      <c r="G27" s="45"/>
      <c r="H27" s="9" t="s">
        <v>7</v>
      </c>
      <c r="I27" s="54"/>
      <c r="J27" s="9" t="s">
        <v>7</v>
      </c>
      <c r="K27" s="45"/>
      <c r="L27" s="9" t="s">
        <v>7</v>
      </c>
      <c r="M27" s="54"/>
      <c r="N27" s="9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15</v>
      </c>
      <c r="E28" s="36"/>
      <c r="F28" s="5" t="s">
        <v>16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17</v>
      </c>
      <c r="E30" s="36"/>
      <c r="F30" s="5" t="s">
        <v>18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23</v>
      </c>
      <c r="E32" s="36"/>
      <c r="F32" s="5" t="s">
        <v>24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21</v>
      </c>
      <c r="E34" s="36"/>
      <c r="F34" s="5" t="s">
        <v>22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25</v>
      </c>
      <c r="E36" s="36"/>
      <c r="F36" s="5" t="s">
        <v>26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15</v>
      </c>
      <c r="E38" s="36"/>
      <c r="F38" s="5" t="s">
        <v>16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17</v>
      </c>
      <c r="E40" s="36"/>
      <c r="F40" s="5" t="s">
        <v>18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15</v>
      </c>
      <c r="E42" s="36"/>
      <c r="F42" s="5" t="s">
        <v>16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27</v>
      </c>
      <c r="E46" s="36"/>
      <c r="F46" s="5" t="s">
        <v>28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1" customFormat="1" ht="21" customHeight="1" thickTop="1" x14ac:dyDescent="0.15">
      <c r="A48" s="10"/>
      <c r="B48" s="11"/>
      <c r="C48" s="12"/>
      <c r="D48" s="13" t="s">
        <v>39</v>
      </c>
      <c r="E48" s="10" t="str">
        <f>IF(SUM(E28:E47)=0,"",SUM(E28:E47))</f>
        <v/>
      </c>
      <c r="F48" s="13" t="s">
        <v>40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1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8" t="s">
        <v>14</v>
      </c>
      <c r="E50" s="51" t="s">
        <v>1</v>
      </c>
      <c r="F50" s="8" t="s">
        <v>14</v>
      </c>
      <c r="G50" s="53" t="s">
        <v>1</v>
      </c>
      <c r="H50" s="8" t="s">
        <v>14</v>
      </c>
      <c r="I50" s="45" t="s">
        <v>1</v>
      </c>
      <c r="J50" s="8" t="s">
        <v>14</v>
      </c>
      <c r="K50" s="45" t="s">
        <v>1</v>
      </c>
      <c r="L50" s="8" t="s">
        <v>14</v>
      </c>
      <c r="M50" s="45" t="s">
        <v>1</v>
      </c>
      <c r="N50" s="8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9" t="s">
        <v>7</v>
      </c>
      <c r="E51" s="52"/>
      <c r="F51" s="9" t="s">
        <v>7</v>
      </c>
      <c r="G51" s="45"/>
      <c r="H51" s="9" t="s">
        <v>7</v>
      </c>
      <c r="I51" s="54"/>
      <c r="J51" s="9" t="s">
        <v>7</v>
      </c>
      <c r="K51" s="45"/>
      <c r="L51" s="9" t="s">
        <v>7</v>
      </c>
      <c r="M51" s="54"/>
      <c r="N51" s="9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15</v>
      </c>
      <c r="E52" s="36"/>
      <c r="F52" s="5" t="s">
        <v>16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21</v>
      </c>
      <c r="E54" s="36"/>
      <c r="F54" s="5" t="s">
        <v>22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29</v>
      </c>
      <c r="E56" s="36"/>
      <c r="F56" s="5" t="s">
        <v>30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31</v>
      </c>
      <c r="E58" s="36"/>
      <c r="F58" s="5" t="s">
        <v>32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33</v>
      </c>
      <c r="E62" s="36"/>
      <c r="F62" s="5" t="s">
        <v>34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15</v>
      </c>
      <c r="E64" s="36"/>
      <c r="F64" s="5" t="s">
        <v>16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1" customFormat="1" ht="21" customHeight="1" thickTop="1" x14ac:dyDescent="0.15">
      <c r="A72" s="10"/>
      <c r="B72" s="11"/>
      <c r="C72" s="12"/>
      <c r="D72" s="13" t="s">
        <v>39</v>
      </c>
      <c r="E72" s="10" t="str">
        <f>IF(SUM(E52:E71)=0,"",SUM(E52:E71))</f>
        <v/>
      </c>
      <c r="F72" s="13" t="s">
        <v>40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8" t="s">
        <v>14</v>
      </c>
      <c r="E74" s="51" t="s">
        <v>1</v>
      </c>
      <c r="F74" s="8" t="s">
        <v>14</v>
      </c>
      <c r="G74" s="53" t="s">
        <v>1</v>
      </c>
      <c r="H74" s="8" t="s">
        <v>14</v>
      </c>
      <c r="I74" s="45" t="s">
        <v>1</v>
      </c>
      <c r="J74" s="8" t="s">
        <v>14</v>
      </c>
      <c r="K74" s="45" t="s">
        <v>1</v>
      </c>
      <c r="L74" s="8" t="s">
        <v>14</v>
      </c>
      <c r="M74" s="45" t="s">
        <v>1</v>
      </c>
      <c r="N74" s="8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9" t="s">
        <v>7</v>
      </c>
      <c r="E75" s="52"/>
      <c r="F75" s="9" t="s">
        <v>7</v>
      </c>
      <c r="G75" s="45"/>
      <c r="H75" s="9" t="s">
        <v>7</v>
      </c>
      <c r="I75" s="54"/>
      <c r="J75" s="9" t="s">
        <v>7</v>
      </c>
      <c r="K75" s="45"/>
      <c r="L75" s="9" t="s">
        <v>7</v>
      </c>
      <c r="M75" s="54"/>
      <c r="N75" s="9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35</v>
      </c>
      <c r="E76" s="36"/>
      <c r="F76" s="5" t="s">
        <v>36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19</v>
      </c>
      <c r="E78" s="36"/>
      <c r="F78" s="5" t="s">
        <v>20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19</v>
      </c>
      <c r="E80" s="36"/>
      <c r="F80" s="5" t="s">
        <v>20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19</v>
      </c>
      <c r="E82" s="36"/>
      <c r="F82" s="5" t="s">
        <v>20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19</v>
      </c>
      <c r="E84" s="36"/>
      <c r="F84" s="5" t="s">
        <v>20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19</v>
      </c>
      <c r="E86" s="36"/>
      <c r="F86" s="5" t="s">
        <v>20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19</v>
      </c>
      <c r="E88" s="36"/>
      <c r="F88" s="5" t="s">
        <v>20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19</v>
      </c>
      <c r="E90" s="36"/>
      <c r="F90" s="5" t="s">
        <v>20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19</v>
      </c>
      <c r="E92" s="36"/>
      <c r="F92" s="5" t="s">
        <v>20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19</v>
      </c>
      <c r="E94" s="36"/>
      <c r="F94" s="5" t="s">
        <v>20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1" customFormat="1" ht="21" customHeight="1" thickTop="1" x14ac:dyDescent="0.15">
      <c r="A96" s="10"/>
      <c r="B96" s="11"/>
      <c r="C96" s="12"/>
      <c r="D96" s="13" t="s">
        <v>39</v>
      </c>
      <c r="E96" s="10" t="str">
        <f>IF(SUM(E76:E95)=0,"",SUM(E76:E95))</f>
        <v/>
      </c>
      <c r="F96" s="13" t="s">
        <v>40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R46:R47"/>
    <mergeCell ref="P44:P45"/>
    <mergeCell ref="Q44:Q45"/>
    <mergeCell ref="R44:R45"/>
    <mergeCell ref="P46:P47"/>
    <mergeCell ref="Q46:Q47"/>
    <mergeCell ref="M46:M47"/>
    <mergeCell ref="O46:O47"/>
    <mergeCell ref="A46:A47"/>
    <mergeCell ref="B46:B47"/>
    <mergeCell ref="C46:C47"/>
    <mergeCell ref="O44:O45"/>
    <mergeCell ref="M44:M45"/>
    <mergeCell ref="A44:A45"/>
    <mergeCell ref="B44:B45"/>
    <mergeCell ref="C44:C45"/>
    <mergeCell ref="A38:A39"/>
    <mergeCell ref="B38:B39"/>
    <mergeCell ref="C38:C39"/>
    <mergeCell ref="B42:B43"/>
    <mergeCell ref="A40:A41"/>
    <mergeCell ref="A42:A43"/>
    <mergeCell ref="C42:C43"/>
    <mergeCell ref="C40:C41"/>
    <mergeCell ref="R36:R37"/>
    <mergeCell ref="O36:O37"/>
    <mergeCell ref="P36:P37"/>
    <mergeCell ref="R34:R35"/>
    <mergeCell ref="Q34:Q35"/>
    <mergeCell ref="P38:P39"/>
    <mergeCell ref="O38:O39"/>
    <mergeCell ref="Q38:Q39"/>
    <mergeCell ref="Q36:Q37"/>
    <mergeCell ref="R38:R39"/>
    <mergeCell ref="R42:R43"/>
    <mergeCell ref="R40:R41"/>
    <mergeCell ref="O40:O41"/>
    <mergeCell ref="Q40:Q41"/>
    <mergeCell ref="P42:P43"/>
    <mergeCell ref="P40:P41"/>
    <mergeCell ref="Q42:Q43"/>
    <mergeCell ref="O42:O43"/>
    <mergeCell ref="E42:E43"/>
    <mergeCell ref="I40:I41"/>
    <mergeCell ref="I42:I43"/>
    <mergeCell ref="G40:G41"/>
    <mergeCell ref="M40:M41"/>
    <mergeCell ref="E40:E41"/>
    <mergeCell ref="B18:B19"/>
    <mergeCell ref="M42:M43"/>
    <mergeCell ref="E38:E39"/>
    <mergeCell ref="G38:G39"/>
    <mergeCell ref="I38:I39"/>
    <mergeCell ref="K42:K43"/>
    <mergeCell ref="K40:K41"/>
    <mergeCell ref="G42:G43"/>
    <mergeCell ref="K38:K39"/>
    <mergeCell ref="M38:M39"/>
    <mergeCell ref="E20:E21"/>
    <mergeCell ref="I20:I21"/>
    <mergeCell ref="K28:K29"/>
    <mergeCell ref="I32:I33"/>
    <mergeCell ref="G32:G33"/>
    <mergeCell ref="E30:E31"/>
    <mergeCell ref="G30:G31"/>
    <mergeCell ref="I30:I31"/>
    <mergeCell ref="M36:M37"/>
    <mergeCell ref="K32:K33"/>
    <mergeCell ref="B40:B41"/>
    <mergeCell ref="A34:A35"/>
    <mergeCell ref="B34:B35"/>
    <mergeCell ref="C36:C37"/>
    <mergeCell ref="C34:C35"/>
    <mergeCell ref="A36:A37"/>
    <mergeCell ref="B36:B37"/>
    <mergeCell ref="R28:R29"/>
    <mergeCell ref="R16:R17"/>
    <mergeCell ref="R20:R21"/>
    <mergeCell ref="P18:P19"/>
    <mergeCell ref="P16:P17"/>
    <mergeCell ref="C16:C17"/>
    <mergeCell ref="G18:G19"/>
    <mergeCell ref="A18:A19"/>
    <mergeCell ref="E18:E19"/>
    <mergeCell ref="I18:I19"/>
    <mergeCell ref="C18:C19"/>
    <mergeCell ref="O16:O17"/>
    <mergeCell ref="M16:M17"/>
    <mergeCell ref="O18:O19"/>
    <mergeCell ref="K18:K19"/>
    <mergeCell ref="M18:M19"/>
    <mergeCell ref="B20:B21"/>
    <mergeCell ref="C20:C21"/>
    <mergeCell ref="R10:R11"/>
    <mergeCell ref="R18:R19"/>
    <mergeCell ref="R14:R15"/>
    <mergeCell ref="Q18:Q19"/>
    <mergeCell ref="R12:R13"/>
    <mergeCell ref="Q12:Q13"/>
    <mergeCell ref="Q14:Q15"/>
    <mergeCell ref="Q10:Q11"/>
    <mergeCell ref="A1:R1"/>
    <mergeCell ref="A2:A3"/>
    <mergeCell ref="E2:E3"/>
    <mergeCell ref="B2:B3"/>
    <mergeCell ref="G2:G3"/>
    <mergeCell ref="R8:R9"/>
    <mergeCell ref="E8:E9"/>
    <mergeCell ref="M8:M9"/>
    <mergeCell ref="K8:K9"/>
    <mergeCell ref="G8:G9"/>
    <mergeCell ref="P4:P5"/>
    <mergeCell ref="Q16:Q17"/>
    <mergeCell ref="R4:R5"/>
    <mergeCell ref="O4:O5"/>
    <mergeCell ref="R2:R3"/>
    <mergeCell ref="C2:C3"/>
    <mergeCell ref="P2:P3"/>
    <mergeCell ref="O2:O3"/>
    <mergeCell ref="Q2:Q3"/>
    <mergeCell ref="G6:G7"/>
    <mergeCell ref="I6:I7"/>
    <mergeCell ref="M6:M7"/>
    <mergeCell ref="K6:K7"/>
    <mergeCell ref="G4:G5"/>
    <mergeCell ref="R6:R7"/>
    <mergeCell ref="Q4:Q5"/>
    <mergeCell ref="P6:P7"/>
    <mergeCell ref="O6:O7"/>
    <mergeCell ref="Q6:Q7"/>
    <mergeCell ref="K4:K5"/>
    <mergeCell ref="M4:M5"/>
    <mergeCell ref="K2:K3"/>
    <mergeCell ref="M2:M3"/>
    <mergeCell ref="A4:A5"/>
    <mergeCell ref="A6:A7"/>
    <mergeCell ref="B4:B5"/>
    <mergeCell ref="E4:E5"/>
    <mergeCell ref="C4:C5"/>
    <mergeCell ref="B6:B7"/>
    <mergeCell ref="C6:C7"/>
    <mergeCell ref="E6:E7"/>
    <mergeCell ref="I2:I3"/>
    <mergeCell ref="I4:I5"/>
    <mergeCell ref="A8:A9"/>
    <mergeCell ref="B8:B9"/>
    <mergeCell ref="M10:M11"/>
    <mergeCell ref="C8:C9"/>
    <mergeCell ref="A10:A11"/>
    <mergeCell ref="P10:P11"/>
    <mergeCell ref="E10:E11"/>
    <mergeCell ref="G10:G11"/>
    <mergeCell ref="I10:I11"/>
    <mergeCell ref="B10:B11"/>
    <mergeCell ref="C10:C11"/>
    <mergeCell ref="K10:K11"/>
    <mergeCell ref="Q8:Q9"/>
    <mergeCell ref="I8:I9"/>
    <mergeCell ref="O8:O9"/>
    <mergeCell ref="P8:P9"/>
    <mergeCell ref="O12:O13"/>
    <mergeCell ref="M12:M13"/>
    <mergeCell ref="I12:I13"/>
    <mergeCell ref="M14:M15"/>
    <mergeCell ref="I14:I15"/>
    <mergeCell ref="P12:P13"/>
    <mergeCell ref="K14:K15"/>
    <mergeCell ref="O10:O11"/>
    <mergeCell ref="P14:P15"/>
    <mergeCell ref="O14:O15"/>
    <mergeCell ref="A14:A15"/>
    <mergeCell ref="E16:E17"/>
    <mergeCell ref="K16:K17"/>
    <mergeCell ref="K12:K13"/>
    <mergeCell ref="I16:I17"/>
    <mergeCell ref="G16:G17"/>
    <mergeCell ref="A12:A13"/>
    <mergeCell ref="B12:B13"/>
    <mergeCell ref="C12:C13"/>
    <mergeCell ref="E12:E13"/>
    <mergeCell ref="A16:A17"/>
    <mergeCell ref="B16:B17"/>
    <mergeCell ref="G12:G13"/>
    <mergeCell ref="E14:E15"/>
    <mergeCell ref="G14:G15"/>
    <mergeCell ref="B14:B15"/>
    <mergeCell ref="C14:C15"/>
    <mergeCell ref="P20:P21"/>
    <mergeCell ref="A20:A21"/>
    <mergeCell ref="K20:K21"/>
    <mergeCell ref="G20:G21"/>
    <mergeCell ref="G26:G27"/>
    <mergeCell ref="I26:I27"/>
    <mergeCell ref="E26:E27"/>
    <mergeCell ref="O20:O21"/>
    <mergeCell ref="Q20:Q21"/>
    <mergeCell ref="M20:M21"/>
    <mergeCell ref="K22:K23"/>
    <mergeCell ref="M22:M23"/>
    <mergeCell ref="Q28:Q29"/>
    <mergeCell ref="M28:M29"/>
    <mergeCell ref="K26:K27"/>
    <mergeCell ref="P22:P23"/>
    <mergeCell ref="M26:M27"/>
    <mergeCell ref="P26:P27"/>
    <mergeCell ref="P28:P29"/>
    <mergeCell ref="A25:R25"/>
    <mergeCell ref="Q26:Q27"/>
    <mergeCell ref="R26:R27"/>
    <mergeCell ref="O26:O27"/>
    <mergeCell ref="O28:O29"/>
    <mergeCell ref="I28:I29"/>
    <mergeCell ref="E28:E29"/>
    <mergeCell ref="G28:G29"/>
    <mergeCell ref="A22:A23"/>
    <mergeCell ref="R22:R23"/>
    <mergeCell ref="C22:C23"/>
    <mergeCell ref="E22:E23"/>
    <mergeCell ref="G22:G23"/>
    <mergeCell ref="I22:I23"/>
    <mergeCell ref="Q22:Q23"/>
    <mergeCell ref="B22:B23"/>
    <mergeCell ref="O22:O23"/>
    <mergeCell ref="Q30:Q31"/>
    <mergeCell ref="R30:R31"/>
    <mergeCell ref="O50:O51"/>
    <mergeCell ref="R32:R33"/>
    <mergeCell ref="Q32:Q33"/>
    <mergeCell ref="P32:P33"/>
    <mergeCell ref="O32:O33"/>
    <mergeCell ref="K34:K35"/>
    <mergeCell ref="M34:M35"/>
    <mergeCell ref="K30:K31"/>
    <mergeCell ref="P30:P31"/>
    <mergeCell ref="M30:M31"/>
    <mergeCell ref="O30:O31"/>
    <mergeCell ref="M32:M33"/>
    <mergeCell ref="P34:P35"/>
    <mergeCell ref="O34:O35"/>
    <mergeCell ref="A49:R49"/>
    <mergeCell ref="A50:A51"/>
    <mergeCell ref="B50:B51"/>
    <mergeCell ref="R50:R51"/>
    <mergeCell ref="Q50:Q51"/>
    <mergeCell ref="P50:P51"/>
    <mergeCell ref="I50:I51"/>
    <mergeCell ref="G50:G51"/>
    <mergeCell ref="A32:A33"/>
    <mergeCell ref="B32:B33"/>
    <mergeCell ref="B26:B27"/>
    <mergeCell ref="C32:C33"/>
    <mergeCell ref="A30:A31"/>
    <mergeCell ref="B30:B31"/>
    <mergeCell ref="A26:A27"/>
    <mergeCell ref="C26:C27"/>
    <mergeCell ref="A28:A29"/>
    <mergeCell ref="B28:B29"/>
    <mergeCell ref="C28:C29"/>
    <mergeCell ref="C30:C31"/>
    <mergeCell ref="K36:K37"/>
    <mergeCell ref="G34:G35"/>
    <mergeCell ref="G36:G37"/>
    <mergeCell ref="E32:E33"/>
    <mergeCell ref="K46:K47"/>
    <mergeCell ref="K44:K45"/>
    <mergeCell ref="E44:E45"/>
    <mergeCell ref="G44:G45"/>
    <mergeCell ref="G46:G47"/>
    <mergeCell ref="I46:I47"/>
    <mergeCell ref="I44:I45"/>
    <mergeCell ref="E46:E47"/>
    <mergeCell ref="I34:I35"/>
    <mergeCell ref="I36:I37"/>
    <mergeCell ref="E34:E35"/>
    <mergeCell ref="E36:E37"/>
    <mergeCell ref="A54:A55"/>
    <mergeCell ref="K50:K51"/>
    <mergeCell ref="A52:A53"/>
    <mergeCell ref="B52:B53"/>
    <mergeCell ref="C52:C53"/>
    <mergeCell ref="C54:C55"/>
    <mergeCell ref="C50:C51"/>
    <mergeCell ref="E54:E55"/>
    <mergeCell ref="M52:M53"/>
    <mergeCell ref="B54:B55"/>
    <mergeCell ref="E50:E51"/>
    <mergeCell ref="M50:M51"/>
    <mergeCell ref="E52:E53"/>
    <mergeCell ref="G52:G53"/>
    <mergeCell ref="K54:K55"/>
    <mergeCell ref="I52:I53"/>
    <mergeCell ref="I54:I55"/>
    <mergeCell ref="G54:G55"/>
    <mergeCell ref="M54:M55"/>
    <mergeCell ref="R56:R57"/>
    <mergeCell ref="K56:K57"/>
    <mergeCell ref="Q54:Q55"/>
    <mergeCell ref="O56:O57"/>
    <mergeCell ref="P56:P57"/>
    <mergeCell ref="Q56:Q57"/>
    <mergeCell ref="R54:R55"/>
    <mergeCell ref="R52:R53"/>
    <mergeCell ref="Q52:Q53"/>
    <mergeCell ref="P52:P53"/>
    <mergeCell ref="K52:K53"/>
    <mergeCell ref="P54:P55"/>
    <mergeCell ref="O52:O53"/>
    <mergeCell ref="O54:O55"/>
    <mergeCell ref="I60:I61"/>
    <mergeCell ref="G58:G59"/>
    <mergeCell ref="O58:O59"/>
    <mergeCell ref="I58:I59"/>
    <mergeCell ref="K60:K61"/>
    <mergeCell ref="M58:M59"/>
    <mergeCell ref="M60:M61"/>
    <mergeCell ref="G56:G57"/>
    <mergeCell ref="I56:I57"/>
    <mergeCell ref="M56:M57"/>
    <mergeCell ref="R58:R59"/>
    <mergeCell ref="R60:R61"/>
    <mergeCell ref="P60:P61"/>
    <mergeCell ref="Q60:Q61"/>
    <mergeCell ref="P58:P59"/>
    <mergeCell ref="Q58:Q59"/>
    <mergeCell ref="A64:A65"/>
    <mergeCell ref="B64:B65"/>
    <mergeCell ref="C64:C65"/>
    <mergeCell ref="E64:E65"/>
    <mergeCell ref="R62:R63"/>
    <mergeCell ref="R64:R65"/>
    <mergeCell ref="O62:O63"/>
    <mergeCell ref="P62:P63"/>
    <mergeCell ref="I62:I63"/>
    <mergeCell ref="K64:K65"/>
    <mergeCell ref="K62:K63"/>
    <mergeCell ref="G62:G63"/>
    <mergeCell ref="M62:M63"/>
    <mergeCell ref="G64:G65"/>
    <mergeCell ref="M64:M65"/>
    <mergeCell ref="O60:O61"/>
    <mergeCell ref="K58:K59"/>
    <mergeCell ref="G60:G61"/>
    <mergeCell ref="B56:B57"/>
    <mergeCell ref="A58:A59"/>
    <mergeCell ref="B58:B59"/>
    <mergeCell ref="C60:C61"/>
    <mergeCell ref="B62:B63"/>
    <mergeCell ref="C62:C63"/>
    <mergeCell ref="E62:E63"/>
    <mergeCell ref="A62:A63"/>
    <mergeCell ref="A56:A57"/>
    <mergeCell ref="C58:C59"/>
    <mergeCell ref="A60:A61"/>
    <mergeCell ref="B60:B61"/>
    <mergeCell ref="C56:C57"/>
    <mergeCell ref="E58:E59"/>
    <mergeCell ref="E60:E61"/>
    <mergeCell ref="E56:E57"/>
    <mergeCell ref="Q68:Q69"/>
    <mergeCell ref="P66:P67"/>
    <mergeCell ref="Q66:Q67"/>
    <mergeCell ref="M68:M69"/>
    <mergeCell ref="K68:K69"/>
    <mergeCell ref="Q62:Q63"/>
    <mergeCell ref="G68:G69"/>
    <mergeCell ref="A66:A67"/>
    <mergeCell ref="B66:B67"/>
    <mergeCell ref="C66:C67"/>
    <mergeCell ref="O66:O67"/>
    <mergeCell ref="E66:E67"/>
    <mergeCell ref="M66:M67"/>
    <mergeCell ref="K66:K67"/>
    <mergeCell ref="G66:G67"/>
    <mergeCell ref="Q64:Q65"/>
    <mergeCell ref="O64:O65"/>
    <mergeCell ref="I68:I69"/>
    <mergeCell ref="R66:R67"/>
    <mergeCell ref="I66:I67"/>
    <mergeCell ref="P68:P69"/>
    <mergeCell ref="O68:O69"/>
    <mergeCell ref="I64:I65"/>
    <mergeCell ref="P64:P65"/>
    <mergeCell ref="R68:R69"/>
    <mergeCell ref="M74:M75"/>
    <mergeCell ref="A73:R73"/>
    <mergeCell ref="A70:A71"/>
    <mergeCell ref="A68:A69"/>
    <mergeCell ref="B68:B69"/>
    <mergeCell ref="B70:B71"/>
    <mergeCell ref="O70:O71"/>
    <mergeCell ref="C70:C71"/>
    <mergeCell ref="E70:E71"/>
    <mergeCell ref="G70:G71"/>
    <mergeCell ref="E68:E69"/>
    <mergeCell ref="M70:M71"/>
    <mergeCell ref="O74:O75"/>
    <mergeCell ref="I74:I75"/>
    <mergeCell ref="P70:P71"/>
    <mergeCell ref="I70:I71"/>
    <mergeCell ref="C68:C69"/>
    <mergeCell ref="K70:K71"/>
    <mergeCell ref="R70:R71"/>
    <mergeCell ref="Q70:Q71"/>
    <mergeCell ref="R76:R77"/>
    <mergeCell ref="Q74:Q75"/>
    <mergeCell ref="R74:R75"/>
    <mergeCell ref="Q76:Q77"/>
    <mergeCell ref="E78:E79"/>
    <mergeCell ref="B76:B77"/>
    <mergeCell ref="C76:C77"/>
    <mergeCell ref="M76:M77"/>
    <mergeCell ref="P74:P75"/>
    <mergeCell ref="O76:O77"/>
    <mergeCell ref="P76:P77"/>
    <mergeCell ref="E76:E77"/>
    <mergeCell ref="E74:E75"/>
    <mergeCell ref="G74:G75"/>
    <mergeCell ref="Q78:Q79"/>
    <mergeCell ref="K74:K75"/>
    <mergeCell ref="A74:A75"/>
    <mergeCell ref="B74:B75"/>
    <mergeCell ref="C74:C75"/>
    <mergeCell ref="A76:A77"/>
    <mergeCell ref="A78:A79"/>
    <mergeCell ref="B78:B79"/>
    <mergeCell ref="C78:C79"/>
    <mergeCell ref="G78:G79"/>
    <mergeCell ref="I78:I79"/>
    <mergeCell ref="Q80:Q81"/>
    <mergeCell ref="O80:O81"/>
    <mergeCell ref="P80:P81"/>
    <mergeCell ref="M78:M79"/>
    <mergeCell ref="O78:O79"/>
    <mergeCell ref="K76:K77"/>
    <mergeCell ref="R80:R81"/>
    <mergeCell ref="R78:R79"/>
    <mergeCell ref="A82:A83"/>
    <mergeCell ref="B82:B83"/>
    <mergeCell ref="C82:C83"/>
    <mergeCell ref="E82:E83"/>
    <mergeCell ref="A80:A81"/>
    <mergeCell ref="B80:B81"/>
    <mergeCell ref="C80:C81"/>
    <mergeCell ref="E80:E81"/>
    <mergeCell ref="G80:G81"/>
    <mergeCell ref="I80:I81"/>
    <mergeCell ref="G76:G77"/>
    <mergeCell ref="K80:K81"/>
    <mergeCell ref="K78:K79"/>
    <mergeCell ref="I76:I77"/>
    <mergeCell ref="M80:M81"/>
    <mergeCell ref="P78:P79"/>
    <mergeCell ref="P84:P85"/>
    <mergeCell ref="O82:O83"/>
    <mergeCell ref="P82:P83"/>
    <mergeCell ref="Q82:Q83"/>
    <mergeCell ref="R82:R83"/>
    <mergeCell ref="Q84:Q85"/>
    <mergeCell ref="R84:R85"/>
    <mergeCell ref="A86:A87"/>
    <mergeCell ref="B86:B87"/>
    <mergeCell ref="C86:C87"/>
    <mergeCell ref="E86:E87"/>
    <mergeCell ref="A84:A85"/>
    <mergeCell ref="B84:B85"/>
    <mergeCell ref="C84:C85"/>
    <mergeCell ref="E84:E85"/>
    <mergeCell ref="G84:G85"/>
    <mergeCell ref="I84:I85"/>
    <mergeCell ref="K84:K85"/>
    <mergeCell ref="M84:M85"/>
    <mergeCell ref="G82:G83"/>
    <mergeCell ref="I82:I83"/>
    <mergeCell ref="K82:K83"/>
    <mergeCell ref="M82:M83"/>
    <mergeCell ref="O84:O85"/>
    <mergeCell ref="Q86:Q87"/>
    <mergeCell ref="R86:R87"/>
    <mergeCell ref="Q88:Q89"/>
    <mergeCell ref="R88:R89"/>
    <mergeCell ref="A90:A91"/>
    <mergeCell ref="B90:B91"/>
    <mergeCell ref="C90:C91"/>
    <mergeCell ref="E90:E91"/>
    <mergeCell ref="A88:A89"/>
    <mergeCell ref="B88:B89"/>
    <mergeCell ref="C88:C89"/>
    <mergeCell ref="E88:E89"/>
    <mergeCell ref="G88:G89"/>
    <mergeCell ref="I88:I89"/>
    <mergeCell ref="K88:K89"/>
    <mergeCell ref="M88:M89"/>
    <mergeCell ref="G86:G87"/>
    <mergeCell ref="I86:I87"/>
    <mergeCell ref="K86:K87"/>
    <mergeCell ref="M86:M87"/>
    <mergeCell ref="O88:O89"/>
    <mergeCell ref="Q90:Q91"/>
    <mergeCell ref="I90:I91"/>
    <mergeCell ref="K90:K91"/>
    <mergeCell ref="M90:M91"/>
    <mergeCell ref="O92:O93"/>
    <mergeCell ref="P88:P89"/>
    <mergeCell ref="P92:P93"/>
    <mergeCell ref="O90:O91"/>
    <mergeCell ref="P90:P91"/>
    <mergeCell ref="O86:O87"/>
    <mergeCell ref="P86:P87"/>
    <mergeCell ref="R90:R91"/>
    <mergeCell ref="Q92:Q93"/>
    <mergeCell ref="R92:R93"/>
    <mergeCell ref="A94:A95"/>
    <mergeCell ref="B94:B95"/>
    <mergeCell ref="C94:C95"/>
    <mergeCell ref="E94:E95"/>
    <mergeCell ref="A92:A93"/>
    <mergeCell ref="B92:B93"/>
    <mergeCell ref="C92:C93"/>
    <mergeCell ref="E92:E93"/>
    <mergeCell ref="Q94:Q95"/>
    <mergeCell ref="R94:R95"/>
    <mergeCell ref="G94:G95"/>
    <mergeCell ref="I94:I95"/>
    <mergeCell ref="K94:K95"/>
    <mergeCell ref="M94:M95"/>
    <mergeCell ref="O94:O95"/>
    <mergeCell ref="P94:P95"/>
    <mergeCell ref="G92:G93"/>
    <mergeCell ref="I92:I93"/>
    <mergeCell ref="K92:K93"/>
    <mergeCell ref="M92:M93"/>
    <mergeCell ref="G90:G91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304F0C7A-D6EE-40A7-8083-92A8C4FFFE85}"/>
    <dataValidation imeMode="on" allowBlank="1" showInputMessage="1" showErrorMessage="1" sqref="C24 C72 C48 C96" xr:uid="{41520F86-75B4-4F9F-95FD-974D5DB193A7}"/>
    <dataValidation type="list" imeMode="on" allowBlank="1" showInputMessage="1" sqref="C4:C23 C28:C47 C52:C71 C76:C95" xr:uid="{7959C311-F69A-4746-AF93-4BACE847162D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502F-598A-4B8F-B3FF-4F708325912F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A94:A95"/>
    <mergeCell ref="B94:B95"/>
    <mergeCell ref="C94:C95"/>
    <mergeCell ref="E94:E95"/>
    <mergeCell ref="Q94:Q95"/>
    <mergeCell ref="R94:R95"/>
    <mergeCell ref="Q92:Q93"/>
    <mergeCell ref="R92:R93"/>
    <mergeCell ref="G94:G95"/>
    <mergeCell ref="I94:I95"/>
    <mergeCell ref="O92:O93"/>
    <mergeCell ref="P92:P93"/>
    <mergeCell ref="O94:O95"/>
    <mergeCell ref="P94:P95"/>
    <mergeCell ref="K94:K95"/>
    <mergeCell ref="M94:M95"/>
    <mergeCell ref="K92:K93"/>
    <mergeCell ref="M92:M93"/>
    <mergeCell ref="Q76:Q77"/>
    <mergeCell ref="R76:R77"/>
    <mergeCell ref="Q78:Q79"/>
    <mergeCell ref="R78:R79"/>
    <mergeCell ref="G92:G93"/>
    <mergeCell ref="I92:I93"/>
    <mergeCell ref="M80:M81"/>
    <mergeCell ref="K84:K85"/>
    <mergeCell ref="Q80:Q81"/>
    <mergeCell ref="R80:R81"/>
    <mergeCell ref="K78:K79"/>
    <mergeCell ref="M78:M79"/>
    <mergeCell ref="O78:O79"/>
    <mergeCell ref="P78:P79"/>
    <mergeCell ref="O80:O81"/>
    <mergeCell ref="P80:P81"/>
    <mergeCell ref="O76:O77"/>
    <mergeCell ref="P76:P77"/>
    <mergeCell ref="O88:O89"/>
    <mergeCell ref="P88:P89"/>
    <mergeCell ref="O90:O91"/>
    <mergeCell ref="P90:P91"/>
    <mergeCell ref="Q88:Q89"/>
    <mergeCell ref="R88:R89"/>
    <mergeCell ref="G76:G77"/>
    <mergeCell ref="I76:I77"/>
    <mergeCell ref="G86:G87"/>
    <mergeCell ref="I86:I87"/>
    <mergeCell ref="K86:K87"/>
    <mergeCell ref="M86:M87"/>
    <mergeCell ref="I90:I91"/>
    <mergeCell ref="K90:K91"/>
    <mergeCell ref="M90:M91"/>
    <mergeCell ref="I88:I89"/>
    <mergeCell ref="K88:K89"/>
    <mergeCell ref="M88:M89"/>
    <mergeCell ref="R60:R61"/>
    <mergeCell ref="R62:R63"/>
    <mergeCell ref="O60:O61"/>
    <mergeCell ref="P60:P61"/>
    <mergeCell ref="R64:R65"/>
    <mergeCell ref="O64:O65"/>
    <mergeCell ref="R66:R67"/>
    <mergeCell ref="Q66:Q67"/>
    <mergeCell ref="P64:P65"/>
    <mergeCell ref="I52:I53"/>
    <mergeCell ref="M70:M71"/>
    <mergeCell ref="O70:O71"/>
    <mergeCell ref="M62:M63"/>
    <mergeCell ref="P62:P63"/>
    <mergeCell ref="I60:I61"/>
    <mergeCell ref="Q62:Q63"/>
    <mergeCell ref="O62:O63"/>
    <mergeCell ref="Q60:Q61"/>
    <mergeCell ref="P68:P69"/>
    <mergeCell ref="I68:I69"/>
    <mergeCell ref="R46:R47"/>
    <mergeCell ref="O46:O47"/>
    <mergeCell ref="P46:P47"/>
    <mergeCell ref="O54:O55"/>
    <mergeCell ref="P54:P55"/>
    <mergeCell ref="K58:K59"/>
    <mergeCell ref="R56:R57"/>
    <mergeCell ref="R58:R59"/>
    <mergeCell ref="O50:O51"/>
    <mergeCell ref="K54:K55"/>
    <mergeCell ref="R52:R53"/>
    <mergeCell ref="G46:G47"/>
    <mergeCell ref="I46:I47"/>
    <mergeCell ref="K46:K47"/>
    <mergeCell ref="M46:M47"/>
    <mergeCell ref="I66:I67"/>
    <mergeCell ref="Q46:Q47"/>
    <mergeCell ref="G52:G53"/>
    <mergeCell ref="G50:G51"/>
    <mergeCell ref="A49:R49"/>
    <mergeCell ref="A52:A53"/>
    <mergeCell ref="A50:A51"/>
    <mergeCell ref="B50:B51"/>
    <mergeCell ref="C52:C53"/>
    <mergeCell ref="B52:B53"/>
    <mergeCell ref="E52:E53"/>
    <mergeCell ref="A46:A47"/>
    <mergeCell ref="B46:B47"/>
    <mergeCell ref="C46:C47"/>
    <mergeCell ref="E46:E47"/>
    <mergeCell ref="P52:P53"/>
    <mergeCell ref="A54:A55"/>
    <mergeCell ref="A58:A59"/>
    <mergeCell ref="B58:B59"/>
    <mergeCell ref="B54:B55"/>
    <mergeCell ref="C50:C51"/>
    <mergeCell ref="E50:E51"/>
    <mergeCell ref="E60:E61"/>
    <mergeCell ref="G56:G57"/>
    <mergeCell ref="K74:K75"/>
    <mergeCell ref="M50:M51"/>
    <mergeCell ref="K50:K51"/>
    <mergeCell ref="I70:I71"/>
    <mergeCell ref="K70:K71"/>
    <mergeCell ref="I50:I51"/>
    <mergeCell ref="K62:K63"/>
    <mergeCell ref="K60:K61"/>
    <mergeCell ref="M60:M61"/>
    <mergeCell ref="M52:M53"/>
    <mergeCell ref="C56:C57"/>
    <mergeCell ref="C54:C55"/>
    <mergeCell ref="G54:G55"/>
    <mergeCell ref="E54:E55"/>
    <mergeCell ref="E64:E65"/>
    <mergeCell ref="I64:I65"/>
    <mergeCell ref="G64:G65"/>
    <mergeCell ref="M64:M65"/>
    <mergeCell ref="K64:K65"/>
    <mergeCell ref="C70:C71"/>
    <mergeCell ref="A44:A45"/>
    <mergeCell ref="B44:B45"/>
    <mergeCell ref="C44:C45"/>
    <mergeCell ref="E44:E45"/>
    <mergeCell ref="A42:A43"/>
    <mergeCell ref="B42:B43"/>
    <mergeCell ref="C42:C43"/>
    <mergeCell ref="E42:E43"/>
    <mergeCell ref="O44:O45"/>
    <mergeCell ref="G42:G43"/>
    <mergeCell ref="I42:I43"/>
    <mergeCell ref="G44:G45"/>
    <mergeCell ref="I44:I45"/>
    <mergeCell ref="Q42:Q43"/>
    <mergeCell ref="R42:R43"/>
    <mergeCell ref="O42:O43"/>
    <mergeCell ref="P42:P43"/>
    <mergeCell ref="P44:P45"/>
    <mergeCell ref="K42:K43"/>
    <mergeCell ref="M42:M43"/>
    <mergeCell ref="Q44:Q45"/>
    <mergeCell ref="R44:R45"/>
    <mergeCell ref="K44:K45"/>
    <mergeCell ref="M44:M45"/>
    <mergeCell ref="Q38:Q39"/>
    <mergeCell ref="R38:R39"/>
    <mergeCell ref="O38:O39"/>
    <mergeCell ref="P38:P39"/>
    <mergeCell ref="K40:K41"/>
    <mergeCell ref="G38:G39"/>
    <mergeCell ref="I38:I39"/>
    <mergeCell ref="G40:G41"/>
    <mergeCell ref="I40:I41"/>
    <mergeCell ref="O40:O41"/>
    <mergeCell ref="P40:P41"/>
    <mergeCell ref="Q40:Q41"/>
    <mergeCell ref="R40:R41"/>
    <mergeCell ref="A40:A41"/>
    <mergeCell ref="B40:B41"/>
    <mergeCell ref="C40:C41"/>
    <mergeCell ref="E40:E41"/>
    <mergeCell ref="A38:A39"/>
    <mergeCell ref="M36:M37"/>
    <mergeCell ref="B34:B35"/>
    <mergeCell ref="C34:C35"/>
    <mergeCell ref="E34:E35"/>
    <mergeCell ref="G34:G35"/>
    <mergeCell ref="G36:G37"/>
    <mergeCell ref="I36:I37"/>
    <mergeCell ref="K36:K37"/>
    <mergeCell ref="A34:A35"/>
    <mergeCell ref="A36:A37"/>
    <mergeCell ref="B36:B37"/>
    <mergeCell ref="C36:C37"/>
    <mergeCell ref="E36:E37"/>
    <mergeCell ref="M40:M41"/>
    <mergeCell ref="M38:M39"/>
    <mergeCell ref="K38:K39"/>
    <mergeCell ref="B38:B39"/>
    <mergeCell ref="C38:C39"/>
    <mergeCell ref="E38:E39"/>
    <mergeCell ref="Q34:Q35"/>
    <mergeCell ref="P32:P33"/>
    <mergeCell ref="R34:R35"/>
    <mergeCell ref="Q36:Q37"/>
    <mergeCell ref="R36:R37"/>
    <mergeCell ref="P34:P35"/>
    <mergeCell ref="R32:R33"/>
    <mergeCell ref="Q32:Q33"/>
    <mergeCell ref="G32:G33"/>
    <mergeCell ref="I32:I33"/>
    <mergeCell ref="K32:K33"/>
    <mergeCell ref="K34:K35"/>
    <mergeCell ref="P36:P37"/>
    <mergeCell ref="O34:O35"/>
    <mergeCell ref="O36:O37"/>
    <mergeCell ref="M34:M35"/>
    <mergeCell ref="M32:M33"/>
    <mergeCell ref="O32:O33"/>
    <mergeCell ref="A32:A33"/>
    <mergeCell ref="B32:B33"/>
    <mergeCell ref="C32:C33"/>
    <mergeCell ref="E32:E33"/>
    <mergeCell ref="A30:A31"/>
    <mergeCell ref="B30:B31"/>
    <mergeCell ref="C30:C31"/>
    <mergeCell ref="E30:E31"/>
    <mergeCell ref="I34:I35"/>
    <mergeCell ref="Q28:Q29"/>
    <mergeCell ref="R28:R29"/>
    <mergeCell ref="R30:R31"/>
    <mergeCell ref="G26:G27"/>
    <mergeCell ref="A28:A29"/>
    <mergeCell ref="B28:B29"/>
    <mergeCell ref="C28:C29"/>
    <mergeCell ref="E28:E29"/>
    <mergeCell ref="R26:R27"/>
    <mergeCell ref="M28:M29"/>
    <mergeCell ref="O28:O29"/>
    <mergeCell ref="Q26:Q27"/>
    <mergeCell ref="G28:G29"/>
    <mergeCell ref="A26:A27"/>
    <mergeCell ref="I30:I31"/>
    <mergeCell ref="K30:K31"/>
    <mergeCell ref="B26:B27"/>
    <mergeCell ref="C26:C27"/>
    <mergeCell ref="E26:E27"/>
    <mergeCell ref="K28:K29"/>
    <mergeCell ref="M30:M31"/>
    <mergeCell ref="G30:G31"/>
    <mergeCell ref="M26:M27"/>
    <mergeCell ref="O26:O27"/>
    <mergeCell ref="B14:B15"/>
    <mergeCell ref="C14:C15"/>
    <mergeCell ref="A12:A13"/>
    <mergeCell ref="B12:B13"/>
    <mergeCell ref="C12:C13"/>
    <mergeCell ref="E12:E13"/>
    <mergeCell ref="C18:C19"/>
    <mergeCell ref="B18:B19"/>
    <mergeCell ref="G18:G19"/>
    <mergeCell ref="R10:R11"/>
    <mergeCell ref="R18:R19"/>
    <mergeCell ref="R14:R15"/>
    <mergeCell ref="Q18:Q19"/>
    <mergeCell ref="Q16:Q17"/>
    <mergeCell ref="R16:R17"/>
    <mergeCell ref="Q14:Q15"/>
    <mergeCell ref="R12:R13"/>
    <mergeCell ref="Q12:Q13"/>
    <mergeCell ref="Q10:Q11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I2:I3"/>
    <mergeCell ref="K2:K3"/>
    <mergeCell ref="M2:M3"/>
    <mergeCell ref="Q8:Q9"/>
    <mergeCell ref="I8:I9"/>
    <mergeCell ref="G8:G9"/>
    <mergeCell ref="Q6:Q7"/>
    <mergeCell ref="M6:M7"/>
    <mergeCell ref="R8:R9"/>
    <mergeCell ref="R4:R5"/>
    <mergeCell ref="O4:O5"/>
    <mergeCell ref="O8:O9"/>
    <mergeCell ref="P8:P9"/>
    <mergeCell ref="R6:R7"/>
    <mergeCell ref="P4:P5"/>
    <mergeCell ref="Q4:Q5"/>
    <mergeCell ref="P6:P7"/>
    <mergeCell ref="O6:O7"/>
    <mergeCell ref="K4:K5"/>
    <mergeCell ref="M4:M5"/>
    <mergeCell ref="I4:I5"/>
    <mergeCell ref="G4:G5"/>
    <mergeCell ref="M8:M9"/>
    <mergeCell ref="G6:G7"/>
    <mergeCell ref="I6:I7"/>
    <mergeCell ref="K6:K7"/>
    <mergeCell ref="A4:A5"/>
    <mergeCell ref="A6:A7"/>
    <mergeCell ref="B4:B5"/>
    <mergeCell ref="E4:E5"/>
    <mergeCell ref="C4:C5"/>
    <mergeCell ref="B6:B7"/>
    <mergeCell ref="C6:C7"/>
    <mergeCell ref="E6:E7"/>
    <mergeCell ref="C10:C11"/>
    <mergeCell ref="E8:E9"/>
    <mergeCell ref="C8:C9"/>
    <mergeCell ref="P10:P11"/>
    <mergeCell ref="E10:E11"/>
    <mergeCell ref="M10:M11"/>
    <mergeCell ref="A8:A9"/>
    <mergeCell ref="A10:A11"/>
    <mergeCell ref="K8:K9"/>
    <mergeCell ref="B8:B9"/>
    <mergeCell ref="O10:O11"/>
    <mergeCell ref="B10:B11"/>
    <mergeCell ref="G10:G11"/>
    <mergeCell ref="I10:I11"/>
    <mergeCell ref="K10:K11"/>
    <mergeCell ref="P12:P13"/>
    <mergeCell ref="A14:A15"/>
    <mergeCell ref="A16:A17"/>
    <mergeCell ref="B16:B17"/>
    <mergeCell ref="C16:C17"/>
    <mergeCell ref="M14:M15"/>
    <mergeCell ref="I16:I17"/>
    <mergeCell ref="G16:G17"/>
    <mergeCell ref="E16:E17"/>
    <mergeCell ref="K16:K17"/>
    <mergeCell ref="K14:K15"/>
    <mergeCell ref="P14:P15"/>
    <mergeCell ref="O16:O17"/>
    <mergeCell ref="M16:M17"/>
    <mergeCell ref="P16:P17"/>
    <mergeCell ref="O14:O15"/>
    <mergeCell ref="O12:O13"/>
    <mergeCell ref="I14:I15"/>
    <mergeCell ref="E14:E15"/>
    <mergeCell ref="G14:G15"/>
    <mergeCell ref="I12:I13"/>
    <mergeCell ref="M12:M13"/>
    <mergeCell ref="K12:K13"/>
    <mergeCell ref="G12:G13"/>
    <mergeCell ref="R20:R21"/>
    <mergeCell ref="O20:O21"/>
    <mergeCell ref="Q20:Q21"/>
    <mergeCell ref="M20:M21"/>
    <mergeCell ref="P20:P21"/>
    <mergeCell ref="O18:O19"/>
    <mergeCell ref="K18:K19"/>
    <mergeCell ref="K20:K21"/>
    <mergeCell ref="A18:A19"/>
    <mergeCell ref="E18:E19"/>
    <mergeCell ref="I18:I19"/>
    <mergeCell ref="G20:G21"/>
    <mergeCell ref="P18:P19"/>
    <mergeCell ref="M18:M19"/>
    <mergeCell ref="A20:A21"/>
    <mergeCell ref="E20:E21"/>
    <mergeCell ref="I20:I21"/>
    <mergeCell ref="B20:B21"/>
    <mergeCell ref="C20:C21"/>
    <mergeCell ref="P26:P27"/>
    <mergeCell ref="A25:R25"/>
    <mergeCell ref="A22:A23"/>
    <mergeCell ref="R22:R23"/>
    <mergeCell ref="C22:C23"/>
    <mergeCell ref="B22:B23"/>
    <mergeCell ref="G22:G23"/>
    <mergeCell ref="M22:M23"/>
    <mergeCell ref="K22:K23"/>
    <mergeCell ref="Q22:Q23"/>
    <mergeCell ref="E22:E23"/>
    <mergeCell ref="I22:I23"/>
    <mergeCell ref="O22:O23"/>
    <mergeCell ref="P22:P23"/>
    <mergeCell ref="I26:I27"/>
    <mergeCell ref="K26:K27"/>
    <mergeCell ref="I28:I29"/>
    <mergeCell ref="R54:R55"/>
    <mergeCell ref="R50:R51"/>
    <mergeCell ref="Q50:Q51"/>
    <mergeCell ref="P50:P51"/>
    <mergeCell ref="Q52:Q53"/>
    <mergeCell ref="P58:P59"/>
    <mergeCell ref="Q58:Q59"/>
    <mergeCell ref="P56:P57"/>
    <mergeCell ref="Q56:Q57"/>
    <mergeCell ref="Q54:Q55"/>
    <mergeCell ref="M58:M59"/>
    <mergeCell ref="O52:O53"/>
    <mergeCell ref="K52:K53"/>
    <mergeCell ref="O58:O59"/>
    <mergeCell ref="K56:K57"/>
    <mergeCell ref="M54:M55"/>
    <mergeCell ref="O56:O57"/>
    <mergeCell ref="M56:M57"/>
    <mergeCell ref="I54:I55"/>
    <mergeCell ref="O30:O31"/>
    <mergeCell ref="Q30:Q31"/>
    <mergeCell ref="P30:P31"/>
    <mergeCell ref="P28:P29"/>
    <mergeCell ref="A56:A57"/>
    <mergeCell ref="B56:B57"/>
    <mergeCell ref="C58:C59"/>
    <mergeCell ref="A60:A61"/>
    <mergeCell ref="B60:B61"/>
    <mergeCell ref="C60:C61"/>
    <mergeCell ref="I62:I63"/>
    <mergeCell ref="G60:G61"/>
    <mergeCell ref="G62:G63"/>
    <mergeCell ref="A62:A63"/>
    <mergeCell ref="B62:B63"/>
    <mergeCell ref="C62:C63"/>
    <mergeCell ref="E62:E63"/>
    <mergeCell ref="E56:E57"/>
    <mergeCell ref="E58:E59"/>
    <mergeCell ref="G58:G59"/>
    <mergeCell ref="I58:I59"/>
    <mergeCell ref="I56:I57"/>
    <mergeCell ref="Q64:Q65"/>
    <mergeCell ref="M66:M67"/>
    <mergeCell ref="O66:O67"/>
    <mergeCell ref="P66:P67"/>
    <mergeCell ref="M68:M69"/>
    <mergeCell ref="A68:A69"/>
    <mergeCell ref="B68:B69"/>
    <mergeCell ref="C68:C69"/>
    <mergeCell ref="E68:E69"/>
    <mergeCell ref="A64:A65"/>
    <mergeCell ref="B64:B65"/>
    <mergeCell ref="C64:C65"/>
    <mergeCell ref="K66:K67"/>
    <mergeCell ref="A66:A67"/>
    <mergeCell ref="B66:B67"/>
    <mergeCell ref="C66:C67"/>
    <mergeCell ref="G66:G67"/>
    <mergeCell ref="E66:E67"/>
    <mergeCell ref="G68:G69"/>
    <mergeCell ref="R70:R71"/>
    <mergeCell ref="Q74:Q75"/>
    <mergeCell ref="R74:R75"/>
    <mergeCell ref="R68:R69"/>
    <mergeCell ref="Q68:Q69"/>
    <mergeCell ref="A70:A71"/>
    <mergeCell ref="B70:B71"/>
    <mergeCell ref="A74:A75"/>
    <mergeCell ref="B74:B75"/>
    <mergeCell ref="C74:C75"/>
    <mergeCell ref="P74:P75"/>
    <mergeCell ref="A73:R73"/>
    <mergeCell ref="Q70:Q71"/>
    <mergeCell ref="O68:O69"/>
    <mergeCell ref="P70:P71"/>
    <mergeCell ref="M74:M75"/>
    <mergeCell ref="O74:O75"/>
    <mergeCell ref="G74:G75"/>
    <mergeCell ref="E74:E75"/>
    <mergeCell ref="I74:I75"/>
    <mergeCell ref="K68:K69"/>
    <mergeCell ref="E70:E71"/>
    <mergeCell ref="G70:G71"/>
    <mergeCell ref="A80:A81"/>
    <mergeCell ref="B80:B81"/>
    <mergeCell ref="C80:C81"/>
    <mergeCell ref="E80:E81"/>
    <mergeCell ref="A76:A77"/>
    <mergeCell ref="B76:B77"/>
    <mergeCell ref="C76:C77"/>
    <mergeCell ref="R82:R83"/>
    <mergeCell ref="E76:E77"/>
    <mergeCell ref="A78:A79"/>
    <mergeCell ref="B78:B79"/>
    <mergeCell ref="K80:K81"/>
    <mergeCell ref="G80:G81"/>
    <mergeCell ref="I80:I81"/>
    <mergeCell ref="G82:G83"/>
    <mergeCell ref="I82:I83"/>
    <mergeCell ref="C78:C79"/>
    <mergeCell ref="A82:A83"/>
    <mergeCell ref="B82:B83"/>
    <mergeCell ref="E78:E79"/>
    <mergeCell ref="G78:G79"/>
    <mergeCell ref="I78:I79"/>
    <mergeCell ref="K76:K77"/>
    <mergeCell ref="M76:M77"/>
    <mergeCell ref="O82:O83"/>
    <mergeCell ref="P82:P83"/>
    <mergeCell ref="Q82:Q83"/>
    <mergeCell ref="G84:G85"/>
    <mergeCell ref="I84:I85"/>
    <mergeCell ref="M82:M83"/>
    <mergeCell ref="M84:M85"/>
    <mergeCell ref="O84:O85"/>
    <mergeCell ref="C82:C83"/>
    <mergeCell ref="E82:E83"/>
    <mergeCell ref="K82:K83"/>
    <mergeCell ref="A84:A85"/>
    <mergeCell ref="B84:B85"/>
    <mergeCell ref="P84:P85"/>
    <mergeCell ref="O86:O87"/>
    <mergeCell ref="P86:P87"/>
    <mergeCell ref="Q84:Q85"/>
    <mergeCell ref="R84:R85"/>
    <mergeCell ref="Q86:Q87"/>
    <mergeCell ref="R86:R87"/>
    <mergeCell ref="C84:C85"/>
    <mergeCell ref="E84:E85"/>
    <mergeCell ref="A88:A89"/>
    <mergeCell ref="B88:B89"/>
    <mergeCell ref="C88:C89"/>
    <mergeCell ref="E88:E89"/>
    <mergeCell ref="A86:A87"/>
    <mergeCell ref="B86:B87"/>
    <mergeCell ref="C86:C87"/>
    <mergeCell ref="E86:E87"/>
    <mergeCell ref="G90:G91"/>
    <mergeCell ref="G88:G89"/>
    <mergeCell ref="Q90:Q91"/>
    <mergeCell ref="R90:R91"/>
    <mergeCell ref="A92:A93"/>
    <mergeCell ref="B92:B93"/>
    <mergeCell ref="C92:C93"/>
    <mergeCell ref="E92:E93"/>
    <mergeCell ref="A90:A91"/>
    <mergeCell ref="B90:B91"/>
    <mergeCell ref="C90:C91"/>
    <mergeCell ref="E90:E91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EBD76036-8979-4386-8C7B-640AE4E113AE}"/>
    <dataValidation imeMode="on" allowBlank="1" showInputMessage="1" showErrorMessage="1" sqref="C24 C72 C48 C96" xr:uid="{71BFC0B7-0726-4084-A92D-623F80712A96}"/>
    <dataValidation type="list" imeMode="on" allowBlank="1" showInputMessage="1" sqref="C4:C23 C28:C47 C52:C71 C76:C95" xr:uid="{B023060C-1690-4411-AF67-A2BFAF14C036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9ED6-9102-4347-AD77-6ABB46D40FDC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A84:A85"/>
    <mergeCell ref="E86:E87"/>
    <mergeCell ref="A82:A83"/>
    <mergeCell ref="B82:B83"/>
    <mergeCell ref="C82:C83"/>
    <mergeCell ref="E82:E83"/>
    <mergeCell ref="Q94:Q95"/>
    <mergeCell ref="R94:R95"/>
    <mergeCell ref="O94:O95"/>
    <mergeCell ref="P94:P95"/>
    <mergeCell ref="Q92:Q93"/>
    <mergeCell ref="R92:R93"/>
    <mergeCell ref="O92:O93"/>
    <mergeCell ref="P92:P93"/>
    <mergeCell ref="K92:K93"/>
    <mergeCell ref="M92:M93"/>
    <mergeCell ref="M94:M95"/>
    <mergeCell ref="A94:A95"/>
    <mergeCell ref="B94:B95"/>
    <mergeCell ref="C94:C95"/>
    <mergeCell ref="E94:E95"/>
    <mergeCell ref="G92:G93"/>
    <mergeCell ref="I92:I93"/>
    <mergeCell ref="K94:K95"/>
    <mergeCell ref="A92:A93"/>
    <mergeCell ref="A86:A87"/>
    <mergeCell ref="G94:G95"/>
    <mergeCell ref="I94:I95"/>
    <mergeCell ref="B92:B93"/>
    <mergeCell ref="I90:I91"/>
    <mergeCell ref="G90:G91"/>
    <mergeCell ref="C92:C93"/>
    <mergeCell ref="E92:E93"/>
    <mergeCell ref="E90:E91"/>
    <mergeCell ref="B90:B91"/>
    <mergeCell ref="C90:C91"/>
    <mergeCell ref="B86:B87"/>
    <mergeCell ref="A88:A89"/>
    <mergeCell ref="B88:B89"/>
    <mergeCell ref="C88:C89"/>
    <mergeCell ref="A90:A91"/>
    <mergeCell ref="R82:R83"/>
    <mergeCell ref="A78:A79"/>
    <mergeCell ref="B78:B79"/>
    <mergeCell ref="C78:C79"/>
    <mergeCell ref="E78:E79"/>
    <mergeCell ref="E88:E89"/>
    <mergeCell ref="O82:O83"/>
    <mergeCell ref="K82:K83"/>
    <mergeCell ref="G88:G89"/>
    <mergeCell ref="I88:I89"/>
    <mergeCell ref="K88:K89"/>
    <mergeCell ref="K78:K79"/>
    <mergeCell ref="M86:M87"/>
    <mergeCell ref="P80:P81"/>
    <mergeCell ref="P82:P83"/>
    <mergeCell ref="P84:P85"/>
    <mergeCell ref="M84:M85"/>
    <mergeCell ref="Q86:Q87"/>
    <mergeCell ref="Q82:Q83"/>
    <mergeCell ref="Q78:Q79"/>
    <mergeCell ref="C86:C87"/>
    <mergeCell ref="O86:O87"/>
    <mergeCell ref="B84:B85"/>
    <mergeCell ref="C84:C85"/>
    <mergeCell ref="A76:A77"/>
    <mergeCell ref="B76:B77"/>
    <mergeCell ref="C76:C77"/>
    <mergeCell ref="E76:E77"/>
    <mergeCell ref="M76:M77"/>
    <mergeCell ref="M74:M75"/>
    <mergeCell ref="O74:O75"/>
    <mergeCell ref="P74:P75"/>
    <mergeCell ref="O76:O77"/>
    <mergeCell ref="A62:A63"/>
    <mergeCell ref="B62:B63"/>
    <mergeCell ref="C62:C63"/>
    <mergeCell ref="E62:E63"/>
    <mergeCell ref="C58:C59"/>
    <mergeCell ref="G58:G59"/>
    <mergeCell ref="A60:A61"/>
    <mergeCell ref="B60:B61"/>
    <mergeCell ref="C60:C61"/>
    <mergeCell ref="A49:R49"/>
    <mergeCell ref="A70:A71"/>
    <mergeCell ref="B70:B71"/>
    <mergeCell ref="C70:C71"/>
    <mergeCell ref="E70:E71"/>
    <mergeCell ref="I46:I47"/>
    <mergeCell ref="O54:O55"/>
    <mergeCell ref="O62:O63"/>
    <mergeCell ref="C68:C69"/>
    <mergeCell ref="P66:P67"/>
    <mergeCell ref="R68:R69"/>
    <mergeCell ref="G70:G71"/>
    <mergeCell ref="I70:I71"/>
    <mergeCell ref="K70:K71"/>
    <mergeCell ref="Q68:Q69"/>
    <mergeCell ref="O70:O71"/>
    <mergeCell ref="P70:P71"/>
    <mergeCell ref="A66:A67"/>
    <mergeCell ref="B66:B67"/>
    <mergeCell ref="I66:I67"/>
    <mergeCell ref="E66:E67"/>
    <mergeCell ref="G66:G67"/>
    <mergeCell ref="A64:A65"/>
    <mergeCell ref="K46:K47"/>
    <mergeCell ref="A42:A43"/>
    <mergeCell ref="B42:B43"/>
    <mergeCell ref="E64:E65"/>
    <mergeCell ref="G64:G65"/>
    <mergeCell ref="G62:G63"/>
    <mergeCell ref="E60:E61"/>
    <mergeCell ref="G60:G61"/>
    <mergeCell ref="Q70:Q71"/>
    <mergeCell ref="M70:M71"/>
    <mergeCell ref="I68:I69"/>
    <mergeCell ref="B68:B69"/>
    <mergeCell ref="K64:K65"/>
    <mergeCell ref="I64:I65"/>
    <mergeCell ref="K68:K69"/>
    <mergeCell ref="K66:K67"/>
    <mergeCell ref="C64:C65"/>
    <mergeCell ref="B64:B65"/>
    <mergeCell ref="G68:G69"/>
    <mergeCell ref="C66:C67"/>
    <mergeCell ref="I62:I63"/>
    <mergeCell ref="I60:I61"/>
    <mergeCell ref="K62:K63"/>
    <mergeCell ref="K60:K61"/>
    <mergeCell ref="M68:M69"/>
    <mergeCell ref="R44:R45"/>
    <mergeCell ref="A46:A47"/>
    <mergeCell ref="B46:B47"/>
    <mergeCell ref="C46:C47"/>
    <mergeCell ref="E46:E47"/>
    <mergeCell ref="I44:I45"/>
    <mergeCell ref="K44:K45"/>
    <mergeCell ref="M44:M45"/>
    <mergeCell ref="O44:O45"/>
    <mergeCell ref="P44:P45"/>
    <mergeCell ref="M46:M47"/>
    <mergeCell ref="G46:G47"/>
    <mergeCell ref="A44:A45"/>
    <mergeCell ref="B44:B45"/>
    <mergeCell ref="C44:C45"/>
    <mergeCell ref="E44:E45"/>
    <mergeCell ref="P46:P47"/>
    <mergeCell ref="Q46:Q47"/>
    <mergeCell ref="O46:O47"/>
    <mergeCell ref="R46:R47"/>
    <mergeCell ref="Q44:Q45"/>
    <mergeCell ref="C42:C43"/>
    <mergeCell ref="E42:E43"/>
    <mergeCell ref="K42:K43"/>
    <mergeCell ref="M42:M43"/>
    <mergeCell ref="G42:G43"/>
    <mergeCell ref="I42:I43"/>
    <mergeCell ref="G44:G45"/>
    <mergeCell ref="K38:K39"/>
    <mergeCell ref="I38:I39"/>
    <mergeCell ref="I40:I41"/>
    <mergeCell ref="K40:K41"/>
    <mergeCell ref="M38:M39"/>
    <mergeCell ref="M40:M41"/>
    <mergeCell ref="A36:A37"/>
    <mergeCell ref="B36:B37"/>
    <mergeCell ref="C36:C37"/>
    <mergeCell ref="E36:E37"/>
    <mergeCell ref="A40:A41"/>
    <mergeCell ref="B40:B41"/>
    <mergeCell ref="C40:C41"/>
    <mergeCell ref="G36:G37"/>
    <mergeCell ref="A38:A39"/>
    <mergeCell ref="B38:B39"/>
    <mergeCell ref="E40:E41"/>
    <mergeCell ref="G40:G41"/>
    <mergeCell ref="G38:G39"/>
    <mergeCell ref="C38:C39"/>
    <mergeCell ref="E38:E39"/>
    <mergeCell ref="A30:A31"/>
    <mergeCell ref="B30:B31"/>
    <mergeCell ref="C30:C31"/>
    <mergeCell ref="E30:E31"/>
    <mergeCell ref="A28:A29"/>
    <mergeCell ref="B28:B29"/>
    <mergeCell ref="C28:C29"/>
    <mergeCell ref="E34:E35"/>
    <mergeCell ref="A32:A33"/>
    <mergeCell ref="B32:B33"/>
    <mergeCell ref="A34:A35"/>
    <mergeCell ref="B34:B35"/>
    <mergeCell ref="R28:R29"/>
    <mergeCell ref="I36:I37"/>
    <mergeCell ref="Q26:Q27"/>
    <mergeCell ref="O34:O35"/>
    <mergeCell ref="M34:M35"/>
    <mergeCell ref="M32:M33"/>
    <mergeCell ref="O32:O33"/>
    <mergeCell ref="G34:G35"/>
    <mergeCell ref="Q30:Q31"/>
    <mergeCell ref="R30:R31"/>
    <mergeCell ref="K32:K33"/>
    <mergeCell ref="K36:K37"/>
    <mergeCell ref="I30:I31"/>
    <mergeCell ref="K30:K31"/>
    <mergeCell ref="O28:O29"/>
    <mergeCell ref="M30:M31"/>
    <mergeCell ref="M28:M29"/>
    <mergeCell ref="G30:G31"/>
    <mergeCell ref="I26:I27"/>
    <mergeCell ref="M26:M27"/>
    <mergeCell ref="G28:G29"/>
    <mergeCell ref="I28:I29"/>
    <mergeCell ref="K26:K27"/>
    <mergeCell ref="R34:R35"/>
    <mergeCell ref="C80:C81"/>
    <mergeCell ref="Q88:Q89"/>
    <mergeCell ref="I82:I83"/>
    <mergeCell ref="E84:E85"/>
    <mergeCell ref="G82:G83"/>
    <mergeCell ref="M78:M79"/>
    <mergeCell ref="O88:O89"/>
    <mergeCell ref="P88:P89"/>
    <mergeCell ref="M88:M89"/>
    <mergeCell ref="M82:M83"/>
    <mergeCell ref="O84:O85"/>
    <mergeCell ref="R90:R91"/>
    <mergeCell ref="K90:K91"/>
    <mergeCell ref="P90:P91"/>
    <mergeCell ref="O90:O91"/>
    <mergeCell ref="G84:G85"/>
    <mergeCell ref="I84:I85"/>
    <mergeCell ref="K84:K85"/>
    <mergeCell ref="Q84:Q85"/>
    <mergeCell ref="R84:R85"/>
    <mergeCell ref="G86:G87"/>
    <mergeCell ref="I86:I87"/>
    <mergeCell ref="K86:K87"/>
    <mergeCell ref="R86:R87"/>
    <mergeCell ref="R88:R89"/>
    <mergeCell ref="P86:P87"/>
    <mergeCell ref="M90:M91"/>
    <mergeCell ref="Q90:Q91"/>
    <mergeCell ref="A80:A81"/>
    <mergeCell ref="B80:B81"/>
    <mergeCell ref="E80:E81"/>
    <mergeCell ref="G74:G75"/>
    <mergeCell ref="I74:I75"/>
    <mergeCell ref="R78:R79"/>
    <mergeCell ref="Q80:Q81"/>
    <mergeCell ref="R80:R81"/>
    <mergeCell ref="Q76:Q77"/>
    <mergeCell ref="R76:R77"/>
    <mergeCell ref="P76:P77"/>
    <mergeCell ref="G80:G81"/>
    <mergeCell ref="I80:I81"/>
    <mergeCell ref="K80:K81"/>
    <mergeCell ref="K74:K75"/>
    <mergeCell ref="G78:G79"/>
    <mergeCell ref="I78:I79"/>
    <mergeCell ref="G76:G77"/>
    <mergeCell ref="I76:I77"/>
    <mergeCell ref="K76:K77"/>
    <mergeCell ref="O78:O79"/>
    <mergeCell ref="P78:P79"/>
    <mergeCell ref="O80:O81"/>
    <mergeCell ref="M80:M81"/>
    <mergeCell ref="A73:R73"/>
    <mergeCell ref="A74:A75"/>
    <mergeCell ref="B74:B75"/>
    <mergeCell ref="A68:A69"/>
    <mergeCell ref="E68:E69"/>
    <mergeCell ref="R70:R71"/>
    <mergeCell ref="P68:P69"/>
    <mergeCell ref="Q74:Q75"/>
    <mergeCell ref="O68:O69"/>
    <mergeCell ref="C74:C75"/>
    <mergeCell ref="E74:E75"/>
    <mergeCell ref="R74:R75"/>
    <mergeCell ref="P60:P61"/>
    <mergeCell ref="R66:R67"/>
    <mergeCell ref="M64:M65"/>
    <mergeCell ref="O64:O65"/>
    <mergeCell ref="R62:R63"/>
    <mergeCell ref="M62:M63"/>
    <mergeCell ref="P62:P63"/>
    <mergeCell ref="Q66:Q67"/>
    <mergeCell ref="P64:P65"/>
    <mergeCell ref="Q64:Q65"/>
    <mergeCell ref="O60:O61"/>
    <mergeCell ref="R64:R65"/>
    <mergeCell ref="Q62:Q63"/>
    <mergeCell ref="R60:R61"/>
    <mergeCell ref="Q60:Q61"/>
    <mergeCell ref="M60:M61"/>
    <mergeCell ref="M66:M67"/>
    <mergeCell ref="O66:O67"/>
    <mergeCell ref="A58:A59"/>
    <mergeCell ref="R58:R59"/>
    <mergeCell ref="C54:C55"/>
    <mergeCell ref="B54:B55"/>
    <mergeCell ref="A56:A57"/>
    <mergeCell ref="B56:B57"/>
    <mergeCell ref="A54:A55"/>
    <mergeCell ref="E56:E57"/>
    <mergeCell ref="E58:E59"/>
    <mergeCell ref="E54:E55"/>
    <mergeCell ref="I54:I55"/>
    <mergeCell ref="O58:O59"/>
    <mergeCell ref="C56:C57"/>
    <mergeCell ref="Q58:Q59"/>
    <mergeCell ref="K58:K59"/>
    <mergeCell ref="I58:I59"/>
    <mergeCell ref="B58:B59"/>
    <mergeCell ref="R54:R55"/>
    <mergeCell ref="G56:G57"/>
    <mergeCell ref="K56:K57"/>
    <mergeCell ref="M54:M55"/>
    <mergeCell ref="P56:P57"/>
    <mergeCell ref="K54:K55"/>
    <mergeCell ref="Q56:Q57"/>
    <mergeCell ref="R56:R57"/>
    <mergeCell ref="Q54:Q55"/>
    <mergeCell ref="P50:P51"/>
    <mergeCell ref="E50:E51"/>
    <mergeCell ref="C52:C53"/>
    <mergeCell ref="P58:P59"/>
    <mergeCell ref="M58:M59"/>
    <mergeCell ref="I56:I57"/>
    <mergeCell ref="O56:O57"/>
    <mergeCell ref="M56:M57"/>
    <mergeCell ref="K52:K53"/>
    <mergeCell ref="P54:P55"/>
    <mergeCell ref="I50:I51"/>
    <mergeCell ref="E52:E53"/>
    <mergeCell ref="G52:G53"/>
    <mergeCell ref="K50:K51"/>
    <mergeCell ref="P52:P53"/>
    <mergeCell ref="M52:M53"/>
    <mergeCell ref="I52:I53"/>
    <mergeCell ref="G54:G55"/>
    <mergeCell ref="M50:M51"/>
    <mergeCell ref="O50:O51"/>
    <mergeCell ref="R50:R51"/>
    <mergeCell ref="Q50:Q51"/>
    <mergeCell ref="A52:A53"/>
    <mergeCell ref="A50:A51"/>
    <mergeCell ref="B50:B51"/>
    <mergeCell ref="C50:C51"/>
    <mergeCell ref="B52:B53"/>
    <mergeCell ref="G50:G51"/>
    <mergeCell ref="R52:R53"/>
    <mergeCell ref="Q52:Q53"/>
    <mergeCell ref="O52:O53"/>
    <mergeCell ref="A25:R25"/>
    <mergeCell ref="A26:A27"/>
    <mergeCell ref="B26:B27"/>
    <mergeCell ref="C26:C27"/>
    <mergeCell ref="G26:G27"/>
    <mergeCell ref="R22:R23"/>
    <mergeCell ref="C22:C23"/>
    <mergeCell ref="A22:A23"/>
    <mergeCell ref="R26:R27"/>
    <mergeCell ref="I22:I23"/>
    <mergeCell ref="O22:O23"/>
    <mergeCell ref="E22:E23"/>
    <mergeCell ref="G22:G23"/>
    <mergeCell ref="M22:M23"/>
    <mergeCell ref="K22:K23"/>
    <mergeCell ref="P18:P19"/>
    <mergeCell ref="M18:M19"/>
    <mergeCell ref="E20:E21"/>
    <mergeCell ref="Q22:Q23"/>
    <mergeCell ref="P22:P23"/>
    <mergeCell ref="A18:A19"/>
    <mergeCell ref="M20:M21"/>
    <mergeCell ref="A20:A21"/>
    <mergeCell ref="B20:B21"/>
    <mergeCell ref="C20:C21"/>
    <mergeCell ref="B18:B19"/>
    <mergeCell ref="G18:G19"/>
    <mergeCell ref="I18:I19"/>
    <mergeCell ref="C18:C19"/>
    <mergeCell ref="B22:B23"/>
    <mergeCell ref="O20:O21"/>
    <mergeCell ref="A14:A15"/>
    <mergeCell ref="A16:A17"/>
    <mergeCell ref="G20:G21"/>
    <mergeCell ref="E18:E19"/>
    <mergeCell ref="B16:B17"/>
    <mergeCell ref="I14:I15"/>
    <mergeCell ref="M14:M15"/>
    <mergeCell ref="K14:K15"/>
    <mergeCell ref="I20:I21"/>
    <mergeCell ref="K20:K21"/>
    <mergeCell ref="I16:I17"/>
    <mergeCell ref="K16:K17"/>
    <mergeCell ref="K18:K19"/>
    <mergeCell ref="G16:G17"/>
    <mergeCell ref="O18:O19"/>
    <mergeCell ref="C16:C17"/>
    <mergeCell ref="B14:B15"/>
    <mergeCell ref="C14:C15"/>
    <mergeCell ref="E14:E15"/>
    <mergeCell ref="E16:E17"/>
    <mergeCell ref="G14:G15"/>
    <mergeCell ref="A12:A13"/>
    <mergeCell ref="B12:B13"/>
    <mergeCell ref="A8:A9"/>
    <mergeCell ref="B8:B9"/>
    <mergeCell ref="I8:I9"/>
    <mergeCell ref="A10:A11"/>
    <mergeCell ref="B10:B11"/>
    <mergeCell ref="M16:M17"/>
    <mergeCell ref="M12:M13"/>
    <mergeCell ref="C10:C11"/>
    <mergeCell ref="K10:K11"/>
    <mergeCell ref="C8:C9"/>
    <mergeCell ref="E10:E11"/>
    <mergeCell ref="G10:G11"/>
    <mergeCell ref="I10:I11"/>
    <mergeCell ref="K12:K13"/>
    <mergeCell ref="I12:I13"/>
    <mergeCell ref="M8:M9"/>
    <mergeCell ref="K8:K9"/>
    <mergeCell ref="E8:E9"/>
    <mergeCell ref="G12:G13"/>
    <mergeCell ref="E12:E13"/>
    <mergeCell ref="G8:G9"/>
    <mergeCell ref="M10:M11"/>
    <mergeCell ref="C12:C13"/>
    <mergeCell ref="G6:G7"/>
    <mergeCell ref="A4:A5"/>
    <mergeCell ref="A6:A7"/>
    <mergeCell ref="B4:B5"/>
    <mergeCell ref="E4:E5"/>
    <mergeCell ref="C4:C5"/>
    <mergeCell ref="E6:E7"/>
    <mergeCell ref="B6:B7"/>
    <mergeCell ref="C6:C7"/>
    <mergeCell ref="G4:G5"/>
    <mergeCell ref="R16:R17"/>
    <mergeCell ref="P14:P15"/>
    <mergeCell ref="R10:R11"/>
    <mergeCell ref="Q14:Q15"/>
    <mergeCell ref="O6:O7"/>
    <mergeCell ref="P10:P11"/>
    <mergeCell ref="O10:O11"/>
    <mergeCell ref="R8:R9"/>
    <mergeCell ref="Q10:Q11"/>
    <mergeCell ref="O14:O15"/>
    <mergeCell ref="O16:O17"/>
    <mergeCell ref="R12:R13"/>
    <mergeCell ref="O12:O13"/>
    <mergeCell ref="O8:O9"/>
    <mergeCell ref="K2:K3"/>
    <mergeCell ref="M2:M3"/>
    <mergeCell ref="K4:K5"/>
    <mergeCell ref="I2:I3"/>
    <mergeCell ref="I4:I5"/>
    <mergeCell ref="M6:M7"/>
    <mergeCell ref="K6:K7"/>
    <mergeCell ref="M4:M5"/>
    <mergeCell ref="R2:R3"/>
    <mergeCell ref="O4:O5"/>
    <mergeCell ref="I6:I7"/>
    <mergeCell ref="A1:R1"/>
    <mergeCell ref="A2:A3"/>
    <mergeCell ref="E2:E3"/>
    <mergeCell ref="B2:B3"/>
    <mergeCell ref="G2:G3"/>
    <mergeCell ref="Q4:Q5"/>
    <mergeCell ref="Q18:Q19"/>
    <mergeCell ref="Q16:Q17"/>
    <mergeCell ref="P16:P17"/>
    <mergeCell ref="Q6:Q7"/>
    <mergeCell ref="P6:P7"/>
    <mergeCell ref="P12:P13"/>
    <mergeCell ref="P8:P9"/>
    <mergeCell ref="Q12:Q13"/>
    <mergeCell ref="Q8:Q9"/>
    <mergeCell ref="C2:C3"/>
    <mergeCell ref="O2:O3"/>
    <mergeCell ref="Q2:Q3"/>
    <mergeCell ref="P2:P3"/>
    <mergeCell ref="P4:P5"/>
    <mergeCell ref="R4:R5"/>
    <mergeCell ref="R18:R19"/>
    <mergeCell ref="R14:R15"/>
    <mergeCell ref="R6:R7"/>
    <mergeCell ref="R20:R21"/>
    <mergeCell ref="Q20:Q21"/>
    <mergeCell ref="Q28:Q29"/>
    <mergeCell ref="Q32:Q33"/>
    <mergeCell ref="R32:R33"/>
    <mergeCell ref="Q34:Q35"/>
    <mergeCell ref="P32:P33"/>
    <mergeCell ref="K34:K35"/>
    <mergeCell ref="C34:C35"/>
    <mergeCell ref="P34:P35"/>
    <mergeCell ref="E32:E33"/>
    <mergeCell ref="G32:G33"/>
    <mergeCell ref="I32:I33"/>
    <mergeCell ref="I34:I35"/>
    <mergeCell ref="C32:C33"/>
    <mergeCell ref="P20:P21"/>
    <mergeCell ref="E26:E27"/>
    <mergeCell ref="K28:K29"/>
    <mergeCell ref="P26:P27"/>
    <mergeCell ref="O30:O31"/>
    <mergeCell ref="P30:P31"/>
    <mergeCell ref="P28:P29"/>
    <mergeCell ref="O26:O27"/>
    <mergeCell ref="E28:E29"/>
    <mergeCell ref="P42:P43"/>
    <mergeCell ref="O40:O41"/>
    <mergeCell ref="P40:P41"/>
    <mergeCell ref="Q40:Q41"/>
    <mergeCell ref="R42:R43"/>
    <mergeCell ref="O42:O43"/>
    <mergeCell ref="Q42:Q43"/>
    <mergeCell ref="R38:R39"/>
    <mergeCell ref="M36:M37"/>
    <mergeCell ref="O38:O39"/>
    <mergeCell ref="P38:P39"/>
    <mergeCell ref="Q38:Q39"/>
    <mergeCell ref="O36:O37"/>
    <mergeCell ref="P36:P37"/>
    <mergeCell ref="Q36:Q37"/>
    <mergeCell ref="R36:R37"/>
    <mergeCell ref="R40:R41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DB00317D-8B4E-43AC-989E-FD48F36D07F3}"/>
    <dataValidation imeMode="on" allowBlank="1" showInputMessage="1" showErrorMessage="1" sqref="C24 C72 C48 C96" xr:uid="{F9D21C3E-FD95-412F-B3B9-1AC783E6AADC}"/>
    <dataValidation type="list" imeMode="on" allowBlank="1" showInputMessage="1" sqref="C4:C23 C28:C47 C52:C71 C76:C95" xr:uid="{EF0940A9-B284-4860-B7A6-A3570E05DF6D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01C4-E8DA-49B0-9D94-54B09DD5DCF1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A94:A95"/>
    <mergeCell ref="B94:B95"/>
    <mergeCell ref="C94:C95"/>
    <mergeCell ref="E94:E95"/>
    <mergeCell ref="K92:K93"/>
    <mergeCell ref="M92:M93"/>
    <mergeCell ref="G92:G93"/>
    <mergeCell ref="I92:I93"/>
    <mergeCell ref="G94:G95"/>
    <mergeCell ref="I94:I95"/>
    <mergeCell ref="A92:A93"/>
    <mergeCell ref="B92:B93"/>
    <mergeCell ref="C92:C93"/>
    <mergeCell ref="E92:E93"/>
    <mergeCell ref="Q94:Q95"/>
    <mergeCell ref="R94:R95"/>
    <mergeCell ref="K94:K95"/>
    <mergeCell ref="M94:M95"/>
    <mergeCell ref="O94:O95"/>
    <mergeCell ref="P94:P95"/>
    <mergeCell ref="Q92:Q93"/>
    <mergeCell ref="R92:R93"/>
    <mergeCell ref="O92:O93"/>
    <mergeCell ref="P92:P93"/>
    <mergeCell ref="R90:R91"/>
    <mergeCell ref="O90:O91"/>
    <mergeCell ref="P90:P91"/>
    <mergeCell ref="Q88:Q89"/>
    <mergeCell ref="E84:E85"/>
    <mergeCell ref="K82:K83"/>
    <mergeCell ref="R84:R85"/>
    <mergeCell ref="R82:R83"/>
    <mergeCell ref="P82:P83"/>
    <mergeCell ref="R88:R89"/>
    <mergeCell ref="Q90:Q91"/>
    <mergeCell ref="O86:O87"/>
    <mergeCell ref="P86:P87"/>
    <mergeCell ref="I86:I87"/>
    <mergeCell ref="O88:O89"/>
    <mergeCell ref="P88:P89"/>
    <mergeCell ref="Q86:Q87"/>
    <mergeCell ref="K86:K87"/>
    <mergeCell ref="M86:M87"/>
    <mergeCell ref="G86:G87"/>
    <mergeCell ref="R86:R87"/>
    <mergeCell ref="K88:K89"/>
    <mergeCell ref="K90:K91"/>
    <mergeCell ref="M90:M91"/>
    <mergeCell ref="A76:A77"/>
    <mergeCell ref="B76:B77"/>
    <mergeCell ref="C76:C77"/>
    <mergeCell ref="E76:E77"/>
    <mergeCell ref="P84:P85"/>
    <mergeCell ref="A78:A79"/>
    <mergeCell ref="Q76:Q77"/>
    <mergeCell ref="K78:K79"/>
    <mergeCell ref="M78:M79"/>
    <mergeCell ref="A80:A81"/>
    <mergeCell ref="A82:A83"/>
    <mergeCell ref="B82:B83"/>
    <mergeCell ref="M84:M85"/>
    <mergeCell ref="O82:O83"/>
    <mergeCell ref="O84:O85"/>
    <mergeCell ref="Q84:Q85"/>
    <mergeCell ref="M82:M83"/>
    <mergeCell ref="A84:A85"/>
    <mergeCell ref="I84:I85"/>
    <mergeCell ref="C84:C85"/>
    <mergeCell ref="Q78:Q79"/>
    <mergeCell ref="K84:K85"/>
    <mergeCell ref="M80:M81"/>
    <mergeCell ref="Q82:Q83"/>
    <mergeCell ref="A74:A75"/>
    <mergeCell ref="B74:B75"/>
    <mergeCell ref="Q74:Q75"/>
    <mergeCell ref="P74:P75"/>
    <mergeCell ref="M74:M75"/>
    <mergeCell ref="G74:G75"/>
    <mergeCell ref="A70:A71"/>
    <mergeCell ref="B70:B71"/>
    <mergeCell ref="C70:C71"/>
    <mergeCell ref="E70:E71"/>
    <mergeCell ref="K70:K71"/>
    <mergeCell ref="O70:O71"/>
    <mergeCell ref="O74:O75"/>
    <mergeCell ref="C74:C75"/>
    <mergeCell ref="K74:K75"/>
    <mergeCell ref="P70:P71"/>
    <mergeCell ref="Q70:Q71"/>
    <mergeCell ref="A50:A51"/>
    <mergeCell ref="R74:R75"/>
    <mergeCell ref="Q46:Q47"/>
    <mergeCell ref="A73:R73"/>
    <mergeCell ref="E46:E47"/>
    <mergeCell ref="G46:G47"/>
    <mergeCell ref="M70:M71"/>
    <mergeCell ref="P44:P45"/>
    <mergeCell ref="Q44:Q45"/>
    <mergeCell ref="R56:R57"/>
    <mergeCell ref="R46:R47"/>
    <mergeCell ref="A49:R49"/>
    <mergeCell ref="M46:M47"/>
    <mergeCell ref="O46:O47"/>
    <mergeCell ref="A46:A47"/>
    <mergeCell ref="B46:B47"/>
    <mergeCell ref="C46:C47"/>
    <mergeCell ref="B44:B45"/>
    <mergeCell ref="C44:C45"/>
    <mergeCell ref="K44:K45"/>
    <mergeCell ref="I50:I51"/>
    <mergeCell ref="I56:I57"/>
    <mergeCell ref="I52:I53"/>
    <mergeCell ref="I54:I55"/>
    <mergeCell ref="B36:B37"/>
    <mergeCell ref="K46:K47"/>
    <mergeCell ref="K56:K57"/>
    <mergeCell ref="G44:G45"/>
    <mergeCell ref="I44:I45"/>
    <mergeCell ref="R44:R45"/>
    <mergeCell ref="M44:M45"/>
    <mergeCell ref="A42:A43"/>
    <mergeCell ref="O44:O45"/>
    <mergeCell ref="O42:O43"/>
    <mergeCell ref="P42:P43"/>
    <mergeCell ref="R42:R43"/>
    <mergeCell ref="A44:A45"/>
    <mergeCell ref="O54:O55"/>
    <mergeCell ref="E56:E57"/>
    <mergeCell ref="G54:G55"/>
    <mergeCell ref="C56:C57"/>
    <mergeCell ref="B54:B55"/>
    <mergeCell ref="A56:A57"/>
    <mergeCell ref="B50:B51"/>
    <mergeCell ref="R50:R51"/>
    <mergeCell ref="Q50:Q51"/>
    <mergeCell ref="P50:P51"/>
    <mergeCell ref="O50:O51"/>
    <mergeCell ref="P46:P47"/>
    <mergeCell ref="B42:B43"/>
    <mergeCell ref="C42:C43"/>
    <mergeCell ref="E42:E43"/>
    <mergeCell ref="K42:K43"/>
    <mergeCell ref="E44:E45"/>
    <mergeCell ref="P38:P39"/>
    <mergeCell ref="G42:G43"/>
    <mergeCell ref="I42:I43"/>
    <mergeCell ref="M42:M43"/>
    <mergeCell ref="G38:G39"/>
    <mergeCell ref="M38:M39"/>
    <mergeCell ref="I38:I39"/>
    <mergeCell ref="O40:O41"/>
    <mergeCell ref="M40:M41"/>
    <mergeCell ref="O38:O39"/>
    <mergeCell ref="I46:I47"/>
    <mergeCell ref="B40:B41"/>
    <mergeCell ref="G40:G41"/>
    <mergeCell ref="E38:E39"/>
    <mergeCell ref="O30:O31"/>
    <mergeCell ref="P30:P31"/>
    <mergeCell ref="Q30:Q31"/>
    <mergeCell ref="R30:R31"/>
    <mergeCell ref="P32:P33"/>
    <mergeCell ref="M28:M29"/>
    <mergeCell ref="Q28:Q29"/>
    <mergeCell ref="C34:C35"/>
    <mergeCell ref="E34:E35"/>
    <mergeCell ref="G34:G35"/>
    <mergeCell ref="C32:C33"/>
    <mergeCell ref="R28:R29"/>
    <mergeCell ref="O28:O29"/>
    <mergeCell ref="P28:P29"/>
    <mergeCell ref="B80:B81"/>
    <mergeCell ref="C80:C81"/>
    <mergeCell ref="E80:E81"/>
    <mergeCell ref="I74:I75"/>
    <mergeCell ref="B86:B87"/>
    <mergeCell ref="C86:C87"/>
    <mergeCell ref="B84:B85"/>
    <mergeCell ref="G84:G85"/>
    <mergeCell ref="C90:C91"/>
    <mergeCell ref="E90:E91"/>
    <mergeCell ref="G90:G91"/>
    <mergeCell ref="I88:I89"/>
    <mergeCell ref="E88:E89"/>
    <mergeCell ref="C88:C89"/>
    <mergeCell ref="G88:G89"/>
    <mergeCell ref="G76:G77"/>
    <mergeCell ref="I76:I77"/>
    <mergeCell ref="I82:I83"/>
    <mergeCell ref="A90:A91"/>
    <mergeCell ref="B90:B91"/>
    <mergeCell ref="M88:M89"/>
    <mergeCell ref="A34:A35"/>
    <mergeCell ref="B34:B35"/>
    <mergeCell ref="A36:A37"/>
    <mergeCell ref="C36:C37"/>
    <mergeCell ref="C40:C41"/>
    <mergeCell ref="E40:E41"/>
    <mergeCell ref="A40:A41"/>
    <mergeCell ref="C38:C39"/>
    <mergeCell ref="A38:A39"/>
    <mergeCell ref="B38:B39"/>
    <mergeCell ref="E86:E87"/>
    <mergeCell ref="A88:A89"/>
    <mergeCell ref="B88:B89"/>
    <mergeCell ref="A86:A87"/>
    <mergeCell ref="M76:M77"/>
    <mergeCell ref="G78:G79"/>
    <mergeCell ref="B78:B79"/>
    <mergeCell ref="C78:C79"/>
    <mergeCell ref="E78:E79"/>
    <mergeCell ref="E74:E75"/>
    <mergeCell ref="I90:I91"/>
    <mergeCell ref="Q80:Q81"/>
    <mergeCell ref="K76:K77"/>
    <mergeCell ref="G82:G83"/>
    <mergeCell ref="R80:R81"/>
    <mergeCell ref="C82:C83"/>
    <mergeCell ref="E82:E83"/>
    <mergeCell ref="O76:O77"/>
    <mergeCell ref="P76:P77"/>
    <mergeCell ref="O78:O79"/>
    <mergeCell ref="I78:I79"/>
    <mergeCell ref="P78:P79"/>
    <mergeCell ref="R78:R79"/>
    <mergeCell ref="R76:R77"/>
    <mergeCell ref="O80:O81"/>
    <mergeCell ref="P80:P81"/>
    <mergeCell ref="G80:G81"/>
    <mergeCell ref="I80:I81"/>
    <mergeCell ref="K80:K81"/>
    <mergeCell ref="R70:R71"/>
    <mergeCell ref="P68:P69"/>
    <mergeCell ref="G68:G69"/>
    <mergeCell ref="M68:M69"/>
    <mergeCell ref="K68:K69"/>
    <mergeCell ref="Q68:Q69"/>
    <mergeCell ref="G70:G71"/>
    <mergeCell ref="I70:I71"/>
    <mergeCell ref="A64:A65"/>
    <mergeCell ref="B64:B65"/>
    <mergeCell ref="O68:O69"/>
    <mergeCell ref="R68:R69"/>
    <mergeCell ref="I68:I69"/>
    <mergeCell ref="K66:K67"/>
    <mergeCell ref="O66:O67"/>
    <mergeCell ref="P66:P67"/>
    <mergeCell ref="R66:R67"/>
    <mergeCell ref="M66:M67"/>
    <mergeCell ref="A68:A69"/>
    <mergeCell ref="B68:B69"/>
    <mergeCell ref="C68:C69"/>
    <mergeCell ref="E68:E69"/>
    <mergeCell ref="A66:A67"/>
    <mergeCell ref="B66:B67"/>
    <mergeCell ref="R64:R65"/>
    <mergeCell ref="E66:E67"/>
    <mergeCell ref="C66:C67"/>
    <mergeCell ref="G66:G67"/>
    <mergeCell ref="Q66:Q67"/>
    <mergeCell ref="E62:E63"/>
    <mergeCell ref="K62:K63"/>
    <mergeCell ref="C64:C65"/>
    <mergeCell ref="I66:I67"/>
    <mergeCell ref="I64:I65"/>
    <mergeCell ref="P62:P63"/>
    <mergeCell ref="K64:K65"/>
    <mergeCell ref="P64:P65"/>
    <mergeCell ref="M64:M65"/>
    <mergeCell ref="O64:O65"/>
    <mergeCell ref="Q64:Q65"/>
    <mergeCell ref="P60:P61"/>
    <mergeCell ref="M62:M63"/>
    <mergeCell ref="A60:A61"/>
    <mergeCell ref="E60:E61"/>
    <mergeCell ref="G64:G65"/>
    <mergeCell ref="C60:C61"/>
    <mergeCell ref="A62:A63"/>
    <mergeCell ref="B62:B63"/>
    <mergeCell ref="C62:C63"/>
    <mergeCell ref="B60:B61"/>
    <mergeCell ref="E64:E65"/>
    <mergeCell ref="G62:G63"/>
    <mergeCell ref="G60:G61"/>
    <mergeCell ref="G56:G57"/>
    <mergeCell ref="M54:M55"/>
    <mergeCell ref="K54:K55"/>
    <mergeCell ref="E54:E55"/>
    <mergeCell ref="O58:O59"/>
    <mergeCell ref="K58:K59"/>
    <mergeCell ref="K60:K61"/>
    <mergeCell ref="I62:I63"/>
    <mergeCell ref="R58:R59"/>
    <mergeCell ref="Q58:Q59"/>
    <mergeCell ref="P58:P59"/>
    <mergeCell ref="M58:M59"/>
    <mergeCell ref="O60:O61"/>
    <mergeCell ref="I60:I61"/>
    <mergeCell ref="Q62:Q63"/>
    <mergeCell ref="M60:M61"/>
    <mergeCell ref="O62:O63"/>
    <mergeCell ref="R60:R61"/>
    <mergeCell ref="Q60:Q61"/>
    <mergeCell ref="R62:R63"/>
    <mergeCell ref="A58:A59"/>
    <mergeCell ref="B58:B59"/>
    <mergeCell ref="B56:B57"/>
    <mergeCell ref="E58:E59"/>
    <mergeCell ref="R52:R53"/>
    <mergeCell ref="K52:K53"/>
    <mergeCell ref="Q52:Q53"/>
    <mergeCell ref="O52:O53"/>
    <mergeCell ref="M52:M53"/>
    <mergeCell ref="A54:A55"/>
    <mergeCell ref="P54:P55"/>
    <mergeCell ref="Q54:Q55"/>
    <mergeCell ref="R54:R55"/>
    <mergeCell ref="P52:P53"/>
    <mergeCell ref="A52:A53"/>
    <mergeCell ref="B52:B53"/>
    <mergeCell ref="C58:C59"/>
    <mergeCell ref="P56:P57"/>
    <mergeCell ref="Q56:Q57"/>
    <mergeCell ref="O56:O57"/>
    <mergeCell ref="M56:M57"/>
    <mergeCell ref="C54:C55"/>
    <mergeCell ref="G58:G59"/>
    <mergeCell ref="I58:I59"/>
    <mergeCell ref="C52:C53"/>
    <mergeCell ref="G50:G51"/>
    <mergeCell ref="K50:K51"/>
    <mergeCell ref="M50:M51"/>
    <mergeCell ref="E52:E53"/>
    <mergeCell ref="G52:G53"/>
    <mergeCell ref="E50:E51"/>
    <mergeCell ref="C50:C51"/>
    <mergeCell ref="G26:G27"/>
    <mergeCell ref="G36:G37"/>
    <mergeCell ref="I36:I37"/>
    <mergeCell ref="G30:G31"/>
    <mergeCell ref="C30:C31"/>
    <mergeCell ref="E30:E31"/>
    <mergeCell ref="C28:C29"/>
    <mergeCell ref="K28:K29"/>
    <mergeCell ref="K36:K37"/>
    <mergeCell ref="E26:E27"/>
    <mergeCell ref="K30:K31"/>
    <mergeCell ref="M30:M31"/>
    <mergeCell ref="E36:E37"/>
    <mergeCell ref="A28:A29"/>
    <mergeCell ref="G28:G29"/>
    <mergeCell ref="I28:I29"/>
    <mergeCell ref="I32:I33"/>
    <mergeCell ref="E32:E33"/>
    <mergeCell ref="G32:G33"/>
    <mergeCell ref="A30:A31"/>
    <mergeCell ref="B30:B31"/>
    <mergeCell ref="A32:A33"/>
    <mergeCell ref="B32:B33"/>
    <mergeCell ref="I30:I31"/>
    <mergeCell ref="E28:E29"/>
    <mergeCell ref="B28:B29"/>
    <mergeCell ref="A26:A27"/>
    <mergeCell ref="B26:B27"/>
    <mergeCell ref="C26:C27"/>
    <mergeCell ref="E20:E21"/>
    <mergeCell ref="I20:I21"/>
    <mergeCell ref="K20:K21"/>
    <mergeCell ref="A25:R25"/>
    <mergeCell ref="K22:K23"/>
    <mergeCell ref="M26:M27"/>
    <mergeCell ref="O26:O27"/>
    <mergeCell ref="K26:K27"/>
    <mergeCell ref="Q26:Q27"/>
    <mergeCell ref="I26:I27"/>
    <mergeCell ref="R26:R27"/>
    <mergeCell ref="P26:P27"/>
    <mergeCell ref="A22:A23"/>
    <mergeCell ref="R22:R23"/>
    <mergeCell ref="C22:C23"/>
    <mergeCell ref="I22:I23"/>
    <mergeCell ref="O22:O23"/>
    <mergeCell ref="Q22:Q23"/>
    <mergeCell ref="E22:E23"/>
    <mergeCell ref="B22:B23"/>
    <mergeCell ref="Q20:Q21"/>
    <mergeCell ref="G22:G23"/>
    <mergeCell ref="G20:G21"/>
    <mergeCell ref="M20:M21"/>
    <mergeCell ref="A20:A21"/>
    <mergeCell ref="M22:M23"/>
    <mergeCell ref="B20:B21"/>
    <mergeCell ref="C20:C21"/>
    <mergeCell ref="P22:P23"/>
    <mergeCell ref="P20:P21"/>
    <mergeCell ref="E18:E19"/>
    <mergeCell ref="B18:B19"/>
    <mergeCell ref="C18:C19"/>
    <mergeCell ref="G18:G19"/>
    <mergeCell ref="B16:B17"/>
    <mergeCell ref="C16:C17"/>
    <mergeCell ref="A18:A19"/>
    <mergeCell ref="K18:K19"/>
    <mergeCell ref="R20:R21"/>
    <mergeCell ref="O20:O21"/>
    <mergeCell ref="R18:R19"/>
    <mergeCell ref="P18:P19"/>
    <mergeCell ref="A14:A15"/>
    <mergeCell ref="G14:G15"/>
    <mergeCell ref="C14:C15"/>
    <mergeCell ref="E14:E15"/>
    <mergeCell ref="G12:G13"/>
    <mergeCell ref="B14:B15"/>
    <mergeCell ref="C12:C13"/>
    <mergeCell ref="E12:E13"/>
    <mergeCell ref="A16:A17"/>
    <mergeCell ref="E16:E17"/>
    <mergeCell ref="M12:M13"/>
    <mergeCell ref="I14:I15"/>
    <mergeCell ref="K16:K17"/>
    <mergeCell ref="O16:O17"/>
    <mergeCell ref="M16:M17"/>
    <mergeCell ref="I16:I17"/>
    <mergeCell ref="G16:G17"/>
    <mergeCell ref="A10:A11"/>
    <mergeCell ref="Q10:Q11"/>
    <mergeCell ref="O10:O11"/>
    <mergeCell ref="B10:B11"/>
    <mergeCell ref="C10:C11"/>
    <mergeCell ref="K10:K11"/>
    <mergeCell ref="I10:I11"/>
    <mergeCell ref="E10:E11"/>
    <mergeCell ref="G10:G11"/>
    <mergeCell ref="P10:P11"/>
    <mergeCell ref="P14:P15"/>
    <mergeCell ref="M14:M15"/>
    <mergeCell ref="K14:K15"/>
    <mergeCell ref="A12:A13"/>
    <mergeCell ref="B12:B13"/>
    <mergeCell ref="K12:K13"/>
    <mergeCell ref="I12:I13"/>
    <mergeCell ref="B6:B7"/>
    <mergeCell ref="I4:I5"/>
    <mergeCell ref="G6:G7"/>
    <mergeCell ref="I6:I7"/>
    <mergeCell ref="A8:A9"/>
    <mergeCell ref="B8:B9"/>
    <mergeCell ref="A4:A5"/>
    <mergeCell ref="A6:A7"/>
    <mergeCell ref="B4:B5"/>
    <mergeCell ref="G8:G9"/>
    <mergeCell ref="C6:C7"/>
    <mergeCell ref="C8:C9"/>
    <mergeCell ref="E6:E7"/>
    <mergeCell ref="E8:E9"/>
    <mergeCell ref="C4:C5"/>
    <mergeCell ref="R14:R15"/>
    <mergeCell ref="Q18:Q19"/>
    <mergeCell ref="Q16:Q17"/>
    <mergeCell ref="R16:R17"/>
    <mergeCell ref="E4:E5"/>
    <mergeCell ref="G4:G5"/>
    <mergeCell ref="M8:M9"/>
    <mergeCell ref="K8:K9"/>
    <mergeCell ref="I8:I9"/>
    <mergeCell ref="P16:P17"/>
    <mergeCell ref="Q14:Q15"/>
    <mergeCell ref="Q12:Q13"/>
    <mergeCell ref="P12:P13"/>
    <mergeCell ref="O18:O19"/>
    <mergeCell ref="O14:O15"/>
    <mergeCell ref="O12:O13"/>
    <mergeCell ref="R10:R11"/>
    <mergeCell ref="R12:R13"/>
    <mergeCell ref="R6:R7"/>
    <mergeCell ref="R4:R5"/>
    <mergeCell ref="R8:R9"/>
    <mergeCell ref="I18:I19"/>
    <mergeCell ref="M18:M19"/>
    <mergeCell ref="K6:K7"/>
    <mergeCell ref="K4:K5"/>
    <mergeCell ref="Q2:Q3"/>
    <mergeCell ref="O6:O7"/>
    <mergeCell ref="Q6:Q7"/>
    <mergeCell ref="O2:O3"/>
    <mergeCell ref="M10:M11"/>
    <mergeCell ref="Q8:Q9"/>
    <mergeCell ref="M6:M7"/>
    <mergeCell ref="O4:O5"/>
    <mergeCell ref="P4:P5"/>
    <mergeCell ref="Q4:Q5"/>
    <mergeCell ref="P6:P7"/>
    <mergeCell ref="M4:M5"/>
    <mergeCell ref="O8:O9"/>
    <mergeCell ref="P8:P9"/>
    <mergeCell ref="A1:R1"/>
    <mergeCell ref="A2:A3"/>
    <mergeCell ref="E2:E3"/>
    <mergeCell ref="B2:B3"/>
    <mergeCell ref="G2:G3"/>
    <mergeCell ref="I2:I3"/>
    <mergeCell ref="M2:M3"/>
    <mergeCell ref="R2:R3"/>
    <mergeCell ref="C2:C3"/>
    <mergeCell ref="P2:P3"/>
    <mergeCell ref="K2:K3"/>
    <mergeCell ref="I34:I35"/>
    <mergeCell ref="R36:R37"/>
    <mergeCell ref="R34:R35"/>
    <mergeCell ref="Q32:Q33"/>
    <mergeCell ref="Q34:Q35"/>
    <mergeCell ref="K34:K35"/>
    <mergeCell ref="P34:P35"/>
    <mergeCell ref="O34:O35"/>
    <mergeCell ref="I40:I41"/>
    <mergeCell ref="K40:K41"/>
    <mergeCell ref="K38:K39"/>
    <mergeCell ref="R32:R33"/>
    <mergeCell ref="Q42:Q43"/>
    <mergeCell ref="K32:K33"/>
    <mergeCell ref="M32:M33"/>
    <mergeCell ref="M34:M35"/>
    <mergeCell ref="M36:M37"/>
    <mergeCell ref="O32:O33"/>
    <mergeCell ref="Q38:Q39"/>
    <mergeCell ref="Q40:Q41"/>
    <mergeCell ref="R38:R39"/>
    <mergeCell ref="R40:R41"/>
    <mergeCell ref="O36:O37"/>
    <mergeCell ref="P40:P41"/>
    <mergeCell ref="Q36:Q37"/>
    <mergeCell ref="P36:P37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2EDFBCCA-AFE2-470E-8226-5CDA2A7DA20C}"/>
    <dataValidation imeMode="on" allowBlank="1" showInputMessage="1" showErrorMessage="1" sqref="C24 C72 C48 C96" xr:uid="{123E446B-3B6A-4C81-9CA5-3D0B0AB60362}"/>
    <dataValidation type="list" imeMode="on" allowBlank="1" showInputMessage="1" sqref="C4:C23 C28:C47 C52:C71 C76:C95" xr:uid="{239A327F-1C55-48A8-A7E4-50F57BCAA384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C1FB-AEC6-486A-9610-1961BA737A1C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G92:G93"/>
    <mergeCell ref="I92:I93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A92:A93"/>
    <mergeCell ref="B92:B93"/>
    <mergeCell ref="C92:C93"/>
    <mergeCell ref="E92:E93"/>
    <mergeCell ref="O86:O87"/>
    <mergeCell ref="P86:P87"/>
    <mergeCell ref="Q82:Q83"/>
    <mergeCell ref="Q92:Q93"/>
    <mergeCell ref="K84:K85"/>
    <mergeCell ref="M84:M85"/>
    <mergeCell ref="O88:O89"/>
    <mergeCell ref="M90:M91"/>
    <mergeCell ref="P88:P89"/>
    <mergeCell ref="Q86:Q87"/>
    <mergeCell ref="G88:G89"/>
    <mergeCell ref="I88:I89"/>
    <mergeCell ref="R80:R81"/>
    <mergeCell ref="O80:O81"/>
    <mergeCell ref="R86:R87"/>
    <mergeCell ref="A86:A87"/>
    <mergeCell ref="B86:B87"/>
    <mergeCell ref="C86:C87"/>
    <mergeCell ref="E86:E87"/>
    <mergeCell ref="G80:G81"/>
    <mergeCell ref="I80:I81"/>
    <mergeCell ref="A84:A85"/>
    <mergeCell ref="B84:B85"/>
    <mergeCell ref="C84:C85"/>
    <mergeCell ref="E84:E85"/>
    <mergeCell ref="G86:G87"/>
    <mergeCell ref="I86:I87"/>
    <mergeCell ref="G84:G85"/>
    <mergeCell ref="I84:I85"/>
    <mergeCell ref="A80:A81"/>
    <mergeCell ref="B80:B81"/>
    <mergeCell ref="P80:P81"/>
    <mergeCell ref="K86:K87"/>
    <mergeCell ref="M86:M87"/>
    <mergeCell ref="A70:A71"/>
    <mergeCell ref="E66:E67"/>
    <mergeCell ref="A66:A67"/>
    <mergeCell ref="E68:E69"/>
    <mergeCell ref="G90:G91"/>
    <mergeCell ref="I90:I91"/>
    <mergeCell ref="R74:R75"/>
    <mergeCell ref="R82:R83"/>
    <mergeCell ref="Q84:Q85"/>
    <mergeCell ref="R84:R85"/>
    <mergeCell ref="O82:O83"/>
    <mergeCell ref="P82:P83"/>
    <mergeCell ref="O84:O85"/>
    <mergeCell ref="P84:P85"/>
    <mergeCell ref="G82:G83"/>
    <mergeCell ref="I82:I83"/>
    <mergeCell ref="K82:K83"/>
    <mergeCell ref="M82:M83"/>
    <mergeCell ref="K80:K81"/>
    <mergeCell ref="M80:M81"/>
    <mergeCell ref="R78:R79"/>
    <mergeCell ref="Q80:Q81"/>
    <mergeCell ref="R76:R77"/>
    <mergeCell ref="K78:K79"/>
    <mergeCell ref="A76:A77"/>
    <mergeCell ref="B76:B77"/>
    <mergeCell ref="C76:C77"/>
    <mergeCell ref="E76:E77"/>
    <mergeCell ref="G76:G77"/>
    <mergeCell ref="I74:I75"/>
    <mergeCell ref="K74:K75"/>
    <mergeCell ref="M74:M75"/>
    <mergeCell ref="A74:A75"/>
    <mergeCell ref="B74:B75"/>
    <mergeCell ref="C74:C75"/>
    <mergeCell ref="E74:E75"/>
    <mergeCell ref="G74:G75"/>
    <mergeCell ref="I76:I77"/>
    <mergeCell ref="K76:K77"/>
    <mergeCell ref="M76:M77"/>
    <mergeCell ref="A44:A45"/>
    <mergeCell ref="B44:B45"/>
    <mergeCell ref="C44:C45"/>
    <mergeCell ref="E44:E45"/>
    <mergeCell ref="O40:O41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A46:A47"/>
    <mergeCell ref="B46:B47"/>
    <mergeCell ref="C46:C47"/>
    <mergeCell ref="E46:E47"/>
    <mergeCell ref="G46:G47"/>
    <mergeCell ref="I46:I47"/>
    <mergeCell ref="B42:B43"/>
    <mergeCell ref="O44:O45"/>
    <mergeCell ref="P44:P45"/>
    <mergeCell ref="O42:O43"/>
    <mergeCell ref="C42:C43"/>
    <mergeCell ref="E42:E43"/>
    <mergeCell ref="K44:K45"/>
    <mergeCell ref="G44:G45"/>
    <mergeCell ref="I44:I45"/>
    <mergeCell ref="K42:K43"/>
    <mergeCell ref="I40:I41"/>
    <mergeCell ref="K40:K41"/>
    <mergeCell ref="G42:G43"/>
    <mergeCell ref="I42:I43"/>
    <mergeCell ref="R44:R45"/>
    <mergeCell ref="R42:R43"/>
    <mergeCell ref="O46:O47"/>
    <mergeCell ref="P46:P47"/>
    <mergeCell ref="Q42:Q43"/>
    <mergeCell ref="R40:R41"/>
    <mergeCell ref="R46:R47"/>
    <mergeCell ref="R26:R27"/>
    <mergeCell ref="P26:P27"/>
    <mergeCell ref="O28:O29"/>
    <mergeCell ref="P28:P29"/>
    <mergeCell ref="O38:O39"/>
    <mergeCell ref="P38:P39"/>
    <mergeCell ref="P42:P43"/>
    <mergeCell ref="K26:K27"/>
    <mergeCell ref="Q28:Q29"/>
    <mergeCell ref="R28:R29"/>
    <mergeCell ref="M26:M27"/>
    <mergeCell ref="G30:G31"/>
    <mergeCell ref="I30:I31"/>
    <mergeCell ref="K30:K31"/>
    <mergeCell ref="A62:A63"/>
    <mergeCell ref="B62:B63"/>
    <mergeCell ref="C62:C63"/>
    <mergeCell ref="R30:R31"/>
    <mergeCell ref="K32:K33"/>
    <mergeCell ref="O30:O31"/>
    <mergeCell ref="M32:M33"/>
    <mergeCell ref="O32:O33"/>
    <mergeCell ref="Q30:Q31"/>
    <mergeCell ref="R32:R33"/>
    <mergeCell ref="A32:A33"/>
    <mergeCell ref="B32:B33"/>
    <mergeCell ref="C32:C33"/>
    <mergeCell ref="E34:E35"/>
    <mergeCell ref="G34:G35"/>
    <mergeCell ref="I34:I35"/>
    <mergeCell ref="A30:A31"/>
    <mergeCell ref="A36:A37"/>
    <mergeCell ref="B36:B37"/>
    <mergeCell ref="C36:C37"/>
    <mergeCell ref="A34:A35"/>
    <mergeCell ref="E36:E37"/>
    <mergeCell ref="A40:A41"/>
    <mergeCell ref="B40:B41"/>
    <mergeCell ref="A82:A83"/>
    <mergeCell ref="B82:B83"/>
    <mergeCell ref="C82:C83"/>
    <mergeCell ref="E82:E83"/>
    <mergeCell ref="A78:A79"/>
    <mergeCell ref="B78:B79"/>
    <mergeCell ref="A68:A69"/>
    <mergeCell ref="B68:B69"/>
    <mergeCell ref="C68:C69"/>
    <mergeCell ref="B70:B71"/>
    <mergeCell ref="C70:C71"/>
    <mergeCell ref="E70:E71"/>
    <mergeCell ref="A73:R73"/>
    <mergeCell ref="G68:G69"/>
    <mergeCell ref="P68:P69"/>
    <mergeCell ref="I68:I69"/>
    <mergeCell ref="K68:K69"/>
    <mergeCell ref="R68:R69"/>
    <mergeCell ref="O68:O69"/>
    <mergeCell ref="Q68:Q69"/>
    <mergeCell ref="M68:M69"/>
    <mergeCell ref="Q74:Q75"/>
    <mergeCell ref="O74:O75"/>
    <mergeCell ref="P74:P75"/>
    <mergeCell ref="A90:A91"/>
    <mergeCell ref="B90:B91"/>
    <mergeCell ref="C90:C91"/>
    <mergeCell ref="E90:E91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A88:A89"/>
    <mergeCell ref="B88:B89"/>
    <mergeCell ref="C88:C89"/>
    <mergeCell ref="E88:E89"/>
    <mergeCell ref="O70:O71"/>
    <mergeCell ref="P70:P71"/>
    <mergeCell ref="Q70:Q71"/>
    <mergeCell ref="I70:I71"/>
    <mergeCell ref="K70:K71"/>
    <mergeCell ref="M70:M71"/>
    <mergeCell ref="R70:R71"/>
    <mergeCell ref="C80:C81"/>
    <mergeCell ref="E80:E81"/>
    <mergeCell ref="G70:G71"/>
    <mergeCell ref="G78:G79"/>
    <mergeCell ref="I78:I79"/>
    <mergeCell ref="M78:M79"/>
    <mergeCell ref="Q76:Q77"/>
    <mergeCell ref="C78:C79"/>
    <mergeCell ref="E78:E79"/>
    <mergeCell ref="Q78:Q79"/>
    <mergeCell ref="O76:O77"/>
    <mergeCell ref="P76:P77"/>
    <mergeCell ref="O78:O79"/>
    <mergeCell ref="P78:P79"/>
    <mergeCell ref="A64:A65"/>
    <mergeCell ref="B64:B65"/>
    <mergeCell ref="C64:C65"/>
    <mergeCell ref="E64:E65"/>
    <mergeCell ref="B66:B67"/>
    <mergeCell ref="C66:C67"/>
    <mergeCell ref="R64:R65"/>
    <mergeCell ref="I64:I65"/>
    <mergeCell ref="M66:M67"/>
    <mergeCell ref="O66:O67"/>
    <mergeCell ref="P66:P67"/>
    <mergeCell ref="Q66:Q67"/>
    <mergeCell ref="Q64:Q65"/>
    <mergeCell ref="M64:M65"/>
    <mergeCell ref="O64:O65"/>
    <mergeCell ref="K66:K67"/>
    <mergeCell ref="I66:I67"/>
    <mergeCell ref="R66:R67"/>
    <mergeCell ref="G66:G67"/>
    <mergeCell ref="I62:I63"/>
    <mergeCell ref="K62:K63"/>
    <mergeCell ref="P60:P61"/>
    <mergeCell ref="K60:K61"/>
    <mergeCell ref="K64:K65"/>
    <mergeCell ref="G62:G63"/>
    <mergeCell ref="I60:I61"/>
    <mergeCell ref="O62:O63"/>
    <mergeCell ref="P64:P65"/>
    <mergeCell ref="M62:M63"/>
    <mergeCell ref="G64:G65"/>
    <mergeCell ref="R62:R63"/>
    <mergeCell ref="Q60:Q61"/>
    <mergeCell ref="R60:R61"/>
    <mergeCell ref="M60:M61"/>
    <mergeCell ref="Q62:Q63"/>
    <mergeCell ref="O60:O61"/>
    <mergeCell ref="P62:P63"/>
    <mergeCell ref="R54:R55"/>
    <mergeCell ref="K54:K55"/>
    <mergeCell ref="R56:R57"/>
    <mergeCell ref="O56:O57"/>
    <mergeCell ref="P56:P57"/>
    <mergeCell ref="Q54:Q55"/>
    <mergeCell ref="P54:P55"/>
    <mergeCell ref="Q56:Q57"/>
    <mergeCell ref="M54:M55"/>
    <mergeCell ref="O54:O55"/>
    <mergeCell ref="E62:E63"/>
    <mergeCell ref="G54:G55"/>
    <mergeCell ref="E54:E55"/>
    <mergeCell ref="B54:B55"/>
    <mergeCell ref="C60:C61"/>
    <mergeCell ref="C58:C59"/>
    <mergeCell ref="E56:E57"/>
    <mergeCell ref="E60:E61"/>
    <mergeCell ref="C54:C55"/>
    <mergeCell ref="G60:G61"/>
    <mergeCell ref="C56:C57"/>
    <mergeCell ref="I54:I55"/>
    <mergeCell ref="M56:M57"/>
    <mergeCell ref="I56:I57"/>
    <mergeCell ref="G50:G51"/>
    <mergeCell ref="G58:G59"/>
    <mergeCell ref="G56:G57"/>
    <mergeCell ref="A52:A53"/>
    <mergeCell ref="A50:A51"/>
    <mergeCell ref="R58:R59"/>
    <mergeCell ref="P58:P59"/>
    <mergeCell ref="M58:M59"/>
    <mergeCell ref="Q58:Q59"/>
    <mergeCell ref="O58:O59"/>
    <mergeCell ref="K58:K59"/>
    <mergeCell ref="K56:K57"/>
    <mergeCell ref="I58:I59"/>
    <mergeCell ref="A56:A57"/>
    <mergeCell ref="R50:R51"/>
    <mergeCell ref="R52:R53"/>
    <mergeCell ref="E50:E51"/>
    <mergeCell ref="A54:A55"/>
    <mergeCell ref="Q52:Q53"/>
    <mergeCell ref="O52:O53"/>
    <mergeCell ref="O50:O51"/>
    <mergeCell ref="I52:I53"/>
    <mergeCell ref="K50:K51"/>
    <mergeCell ref="M52:M53"/>
    <mergeCell ref="K52:K53"/>
    <mergeCell ref="C52:C53"/>
    <mergeCell ref="B52:B53"/>
    <mergeCell ref="E52:E53"/>
    <mergeCell ref="Q50:Q51"/>
    <mergeCell ref="P50:P51"/>
    <mergeCell ref="P52:P53"/>
    <mergeCell ref="I50:I51"/>
    <mergeCell ref="M50:M51"/>
    <mergeCell ref="G52:G53"/>
    <mergeCell ref="B50:B51"/>
    <mergeCell ref="C50:C51"/>
    <mergeCell ref="B26:B27"/>
    <mergeCell ref="C26:C27"/>
    <mergeCell ref="A20:A21"/>
    <mergeCell ref="G22:G23"/>
    <mergeCell ref="A60:A61"/>
    <mergeCell ref="B60:B61"/>
    <mergeCell ref="E58:E59"/>
    <mergeCell ref="B56:B57"/>
    <mergeCell ref="A58:A59"/>
    <mergeCell ref="B58:B59"/>
    <mergeCell ref="A28:A29"/>
    <mergeCell ref="B28:B29"/>
    <mergeCell ref="C28:C29"/>
    <mergeCell ref="E28:E29"/>
    <mergeCell ref="B34:B35"/>
    <mergeCell ref="C34:C35"/>
    <mergeCell ref="C40:C41"/>
    <mergeCell ref="E40:E41"/>
    <mergeCell ref="A38:A39"/>
    <mergeCell ref="B38:B39"/>
    <mergeCell ref="C38:C39"/>
    <mergeCell ref="E38:E39"/>
    <mergeCell ref="G40:G41"/>
    <mergeCell ref="A42:A43"/>
    <mergeCell ref="A49:R49"/>
    <mergeCell ref="A25:R25"/>
    <mergeCell ref="E26:E27"/>
    <mergeCell ref="G26:G27"/>
    <mergeCell ref="I26:I27"/>
    <mergeCell ref="K20:K21"/>
    <mergeCell ref="G20:G21"/>
    <mergeCell ref="Q32:Q33"/>
    <mergeCell ref="Q38:Q39"/>
    <mergeCell ref="P30:P31"/>
    <mergeCell ref="P32:P33"/>
    <mergeCell ref="P36:P37"/>
    <mergeCell ref="Q36:Q37"/>
    <mergeCell ref="Q26:Q27"/>
    <mergeCell ref="R38:R39"/>
    <mergeCell ref="K38:K39"/>
    <mergeCell ref="M38:M39"/>
    <mergeCell ref="O34:O35"/>
    <mergeCell ref="P34:P35"/>
    <mergeCell ref="M22:M23"/>
    <mergeCell ref="K22:K23"/>
    <mergeCell ref="E22:E23"/>
    <mergeCell ref="B22:B23"/>
    <mergeCell ref="A22:A23"/>
    <mergeCell ref="K28:K29"/>
    <mergeCell ref="O22:O23"/>
    <mergeCell ref="P20:P21"/>
    <mergeCell ref="O26:O27"/>
    <mergeCell ref="I28:I29"/>
    <mergeCell ref="G28:G29"/>
    <mergeCell ref="O16:O17"/>
    <mergeCell ref="A16:A17"/>
    <mergeCell ref="B18:B19"/>
    <mergeCell ref="G18:G19"/>
    <mergeCell ref="K18:K19"/>
    <mergeCell ref="I18:I19"/>
    <mergeCell ref="I22:I23"/>
    <mergeCell ref="B16:B17"/>
    <mergeCell ref="C16:C17"/>
    <mergeCell ref="E20:E21"/>
    <mergeCell ref="I20:I21"/>
    <mergeCell ref="P22:P23"/>
    <mergeCell ref="M28:M29"/>
    <mergeCell ref="O20:O21"/>
    <mergeCell ref="C22:C23"/>
    <mergeCell ref="B20:B21"/>
    <mergeCell ref="C20:C21"/>
    <mergeCell ref="A26:A27"/>
    <mergeCell ref="A12:A13"/>
    <mergeCell ref="B12:B13"/>
    <mergeCell ref="C12:C13"/>
    <mergeCell ref="E12:E13"/>
    <mergeCell ref="C10:C11"/>
    <mergeCell ref="G10:G11"/>
    <mergeCell ref="A18:A19"/>
    <mergeCell ref="P16:P17"/>
    <mergeCell ref="O18:O19"/>
    <mergeCell ref="C18:C19"/>
    <mergeCell ref="E16:E17"/>
    <mergeCell ref="E18:E19"/>
    <mergeCell ref="I16:I17"/>
    <mergeCell ref="G16:G17"/>
    <mergeCell ref="A14:A15"/>
    <mergeCell ref="K16:K17"/>
    <mergeCell ref="B6:B7"/>
    <mergeCell ref="C6:C7"/>
    <mergeCell ref="A8:A9"/>
    <mergeCell ref="E6:E7"/>
    <mergeCell ref="G8:G9"/>
    <mergeCell ref="E10:E11"/>
    <mergeCell ref="A10:A11"/>
    <mergeCell ref="B14:B15"/>
    <mergeCell ref="Q10:Q11"/>
    <mergeCell ref="O10:O11"/>
    <mergeCell ref="B10:B11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B8:B9"/>
    <mergeCell ref="C14:C15"/>
    <mergeCell ref="E14:E15"/>
    <mergeCell ref="G6:G7"/>
    <mergeCell ref="I6:I7"/>
    <mergeCell ref="M8:M9"/>
    <mergeCell ref="K8:K9"/>
    <mergeCell ref="M6:M7"/>
    <mergeCell ref="K6:K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E8:E9"/>
    <mergeCell ref="C8:C9"/>
    <mergeCell ref="I4:I5"/>
    <mergeCell ref="I8:I9"/>
    <mergeCell ref="A4:A5"/>
    <mergeCell ref="A6:A7"/>
    <mergeCell ref="B4:B5"/>
    <mergeCell ref="E4:E5"/>
    <mergeCell ref="R4:R5"/>
    <mergeCell ref="C2:C3"/>
    <mergeCell ref="P2:P3"/>
    <mergeCell ref="R2:R3"/>
    <mergeCell ref="Q4:Q5"/>
    <mergeCell ref="O4:O5"/>
    <mergeCell ref="P4:P5"/>
    <mergeCell ref="G4:G5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K12:K13"/>
    <mergeCell ref="P12:P13"/>
    <mergeCell ref="P10:P11"/>
    <mergeCell ref="Q8:Q9"/>
    <mergeCell ref="O6:O7"/>
    <mergeCell ref="Q6:Q7"/>
    <mergeCell ref="R8:R9"/>
    <mergeCell ref="R18:R19"/>
    <mergeCell ref="R14:R15"/>
    <mergeCell ref="Q18:Q19"/>
    <mergeCell ref="Q14:Q15"/>
    <mergeCell ref="O14:O15"/>
    <mergeCell ref="M20:M21"/>
    <mergeCell ref="M18:M19"/>
    <mergeCell ref="R22:R23"/>
    <mergeCell ref="R12:R13"/>
    <mergeCell ref="Q12:Q13"/>
    <mergeCell ref="P14:P15"/>
    <mergeCell ref="P18:P19"/>
    <mergeCell ref="Q16:Q17"/>
    <mergeCell ref="R16:R17"/>
    <mergeCell ref="M16:M17"/>
    <mergeCell ref="Q22:Q23"/>
    <mergeCell ref="R20:R21"/>
    <mergeCell ref="Q20:Q21"/>
    <mergeCell ref="G38:G39"/>
    <mergeCell ref="I38:I39"/>
    <mergeCell ref="M34:M35"/>
    <mergeCell ref="M36:M37"/>
    <mergeCell ref="K34:K35"/>
    <mergeCell ref="K36:K37"/>
    <mergeCell ref="G36:G37"/>
    <mergeCell ref="I36:I37"/>
    <mergeCell ref="R36:R37"/>
    <mergeCell ref="Q34:Q35"/>
    <mergeCell ref="B30:B31"/>
    <mergeCell ref="C30:C31"/>
    <mergeCell ref="E32:E33"/>
    <mergeCell ref="G32:G33"/>
    <mergeCell ref="I32:I33"/>
    <mergeCell ref="E30:E31"/>
    <mergeCell ref="M30:M31"/>
    <mergeCell ref="R34:R35"/>
    <mergeCell ref="O36:O37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737474B3-DAA0-4FB0-8256-01FC05E6CDAB}"/>
    <dataValidation imeMode="on" allowBlank="1" showInputMessage="1" showErrorMessage="1" sqref="C24 C72 C48 C96" xr:uid="{89FCA455-02A7-403E-8688-40422222F998}"/>
    <dataValidation type="list" imeMode="on" allowBlank="1" showInputMessage="1" sqref="C4:C23 C28:C47 C52:C71 C76:C95" xr:uid="{6BB463D0-695F-4135-8FD9-4ED2D08AC7FD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CDF1-9DEC-4F1C-BF5E-32D89F1FA333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G94:G95"/>
    <mergeCell ref="I94:I95"/>
    <mergeCell ref="A94:A95"/>
    <mergeCell ref="B94:B95"/>
    <mergeCell ref="C94:C95"/>
    <mergeCell ref="E94:E95"/>
    <mergeCell ref="O78:O79"/>
    <mergeCell ref="P78:P79"/>
    <mergeCell ref="K94:K95"/>
    <mergeCell ref="M94:M95"/>
    <mergeCell ref="K92:K93"/>
    <mergeCell ref="M92:M93"/>
    <mergeCell ref="K78:K79"/>
    <mergeCell ref="M78:M79"/>
    <mergeCell ref="M82:M83"/>
    <mergeCell ref="K82:K83"/>
    <mergeCell ref="M90:M91"/>
    <mergeCell ref="P92:P93"/>
    <mergeCell ref="O94:O95"/>
    <mergeCell ref="P94:P95"/>
    <mergeCell ref="P82:P83"/>
    <mergeCell ref="O92:O93"/>
    <mergeCell ref="O82:O83"/>
    <mergeCell ref="A78:A79"/>
    <mergeCell ref="R78:R79"/>
    <mergeCell ref="Q94:Q95"/>
    <mergeCell ref="R94:R95"/>
    <mergeCell ref="Q92:Q93"/>
    <mergeCell ref="R92:R93"/>
    <mergeCell ref="R86:R87"/>
    <mergeCell ref="R88:R89"/>
    <mergeCell ref="R90:R91"/>
    <mergeCell ref="R84:R85"/>
    <mergeCell ref="Q84:Q85"/>
    <mergeCell ref="Q80:Q81"/>
    <mergeCell ref="R80:R81"/>
    <mergeCell ref="Q82:Q83"/>
    <mergeCell ref="R82:R83"/>
    <mergeCell ref="Q78:Q79"/>
    <mergeCell ref="E78:E79"/>
    <mergeCell ref="G78:G79"/>
    <mergeCell ref="I78:I79"/>
    <mergeCell ref="G84:G85"/>
    <mergeCell ref="P80:P81"/>
    <mergeCell ref="P84:P85"/>
    <mergeCell ref="E82:E83"/>
    <mergeCell ref="E80:E81"/>
    <mergeCell ref="I80:I81"/>
    <mergeCell ref="K80:K81"/>
    <mergeCell ref="I82:I83"/>
    <mergeCell ref="G82:G83"/>
    <mergeCell ref="C56:C57"/>
    <mergeCell ref="A58:A59"/>
    <mergeCell ref="A56:A57"/>
    <mergeCell ref="B56:B57"/>
    <mergeCell ref="C58:C59"/>
    <mergeCell ref="B54:B55"/>
    <mergeCell ref="B58:B59"/>
    <mergeCell ref="C54:C55"/>
    <mergeCell ref="B78:B79"/>
    <mergeCell ref="C78:C79"/>
    <mergeCell ref="A64:A65"/>
    <mergeCell ref="B64:B65"/>
    <mergeCell ref="C64:C65"/>
    <mergeCell ref="A68:A69"/>
    <mergeCell ref="Q50:Q51"/>
    <mergeCell ref="P50:P51"/>
    <mergeCell ref="O52:O53"/>
    <mergeCell ref="K58:K59"/>
    <mergeCell ref="O56:O57"/>
    <mergeCell ref="M56:M57"/>
    <mergeCell ref="I50:I51"/>
    <mergeCell ref="A62:A63"/>
    <mergeCell ref="B62:B63"/>
    <mergeCell ref="A60:A61"/>
    <mergeCell ref="B60:B61"/>
    <mergeCell ref="Q64:Q65"/>
    <mergeCell ref="E54:E55"/>
    <mergeCell ref="E56:E57"/>
    <mergeCell ref="G54:G55"/>
    <mergeCell ref="G58:G59"/>
    <mergeCell ref="E60:E61"/>
    <mergeCell ref="E58:E59"/>
    <mergeCell ref="G56:G57"/>
    <mergeCell ref="A54:A55"/>
    <mergeCell ref="E46:E47"/>
    <mergeCell ref="G46:G47"/>
    <mergeCell ref="I46:I47"/>
    <mergeCell ref="K46:K47"/>
    <mergeCell ref="E50:E51"/>
    <mergeCell ref="R46:R47"/>
    <mergeCell ref="A49:R49"/>
    <mergeCell ref="R44:R45"/>
    <mergeCell ref="A46:A47"/>
    <mergeCell ref="B46:B47"/>
    <mergeCell ref="C46:C47"/>
    <mergeCell ref="I44:I45"/>
    <mergeCell ref="A44:A45"/>
    <mergeCell ref="K44:K45"/>
    <mergeCell ref="M44:M45"/>
    <mergeCell ref="R50:R51"/>
    <mergeCell ref="P46:P47"/>
    <mergeCell ref="Q46:Q47"/>
    <mergeCell ref="M46:M47"/>
    <mergeCell ref="O46:O47"/>
    <mergeCell ref="K50:K51"/>
    <mergeCell ref="M50:M51"/>
    <mergeCell ref="R42:R43"/>
    <mergeCell ref="A42:A43"/>
    <mergeCell ref="B42:B43"/>
    <mergeCell ref="C42:C43"/>
    <mergeCell ref="Q44:Q45"/>
    <mergeCell ref="P42:P43"/>
    <mergeCell ref="Q42:Q43"/>
    <mergeCell ref="K42:K43"/>
    <mergeCell ref="M42:M43"/>
    <mergeCell ref="O42:O43"/>
    <mergeCell ref="P44:P45"/>
    <mergeCell ref="O44:O45"/>
    <mergeCell ref="M40:M41"/>
    <mergeCell ref="K40:K41"/>
    <mergeCell ref="A38:A39"/>
    <mergeCell ref="B44:B45"/>
    <mergeCell ref="C44:C45"/>
    <mergeCell ref="E44:E45"/>
    <mergeCell ref="G44:G45"/>
    <mergeCell ref="G42:G43"/>
    <mergeCell ref="I42:I43"/>
    <mergeCell ref="E42:E43"/>
    <mergeCell ref="A40:A41"/>
    <mergeCell ref="B40:B41"/>
    <mergeCell ref="C40:C41"/>
    <mergeCell ref="E40:E41"/>
    <mergeCell ref="G40:G41"/>
    <mergeCell ref="I40:I41"/>
    <mergeCell ref="B38:B39"/>
    <mergeCell ref="C38:C39"/>
    <mergeCell ref="E38:E39"/>
    <mergeCell ref="G38:G39"/>
    <mergeCell ref="I38:I39"/>
    <mergeCell ref="K38:K39"/>
    <mergeCell ref="M38:M39"/>
    <mergeCell ref="A36:A37"/>
    <mergeCell ref="B36:B37"/>
    <mergeCell ref="C36:C37"/>
    <mergeCell ref="E36:E37"/>
    <mergeCell ref="G32:G33"/>
    <mergeCell ref="K34:K35"/>
    <mergeCell ref="A34:A35"/>
    <mergeCell ref="B34:B35"/>
    <mergeCell ref="C34:C35"/>
    <mergeCell ref="E34:E35"/>
    <mergeCell ref="A32:A33"/>
    <mergeCell ref="B32:B33"/>
    <mergeCell ref="G34:G35"/>
    <mergeCell ref="I34:I35"/>
    <mergeCell ref="G36:G37"/>
    <mergeCell ref="I36:I37"/>
    <mergeCell ref="I30:I31"/>
    <mergeCell ref="K30:K31"/>
    <mergeCell ref="M30:M31"/>
    <mergeCell ref="K36:K37"/>
    <mergeCell ref="M36:M37"/>
    <mergeCell ref="C32:C33"/>
    <mergeCell ref="E32:E33"/>
    <mergeCell ref="I32:I33"/>
    <mergeCell ref="K32:K33"/>
    <mergeCell ref="M32:M33"/>
    <mergeCell ref="R18:R19"/>
    <mergeCell ref="R14:R15"/>
    <mergeCell ref="Q18:Q19"/>
    <mergeCell ref="Q16:Q17"/>
    <mergeCell ref="R16:R17"/>
    <mergeCell ref="Q14:Q15"/>
    <mergeCell ref="A1:R1"/>
    <mergeCell ref="A2:A3"/>
    <mergeCell ref="E2:E3"/>
    <mergeCell ref="B2:B3"/>
    <mergeCell ref="G2:G3"/>
    <mergeCell ref="R10:R11"/>
    <mergeCell ref="O4:O5"/>
    <mergeCell ref="R6:R7"/>
    <mergeCell ref="P4:P5"/>
    <mergeCell ref="R2:R3"/>
    <mergeCell ref="Q8:Q9"/>
    <mergeCell ref="R4:R5"/>
    <mergeCell ref="Q6:Q7"/>
    <mergeCell ref="R8:R9"/>
    <mergeCell ref="O16:O17"/>
    <mergeCell ref="K12:K13"/>
    <mergeCell ref="K8:K9"/>
    <mergeCell ref="P12:P13"/>
    <mergeCell ref="R12:R13"/>
    <mergeCell ref="Q12:Q13"/>
    <mergeCell ref="O14:O15"/>
    <mergeCell ref="Q4:Q5"/>
    <mergeCell ref="P2:P3"/>
    <mergeCell ref="O2:O3"/>
    <mergeCell ref="Q2:Q3"/>
    <mergeCell ref="P6:P7"/>
    <mergeCell ref="G6:G7"/>
    <mergeCell ref="I6:I7"/>
    <mergeCell ref="M2:M3"/>
    <mergeCell ref="I4:I5"/>
    <mergeCell ref="M4:M5"/>
    <mergeCell ref="G4:G5"/>
    <mergeCell ref="M14:M15"/>
    <mergeCell ref="K14:K15"/>
    <mergeCell ref="O12:O13"/>
    <mergeCell ref="M12:M13"/>
    <mergeCell ref="O8:O9"/>
    <mergeCell ref="P8:P9"/>
    <mergeCell ref="I8:I9"/>
    <mergeCell ref="I14:I15"/>
    <mergeCell ref="K2:K3"/>
    <mergeCell ref="Q10:Q11"/>
    <mergeCell ref="C2:C3"/>
    <mergeCell ref="I2:I3"/>
    <mergeCell ref="K16:K17"/>
    <mergeCell ref="G8:G9"/>
    <mergeCell ref="G12:G13"/>
    <mergeCell ref="G14:G15"/>
    <mergeCell ref="K4:K5"/>
    <mergeCell ref="E4:E5"/>
    <mergeCell ref="G16:G17"/>
    <mergeCell ref="A4:A5"/>
    <mergeCell ref="A6:A7"/>
    <mergeCell ref="B4:B5"/>
    <mergeCell ref="A8:A9"/>
    <mergeCell ref="A10:A11"/>
    <mergeCell ref="K6:K7"/>
    <mergeCell ref="C4:C5"/>
    <mergeCell ref="O6:O7"/>
    <mergeCell ref="B8:B9"/>
    <mergeCell ref="E10:E11"/>
    <mergeCell ref="M8:M9"/>
    <mergeCell ref="C8:C9"/>
    <mergeCell ref="G10:G11"/>
    <mergeCell ref="E8:E9"/>
    <mergeCell ref="M6:M7"/>
    <mergeCell ref="E6:E7"/>
    <mergeCell ref="I10:I11"/>
    <mergeCell ref="O10:O11"/>
    <mergeCell ref="B10:B11"/>
    <mergeCell ref="C10:C11"/>
    <mergeCell ref="K10:K11"/>
    <mergeCell ref="B6:B7"/>
    <mergeCell ref="C6:C7"/>
    <mergeCell ref="P10:P11"/>
    <mergeCell ref="M10:M11"/>
    <mergeCell ref="B14:B15"/>
    <mergeCell ref="A12:A13"/>
    <mergeCell ref="B12:B13"/>
    <mergeCell ref="I12:I13"/>
    <mergeCell ref="C12:C13"/>
    <mergeCell ref="E12:E13"/>
    <mergeCell ref="P14:P15"/>
    <mergeCell ref="A14:A15"/>
    <mergeCell ref="C14:C15"/>
    <mergeCell ref="E14:E15"/>
    <mergeCell ref="C18:C19"/>
    <mergeCell ref="I16:I17"/>
    <mergeCell ref="B18:B19"/>
    <mergeCell ref="G18:G19"/>
    <mergeCell ref="A16:A17"/>
    <mergeCell ref="A18:A19"/>
    <mergeCell ref="E16:E17"/>
    <mergeCell ref="E18:E19"/>
    <mergeCell ref="C16:C17"/>
    <mergeCell ref="B16:B17"/>
    <mergeCell ref="M34:M35"/>
    <mergeCell ref="Q34:Q35"/>
    <mergeCell ref="O32:O33"/>
    <mergeCell ref="O34:O35"/>
    <mergeCell ref="P32:P33"/>
    <mergeCell ref="B20:B21"/>
    <mergeCell ref="C20:C21"/>
    <mergeCell ref="A20:A21"/>
    <mergeCell ref="Q20:Q21"/>
    <mergeCell ref="M20:M21"/>
    <mergeCell ref="E20:E21"/>
    <mergeCell ref="I20:I21"/>
    <mergeCell ref="K20:K21"/>
    <mergeCell ref="P20:P21"/>
    <mergeCell ref="G20:G21"/>
    <mergeCell ref="B28:B29"/>
    <mergeCell ref="C28:C29"/>
    <mergeCell ref="E28:E29"/>
    <mergeCell ref="G28:G29"/>
    <mergeCell ref="O30:O31"/>
    <mergeCell ref="I28:I29"/>
    <mergeCell ref="K28:K29"/>
    <mergeCell ref="M28:M29"/>
    <mergeCell ref="O28:O29"/>
    <mergeCell ref="M16:M17"/>
    <mergeCell ref="C50:C51"/>
    <mergeCell ref="Q22:Q23"/>
    <mergeCell ref="E22:E23"/>
    <mergeCell ref="P22:P23"/>
    <mergeCell ref="O50:O51"/>
    <mergeCell ref="Q40:Q41"/>
    <mergeCell ref="K22:K23"/>
    <mergeCell ref="Q26:Q27"/>
    <mergeCell ref="I18:I19"/>
    <mergeCell ref="P18:P19"/>
    <mergeCell ref="M18:M19"/>
    <mergeCell ref="K18:K19"/>
    <mergeCell ref="O18:O19"/>
    <mergeCell ref="P16:P17"/>
    <mergeCell ref="Q28:Q29"/>
    <mergeCell ref="M26:M27"/>
    <mergeCell ref="E26:E27"/>
    <mergeCell ref="G26:G27"/>
    <mergeCell ref="I26:I27"/>
    <mergeCell ref="K26:K27"/>
    <mergeCell ref="O36:O37"/>
    <mergeCell ref="O40:O41"/>
    <mergeCell ref="O38:O39"/>
    <mergeCell ref="Q38:Q39"/>
    <mergeCell ref="Q36:Q37"/>
    <mergeCell ref="R32:R33"/>
    <mergeCell ref="R40:R41"/>
    <mergeCell ref="R38:R39"/>
    <mergeCell ref="R36:R37"/>
    <mergeCell ref="R20:R21"/>
    <mergeCell ref="O20:O21"/>
    <mergeCell ref="R22:R23"/>
    <mergeCell ref="O22:O23"/>
    <mergeCell ref="P38:P39"/>
    <mergeCell ref="P40:P41"/>
    <mergeCell ref="P30:P31"/>
    <mergeCell ref="Q30:Q31"/>
    <mergeCell ref="R30:R31"/>
    <mergeCell ref="R28:R29"/>
    <mergeCell ref="A25:R25"/>
    <mergeCell ref="R26:R27"/>
    <mergeCell ref="O26:O27"/>
    <mergeCell ref="P26:P27"/>
    <mergeCell ref="P28:P29"/>
    <mergeCell ref="R34:R35"/>
    <mergeCell ref="Q32:Q33"/>
    <mergeCell ref="P34:P35"/>
    <mergeCell ref="B22:B23"/>
    <mergeCell ref="G22:G23"/>
    <mergeCell ref="M22:M23"/>
    <mergeCell ref="A22:A23"/>
    <mergeCell ref="P36:P37"/>
    <mergeCell ref="A52:A53"/>
    <mergeCell ref="A50:A51"/>
    <mergeCell ref="B50:B51"/>
    <mergeCell ref="G52:G53"/>
    <mergeCell ref="G50:G51"/>
    <mergeCell ref="B52:B53"/>
    <mergeCell ref="E52:E53"/>
    <mergeCell ref="C52:C53"/>
    <mergeCell ref="A26:A27"/>
    <mergeCell ref="B26:B27"/>
    <mergeCell ref="C26:C27"/>
    <mergeCell ref="C22:C23"/>
    <mergeCell ref="I22:I23"/>
    <mergeCell ref="A30:A31"/>
    <mergeCell ref="B30:B31"/>
    <mergeCell ref="C30:C31"/>
    <mergeCell ref="E30:E31"/>
    <mergeCell ref="G30:G31"/>
    <mergeCell ref="A28:A29"/>
    <mergeCell ref="R58:R59"/>
    <mergeCell ref="P58:P59"/>
    <mergeCell ref="Q58:Q59"/>
    <mergeCell ref="P56:P57"/>
    <mergeCell ref="R52:R53"/>
    <mergeCell ref="P52:P53"/>
    <mergeCell ref="Q56:Q57"/>
    <mergeCell ref="I56:I57"/>
    <mergeCell ref="O54:O55"/>
    <mergeCell ref="R54:R55"/>
    <mergeCell ref="R56:R57"/>
    <mergeCell ref="K56:K57"/>
    <mergeCell ref="M54:M55"/>
    <mergeCell ref="I54:I55"/>
    <mergeCell ref="K54:K55"/>
    <mergeCell ref="I58:I59"/>
    <mergeCell ref="O58:O59"/>
    <mergeCell ref="M52:M53"/>
    <mergeCell ref="I52:I53"/>
    <mergeCell ref="Q52:Q53"/>
    <mergeCell ref="M58:M59"/>
    <mergeCell ref="P54:P55"/>
    <mergeCell ref="Q54:Q55"/>
    <mergeCell ref="K52:K53"/>
    <mergeCell ref="C62:C63"/>
    <mergeCell ref="E62:E63"/>
    <mergeCell ref="C60:C61"/>
    <mergeCell ref="G62:G63"/>
    <mergeCell ref="G60:G61"/>
    <mergeCell ref="M62:M63"/>
    <mergeCell ref="I62:I63"/>
    <mergeCell ref="M60:M61"/>
    <mergeCell ref="P62:P63"/>
    <mergeCell ref="O62:O63"/>
    <mergeCell ref="I60:I61"/>
    <mergeCell ref="R64:R65"/>
    <mergeCell ref="O64:O65"/>
    <mergeCell ref="E64:E65"/>
    <mergeCell ref="K64:K65"/>
    <mergeCell ref="G64:G65"/>
    <mergeCell ref="P64:P65"/>
    <mergeCell ref="K62:K63"/>
    <mergeCell ref="K60:K61"/>
    <mergeCell ref="I66:I67"/>
    <mergeCell ref="E66:E67"/>
    <mergeCell ref="M66:M67"/>
    <mergeCell ref="I64:I65"/>
    <mergeCell ref="M64:M65"/>
    <mergeCell ref="K66:K67"/>
    <mergeCell ref="R60:R61"/>
    <mergeCell ref="R62:R63"/>
    <mergeCell ref="O60:O61"/>
    <mergeCell ref="P60:P61"/>
    <mergeCell ref="Q62:Q63"/>
    <mergeCell ref="Q60:Q61"/>
    <mergeCell ref="I74:I75"/>
    <mergeCell ref="B68:B69"/>
    <mergeCell ref="I68:I69"/>
    <mergeCell ref="G68:G69"/>
    <mergeCell ref="G70:G71"/>
    <mergeCell ref="I70:I71"/>
    <mergeCell ref="G76:G77"/>
    <mergeCell ref="C68:C69"/>
    <mergeCell ref="E68:E69"/>
    <mergeCell ref="C74:C75"/>
    <mergeCell ref="E74:E75"/>
    <mergeCell ref="B70:B71"/>
    <mergeCell ref="C70:C71"/>
    <mergeCell ref="E70:E71"/>
    <mergeCell ref="B66:B67"/>
    <mergeCell ref="C66:C67"/>
    <mergeCell ref="G66:G67"/>
    <mergeCell ref="B74:B75"/>
    <mergeCell ref="A74:A75"/>
    <mergeCell ref="C76:C77"/>
    <mergeCell ref="E76:E77"/>
    <mergeCell ref="A76:A77"/>
    <mergeCell ref="B76:B77"/>
    <mergeCell ref="A70:A71"/>
    <mergeCell ref="P74:P75"/>
    <mergeCell ref="K74:K75"/>
    <mergeCell ref="M74:M75"/>
    <mergeCell ref="R66:R67"/>
    <mergeCell ref="O66:O67"/>
    <mergeCell ref="P66:P67"/>
    <mergeCell ref="Q66:Q67"/>
    <mergeCell ref="P76:P77"/>
    <mergeCell ref="K68:K69"/>
    <mergeCell ref="K70:K71"/>
    <mergeCell ref="O76:O77"/>
    <mergeCell ref="Q76:Q77"/>
    <mergeCell ref="K76:K77"/>
    <mergeCell ref="M76:M77"/>
    <mergeCell ref="A73:R73"/>
    <mergeCell ref="Q74:Q75"/>
    <mergeCell ref="R74:R75"/>
    <mergeCell ref="G74:G75"/>
    <mergeCell ref="R68:R69"/>
    <mergeCell ref="O68:O69"/>
    <mergeCell ref="M68:M69"/>
    <mergeCell ref="M70:M71"/>
    <mergeCell ref="I76:I77"/>
    <mergeCell ref="A66:A67"/>
    <mergeCell ref="O70:O71"/>
    <mergeCell ref="P70:P71"/>
    <mergeCell ref="P68:P69"/>
    <mergeCell ref="Q70:Q71"/>
    <mergeCell ref="Q68:Q69"/>
    <mergeCell ref="R70:R71"/>
    <mergeCell ref="O80:O81"/>
    <mergeCell ref="A88:A89"/>
    <mergeCell ref="B88:B89"/>
    <mergeCell ref="C88:C89"/>
    <mergeCell ref="E88:E89"/>
    <mergeCell ref="O86:O87"/>
    <mergeCell ref="A80:A81"/>
    <mergeCell ref="B80:B81"/>
    <mergeCell ref="C80:C81"/>
    <mergeCell ref="A82:A83"/>
    <mergeCell ref="B82:B83"/>
    <mergeCell ref="C82:C83"/>
    <mergeCell ref="G80:G81"/>
    <mergeCell ref="I84:I85"/>
    <mergeCell ref="K84:K85"/>
    <mergeCell ref="M80:M81"/>
    <mergeCell ref="R76:R77"/>
    <mergeCell ref="O74:O75"/>
    <mergeCell ref="I90:I91"/>
    <mergeCell ref="K90:K91"/>
    <mergeCell ref="G86:G87"/>
    <mergeCell ref="A90:A91"/>
    <mergeCell ref="B90:B91"/>
    <mergeCell ref="C90:C91"/>
    <mergeCell ref="E90:E91"/>
    <mergeCell ref="M84:M85"/>
    <mergeCell ref="O84:O85"/>
    <mergeCell ref="I86:I87"/>
    <mergeCell ref="K86:K87"/>
    <mergeCell ref="A84:A85"/>
    <mergeCell ref="B84:B85"/>
    <mergeCell ref="C84:C85"/>
    <mergeCell ref="E84:E85"/>
    <mergeCell ref="A92:A93"/>
    <mergeCell ref="B92:B93"/>
    <mergeCell ref="C92:C93"/>
    <mergeCell ref="E92:E93"/>
    <mergeCell ref="Q86:Q87"/>
    <mergeCell ref="M86:M87"/>
    <mergeCell ref="G92:G93"/>
    <mergeCell ref="I92:I93"/>
    <mergeCell ref="Q88:Q89"/>
    <mergeCell ref="Q90:Q91"/>
    <mergeCell ref="O88:O89"/>
    <mergeCell ref="P88:P89"/>
    <mergeCell ref="P86:P87"/>
    <mergeCell ref="A86:A87"/>
    <mergeCell ref="B86:B87"/>
    <mergeCell ref="C86:C87"/>
    <mergeCell ref="G88:G89"/>
    <mergeCell ref="O90:O91"/>
    <mergeCell ref="P90:P91"/>
    <mergeCell ref="I88:I89"/>
    <mergeCell ref="K88:K89"/>
    <mergeCell ref="M88:M89"/>
    <mergeCell ref="E86:E87"/>
    <mergeCell ref="G90:G91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604471B5-328D-4389-9EF8-E3B312CD9E8B}"/>
    <dataValidation imeMode="on" allowBlank="1" showInputMessage="1" showErrorMessage="1" sqref="C24 C72 C48 C96" xr:uid="{22386A0B-7500-45D7-B0C9-244F06D6A6D3}"/>
    <dataValidation type="list" imeMode="on" allowBlank="1" showInputMessage="1" sqref="C4:C23 C28:C47 C52:C71 C76:C95" xr:uid="{03ADA86A-9407-4F53-B3AA-0C93559E5784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33D5-1EAF-4E67-B847-93053CDDD46E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R66:R67"/>
    <mergeCell ref="M70:M71"/>
    <mergeCell ref="Q94:Q95"/>
    <mergeCell ref="R94:R95"/>
    <mergeCell ref="O94:O95"/>
    <mergeCell ref="P94:P95"/>
    <mergeCell ref="A94:A95"/>
    <mergeCell ref="B94:B95"/>
    <mergeCell ref="C94:C95"/>
    <mergeCell ref="E94:E95"/>
    <mergeCell ref="Q92:Q93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P70:P71"/>
    <mergeCell ref="K74:K75"/>
    <mergeCell ref="M74:M75"/>
    <mergeCell ref="C78:C79"/>
    <mergeCell ref="E78:E79"/>
    <mergeCell ref="Q76:Q77"/>
    <mergeCell ref="R76:R77"/>
    <mergeCell ref="K78:K79"/>
    <mergeCell ref="M78:M79"/>
    <mergeCell ref="K76:K77"/>
    <mergeCell ref="M76:M77"/>
    <mergeCell ref="G78:G79"/>
    <mergeCell ref="I78:I79"/>
    <mergeCell ref="A49:R49"/>
    <mergeCell ref="B50:B51"/>
    <mergeCell ref="C50:C51"/>
    <mergeCell ref="E50:E51"/>
    <mergeCell ref="C52:C53"/>
    <mergeCell ref="B52:B53"/>
    <mergeCell ref="E52:E53"/>
    <mergeCell ref="P46:P47"/>
    <mergeCell ref="Q46:Q47"/>
    <mergeCell ref="A52:A53"/>
    <mergeCell ref="A50:A51"/>
    <mergeCell ref="R50:R51"/>
    <mergeCell ref="Q50:Q51"/>
    <mergeCell ref="P50:P51"/>
    <mergeCell ref="O50:O51"/>
    <mergeCell ref="M46:M47"/>
    <mergeCell ref="O46:O47"/>
    <mergeCell ref="G50:G51"/>
    <mergeCell ref="I50:I51"/>
    <mergeCell ref="I52:I53"/>
    <mergeCell ref="A46:A47"/>
    <mergeCell ref="B46:B47"/>
    <mergeCell ref="C46:C47"/>
    <mergeCell ref="E46:E47"/>
    <mergeCell ref="G46:G47"/>
    <mergeCell ref="I46:I47"/>
    <mergeCell ref="K46:K47"/>
    <mergeCell ref="R42:R43"/>
    <mergeCell ref="A44:A45"/>
    <mergeCell ref="B44:B45"/>
    <mergeCell ref="C44:C45"/>
    <mergeCell ref="E44:E45"/>
    <mergeCell ref="G44:G45"/>
    <mergeCell ref="I44:I45"/>
    <mergeCell ref="K44:K45"/>
    <mergeCell ref="P44:P45"/>
    <mergeCell ref="Q44:Q45"/>
    <mergeCell ref="O42:O43"/>
    <mergeCell ref="I42:I43"/>
    <mergeCell ref="K42:K43"/>
    <mergeCell ref="R46:R47"/>
    <mergeCell ref="M44:M45"/>
    <mergeCell ref="O44:O45"/>
    <mergeCell ref="O40:O41"/>
    <mergeCell ref="P42:P43"/>
    <mergeCell ref="Q42:Q43"/>
    <mergeCell ref="I40:I41"/>
    <mergeCell ref="K40:K41"/>
    <mergeCell ref="M40:M41"/>
    <mergeCell ref="R44:R45"/>
    <mergeCell ref="R40:R41"/>
    <mergeCell ref="A42:A43"/>
    <mergeCell ref="B42:B43"/>
    <mergeCell ref="C42:C43"/>
    <mergeCell ref="E42:E43"/>
    <mergeCell ref="G42:G43"/>
    <mergeCell ref="M42:M43"/>
    <mergeCell ref="A40:A41"/>
    <mergeCell ref="B40:B41"/>
    <mergeCell ref="C40:C41"/>
    <mergeCell ref="E40:E41"/>
    <mergeCell ref="G40:G41"/>
    <mergeCell ref="P40:P41"/>
    <mergeCell ref="Q40:Q41"/>
    <mergeCell ref="A38:A39"/>
    <mergeCell ref="B38:B39"/>
    <mergeCell ref="C38:C39"/>
    <mergeCell ref="A36:A37"/>
    <mergeCell ref="B36:B37"/>
    <mergeCell ref="C36:C37"/>
    <mergeCell ref="I38:I39"/>
    <mergeCell ref="K36:K37"/>
    <mergeCell ref="Q38:Q39"/>
    <mergeCell ref="M38:M39"/>
    <mergeCell ref="K38:K39"/>
    <mergeCell ref="O38:O39"/>
    <mergeCell ref="P38:P39"/>
    <mergeCell ref="I30:I31"/>
    <mergeCell ref="P28:P29"/>
    <mergeCell ref="K30:K31"/>
    <mergeCell ref="M34:M35"/>
    <mergeCell ref="O34:O35"/>
    <mergeCell ref="O36:O37"/>
    <mergeCell ref="M36:M37"/>
    <mergeCell ref="P30:P31"/>
    <mergeCell ref="K32:K33"/>
    <mergeCell ref="K28:K29"/>
    <mergeCell ref="P34:P35"/>
    <mergeCell ref="I36:I37"/>
    <mergeCell ref="A34:A35"/>
    <mergeCell ref="B34:B35"/>
    <mergeCell ref="C34:C35"/>
    <mergeCell ref="E34:E35"/>
    <mergeCell ref="M32:M33"/>
    <mergeCell ref="I32:I33"/>
    <mergeCell ref="A32:A33"/>
    <mergeCell ref="B32:B33"/>
    <mergeCell ref="C32:C33"/>
    <mergeCell ref="E32:E33"/>
    <mergeCell ref="G34:G35"/>
    <mergeCell ref="I34:I35"/>
    <mergeCell ref="K34:K35"/>
    <mergeCell ref="Q30:Q31"/>
    <mergeCell ref="M30:M31"/>
    <mergeCell ref="O30:O31"/>
    <mergeCell ref="R32:R33"/>
    <mergeCell ref="O32:O33"/>
    <mergeCell ref="P32:P33"/>
    <mergeCell ref="Q32:Q33"/>
    <mergeCell ref="R28:R29"/>
    <mergeCell ref="A30:A31"/>
    <mergeCell ref="O28:O29"/>
    <mergeCell ref="B30:B31"/>
    <mergeCell ref="C30:C31"/>
    <mergeCell ref="E30:E31"/>
    <mergeCell ref="G30:G31"/>
    <mergeCell ref="R30:R31"/>
    <mergeCell ref="Q28:Q29"/>
    <mergeCell ref="A28:A29"/>
    <mergeCell ref="B28:B29"/>
    <mergeCell ref="C28:C29"/>
    <mergeCell ref="E28:E29"/>
    <mergeCell ref="G28:G29"/>
    <mergeCell ref="I28:I29"/>
    <mergeCell ref="G32:G33"/>
    <mergeCell ref="M28:M29"/>
    <mergeCell ref="G14:G15"/>
    <mergeCell ref="K14:K15"/>
    <mergeCell ref="P26:P27"/>
    <mergeCell ref="G26:G27"/>
    <mergeCell ref="I26:I27"/>
    <mergeCell ref="K26:K27"/>
    <mergeCell ref="M26:M27"/>
    <mergeCell ref="O26:O27"/>
    <mergeCell ref="A25:R25"/>
    <mergeCell ref="A26:A27"/>
    <mergeCell ref="B14:B15"/>
    <mergeCell ref="E16:E17"/>
    <mergeCell ref="E18:E19"/>
    <mergeCell ref="I18:I19"/>
    <mergeCell ref="C18:C19"/>
    <mergeCell ref="I16:I17"/>
    <mergeCell ref="B18:B19"/>
    <mergeCell ref="G18:G19"/>
    <mergeCell ref="G16:G17"/>
    <mergeCell ref="A16:A17"/>
    <mergeCell ref="C20:C21"/>
    <mergeCell ref="E20:E21"/>
    <mergeCell ref="A20:A21"/>
    <mergeCell ref="I20:I21"/>
    <mergeCell ref="O12:O13"/>
    <mergeCell ref="R20:R21"/>
    <mergeCell ref="O20:O21"/>
    <mergeCell ref="Q20:Q21"/>
    <mergeCell ref="M20:M21"/>
    <mergeCell ref="Q22:Q23"/>
    <mergeCell ref="R8:R9"/>
    <mergeCell ref="R26:R27"/>
    <mergeCell ref="Q26:Q27"/>
    <mergeCell ref="R10:R11"/>
    <mergeCell ref="R18:R19"/>
    <mergeCell ref="R14:R15"/>
    <mergeCell ref="Q18:Q19"/>
    <mergeCell ref="Q16:Q17"/>
    <mergeCell ref="R12:R13"/>
    <mergeCell ref="Q10:Q11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E26:E27"/>
    <mergeCell ref="R6:R7"/>
    <mergeCell ref="O4:O5"/>
    <mergeCell ref="P4:P5"/>
    <mergeCell ref="Q4:Q5"/>
    <mergeCell ref="P6:P7"/>
    <mergeCell ref="O6:O7"/>
    <mergeCell ref="Q6:Q7"/>
    <mergeCell ref="R4:R5"/>
    <mergeCell ref="M8:M9"/>
    <mergeCell ref="E8:E9"/>
    <mergeCell ref="P10:P11"/>
    <mergeCell ref="G12:G13"/>
    <mergeCell ref="Q8:Q9"/>
    <mergeCell ref="K12:K13"/>
    <mergeCell ref="P8:P9"/>
    <mergeCell ref="P12:P13"/>
    <mergeCell ref="I12:I13"/>
    <mergeCell ref="M12:M13"/>
    <mergeCell ref="P14:P15"/>
    <mergeCell ref="O14:O15"/>
    <mergeCell ref="Q12:Q13"/>
    <mergeCell ref="R16:R17"/>
    <mergeCell ref="Q14:Q15"/>
    <mergeCell ref="M4:M5"/>
    <mergeCell ref="K2:K3"/>
    <mergeCell ref="M2:M3"/>
    <mergeCell ref="I4:I5"/>
    <mergeCell ref="M6:M7"/>
    <mergeCell ref="C6:C7"/>
    <mergeCell ref="E6:E7"/>
    <mergeCell ref="K6:K7"/>
    <mergeCell ref="G6:G7"/>
    <mergeCell ref="I6:I7"/>
    <mergeCell ref="I2:I3"/>
    <mergeCell ref="B8:B9"/>
    <mergeCell ref="C8:C9"/>
    <mergeCell ref="E10:E11"/>
    <mergeCell ref="G10:G11"/>
    <mergeCell ref="I10:I11"/>
    <mergeCell ref="G8:G9"/>
    <mergeCell ref="G4:G5"/>
    <mergeCell ref="A10:A11"/>
    <mergeCell ref="O10:O11"/>
    <mergeCell ref="B10:B11"/>
    <mergeCell ref="C10:C11"/>
    <mergeCell ref="K10:K11"/>
    <mergeCell ref="I8:I9"/>
    <mergeCell ref="O8:O9"/>
    <mergeCell ref="M10:M11"/>
    <mergeCell ref="K8:K9"/>
    <mergeCell ref="A8:A9"/>
    <mergeCell ref="A4:A5"/>
    <mergeCell ref="A6:A7"/>
    <mergeCell ref="B4:B5"/>
    <mergeCell ref="E4:E5"/>
    <mergeCell ref="C4:C5"/>
    <mergeCell ref="B6:B7"/>
    <mergeCell ref="K4:K5"/>
    <mergeCell ref="A12:A13"/>
    <mergeCell ref="B12:B13"/>
    <mergeCell ref="C12:C13"/>
    <mergeCell ref="E12:E13"/>
    <mergeCell ref="K18:K19"/>
    <mergeCell ref="P20:P21"/>
    <mergeCell ref="O18:O19"/>
    <mergeCell ref="P18:P19"/>
    <mergeCell ref="M18:M19"/>
    <mergeCell ref="B16:B17"/>
    <mergeCell ref="C16:C17"/>
    <mergeCell ref="G20:G21"/>
    <mergeCell ref="K20:K21"/>
    <mergeCell ref="B20:B21"/>
    <mergeCell ref="M14:M15"/>
    <mergeCell ref="O16:O17"/>
    <mergeCell ref="M16:M17"/>
    <mergeCell ref="P16:P17"/>
    <mergeCell ref="A14:A15"/>
    <mergeCell ref="C14:C15"/>
    <mergeCell ref="E14:E15"/>
    <mergeCell ref="K16:K17"/>
    <mergeCell ref="I14:I15"/>
    <mergeCell ref="A18:A19"/>
    <mergeCell ref="E22:E23"/>
    <mergeCell ref="B22:B23"/>
    <mergeCell ref="G22:G23"/>
    <mergeCell ref="M22:M23"/>
    <mergeCell ref="P22:P23"/>
    <mergeCell ref="C22:C23"/>
    <mergeCell ref="I22:I23"/>
    <mergeCell ref="O22:O23"/>
    <mergeCell ref="K22:K23"/>
    <mergeCell ref="A22:A23"/>
    <mergeCell ref="R22:R23"/>
    <mergeCell ref="B26:B27"/>
    <mergeCell ref="C26:C27"/>
    <mergeCell ref="Q52:Q53"/>
    <mergeCell ref="O52:O53"/>
    <mergeCell ref="K52:K53"/>
    <mergeCell ref="K56:K57"/>
    <mergeCell ref="M54:M55"/>
    <mergeCell ref="R52:R53"/>
    <mergeCell ref="R54:R55"/>
    <mergeCell ref="K54:K55"/>
    <mergeCell ref="P52:P53"/>
    <mergeCell ref="M52:M53"/>
    <mergeCell ref="G52:G53"/>
    <mergeCell ref="G54:G55"/>
    <mergeCell ref="G56:G57"/>
    <mergeCell ref="Q56:Q57"/>
    <mergeCell ref="K50:K51"/>
    <mergeCell ref="O54:O55"/>
    <mergeCell ref="P54:P55"/>
    <mergeCell ref="Q54:Q55"/>
    <mergeCell ref="M50:M51"/>
    <mergeCell ref="M56:M57"/>
    <mergeCell ref="R56:R57"/>
    <mergeCell ref="Q34:Q35"/>
    <mergeCell ref="R58:R59"/>
    <mergeCell ref="P58:P59"/>
    <mergeCell ref="Q58:Q59"/>
    <mergeCell ref="P56:P57"/>
    <mergeCell ref="E54:E55"/>
    <mergeCell ref="E58:E59"/>
    <mergeCell ref="O56:O57"/>
    <mergeCell ref="E56:E57"/>
    <mergeCell ref="K58:K59"/>
    <mergeCell ref="I58:I59"/>
    <mergeCell ref="M58:M59"/>
    <mergeCell ref="O58:O59"/>
    <mergeCell ref="I54:I55"/>
    <mergeCell ref="P36:P37"/>
    <mergeCell ref="Q36:Q37"/>
    <mergeCell ref="R34:R35"/>
    <mergeCell ref="E38:E39"/>
    <mergeCell ref="G38:G39"/>
    <mergeCell ref="E36:E37"/>
    <mergeCell ref="G36:G37"/>
    <mergeCell ref="R36:R37"/>
    <mergeCell ref="R38:R39"/>
    <mergeCell ref="A54:A55"/>
    <mergeCell ref="C56:C57"/>
    <mergeCell ref="A58:A59"/>
    <mergeCell ref="B58:B59"/>
    <mergeCell ref="C54:C55"/>
    <mergeCell ref="B54:B55"/>
    <mergeCell ref="A56:A57"/>
    <mergeCell ref="B56:B57"/>
    <mergeCell ref="C58:C59"/>
    <mergeCell ref="I56:I57"/>
    <mergeCell ref="G58:G59"/>
    <mergeCell ref="A62:A63"/>
    <mergeCell ref="B62:B63"/>
    <mergeCell ref="C62:C63"/>
    <mergeCell ref="E62:E63"/>
    <mergeCell ref="G60:G61"/>
    <mergeCell ref="I62:I63"/>
    <mergeCell ref="G62:G63"/>
    <mergeCell ref="I60:I61"/>
    <mergeCell ref="A66:A67"/>
    <mergeCell ref="Q60:Q61"/>
    <mergeCell ref="O66:O67"/>
    <mergeCell ref="P66:P67"/>
    <mergeCell ref="Q66:Q67"/>
    <mergeCell ref="A60:A61"/>
    <mergeCell ref="B60:B61"/>
    <mergeCell ref="C60:C61"/>
    <mergeCell ref="E60:E61"/>
    <mergeCell ref="K60:K61"/>
    <mergeCell ref="M60:M61"/>
    <mergeCell ref="M62:M63"/>
    <mergeCell ref="I64:I65"/>
    <mergeCell ref="I66:I67"/>
    <mergeCell ref="K62:K63"/>
    <mergeCell ref="M66:M67"/>
    <mergeCell ref="K66:K67"/>
    <mergeCell ref="M64:M65"/>
    <mergeCell ref="K64:K65"/>
    <mergeCell ref="G64:G65"/>
    <mergeCell ref="E68:E69"/>
    <mergeCell ref="C70:C71"/>
    <mergeCell ref="E70:E71"/>
    <mergeCell ref="A70:A71"/>
    <mergeCell ref="B70:B71"/>
    <mergeCell ref="B66:B67"/>
    <mergeCell ref="E66:E67"/>
    <mergeCell ref="R60:R61"/>
    <mergeCell ref="R62:R63"/>
    <mergeCell ref="O60:O61"/>
    <mergeCell ref="P60:P61"/>
    <mergeCell ref="P62:P63"/>
    <mergeCell ref="Q62:Q63"/>
    <mergeCell ref="O62:O63"/>
    <mergeCell ref="R64:R65"/>
    <mergeCell ref="O64:O65"/>
    <mergeCell ref="Q64:Q65"/>
    <mergeCell ref="P64:P65"/>
    <mergeCell ref="A64:A65"/>
    <mergeCell ref="B64:B65"/>
    <mergeCell ref="C64:C65"/>
    <mergeCell ref="E64:E65"/>
    <mergeCell ref="C66:C67"/>
    <mergeCell ref="G66:G67"/>
    <mergeCell ref="G70:G71"/>
    <mergeCell ref="I70:I71"/>
    <mergeCell ref="K70:K71"/>
    <mergeCell ref="Q70:Q71"/>
    <mergeCell ref="M68:M69"/>
    <mergeCell ref="P68:P69"/>
    <mergeCell ref="O74:O75"/>
    <mergeCell ref="P74:P75"/>
    <mergeCell ref="O70:O71"/>
    <mergeCell ref="Q68:Q69"/>
    <mergeCell ref="A73:R73"/>
    <mergeCell ref="A74:A75"/>
    <mergeCell ref="R70:R71"/>
    <mergeCell ref="R68:R69"/>
    <mergeCell ref="O68:O69"/>
    <mergeCell ref="C74:C75"/>
    <mergeCell ref="E74:E75"/>
    <mergeCell ref="G68:G69"/>
    <mergeCell ref="I68:I69"/>
    <mergeCell ref="K68:K69"/>
    <mergeCell ref="I74:I75"/>
    <mergeCell ref="A68:A69"/>
    <mergeCell ref="B68:B69"/>
    <mergeCell ref="C68:C69"/>
    <mergeCell ref="Q80:Q81"/>
    <mergeCell ref="Q82:Q83"/>
    <mergeCell ref="Q74:Q75"/>
    <mergeCell ref="R74:R75"/>
    <mergeCell ref="C80:C81"/>
    <mergeCell ref="E80:E81"/>
    <mergeCell ref="C76:C77"/>
    <mergeCell ref="E76:E77"/>
    <mergeCell ref="A76:A77"/>
    <mergeCell ref="B76:B77"/>
    <mergeCell ref="A80:A81"/>
    <mergeCell ref="B80:B81"/>
    <mergeCell ref="A78:A79"/>
    <mergeCell ref="B78:B79"/>
    <mergeCell ref="K80:K81"/>
    <mergeCell ref="M80:M81"/>
    <mergeCell ref="R78:R79"/>
    <mergeCell ref="R80:R81"/>
    <mergeCell ref="O76:O77"/>
    <mergeCell ref="P76:P77"/>
    <mergeCell ref="G76:G77"/>
    <mergeCell ref="I76:I77"/>
    <mergeCell ref="B74:B75"/>
    <mergeCell ref="G74:G75"/>
    <mergeCell ref="O86:O87"/>
    <mergeCell ref="R82:R83"/>
    <mergeCell ref="O78:O79"/>
    <mergeCell ref="P78:P79"/>
    <mergeCell ref="O80:O81"/>
    <mergeCell ref="P80:P81"/>
    <mergeCell ref="A84:A85"/>
    <mergeCell ref="B84:B85"/>
    <mergeCell ref="C84:C85"/>
    <mergeCell ref="E84:E85"/>
    <mergeCell ref="A82:A83"/>
    <mergeCell ref="B82:B83"/>
    <mergeCell ref="C82:C83"/>
    <mergeCell ref="E82:E83"/>
    <mergeCell ref="P84:P85"/>
    <mergeCell ref="G82:G83"/>
    <mergeCell ref="I82:I83"/>
    <mergeCell ref="K82:K83"/>
    <mergeCell ref="M82:M83"/>
    <mergeCell ref="G80:G81"/>
    <mergeCell ref="I80:I81"/>
    <mergeCell ref="O82:O83"/>
    <mergeCell ref="P82:P83"/>
    <mergeCell ref="Q78:Q79"/>
    <mergeCell ref="O90:O91"/>
    <mergeCell ref="P86:P87"/>
    <mergeCell ref="Q84:Q85"/>
    <mergeCell ref="R84:R85"/>
    <mergeCell ref="Q86:Q87"/>
    <mergeCell ref="R86:R87"/>
    <mergeCell ref="A88:A89"/>
    <mergeCell ref="B88:B89"/>
    <mergeCell ref="C88:C89"/>
    <mergeCell ref="E88:E89"/>
    <mergeCell ref="A86:A87"/>
    <mergeCell ref="B86:B87"/>
    <mergeCell ref="C86:C87"/>
    <mergeCell ref="E86:E87"/>
    <mergeCell ref="P88:P89"/>
    <mergeCell ref="G86:G87"/>
    <mergeCell ref="I86:I87"/>
    <mergeCell ref="K86:K87"/>
    <mergeCell ref="M86:M87"/>
    <mergeCell ref="G84:G85"/>
    <mergeCell ref="I84:I85"/>
    <mergeCell ref="K84:K85"/>
    <mergeCell ref="M84:M85"/>
    <mergeCell ref="O84:O85"/>
    <mergeCell ref="P90:P91"/>
    <mergeCell ref="Q88:Q89"/>
    <mergeCell ref="R88:R89"/>
    <mergeCell ref="Q90:Q91"/>
    <mergeCell ref="R90:R91"/>
    <mergeCell ref="G92:G93"/>
    <mergeCell ref="I92:I93"/>
    <mergeCell ref="A90:A91"/>
    <mergeCell ref="B90:B91"/>
    <mergeCell ref="C90:C91"/>
    <mergeCell ref="E90:E91"/>
    <mergeCell ref="A92:A93"/>
    <mergeCell ref="B92:B93"/>
    <mergeCell ref="C92:C93"/>
    <mergeCell ref="E92:E93"/>
    <mergeCell ref="G90:G91"/>
    <mergeCell ref="I90:I91"/>
    <mergeCell ref="K90:K91"/>
    <mergeCell ref="M90:M91"/>
    <mergeCell ref="G88:G89"/>
    <mergeCell ref="I88:I89"/>
    <mergeCell ref="K88:K89"/>
    <mergeCell ref="M88:M89"/>
    <mergeCell ref="O88:O89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5F5A1FFC-B7E3-4312-8EB7-C6BC06CB74C9}"/>
    <dataValidation imeMode="on" allowBlank="1" showInputMessage="1" showErrorMessage="1" sqref="C24 C72 C48 C96" xr:uid="{2F61F8A7-5349-434B-BDE7-9EB3941877D0}"/>
    <dataValidation type="list" imeMode="on" allowBlank="1" showInputMessage="1" sqref="C4:C23 C28:C47 C52:C71 C76:C95" xr:uid="{BDF116E2-06AD-4D7D-96AB-6F02B12F3293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AC6F-E9B5-4E88-915B-7EB723101A3D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G92:G93"/>
    <mergeCell ref="I92:I93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A92:A93"/>
    <mergeCell ref="B92:B93"/>
    <mergeCell ref="C92:C93"/>
    <mergeCell ref="E92:E93"/>
    <mergeCell ref="O86:O87"/>
    <mergeCell ref="P86:P87"/>
    <mergeCell ref="Q82:Q83"/>
    <mergeCell ref="Q92:Q93"/>
    <mergeCell ref="K84:K85"/>
    <mergeCell ref="M84:M85"/>
    <mergeCell ref="O88:O89"/>
    <mergeCell ref="M90:M91"/>
    <mergeCell ref="P88:P89"/>
    <mergeCell ref="Q86:Q87"/>
    <mergeCell ref="G88:G89"/>
    <mergeCell ref="I88:I89"/>
    <mergeCell ref="R80:R81"/>
    <mergeCell ref="O80:O81"/>
    <mergeCell ref="R86:R87"/>
    <mergeCell ref="A86:A87"/>
    <mergeCell ref="B86:B87"/>
    <mergeCell ref="C86:C87"/>
    <mergeCell ref="E86:E87"/>
    <mergeCell ref="G80:G81"/>
    <mergeCell ref="I80:I81"/>
    <mergeCell ref="A84:A85"/>
    <mergeCell ref="B84:B85"/>
    <mergeCell ref="C84:C85"/>
    <mergeCell ref="E84:E85"/>
    <mergeCell ref="G86:G87"/>
    <mergeCell ref="I86:I87"/>
    <mergeCell ref="G84:G85"/>
    <mergeCell ref="I84:I85"/>
    <mergeCell ref="A80:A81"/>
    <mergeCell ref="B80:B81"/>
    <mergeCell ref="P80:P81"/>
    <mergeCell ref="K86:K87"/>
    <mergeCell ref="M86:M87"/>
    <mergeCell ref="A70:A71"/>
    <mergeCell ref="E66:E67"/>
    <mergeCell ref="A66:A67"/>
    <mergeCell ref="E68:E69"/>
    <mergeCell ref="G90:G91"/>
    <mergeCell ref="I90:I91"/>
    <mergeCell ref="R74:R75"/>
    <mergeCell ref="R82:R83"/>
    <mergeCell ref="Q84:Q85"/>
    <mergeCell ref="R84:R85"/>
    <mergeCell ref="O82:O83"/>
    <mergeCell ref="P82:P83"/>
    <mergeCell ref="O84:O85"/>
    <mergeCell ref="P84:P85"/>
    <mergeCell ref="G82:G83"/>
    <mergeCell ref="I82:I83"/>
    <mergeCell ref="K82:K83"/>
    <mergeCell ref="M82:M83"/>
    <mergeCell ref="K80:K81"/>
    <mergeCell ref="M80:M81"/>
    <mergeCell ref="R78:R79"/>
    <mergeCell ref="Q80:Q81"/>
    <mergeCell ref="R76:R77"/>
    <mergeCell ref="K78:K79"/>
    <mergeCell ref="A76:A77"/>
    <mergeCell ref="B76:B77"/>
    <mergeCell ref="C76:C77"/>
    <mergeCell ref="E76:E77"/>
    <mergeCell ref="G76:G77"/>
    <mergeCell ref="I74:I75"/>
    <mergeCell ref="K74:K75"/>
    <mergeCell ref="M74:M75"/>
    <mergeCell ref="A74:A75"/>
    <mergeCell ref="B74:B75"/>
    <mergeCell ref="C74:C75"/>
    <mergeCell ref="E74:E75"/>
    <mergeCell ref="G74:G75"/>
    <mergeCell ref="I76:I77"/>
    <mergeCell ref="K76:K77"/>
    <mergeCell ref="M76:M77"/>
    <mergeCell ref="A44:A45"/>
    <mergeCell ref="B44:B45"/>
    <mergeCell ref="C44:C45"/>
    <mergeCell ref="E44:E45"/>
    <mergeCell ref="O40:O41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A46:A47"/>
    <mergeCell ref="B46:B47"/>
    <mergeCell ref="C46:C47"/>
    <mergeCell ref="E46:E47"/>
    <mergeCell ref="G46:G47"/>
    <mergeCell ref="I46:I47"/>
    <mergeCell ref="B42:B43"/>
    <mergeCell ref="O44:O45"/>
    <mergeCell ref="P44:P45"/>
    <mergeCell ref="O42:O43"/>
    <mergeCell ref="C42:C43"/>
    <mergeCell ref="E42:E43"/>
    <mergeCell ref="K44:K45"/>
    <mergeCell ref="G44:G45"/>
    <mergeCell ref="I44:I45"/>
    <mergeCell ref="K42:K43"/>
    <mergeCell ref="I40:I41"/>
    <mergeCell ref="K40:K41"/>
    <mergeCell ref="G42:G43"/>
    <mergeCell ref="I42:I43"/>
    <mergeCell ref="R44:R45"/>
    <mergeCell ref="R42:R43"/>
    <mergeCell ref="O46:O47"/>
    <mergeCell ref="P46:P47"/>
    <mergeCell ref="Q42:Q43"/>
    <mergeCell ref="R40:R41"/>
    <mergeCell ref="R46:R47"/>
    <mergeCell ref="R26:R27"/>
    <mergeCell ref="P26:P27"/>
    <mergeCell ref="O28:O29"/>
    <mergeCell ref="P28:P29"/>
    <mergeCell ref="O38:O39"/>
    <mergeCell ref="P38:P39"/>
    <mergeCell ref="P42:P43"/>
    <mergeCell ref="K26:K27"/>
    <mergeCell ref="Q28:Q29"/>
    <mergeCell ref="R28:R29"/>
    <mergeCell ref="M26:M27"/>
    <mergeCell ref="G30:G31"/>
    <mergeCell ref="I30:I31"/>
    <mergeCell ref="K30:K31"/>
    <mergeCell ref="A62:A63"/>
    <mergeCell ref="B62:B63"/>
    <mergeCell ref="C62:C63"/>
    <mergeCell ref="R30:R31"/>
    <mergeCell ref="K32:K33"/>
    <mergeCell ref="O30:O31"/>
    <mergeCell ref="M32:M33"/>
    <mergeCell ref="O32:O33"/>
    <mergeCell ref="Q30:Q31"/>
    <mergeCell ref="R32:R33"/>
    <mergeCell ref="A32:A33"/>
    <mergeCell ref="B32:B33"/>
    <mergeCell ref="C32:C33"/>
    <mergeCell ref="E34:E35"/>
    <mergeCell ref="G34:G35"/>
    <mergeCell ref="I34:I35"/>
    <mergeCell ref="A30:A31"/>
    <mergeCell ref="A36:A37"/>
    <mergeCell ref="B36:B37"/>
    <mergeCell ref="C36:C37"/>
    <mergeCell ref="A34:A35"/>
    <mergeCell ref="E36:E37"/>
    <mergeCell ref="A40:A41"/>
    <mergeCell ref="B40:B41"/>
    <mergeCell ref="A82:A83"/>
    <mergeCell ref="B82:B83"/>
    <mergeCell ref="C82:C83"/>
    <mergeCell ref="E82:E83"/>
    <mergeCell ref="A78:A79"/>
    <mergeCell ref="B78:B79"/>
    <mergeCell ref="A68:A69"/>
    <mergeCell ref="B68:B69"/>
    <mergeCell ref="C68:C69"/>
    <mergeCell ref="B70:B71"/>
    <mergeCell ref="C70:C71"/>
    <mergeCell ref="E70:E71"/>
    <mergeCell ref="A73:R73"/>
    <mergeCell ref="G68:G69"/>
    <mergeCell ref="P68:P69"/>
    <mergeCell ref="I68:I69"/>
    <mergeCell ref="K68:K69"/>
    <mergeCell ref="R68:R69"/>
    <mergeCell ref="O68:O69"/>
    <mergeCell ref="Q68:Q69"/>
    <mergeCell ref="M68:M69"/>
    <mergeCell ref="Q74:Q75"/>
    <mergeCell ref="O74:O75"/>
    <mergeCell ref="P74:P75"/>
    <mergeCell ref="A90:A91"/>
    <mergeCell ref="B90:B91"/>
    <mergeCell ref="C90:C91"/>
    <mergeCell ref="E90:E91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A88:A89"/>
    <mergeCell ref="B88:B89"/>
    <mergeCell ref="C88:C89"/>
    <mergeCell ref="E88:E89"/>
    <mergeCell ref="O70:O71"/>
    <mergeCell ref="P70:P71"/>
    <mergeCell ref="Q70:Q71"/>
    <mergeCell ref="I70:I71"/>
    <mergeCell ref="K70:K71"/>
    <mergeCell ref="M70:M71"/>
    <mergeCell ref="R70:R71"/>
    <mergeCell ref="C80:C81"/>
    <mergeCell ref="E80:E81"/>
    <mergeCell ref="G70:G71"/>
    <mergeCell ref="G78:G79"/>
    <mergeCell ref="I78:I79"/>
    <mergeCell ref="M78:M79"/>
    <mergeCell ref="Q76:Q77"/>
    <mergeCell ref="C78:C79"/>
    <mergeCell ref="E78:E79"/>
    <mergeCell ref="Q78:Q79"/>
    <mergeCell ref="O76:O77"/>
    <mergeCell ref="P76:P77"/>
    <mergeCell ref="O78:O79"/>
    <mergeCell ref="P78:P79"/>
    <mergeCell ref="A64:A65"/>
    <mergeCell ref="B64:B65"/>
    <mergeCell ref="C64:C65"/>
    <mergeCell ref="E64:E65"/>
    <mergeCell ref="B66:B67"/>
    <mergeCell ref="C66:C67"/>
    <mergeCell ref="R64:R65"/>
    <mergeCell ref="I64:I65"/>
    <mergeCell ref="M66:M67"/>
    <mergeCell ref="O66:O67"/>
    <mergeCell ref="P66:P67"/>
    <mergeCell ref="Q66:Q67"/>
    <mergeCell ref="Q64:Q65"/>
    <mergeCell ref="M64:M65"/>
    <mergeCell ref="O64:O65"/>
    <mergeCell ref="K66:K67"/>
    <mergeCell ref="I66:I67"/>
    <mergeCell ref="R66:R67"/>
    <mergeCell ref="G66:G67"/>
    <mergeCell ref="I62:I63"/>
    <mergeCell ref="K62:K63"/>
    <mergeCell ref="P60:P61"/>
    <mergeCell ref="K60:K61"/>
    <mergeCell ref="K64:K65"/>
    <mergeCell ref="G62:G63"/>
    <mergeCell ref="I60:I61"/>
    <mergeCell ref="O62:O63"/>
    <mergeCell ref="P64:P65"/>
    <mergeCell ref="M62:M63"/>
    <mergeCell ref="G64:G65"/>
    <mergeCell ref="R62:R63"/>
    <mergeCell ref="Q60:Q61"/>
    <mergeCell ref="R60:R61"/>
    <mergeCell ref="M60:M61"/>
    <mergeCell ref="Q62:Q63"/>
    <mergeCell ref="O60:O61"/>
    <mergeCell ref="P62:P63"/>
    <mergeCell ref="R54:R55"/>
    <mergeCell ref="K54:K55"/>
    <mergeCell ref="R56:R57"/>
    <mergeCell ref="O56:O57"/>
    <mergeCell ref="P56:P57"/>
    <mergeCell ref="Q54:Q55"/>
    <mergeCell ref="P54:P55"/>
    <mergeCell ref="Q56:Q57"/>
    <mergeCell ref="M54:M55"/>
    <mergeCell ref="O54:O55"/>
    <mergeCell ref="E62:E63"/>
    <mergeCell ref="G54:G55"/>
    <mergeCell ref="E54:E55"/>
    <mergeCell ref="B54:B55"/>
    <mergeCell ref="C60:C61"/>
    <mergeCell ref="C58:C59"/>
    <mergeCell ref="E56:E57"/>
    <mergeCell ref="E60:E61"/>
    <mergeCell ref="C54:C55"/>
    <mergeCell ref="G60:G61"/>
    <mergeCell ref="C56:C57"/>
    <mergeCell ref="I54:I55"/>
    <mergeCell ref="M56:M57"/>
    <mergeCell ref="I56:I57"/>
    <mergeCell ref="G50:G51"/>
    <mergeCell ref="G58:G59"/>
    <mergeCell ref="G56:G57"/>
    <mergeCell ref="A52:A53"/>
    <mergeCell ref="A50:A51"/>
    <mergeCell ref="R58:R59"/>
    <mergeCell ref="P58:P59"/>
    <mergeCell ref="M58:M59"/>
    <mergeCell ref="Q58:Q59"/>
    <mergeCell ref="O58:O59"/>
    <mergeCell ref="K58:K59"/>
    <mergeCell ref="K56:K57"/>
    <mergeCell ref="I58:I59"/>
    <mergeCell ref="A56:A57"/>
    <mergeCell ref="R50:R51"/>
    <mergeCell ref="R52:R53"/>
    <mergeCell ref="E50:E51"/>
    <mergeCell ref="A54:A55"/>
    <mergeCell ref="Q52:Q53"/>
    <mergeCell ref="O52:O53"/>
    <mergeCell ref="O50:O51"/>
    <mergeCell ref="I52:I53"/>
    <mergeCell ref="K50:K51"/>
    <mergeCell ref="M52:M53"/>
    <mergeCell ref="K52:K53"/>
    <mergeCell ref="C52:C53"/>
    <mergeCell ref="B52:B53"/>
    <mergeCell ref="E52:E53"/>
    <mergeCell ref="Q50:Q51"/>
    <mergeCell ref="P50:P51"/>
    <mergeCell ref="P52:P53"/>
    <mergeCell ref="I50:I51"/>
    <mergeCell ref="M50:M51"/>
    <mergeCell ref="G52:G53"/>
    <mergeCell ref="B50:B51"/>
    <mergeCell ref="C50:C51"/>
    <mergeCell ref="B26:B27"/>
    <mergeCell ref="C26:C27"/>
    <mergeCell ref="A20:A21"/>
    <mergeCell ref="G22:G23"/>
    <mergeCell ref="A60:A61"/>
    <mergeCell ref="B60:B61"/>
    <mergeCell ref="E58:E59"/>
    <mergeCell ref="B56:B57"/>
    <mergeCell ref="A58:A59"/>
    <mergeCell ref="B58:B59"/>
    <mergeCell ref="A28:A29"/>
    <mergeCell ref="B28:B29"/>
    <mergeCell ref="C28:C29"/>
    <mergeCell ref="E28:E29"/>
    <mergeCell ref="B34:B35"/>
    <mergeCell ref="C34:C35"/>
    <mergeCell ref="C40:C41"/>
    <mergeCell ref="E40:E41"/>
    <mergeCell ref="A38:A39"/>
    <mergeCell ref="B38:B39"/>
    <mergeCell ref="C38:C39"/>
    <mergeCell ref="E38:E39"/>
    <mergeCell ref="G40:G41"/>
    <mergeCell ref="A42:A43"/>
    <mergeCell ref="A49:R49"/>
    <mergeCell ref="A25:R25"/>
    <mergeCell ref="E26:E27"/>
    <mergeCell ref="G26:G27"/>
    <mergeCell ref="I26:I27"/>
    <mergeCell ref="K20:K21"/>
    <mergeCell ref="G20:G21"/>
    <mergeCell ref="Q32:Q33"/>
    <mergeCell ref="Q38:Q39"/>
    <mergeCell ref="P30:P31"/>
    <mergeCell ref="P32:P33"/>
    <mergeCell ref="P36:P37"/>
    <mergeCell ref="Q36:Q37"/>
    <mergeCell ref="Q26:Q27"/>
    <mergeCell ref="R38:R39"/>
    <mergeCell ref="K38:K39"/>
    <mergeCell ref="M38:M39"/>
    <mergeCell ref="O34:O35"/>
    <mergeCell ref="P34:P35"/>
    <mergeCell ref="M22:M23"/>
    <mergeCell ref="K22:K23"/>
    <mergeCell ref="E22:E23"/>
    <mergeCell ref="B22:B23"/>
    <mergeCell ref="A22:A23"/>
    <mergeCell ref="K28:K29"/>
    <mergeCell ref="O22:O23"/>
    <mergeCell ref="P20:P21"/>
    <mergeCell ref="O26:O27"/>
    <mergeCell ref="I28:I29"/>
    <mergeCell ref="G28:G29"/>
    <mergeCell ref="O16:O17"/>
    <mergeCell ref="A16:A17"/>
    <mergeCell ref="B18:B19"/>
    <mergeCell ref="G18:G19"/>
    <mergeCell ref="K18:K19"/>
    <mergeCell ref="I18:I19"/>
    <mergeCell ref="I22:I23"/>
    <mergeCell ref="B16:B17"/>
    <mergeCell ref="C16:C17"/>
    <mergeCell ref="E20:E21"/>
    <mergeCell ref="I20:I21"/>
    <mergeCell ref="P22:P23"/>
    <mergeCell ref="M28:M29"/>
    <mergeCell ref="O20:O21"/>
    <mergeCell ref="C22:C23"/>
    <mergeCell ref="B20:B21"/>
    <mergeCell ref="C20:C21"/>
    <mergeCell ref="A26:A27"/>
    <mergeCell ref="A12:A13"/>
    <mergeCell ref="B12:B13"/>
    <mergeCell ref="C12:C13"/>
    <mergeCell ref="E12:E13"/>
    <mergeCell ref="C10:C11"/>
    <mergeCell ref="G10:G11"/>
    <mergeCell ref="A18:A19"/>
    <mergeCell ref="P16:P17"/>
    <mergeCell ref="O18:O19"/>
    <mergeCell ref="C18:C19"/>
    <mergeCell ref="E16:E17"/>
    <mergeCell ref="E18:E19"/>
    <mergeCell ref="I16:I17"/>
    <mergeCell ref="G16:G17"/>
    <mergeCell ref="A14:A15"/>
    <mergeCell ref="K16:K17"/>
    <mergeCell ref="B6:B7"/>
    <mergeCell ref="C6:C7"/>
    <mergeCell ref="A8:A9"/>
    <mergeCell ref="E6:E7"/>
    <mergeCell ref="G8:G9"/>
    <mergeCell ref="E10:E11"/>
    <mergeCell ref="A10:A11"/>
    <mergeCell ref="B14:B15"/>
    <mergeCell ref="Q10:Q11"/>
    <mergeCell ref="O10:O11"/>
    <mergeCell ref="B10:B11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B8:B9"/>
    <mergeCell ref="C14:C15"/>
    <mergeCell ref="E14:E15"/>
    <mergeCell ref="G6:G7"/>
    <mergeCell ref="I6:I7"/>
    <mergeCell ref="M8:M9"/>
    <mergeCell ref="K8:K9"/>
    <mergeCell ref="M6:M7"/>
    <mergeCell ref="K6:K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E8:E9"/>
    <mergeCell ref="C8:C9"/>
    <mergeCell ref="I4:I5"/>
    <mergeCell ref="I8:I9"/>
    <mergeCell ref="A4:A5"/>
    <mergeCell ref="A6:A7"/>
    <mergeCell ref="B4:B5"/>
    <mergeCell ref="E4:E5"/>
    <mergeCell ref="R4:R5"/>
    <mergeCell ref="C2:C3"/>
    <mergeCell ref="P2:P3"/>
    <mergeCell ref="R2:R3"/>
    <mergeCell ref="Q4:Q5"/>
    <mergeCell ref="O4:O5"/>
    <mergeCell ref="P4:P5"/>
    <mergeCell ref="G4:G5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K12:K13"/>
    <mergeCell ref="P12:P13"/>
    <mergeCell ref="P10:P11"/>
    <mergeCell ref="Q8:Q9"/>
    <mergeCell ref="O6:O7"/>
    <mergeCell ref="Q6:Q7"/>
    <mergeCell ref="R8:R9"/>
    <mergeCell ref="R18:R19"/>
    <mergeCell ref="R14:R15"/>
    <mergeCell ref="Q18:Q19"/>
    <mergeCell ref="Q14:Q15"/>
    <mergeCell ref="O14:O15"/>
    <mergeCell ref="M20:M21"/>
    <mergeCell ref="M18:M19"/>
    <mergeCell ref="R22:R23"/>
    <mergeCell ref="R12:R13"/>
    <mergeCell ref="Q12:Q13"/>
    <mergeCell ref="P14:P15"/>
    <mergeCell ref="P18:P19"/>
    <mergeCell ref="Q16:Q17"/>
    <mergeCell ref="R16:R17"/>
    <mergeCell ref="M16:M17"/>
    <mergeCell ref="Q22:Q23"/>
    <mergeCell ref="R20:R21"/>
    <mergeCell ref="Q20:Q21"/>
    <mergeCell ref="G38:G39"/>
    <mergeCell ref="I38:I39"/>
    <mergeCell ref="M34:M35"/>
    <mergeCell ref="M36:M37"/>
    <mergeCell ref="K34:K35"/>
    <mergeCell ref="K36:K37"/>
    <mergeCell ref="G36:G37"/>
    <mergeCell ref="I36:I37"/>
    <mergeCell ref="R36:R37"/>
    <mergeCell ref="Q34:Q35"/>
    <mergeCell ref="B30:B31"/>
    <mergeCell ref="C30:C31"/>
    <mergeCell ref="E32:E33"/>
    <mergeCell ref="G32:G33"/>
    <mergeCell ref="I32:I33"/>
    <mergeCell ref="E30:E31"/>
    <mergeCell ref="M30:M31"/>
    <mergeCell ref="R34:R35"/>
    <mergeCell ref="O36:O37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CF13DD97-7EDD-477F-874E-E38389C3153A}"/>
    <dataValidation imeMode="on" allowBlank="1" showInputMessage="1" showErrorMessage="1" sqref="C24 C72 C48 C96" xr:uid="{A0B72D45-C765-4C4E-BE56-172BBE2D05DC}"/>
    <dataValidation type="list" imeMode="on" allowBlank="1" showInputMessage="1" sqref="C4:C23 C28:C47 C52:C71 C76:C95" xr:uid="{1C30D2A3-F808-41EC-978B-2FF050633ABE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4884-A2C8-4BE5-8292-EDDC187F90AD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R66:R67"/>
    <mergeCell ref="M70:M71"/>
    <mergeCell ref="Q94:Q95"/>
    <mergeCell ref="R94:R95"/>
    <mergeCell ref="O94:O95"/>
    <mergeCell ref="P94:P95"/>
    <mergeCell ref="A94:A95"/>
    <mergeCell ref="B94:B95"/>
    <mergeCell ref="C94:C95"/>
    <mergeCell ref="E94:E95"/>
    <mergeCell ref="Q92:Q93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P70:P71"/>
    <mergeCell ref="K74:K75"/>
    <mergeCell ref="M74:M75"/>
    <mergeCell ref="C78:C79"/>
    <mergeCell ref="E78:E79"/>
    <mergeCell ref="Q76:Q77"/>
    <mergeCell ref="R76:R77"/>
    <mergeCell ref="K78:K79"/>
    <mergeCell ref="M78:M79"/>
    <mergeCell ref="K76:K77"/>
    <mergeCell ref="M76:M77"/>
    <mergeCell ref="G78:G79"/>
    <mergeCell ref="I78:I79"/>
    <mergeCell ref="A49:R49"/>
    <mergeCell ref="B50:B51"/>
    <mergeCell ref="C50:C51"/>
    <mergeCell ref="E50:E51"/>
    <mergeCell ref="C52:C53"/>
    <mergeCell ref="B52:B53"/>
    <mergeCell ref="E52:E53"/>
    <mergeCell ref="P46:P47"/>
    <mergeCell ref="Q46:Q47"/>
    <mergeCell ref="A52:A53"/>
    <mergeCell ref="A50:A51"/>
    <mergeCell ref="R50:R51"/>
    <mergeCell ref="Q50:Q51"/>
    <mergeCell ref="P50:P51"/>
    <mergeCell ref="O50:O51"/>
    <mergeCell ref="M46:M47"/>
    <mergeCell ref="O46:O47"/>
    <mergeCell ref="G50:G51"/>
    <mergeCell ref="I50:I51"/>
    <mergeCell ref="I52:I53"/>
    <mergeCell ref="A46:A47"/>
    <mergeCell ref="B46:B47"/>
    <mergeCell ref="C46:C47"/>
    <mergeCell ref="E46:E47"/>
    <mergeCell ref="G46:G47"/>
    <mergeCell ref="I46:I47"/>
    <mergeCell ref="K46:K47"/>
    <mergeCell ref="R42:R43"/>
    <mergeCell ref="A44:A45"/>
    <mergeCell ref="B44:B45"/>
    <mergeCell ref="C44:C45"/>
    <mergeCell ref="E44:E45"/>
    <mergeCell ref="G44:G45"/>
    <mergeCell ref="I44:I45"/>
    <mergeCell ref="K44:K45"/>
    <mergeCell ref="P44:P45"/>
    <mergeCell ref="Q44:Q45"/>
    <mergeCell ref="O42:O43"/>
    <mergeCell ref="I42:I43"/>
    <mergeCell ref="K42:K43"/>
    <mergeCell ref="R46:R47"/>
    <mergeCell ref="M44:M45"/>
    <mergeCell ref="O44:O45"/>
    <mergeCell ref="O40:O41"/>
    <mergeCell ref="P42:P43"/>
    <mergeCell ref="Q42:Q43"/>
    <mergeCell ref="I40:I41"/>
    <mergeCell ref="K40:K41"/>
    <mergeCell ref="M40:M41"/>
    <mergeCell ref="R44:R45"/>
    <mergeCell ref="R40:R41"/>
    <mergeCell ref="A42:A43"/>
    <mergeCell ref="B42:B43"/>
    <mergeCell ref="C42:C43"/>
    <mergeCell ref="E42:E43"/>
    <mergeCell ref="G42:G43"/>
    <mergeCell ref="M42:M43"/>
    <mergeCell ref="A40:A41"/>
    <mergeCell ref="B40:B41"/>
    <mergeCell ref="C40:C41"/>
    <mergeCell ref="E40:E41"/>
    <mergeCell ref="G40:G41"/>
    <mergeCell ref="P40:P41"/>
    <mergeCell ref="Q40:Q41"/>
    <mergeCell ref="A38:A39"/>
    <mergeCell ref="B38:B39"/>
    <mergeCell ref="C38:C39"/>
    <mergeCell ref="A36:A37"/>
    <mergeCell ref="B36:B37"/>
    <mergeCell ref="C36:C37"/>
    <mergeCell ref="I38:I39"/>
    <mergeCell ref="K36:K37"/>
    <mergeCell ref="Q38:Q39"/>
    <mergeCell ref="M38:M39"/>
    <mergeCell ref="K38:K39"/>
    <mergeCell ref="O38:O39"/>
    <mergeCell ref="P38:P39"/>
    <mergeCell ref="I30:I31"/>
    <mergeCell ref="P28:P29"/>
    <mergeCell ref="K30:K31"/>
    <mergeCell ref="M34:M35"/>
    <mergeCell ref="O34:O35"/>
    <mergeCell ref="O36:O37"/>
    <mergeCell ref="M36:M37"/>
    <mergeCell ref="P30:P31"/>
    <mergeCell ref="K32:K33"/>
    <mergeCell ref="K28:K29"/>
    <mergeCell ref="P34:P35"/>
    <mergeCell ref="I36:I37"/>
    <mergeCell ref="A34:A35"/>
    <mergeCell ref="B34:B35"/>
    <mergeCell ref="C34:C35"/>
    <mergeCell ref="E34:E35"/>
    <mergeCell ref="M32:M33"/>
    <mergeCell ref="I32:I33"/>
    <mergeCell ref="A32:A33"/>
    <mergeCell ref="B32:B33"/>
    <mergeCell ref="C32:C33"/>
    <mergeCell ref="E32:E33"/>
    <mergeCell ref="G34:G35"/>
    <mergeCell ref="I34:I35"/>
    <mergeCell ref="K34:K35"/>
    <mergeCell ref="Q30:Q31"/>
    <mergeCell ref="M30:M31"/>
    <mergeCell ref="O30:O31"/>
    <mergeCell ref="R32:R33"/>
    <mergeCell ref="O32:O33"/>
    <mergeCell ref="P32:P33"/>
    <mergeCell ref="Q32:Q33"/>
    <mergeCell ref="R28:R29"/>
    <mergeCell ref="A30:A31"/>
    <mergeCell ref="O28:O29"/>
    <mergeCell ref="B30:B31"/>
    <mergeCell ref="C30:C31"/>
    <mergeCell ref="E30:E31"/>
    <mergeCell ref="G30:G31"/>
    <mergeCell ref="R30:R31"/>
    <mergeCell ref="Q28:Q29"/>
    <mergeCell ref="A28:A29"/>
    <mergeCell ref="B28:B29"/>
    <mergeCell ref="C28:C29"/>
    <mergeCell ref="E28:E29"/>
    <mergeCell ref="G28:G29"/>
    <mergeCell ref="I28:I29"/>
    <mergeCell ref="G32:G33"/>
    <mergeCell ref="M28:M29"/>
    <mergeCell ref="G14:G15"/>
    <mergeCell ref="K14:K15"/>
    <mergeCell ref="P26:P27"/>
    <mergeCell ref="G26:G27"/>
    <mergeCell ref="I26:I27"/>
    <mergeCell ref="K26:K27"/>
    <mergeCell ref="M26:M27"/>
    <mergeCell ref="O26:O27"/>
    <mergeCell ref="A25:R25"/>
    <mergeCell ref="A26:A27"/>
    <mergeCell ref="B14:B15"/>
    <mergeCell ref="E16:E17"/>
    <mergeCell ref="E18:E19"/>
    <mergeCell ref="I18:I19"/>
    <mergeCell ref="C18:C19"/>
    <mergeCell ref="I16:I17"/>
    <mergeCell ref="B18:B19"/>
    <mergeCell ref="G18:G19"/>
    <mergeCell ref="G16:G17"/>
    <mergeCell ref="A16:A17"/>
    <mergeCell ref="C20:C21"/>
    <mergeCell ref="E20:E21"/>
    <mergeCell ref="A20:A21"/>
    <mergeCell ref="I20:I21"/>
    <mergeCell ref="O12:O13"/>
    <mergeCell ref="R20:R21"/>
    <mergeCell ref="O20:O21"/>
    <mergeCell ref="Q20:Q21"/>
    <mergeCell ref="M20:M21"/>
    <mergeCell ref="Q22:Q23"/>
    <mergeCell ref="R8:R9"/>
    <mergeCell ref="R26:R27"/>
    <mergeCell ref="Q26:Q27"/>
    <mergeCell ref="R10:R11"/>
    <mergeCell ref="R18:R19"/>
    <mergeCell ref="R14:R15"/>
    <mergeCell ref="Q18:Q19"/>
    <mergeCell ref="Q16:Q17"/>
    <mergeCell ref="R12:R13"/>
    <mergeCell ref="Q10:Q11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E26:E27"/>
    <mergeCell ref="R6:R7"/>
    <mergeCell ref="O4:O5"/>
    <mergeCell ref="P4:P5"/>
    <mergeCell ref="Q4:Q5"/>
    <mergeCell ref="P6:P7"/>
    <mergeCell ref="O6:O7"/>
    <mergeCell ref="Q6:Q7"/>
    <mergeCell ref="R4:R5"/>
    <mergeCell ref="M8:M9"/>
    <mergeCell ref="E8:E9"/>
    <mergeCell ref="P10:P11"/>
    <mergeCell ref="G12:G13"/>
    <mergeCell ref="Q8:Q9"/>
    <mergeCell ref="K12:K13"/>
    <mergeCell ref="P8:P9"/>
    <mergeCell ref="P12:P13"/>
    <mergeCell ref="I12:I13"/>
    <mergeCell ref="M12:M13"/>
    <mergeCell ref="P14:P15"/>
    <mergeCell ref="O14:O15"/>
    <mergeCell ref="Q12:Q13"/>
    <mergeCell ref="R16:R17"/>
    <mergeCell ref="Q14:Q15"/>
    <mergeCell ref="M4:M5"/>
    <mergeCell ref="K2:K3"/>
    <mergeCell ref="M2:M3"/>
    <mergeCell ref="I4:I5"/>
    <mergeCell ref="M6:M7"/>
    <mergeCell ref="C6:C7"/>
    <mergeCell ref="E6:E7"/>
    <mergeCell ref="K6:K7"/>
    <mergeCell ref="G6:G7"/>
    <mergeCell ref="I6:I7"/>
    <mergeCell ref="I2:I3"/>
    <mergeCell ref="B8:B9"/>
    <mergeCell ref="C8:C9"/>
    <mergeCell ref="E10:E11"/>
    <mergeCell ref="G10:G11"/>
    <mergeCell ref="I10:I11"/>
    <mergeCell ref="G8:G9"/>
    <mergeCell ref="G4:G5"/>
    <mergeCell ref="A10:A11"/>
    <mergeCell ref="O10:O11"/>
    <mergeCell ref="B10:B11"/>
    <mergeCell ref="C10:C11"/>
    <mergeCell ref="K10:K11"/>
    <mergeCell ref="I8:I9"/>
    <mergeCell ref="O8:O9"/>
    <mergeCell ref="M10:M11"/>
    <mergeCell ref="K8:K9"/>
    <mergeCell ref="A8:A9"/>
    <mergeCell ref="A4:A5"/>
    <mergeCell ref="A6:A7"/>
    <mergeCell ref="B4:B5"/>
    <mergeCell ref="E4:E5"/>
    <mergeCell ref="C4:C5"/>
    <mergeCell ref="B6:B7"/>
    <mergeCell ref="K4:K5"/>
    <mergeCell ref="A12:A13"/>
    <mergeCell ref="B12:B13"/>
    <mergeCell ref="C12:C13"/>
    <mergeCell ref="E12:E13"/>
    <mergeCell ref="K18:K19"/>
    <mergeCell ref="P20:P21"/>
    <mergeCell ref="O18:O19"/>
    <mergeCell ref="P18:P19"/>
    <mergeCell ref="M18:M19"/>
    <mergeCell ref="B16:B17"/>
    <mergeCell ref="C16:C17"/>
    <mergeCell ref="G20:G21"/>
    <mergeCell ref="K20:K21"/>
    <mergeCell ref="B20:B21"/>
    <mergeCell ref="M14:M15"/>
    <mergeCell ref="O16:O17"/>
    <mergeCell ref="M16:M17"/>
    <mergeCell ref="P16:P17"/>
    <mergeCell ref="A14:A15"/>
    <mergeCell ref="C14:C15"/>
    <mergeCell ref="E14:E15"/>
    <mergeCell ref="K16:K17"/>
    <mergeCell ref="I14:I15"/>
    <mergeCell ref="A18:A19"/>
    <mergeCell ref="E22:E23"/>
    <mergeCell ref="B22:B23"/>
    <mergeCell ref="G22:G23"/>
    <mergeCell ref="M22:M23"/>
    <mergeCell ref="P22:P23"/>
    <mergeCell ref="C22:C23"/>
    <mergeCell ref="I22:I23"/>
    <mergeCell ref="O22:O23"/>
    <mergeCell ref="K22:K23"/>
    <mergeCell ref="A22:A23"/>
    <mergeCell ref="R22:R23"/>
    <mergeCell ref="B26:B27"/>
    <mergeCell ref="C26:C27"/>
    <mergeCell ref="Q52:Q53"/>
    <mergeCell ref="O52:O53"/>
    <mergeCell ref="K52:K53"/>
    <mergeCell ref="K56:K57"/>
    <mergeCell ref="M54:M55"/>
    <mergeCell ref="R52:R53"/>
    <mergeCell ref="R54:R55"/>
    <mergeCell ref="K54:K55"/>
    <mergeCell ref="P52:P53"/>
    <mergeCell ref="M52:M53"/>
    <mergeCell ref="G52:G53"/>
    <mergeCell ref="G54:G55"/>
    <mergeCell ref="G56:G57"/>
    <mergeCell ref="Q56:Q57"/>
    <mergeCell ref="K50:K51"/>
    <mergeCell ref="O54:O55"/>
    <mergeCell ref="P54:P55"/>
    <mergeCell ref="Q54:Q55"/>
    <mergeCell ref="M50:M51"/>
    <mergeCell ref="M56:M57"/>
    <mergeCell ref="R56:R57"/>
    <mergeCell ref="Q34:Q35"/>
    <mergeCell ref="R58:R59"/>
    <mergeCell ref="P58:P59"/>
    <mergeCell ref="Q58:Q59"/>
    <mergeCell ref="P56:P57"/>
    <mergeCell ref="E54:E55"/>
    <mergeCell ref="E58:E59"/>
    <mergeCell ref="O56:O57"/>
    <mergeCell ref="E56:E57"/>
    <mergeCell ref="K58:K59"/>
    <mergeCell ref="I58:I59"/>
    <mergeCell ref="M58:M59"/>
    <mergeCell ref="O58:O59"/>
    <mergeCell ref="I54:I55"/>
    <mergeCell ref="P36:P37"/>
    <mergeCell ref="Q36:Q37"/>
    <mergeCell ref="R34:R35"/>
    <mergeCell ref="E38:E39"/>
    <mergeCell ref="G38:G39"/>
    <mergeCell ref="E36:E37"/>
    <mergeCell ref="G36:G37"/>
    <mergeCell ref="R36:R37"/>
    <mergeCell ref="R38:R39"/>
    <mergeCell ref="A54:A55"/>
    <mergeCell ref="C56:C57"/>
    <mergeCell ref="A58:A59"/>
    <mergeCell ref="B58:B59"/>
    <mergeCell ref="C54:C55"/>
    <mergeCell ref="B54:B55"/>
    <mergeCell ref="A56:A57"/>
    <mergeCell ref="B56:B57"/>
    <mergeCell ref="C58:C59"/>
    <mergeCell ref="I56:I57"/>
    <mergeCell ref="G58:G59"/>
    <mergeCell ref="A62:A63"/>
    <mergeCell ref="B62:B63"/>
    <mergeCell ref="C62:C63"/>
    <mergeCell ref="E62:E63"/>
    <mergeCell ref="G60:G61"/>
    <mergeCell ref="I62:I63"/>
    <mergeCell ref="G62:G63"/>
    <mergeCell ref="I60:I61"/>
    <mergeCell ref="A66:A67"/>
    <mergeCell ref="Q60:Q61"/>
    <mergeCell ref="O66:O67"/>
    <mergeCell ref="P66:P67"/>
    <mergeCell ref="Q66:Q67"/>
    <mergeCell ref="A60:A61"/>
    <mergeCell ref="B60:B61"/>
    <mergeCell ref="C60:C61"/>
    <mergeCell ref="E60:E61"/>
    <mergeCell ref="K60:K61"/>
    <mergeCell ref="M60:M61"/>
    <mergeCell ref="M62:M63"/>
    <mergeCell ref="I64:I65"/>
    <mergeCell ref="I66:I67"/>
    <mergeCell ref="K62:K63"/>
    <mergeCell ref="M66:M67"/>
    <mergeCell ref="K66:K67"/>
    <mergeCell ref="M64:M65"/>
    <mergeCell ref="K64:K65"/>
    <mergeCell ref="G64:G65"/>
    <mergeCell ref="E68:E69"/>
    <mergeCell ref="C70:C71"/>
    <mergeCell ref="E70:E71"/>
    <mergeCell ref="A70:A71"/>
    <mergeCell ref="B70:B71"/>
    <mergeCell ref="B66:B67"/>
    <mergeCell ref="E66:E67"/>
    <mergeCell ref="R60:R61"/>
    <mergeCell ref="R62:R63"/>
    <mergeCell ref="O60:O61"/>
    <mergeCell ref="P60:P61"/>
    <mergeCell ref="P62:P63"/>
    <mergeCell ref="Q62:Q63"/>
    <mergeCell ref="O62:O63"/>
    <mergeCell ref="R64:R65"/>
    <mergeCell ref="O64:O65"/>
    <mergeCell ref="Q64:Q65"/>
    <mergeCell ref="P64:P65"/>
    <mergeCell ref="A64:A65"/>
    <mergeCell ref="B64:B65"/>
    <mergeCell ref="C64:C65"/>
    <mergeCell ref="E64:E65"/>
    <mergeCell ref="C66:C67"/>
    <mergeCell ref="G66:G67"/>
    <mergeCell ref="G70:G71"/>
    <mergeCell ref="I70:I71"/>
    <mergeCell ref="K70:K71"/>
    <mergeCell ref="Q70:Q71"/>
    <mergeCell ref="M68:M69"/>
    <mergeCell ref="P68:P69"/>
    <mergeCell ref="O74:O75"/>
    <mergeCell ref="P74:P75"/>
    <mergeCell ref="O70:O71"/>
    <mergeCell ref="Q68:Q69"/>
    <mergeCell ref="A73:R73"/>
    <mergeCell ref="A74:A75"/>
    <mergeCell ref="R70:R71"/>
    <mergeCell ref="R68:R69"/>
    <mergeCell ref="O68:O69"/>
    <mergeCell ref="C74:C75"/>
    <mergeCell ref="E74:E75"/>
    <mergeCell ref="G68:G69"/>
    <mergeCell ref="I68:I69"/>
    <mergeCell ref="K68:K69"/>
    <mergeCell ref="I74:I75"/>
    <mergeCell ref="A68:A69"/>
    <mergeCell ref="B68:B69"/>
    <mergeCell ref="C68:C69"/>
    <mergeCell ref="Q80:Q81"/>
    <mergeCell ref="Q82:Q83"/>
    <mergeCell ref="Q74:Q75"/>
    <mergeCell ref="R74:R75"/>
    <mergeCell ref="C80:C81"/>
    <mergeCell ref="E80:E81"/>
    <mergeCell ref="C76:C77"/>
    <mergeCell ref="E76:E77"/>
    <mergeCell ref="A76:A77"/>
    <mergeCell ref="B76:B77"/>
    <mergeCell ref="A80:A81"/>
    <mergeCell ref="B80:B81"/>
    <mergeCell ref="A78:A79"/>
    <mergeCell ref="B78:B79"/>
    <mergeCell ref="K80:K81"/>
    <mergeCell ref="M80:M81"/>
    <mergeCell ref="R78:R79"/>
    <mergeCell ref="R80:R81"/>
    <mergeCell ref="O76:O77"/>
    <mergeCell ref="P76:P77"/>
    <mergeCell ref="G76:G77"/>
    <mergeCell ref="I76:I77"/>
    <mergeCell ref="B74:B75"/>
    <mergeCell ref="G74:G75"/>
    <mergeCell ref="O86:O87"/>
    <mergeCell ref="R82:R83"/>
    <mergeCell ref="O78:O79"/>
    <mergeCell ref="P78:P79"/>
    <mergeCell ref="O80:O81"/>
    <mergeCell ref="P80:P81"/>
    <mergeCell ref="A84:A85"/>
    <mergeCell ref="B84:B85"/>
    <mergeCell ref="C84:C85"/>
    <mergeCell ref="E84:E85"/>
    <mergeCell ref="A82:A83"/>
    <mergeCell ref="B82:B83"/>
    <mergeCell ref="C82:C83"/>
    <mergeCell ref="E82:E83"/>
    <mergeCell ref="P84:P85"/>
    <mergeCell ref="G82:G83"/>
    <mergeCell ref="I82:I83"/>
    <mergeCell ref="K82:K83"/>
    <mergeCell ref="M82:M83"/>
    <mergeCell ref="G80:G81"/>
    <mergeCell ref="I80:I81"/>
    <mergeCell ref="O82:O83"/>
    <mergeCell ref="P82:P83"/>
    <mergeCell ref="Q78:Q79"/>
    <mergeCell ref="O90:O91"/>
    <mergeCell ref="P86:P87"/>
    <mergeCell ref="Q84:Q85"/>
    <mergeCell ref="R84:R85"/>
    <mergeCell ref="Q86:Q87"/>
    <mergeCell ref="R86:R87"/>
    <mergeCell ref="A88:A89"/>
    <mergeCell ref="B88:B89"/>
    <mergeCell ref="C88:C89"/>
    <mergeCell ref="E88:E89"/>
    <mergeCell ref="A86:A87"/>
    <mergeCell ref="B86:B87"/>
    <mergeCell ref="C86:C87"/>
    <mergeCell ref="E86:E87"/>
    <mergeCell ref="P88:P89"/>
    <mergeCell ref="G86:G87"/>
    <mergeCell ref="I86:I87"/>
    <mergeCell ref="K86:K87"/>
    <mergeCell ref="M86:M87"/>
    <mergeCell ref="G84:G85"/>
    <mergeCell ref="I84:I85"/>
    <mergeCell ref="K84:K85"/>
    <mergeCell ref="M84:M85"/>
    <mergeCell ref="O84:O85"/>
    <mergeCell ref="P90:P91"/>
    <mergeCell ref="Q88:Q89"/>
    <mergeCell ref="R88:R89"/>
    <mergeCell ref="Q90:Q91"/>
    <mergeCell ref="R90:R91"/>
    <mergeCell ref="G92:G93"/>
    <mergeCell ref="I92:I93"/>
    <mergeCell ref="A90:A91"/>
    <mergeCell ref="B90:B91"/>
    <mergeCell ref="C90:C91"/>
    <mergeCell ref="E90:E91"/>
    <mergeCell ref="A92:A93"/>
    <mergeCell ref="B92:B93"/>
    <mergeCell ref="C92:C93"/>
    <mergeCell ref="E92:E93"/>
    <mergeCell ref="G90:G91"/>
    <mergeCell ref="I90:I91"/>
    <mergeCell ref="K90:K91"/>
    <mergeCell ref="M90:M91"/>
    <mergeCell ref="G88:G89"/>
    <mergeCell ref="I88:I89"/>
    <mergeCell ref="K88:K89"/>
    <mergeCell ref="M88:M89"/>
    <mergeCell ref="O88:O89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FA76A062-9370-4930-901E-BE03273BC57C}"/>
    <dataValidation imeMode="on" allowBlank="1" showInputMessage="1" showErrorMessage="1" sqref="C24 C72 C48 C96" xr:uid="{8C8A384D-0C5C-4645-BF26-75A1A4B9848D}"/>
    <dataValidation type="list" imeMode="on" allowBlank="1" showInputMessage="1" sqref="C4:C23 C28:C47 C52:C71 C76:C95" xr:uid="{9F9A9723-FD63-4F1A-8CBE-4C2097F786B8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AA66-DCCA-4399-BBF4-37AA8D7C6370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G92:G93"/>
    <mergeCell ref="I92:I93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A92:A93"/>
    <mergeCell ref="B92:B93"/>
    <mergeCell ref="C92:C93"/>
    <mergeCell ref="E92:E93"/>
    <mergeCell ref="O86:O87"/>
    <mergeCell ref="P86:P87"/>
    <mergeCell ref="Q82:Q83"/>
    <mergeCell ref="Q92:Q93"/>
    <mergeCell ref="K84:K85"/>
    <mergeCell ref="M84:M85"/>
    <mergeCell ref="O88:O89"/>
    <mergeCell ref="M90:M91"/>
    <mergeCell ref="P88:P89"/>
    <mergeCell ref="Q86:Q87"/>
    <mergeCell ref="G88:G89"/>
    <mergeCell ref="I88:I89"/>
    <mergeCell ref="R80:R81"/>
    <mergeCell ref="O80:O81"/>
    <mergeCell ref="R86:R87"/>
    <mergeCell ref="A86:A87"/>
    <mergeCell ref="B86:B87"/>
    <mergeCell ref="C86:C87"/>
    <mergeCell ref="E86:E87"/>
    <mergeCell ref="G80:G81"/>
    <mergeCell ref="I80:I81"/>
    <mergeCell ref="A84:A85"/>
    <mergeCell ref="B84:B85"/>
    <mergeCell ref="C84:C85"/>
    <mergeCell ref="E84:E85"/>
    <mergeCell ref="G86:G87"/>
    <mergeCell ref="I86:I87"/>
    <mergeCell ref="G84:G85"/>
    <mergeCell ref="I84:I85"/>
    <mergeCell ref="A80:A81"/>
    <mergeCell ref="B80:B81"/>
    <mergeCell ref="P80:P81"/>
    <mergeCell ref="K86:K87"/>
    <mergeCell ref="M86:M87"/>
    <mergeCell ref="A70:A71"/>
    <mergeCell ref="E66:E67"/>
    <mergeCell ref="A66:A67"/>
    <mergeCell ref="E68:E69"/>
    <mergeCell ref="G90:G91"/>
    <mergeCell ref="I90:I91"/>
    <mergeCell ref="R74:R75"/>
    <mergeCell ref="R82:R83"/>
    <mergeCell ref="Q84:Q85"/>
    <mergeCell ref="R84:R85"/>
    <mergeCell ref="O82:O83"/>
    <mergeCell ref="P82:P83"/>
    <mergeCell ref="O84:O85"/>
    <mergeCell ref="P84:P85"/>
    <mergeCell ref="G82:G83"/>
    <mergeCell ref="I82:I83"/>
    <mergeCell ref="K82:K83"/>
    <mergeCell ref="M82:M83"/>
    <mergeCell ref="K80:K81"/>
    <mergeCell ref="M80:M81"/>
    <mergeCell ref="R78:R79"/>
    <mergeCell ref="Q80:Q81"/>
    <mergeCell ref="R76:R77"/>
    <mergeCell ref="K78:K79"/>
    <mergeCell ref="A76:A77"/>
    <mergeCell ref="B76:B77"/>
    <mergeCell ref="C76:C77"/>
    <mergeCell ref="E76:E77"/>
    <mergeCell ref="G76:G77"/>
    <mergeCell ref="I74:I75"/>
    <mergeCell ref="K74:K75"/>
    <mergeCell ref="M74:M75"/>
    <mergeCell ref="A74:A75"/>
    <mergeCell ref="B74:B75"/>
    <mergeCell ref="C74:C75"/>
    <mergeCell ref="E74:E75"/>
    <mergeCell ref="G74:G75"/>
    <mergeCell ref="I76:I77"/>
    <mergeCell ref="K76:K77"/>
    <mergeCell ref="M76:M77"/>
    <mergeCell ref="A44:A45"/>
    <mergeCell ref="B44:B45"/>
    <mergeCell ref="C44:C45"/>
    <mergeCell ref="E44:E45"/>
    <mergeCell ref="O40:O41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A46:A47"/>
    <mergeCell ref="B46:B47"/>
    <mergeCell ref="C46:C47"/>
    <mergeCell ref="E46:E47"/>
    <mergeCell ref="G46:G47"/>
    <mergeCell ref="I46:I47"/>
    <mergeCell ref="B42:B43"/>
    <mergeCell ref="O44:O45"/>
    <mergeCell ref="P44:P45"/>
    <mergeCell ref="O42:O43"/>
    <mergeCell ref="C42:C43"/>
    <mergeCell ref="E42:E43"/>
    <mergeCell ref="K44:K45"/>
    <mergeCell ref="G44:G45"/>
    <mergeCell ref="I44:I45"/>
    <mergeCell ref="K42:K43"/>
    <mergeCell ref="I40:I41"/>
    <mergeCell ref="K40:K41"/>
    <mergeCell ref="G42:G43"/>
    <mergeCell ref="I42:I43"/>
    <mergeCell ref="R44:R45"/>
    <mergeCell ref="R42:R43"/>
    <mergeCell ref="O46:O47"/>
    <mergeCell ref="P46:P47"/>
    <mergeCell ref="Q42:Q43"/>
    <mergeCell ref="R40:R41"/>
    <mergeCell ref="R46:R47"/>
    <mergeCell ref="R26:R27"/>
    <mergeCell ref="P26:P27"/>
    <mergeCell ref="O28:O29"/>
    <mergeCell ref="P28:P29"/>
    <mergeCell ref="O38:O39"/>
    <mergeCell ref="P38:P39"/>
    <mergeCell ref="P42:P43"/>
    <mergeCell ref="K26:K27"/>
    <mergeCell ref="Q28:Q29"/>
    <mergeCell ref="R28:R29"/>
    <mergeCell ref="M26:M27"/>
    <mergeCell ref="G30:G31"/>
    <mergeCell ref="I30:I31"/>
    <mergeCell ref="K30:K31"/>
    <mergeCell ref="A62:A63"/>
    <mergeCell ref="B62:B63"/>
    <mergeCell ref="C62:C63"/>
    <mergeCell ref="R30:R31"/>
    <mergeCell ref="K32:K33"/>
    <mergeCell ref="O30:O31"/>
    <mergeCell ref="M32:M33"/>
    <mergeCell ref="O32:O33"/>
    <mergeCell ref="Q30:Q31"/>
    <mergeCell ref="R32:R33"/>
    <mergeCell ref="A32:A33"/>
    <mergeCell ref="B32:B33"/>
    <mergeCell ref="C32:C33"/>
    <mergeCell ref="E34:E35"/>
    <mergeCell ref="G34:G35"/>
    <mergeCell ref="I34:I35"/>
    <mergeCell ref="A30:A31"/>
    <mergeCell ref="A36:A37"/>
    <mergeCell ref="B36:B37"/>
    <mergeCell ref="C36:C37"/>
    <mergeCell ref="A34:A35"/>
    <mergeCell ref="E36:E37"/>
    <mergeCell ref="A40:A41"/>
    <mergeCell ref="B40:B41"/>
    <mergeCell ref="A82:A83"/>
    <mergeCell ref="B82:B83"/>
    <mergeCell ref="C82:C83"/>
    <mergeCell ref="E82:E83"/>
    <mergeCell ref="A78:A79"/>
    <mergeCell ref="B78:B79"/>
    <mergeCell ref="A68:A69"/>
    <mergeCell ref="B68:B69"/>
    <mergeCell ref="C68:C69"/>
    <mergeCell ref="B70:B71"/>
    <mergeCell ref="C70:C71"/>
    <mergeCell ref="E70:E71"/>
    <mergeCell ref="A73:R73"/>
    <mergeCell ref="G68:G69"/>
    <mergeCell ref="P68:P69"/>
    <mergeCell ref="I68:I69"/>
    <mergeCell ref="K68:K69"/>
    <mergeCell ref="R68:R69"/>
    <mergeCell ref="O68:O69"/>
    <mergeCell ref="Q68:Q69"/>
    <mergeCell ref="M68:M69"/>
    <mergeCell ref="Q74:Q75"/>
    <mergeCell ref="O74:O75"/>
    <mergeCell ref="P74:P75"/>
    <mergeCell ref="A90:A91"/>
    <mergeCell ref="B90:B91"/>
    <mergeCell ref="C90:C91"/>
    <mergeCell ref="E90:E91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A88:A89"/>
    <mergeCell ref="B88:B89"/>
    <mergeCell ref="C88:C89"/>
    <mergeCell ref="E88:E89"/>
    <mergeCell ref="O70:O71"/>
    <mergeCell ref="P70:P71"/>
    <mergeCell ref="Q70:Q71"/>
    <mergeCell ref="I70:I71"/>
    <mergeCell ref="K70:K71"/>
    <mergeCell ref="M70:M71"/>
    <mergeCell ref="R70:R71"/>
    <mergeCell ref="C80:C81"/>
    <mergeCell ref="E80:E81"/>
    <mergeCell ref="G70:G71"/>
    <mergeCell ref="G78:G79"/>
    <mergeCell ref="I78:I79"/>
    <mergeCell ref="M78:M79"/>
    <mergeCell ref="Q76:Q77"/>
    <mergeCell ref="C78:C79"/>
    <mergeCell ref="E78:E79"/>
    <mergeCell ref="Q78:Q79"/>
    <mergeCell ref="O76:O77"/>
    <mergeCell ref="P76:P77"/>
    <mergeCell ref="O78:O79"/>
    <mergeCell ref="P78:P79"/>
    <mergeCell ref="A64:A65"/>
    <mergeCell ref="B64:B65"/>
    <mergeCell ref="C64:C65"/>
    <mergeCell ref="E64:E65"/>
    <mergeCell ref="B66:B67"/>
    <mergeCell ref="C66:C67"/>
    <mergeCell ref="R64:R65"/>
    <mergeCell ref="I64:I65"/>
    <mergeCell ref="M66:M67"/>
    <mergeCell ref="O66:O67"/>
    <mergeCell ref="P66:P67"/>
    <mergeCell ref="Q66:Q67"/>
    <mergeCell ref="Q64:Q65"/>
    <mergeCell ref="M64:M65"/>
    <mergeCell ref="O64:O65"/>
    <mergeCell ref="K66:K67"/>
    <mergeCell ref="I66:I67"/>
    <mergeCell ref="R66:R67"/>
    <mergeCell ref="G66:G67"/>
    <mergeCell ref="I62:I63"/>
    <mergeCell ref="K62:K63"/>
    <mergeCell ref="P60:P61"/>
    <mergeCell ref="K60:K61"/>
    <mergeCell ref="K64:K65"/>
    <mergeCell ref="G62:G63"/>
    <mergeCell ref="I60:I61"/>
    <mergeCell ref="O62:O63"/>
    <mergeCell ref="P64:P65"/>
    <mergeCell ref="M62:M63"/>
    <mergeCell ref="G64:G65"/>
    <mergeCell ref="R62:R63"/>
    <mergeCell ref="Q60:Q61"/>
    <mergeCell ref="R60:R61"/>
    <mergeCell ref="M60:M61"/>
    <mergeCell ref="Q62:Q63"/>
    <mergeCell ref="O60:O61"/>
    <mergeCell ref="P62:P63"/>
    <mergeCell ref="R54:R55"/>
    <mergeCell ref="K54:K55"/>
    <mergeCell ref="R56:R57"/>
    <mergeCell ref="O56:O57"/>
    <mergeCell ref="P56:P57"/>
    <mergeCell ref="Q54:Q55"/>
    <mergeCell ref="P54:P55"/>
    <mergeCell ref="Q56:Q57"/>
    <mergeCell ref="M54:M55"/>
    <mergeCell ref="O54:O55"/>
    <mergeCell ref="E62:E63"/>
    <mergeCell ref="G54:G55"/>
    <mergeCell ref="E54:E55"/>
    <mergeCell ref="B54:B55"/>
    <mergeCell ref="C60:C61"/>
    <mergeCell ref="C58:C59"/>
    <mergeCell ref="E56:E57"/>
    <mergeCell ref="E60:E61"/>
    <mergeCell ref="C54:C55"/>
    <mergeCell ref="G60:G61"/>
    <mergeCell ref="C56:C57"/>
    <mergeCell ref="I54:I55"/>
    <mergeCell ref="M56:M57"/>
    <mergeCell ref="I56:I57"/>
    <mergeCell ref="G50:G51"/>
    <mergeCell ref="G58:G59"/>
    <mergeCell ref="G56:G57"/>
    <mergeCell ref="A52:A53"/>
    <mergeCell ref="A50:A51"/>
    <mergeCell ref="R58:R59"/>
    <mergeCell ref="P58:P59"/>
    <mergeCell ref="M58:M59"/>
    <mergeCell ref="Q58:Q59"/>
    <mergeCell ref="O58:O59"/>
    <mergeCell ref="K58:K59"/>
    <mergeCell ref="K56:K57"/>
    <mergeCell ref="I58:I59"/>
    <mergeCell ref="A56:A57"/>
    <mergeCell ref="R50:R51"/>
    <mergeCell ref="R52:R53"/>
    <mergeCell ref="E50:E51"/>
    <mergeCell ref="A54:A55"/>
    <mergeCell ref="Q52:Q53"/>
    <mergeCell ref="O52:O53"/>
    <mergeCell ref="O50:O51"/>
    <mergeCell ref="I52:I53"/>
    <mergeCell ref="K50:K51"/>
    <mergeCell ref="M52:M53"/>
    <mergeCell ref="K52:K53"/>
    <mergeCell ref="C52:C53"/>
    <mergeCell ref="B52:B53"/>
    <mergeCell ref="E52:E53"/>
    <mergeCell ref="Q50:Q51"/>
    <mergeCell ref="P50:P51"/>
    <mergeCell ref="P52:P53"/>
    <mergeCell ref="I50:I51"/>
    <mergeCell ref="M50:M51"/>
    <mergeCell ref="G52:G53"/>
    <mergeCell ref="B50:B51"/>
    <mergeCell ref="C50:C51"/>
    <mergeCell ref="B26:B27"/>
    <mergeCell ref="C26:C27"/>
    <mergeCell ref="A20:A21"/>
    <mergeCell ref="G22:G23"/>
    <mergeCell ref="A60:A61"/>
    <mergeCell ref="B60:B61"/>
    <mergeCell ref="E58:E59"/>
    <mergeCell ref="B56:B57"/>
    <mergeCell ref="A58:A59"/>
    <mergeCell ref="B58:B59"/>
    <mergeCell ref="A28:A29"/>
    <mergeCell ref="B28:B29"/>
    <mergeCell ref="C28:C29"/>
    <mergeCell ref="E28:E29"/>
    <mergeCell ref="B34:B35"/>
    <mergeCell ref="C34:C35"/>
    <mergeCell ref="C40:C41"/>
    <mergeCell ref="E40:E41"/>
    <mergeCell ref="A38:A39"/>
    <mergeCell ref="B38:B39"/>
    <mergeCell ref="C38:C39"/>
    <mergeCell ref="E38:E39"/>
    <mergeCell ref="G40:G41"/>
    <mergeCell ref="A42:A43"/>
    <mergeCell ref="A49:R49"/>
    <mergeCell ref="A25:R25"/>
    <mergeCell ref="E26:E27"/>
    <mergeCell ref="G26:G27"/>
    <mergeCell ref="I26:I27"/>
    <mergeCell ref="K20:K21"/>
    <mergeCell ref="G20:G21"/>
    <mergeCell ref="Q32:Q33"/>
    <mergeCell ref="Q38:Q39"/>
    <mergeCell ref="P30:P31"/>
    <mergeCell ref="P32:P33"/>
    <mergeCell ref="P36:P37"/>
    <mergeCell ref="Q36:Q37"/>
    <mergeCell ref="Q26:Q27"/>
    <mergeCell ref="R38:R39"/>
    <mergeCell ref="K38:K39"/>
    <mergeCell ref="M38:M39"/>
    <mergeCell ref="O34:O35"/>
    <mergeCell ref="P34:P35"/>
    <mergeCell ref="M22:M23"/>
    <mergeCell ref="K22:K23"/>
    <mergeCell ref="E22:E23"/>
    <mergeCell ref="B22:B23"/>
    <mergeCell ref="A22:A23"/>
    <mergeCell ref="K28:K29"/>
    <mergeCell ref="O22:O23"/>
    <mergeCell ref="P20:P21"/>
    <mergeCell ref="O26:O27"/>
    <mergeCell ref="I28:I29"/>
    <mergeCell ref="G28:G29"/>
    <mergeCell ref="O16:O17"/>
    <mergeCell ref="A16:A17"/>
    <mergeCell ref="B18:B19"/>
    <mergeCell ref="G18:G19"/>
    <mergeCell ref="K18:K19"/>
    <mergeCell ref="I18:I19"/>
    <mergeCell ref="I22:I23"/>
    <mergeCell ref="B16:B17"/>
    <mergeCell ref="C16:C17"/>
    <mergeCell ref="E20:E21"/>
    <mergeCell ref="I20:I21"/>
    <mergeCell ref="P22:P23"/>
    <mergeCell ref="M28:M29"/>
    <mergeCell ref="O20:O21"/>
    <mergeCell ref="C22:C23"/>
    <mergeCell ref="B20:B21"/>
    <mergeCell ref="C20:C21"/>
    <mergeCell ref="A26:A27"/>
    <mergeCell ref="A12:A13"/>
    <mergeCell ref="B12:B13"/>
    <mergeCell ref="C12:C13"/>
    <mergeCell ref="E12:E13"/>
    <mergeCell ref="C10:C11"/>
    <mergeCell ref="G10:G11"/>
    <mergeCell ref="A18:A19"/>
    <mergeCell ref="P16:P17"/>
    <mergeCell ref="O18:O19"/>
    <mergeCell ref="C18:C19"/>
    <mergeCell ref="E16:E17"/>
    <mergeCell ref="E18:E19"/>
    <mergeCell ref="I16:I17"/>
    <mergeCell ref="G16:G17"/>
    <mergeCell ref="A14:A15"/>
    <mergeCell ref="K16:K17"/>
    <mergeCell ref="B6:B7"/>
    <mergeCell ref="C6:C7"/>
    <mergeCell ref="A8:A9"/>
    <mergeCell ref="E6:E7"/>
    <mergeCell ref="G8:G9"/>
    <mergeCell ref="E10:E11"/>
    <mergeCell ref="A10:A11"/>
    <mergeCell ref="B14:B15"/>
    <mergeCell ref="Q10:Q11"/>
    <mergeCell ref="O10:O11"/>
    <mergeCell ref="B10:B11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B8:B9"/>
    <mergeCell ref="C14:C15"/>
    <mergeCell ref="E14:E15"/>
    <mergeCell ref="G6:G7"/>
    <mergeCell ref="I6:I7"/>
    <mergeCell ref="M8:M9"/>
    <mergeCell ref="K8:K9"/>
    <mergeCell ref="M6:M7"/>
    <mergeCell ref="K6:K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E8:E9"/>
    <mergeCell ref="C8:C9"/>
    <mergeCell ref="I4:I5"/>
    <mergeCell ref="I8:I9"/>
    <mergeCell ref="A4:A5"/>
    <mergeCell ref="A6:A7"/>
    <mergeCell ref="B4:B5"/>
    <mergeCell ref="E4:E5"/>
    <mergeCell ref="R4:R5"/>
    <mergeCell ref="C2:C3"/>
    <mergeCell ref="P2:P3"/>
    <mergeCell ref="R2:R3"/>
    <mergeCell ref="Q4:Q5"/>
    <mergeCell ref="O4:O5"/>
    <mergeCell ref="P4:P5"/>
    <mergeCell ref="G4:G5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K12:K13"/>
    <mergeCell ref="P12:P13"/>
    <mergeCell ref="P10:P11"/>
    <mergeCell ref="Q8:Q9"/>
    <mergeCell ref="O6:O7"/>
    <mergeCell ref="Q6:Q7"/>
    <mergeCell ref="R8:R9"/>
    <mergeCell ref="R18:R19"/>
    <mergeCell ref="R14:R15"/>
    <mergeCell ref="Q18:Q19"/>
    <mergeCell ref="Q14:Q15"/>
    <mergeCell ref="O14:O15"/>
    <mergeCell ref="M20:M21"/>
    <mergeCell ref="M18:M19"/>
    <mergeCell ref="R22:R23"/>
    <mergeCell ref="R12:R13"/>
    <mergeCell ref="Q12:Q13"/>
    <mergeCell ref="P14:P15"/>
    <mergeCell ref="P18:P19"/>
    <mergeCell ref="Q16:Q17"/>
    <mergeCell ref="R16:R17"/>
    <mergeCell ref="M16:M17"/>
    <mergeCell ref="Q22:Q23"/>
    <mergeCell ref="R20:R21"/>
    <mergeCell ref="Q20:Q21"/>
    <mergeCell ref="G38:G39"/>
    <mergeCell ref="I38:I39"/>
    <mergeCell ref="M34:M35"/>
    <mergeCell ref="M36:M37"/>
    <mergeCell ref="K34:K35"/>
    <mergeCell ref="K36:K37"/>
    <mergeCell ref="G36:G37"/>
    <mergeCell ref="I36:I37"/>
    <mergeCell ref="R36:R37"/>
    <mergeCell ref="Q34:Q35"/>
    <mergeCell ref="B30:B31"/>
    <mergeCell ref="C30:C31"/>
    <mergeCell ref="E32:E33"/>
    <mergeCell ref="G32:G33"/>
    <mergeCell ref="I32:I33"/>
    <mergeCell ref="E30:E31"/>
    <mergeCell ref="M30:M31"/>
    <mergeCell ref="R34:R35"/>
    <mergeCell ref="O36:O37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E11157AB-E6E6-4492-87F8-3D86C4FA61B5}"/>
    <dataValidation imeMode="on" allowBlank="1" showInputMessage="1" showErrorMessage="1" sqref="C24 C72 C48 C96" xr:uid="{230A300C-45A2-41EF-BCC3-64C7457C4B0C}"/>
    <dataValidation type="list" imeMode="on" allowBlank="1" showInputMessage="1" sqref="C4:C23 C28:C47 C52:C71 C76:C95" xr:uid="{88EEE544-700D-4A4E-A650-45526AE79F61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3D45-1A56-4F04-84A7-AE1127D13A9E}">
  <dimension ref="A1:R96"/>
  <sheetViews>
    <sheetView workbookViewId="0">
      <selection sqref="A1:XFD1048576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R66:R67"/>
    <mergeCell ref="M70:M71"/>
    <mergeCell ref="Q94:Q95"/>
    <mergeCell ref="R94:R95"/>
    <mergeCell ref="O94:O95"/>
    <mergeCell ref="P94:P95"/>
    <mergeCell ref="A94:A95"/>
    <mergeCell ref="B94:B95"/>
    <mergeCell ref="C94:C95"/>
    <mergeCell ref="E94:E95"/>
    <mergeCell ref="Q92:Q93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P70:P71"/>
    <mergeCell ref="K74:K75"/>
    <mergeCell ref="M74:M75"/>
    <mergeCell ref="C78:C79"/>
    <mergeCell ref="E78:E79"/>
    <mergeCell ref="Q76:Q77"/>
    <mergeCell ref="R76:R77"/>
    <mergeCell ref="K78:K79"/>
    <mergeCell ref="M78:M79"/>
    <mergeCell ref="K76:K77"/>
    <mergeCell ref="M76:M77"/>
    <mergeCell ref="G78:G79"/>
    <mergeCell ref="I78:I79"/>
    <mergeCell ref="A49:R49"/>
    <mergeCell ref="B50:B51"/>
    <mergeCell ref="C50:C51"/>
    <mergeCell ref="E50:E51"/>
    <mergeCell ref="C52:C53"/>
    <mergeCell ref="B52:B53"/>
    <mergeCell ref="E52:E53"/>
    <mergeCell ref="P46:P47"/>
    <mergeCell ref="Q46:Q47"/>
    <mergeCell ref="A52:A53"/>
    <mergeCell ref="A50:A51"/>
    <mergeCell ref="R50:R51"/>
    <mergeCell ref="Q50:Q51"/>
    <mergeCell ref="P50:P51"/>
    <mergeCell ref="O50:O51"/>
    <mergeCell ref="M46:M47"/>
    <mergeCell ref="O46:O47"/>
    <mergeCell ref="G50:G51"/>
    <mergeCell ref="I50:I51"/>
    <mergeCell ref="I52:I53"/>
    <mergeCell ref="A46:A47"/>
    <mergeCell ref="B46:B47"/>
    <mergeCell ref="C46:C47"/>
    <mergeCell ref="E46:E47"/>
    <mergeCell ref="G46:G47"/>
    <mergeCell ref="I46:I47"/>
    <mergeCell ref="K46:K47"/>
    <mergeCell ref="R42:R43"/>
    <mergeCell ref="A44:A45"/>
    <mergeCell ref="B44:B45"/>
    <mergeCell ref="C44:C45"/>
    <mergeCell ref="E44:E45"/>
    <mergeCell ref="G44:G45"/>
    <mergeCell ref="I44:I45"/>
    <mergeCell ref="K44:K45"/>
    <mergeCell ref="P44:P45"/>
    <mergeCell ref="Q44:Q45"/>
    <mergeCell ref="O42:O43"/>
    <mergeCell ref="I42:I43"/>
    <mergeCell ref="K42:K43"/>
    <mergeCell ref="R46:R47"/>
    <mergeCell ref="M44:M45"/>
    <mergeCell ref="O44:O45"/>
    <mergeCell ref="O40:O41"/>
    <mergeCell ref="P42:P43"/>
    <mergeCell ref="Q42:Q43"/>
    <mergeCell ref="I40:I41"/>
    <mergeCell ref="K40:K41"/>
    <mergeCell ref="M40:M41"/>
    <mergeCell ref="R44:R45"/>
    <mergeCell ref="R40:R41"/>
    <mergeCell ref="A42:A43"/>
    <mergeCell ref="B42:B43"/>
    <mergeCell ref="C42:C43"/>
    <mergeCell ref="E42:E43"/>
    <mergeCell ref="G42:G43"/>
    <mergeCell ref="M42:M43"/>
    <mergeCell ref="A40:A41"/>
    <mergeCell ref="B40:B41"/>
    <mergeCell ref="C40:C41"/>
    <mergeCell ref="E40:E41"/>
    <mergeCell ref="G40:G41"/>
    <mergeCell ref="P40:P41"/>
    <mergeCell ref="Q40:Q41"/>
    <mergeCell ref="A38:A39"/>
    <mergeCell ref="B38:B39"/>
    <mergeCell ref="C38:C39"/>
    <mergeCell ref="A36:A37"/>
    <mergeCell ref="B36:B37"/>
    <mergeCell ref="C36:C37"/>
    <mergeCell ref="I38:I39"/>
    <mergeCell ref="K36:K37"/>
    <mergeCell ref="Q38:Q39"/>
    <mergeCell ref="M38:M39"/>
    <mergeCell ref="K38:K39"/>
    <mergeCell ref="O38:O39"/>
    <mergeCell ref="P38:P39"/>
    <mergeCell ref="I30:I31"/>
    <mergeCell ref="P28:P29"/>
    <mergeCell ref="K30:K31"/>
    <mergeCell ref="M34:M35"/>
    <mergeCell ref="O34:O35"/>
    <mergeCell ref="O36:O37"/>
    <mergeCell ref="M36:M37"/>
    <mergeCell ref="P30:P31"/>
    <mergeCell ref="K32:K33"/>
    <mergeCell ref="K28:K29"/>
    <mergeCell ref="P34:P35"/>
    <mergeCell ref="I36:I37"/>
    <mergeCell ref="A34:A35"/>
    <mergeCell ref="B34:B35"/>
    <mergeCell ref="C34:C35"/>
    <mergeCell ref="E34:E35"/>
    <mergeCell ref="M32:M33"/>
    <mergeCell ref="I32:I33"/>
    <mergeCell ref="A32:A33"/>
    <mergeCell ref="B32:B33"/>
    <mergeCell ref="C32:C33"/>
    <mergeCell ref="E32:E33"/>
    <mergeCell ref="G34:G35"/>
    <mergeCell ref="I34:I35"/>
    <mergeCell ref="K34:K35"/>
    <mergeCell ref="Q30:Q31"/>
    <mergeCell ref="M30:M31"/>
    <mergeCell ref="O30:O31"/>
    <mergeCell ref="R32:R33"/>
    <mergeCell ref="O32:O33"/>
    <mergeCell ref="P32:P33"/>
    <mergeCell ref="Q32:Q33"/>
    <mergeCell ref="R28:R29"/>
    <mergeCell ref="A30:A31"/>
    <mergeCell ref="O28:O29"/>
    <mergeCell ref="B30:B31"/>
    <mergeCell ref="C30:C31"/>
    <mergeCell ref="E30:E31"/>
    <mergeCell ref="G30:G31"/>
    <mergeCell ref="R30:R31"/>
    <mergeCell ref="Q28:Q29"/>
    <mergeCell ref="A28:A29"/>
    <mergeCell ref="B28:B29"/>
    <mergeCell ref="C28:C29"/>
    <mergeCell ref="E28:E29"/>
    <mergeCell ref="G28:G29"/>
    <mergeCell ref="I28:I29"/>
    <mergeCell ref="G32:G33"/>
    <mergeCell ref="M28:M29"/>
    <mergeCell ref="G14:G15"/>
    <mergeCell ref="K14:K15"/>
    <mergeCell ref="P26:P27"/>
    <mergeCell ref="G26:G27"/>
    <mergeCell ref="I26:I27"/>
    <mergeCell ref="K26:K27"/>
    <mergeCell ref="M26:M27"/>
    <mergeCell ref="O26:O27"/>
    <mergeCell ref="A25:R25"/>
    <mergeCell ref="A26:A27"/>
    <mergeCell ref="B14:B15"/>
    <mergeCell ref="E16:E17"/>
    <mergeCell ref="E18:E19"/>
    <mergeCell ref="I18:I19"/>
    <mergeCell ref="C18:C19"/>
    <mergeCell ref="I16:I17"/>
    <mergeCell ref="B18:B19"/>
    <mergeCell ref="G18:G19"/>
    <mergeCell ref="G16:G17"/>
    <mergeCell ref="A16:A17"/>
    <mergeCell ref="C20:C21"/>
    <mergeCell ref="E20:E21"/>
    <mergeCell ref="A20:A21"/>
    <mergeCell ref="I20:I21"/>
    <mergeCell ref="O12:O13"/>
    <mergeCell ref="R20:R21"/>
    <mergeCell ref="O20:O21"/>
    <mergeCell ref="Q20:Q21"/>
    <mergeCell ref="M20:M21"/>
    <mergeCell ref="Q22:Q23"/>
    <mergeCell ref="R8:R9"/>
    <mergeCell ref="R26:R27"/>
    <mergeCell ref="Q26:Q27"/>
    <mergeCell ref="R10:R11"/>
    <mergeCell ref="R18:R19"/>
    <mergeCell ref="R14:R15"/>
    <mergeCell ref="Q18:Q19"/>
    <mergeCell ref="Q16:Q17"/>
    <mergeCell ref="R12:R13"/>
    <mergeCell ref="Q10:Q11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E26:E27"/>
    <mergeCell ref="R6:R7"/>
    <mergeCell ref="O4:O5"/>
    <mergeCell ref="P4:P5"/>
    <mergeCell ref="Q4:Q5"/>
    <mergeCell ref="P6:P7"/>
    <mergeCell ref="O6:O7"/>
    <mergeCell ref="Q6:Q7"/>
    <mergeCell ref="R4:R5"/>
    <mergeCell ref="M8:M9"/>
    <mergeCell ref="E8:E9"/>
    <mergeCell ref="P10:P11"/>
    <mergeCell ref="G12:G13"/>
    <mergeCell ref="Q8:Q9"/>
    <mergeCell ref="K12:K13"/>
    <mergeCell ref="P8:P9"/>
    <mergeCell ref="P12:P13"/>
    <mergeCell ref="I12:I13"/>
    <mergeCell ref="M12:M13"/>
    <mergeCell ref="P14:P15"/>
    <mergeCell ref="O14:O15"/>
    <mergeCell ref="Q12:Q13"/>
    <mergeCell ref="R16:R17"/>
    <mergeCell ref="Q14:Q15"/>
    <mergeCell ref="M4:M5"/>
    <mergeCell ref="K2:K3"/>
    <mergeCell ref="M2:M3"/>
    <mergeCell ref="I4:I5"/>
    <mergeCell ref="M6:M7"/>
    <mergeCell ref="C6:C7"/>
    <mergeCell ref="E6:E7"/>
    <mergeCell ref="K6:K7"/>
    <mergeCell ref="G6:G7"/>
    <mergeCell ref="I6:I7"/>
    <mergeCell ref="I2:I3"/>
    <mergeCell ref="B8:B9"/>
    <mergeCell ref="C8:C9"/>
    <mergeCell ref="E10:E11"/>
    <mergeCell ref="G10:G11"/>
    <mergeCell ref="I10:I11"/>
    <mergeCell ref="G8:G9"/>
    <mergeCell ref="G4:G5"/>
    <mergeCell ref="A10:A11"/>
    <mergeCell ref="O10:O11"/>
    <mergeCell ref="B10:B11"/>
    <mergeCell ref="C10:C11"/>
    <mergeCell ref="K10:K11"/>
    <mergeCell ref="I8:I9"/>
    <mergeCell ref="O8:O9"/>
    <mergeCell ref="M10:M11"/>
    <mergeCell ref="K8:K9"/>
    <mergeCell ref="A8:A9"/>
    <mergeCell ref="A4:A5"/>
    <mergeCell ref="A6:A7"/>
    <mergeCell ref="B4:B5"/>
    <mergeCell ref="E4:E5"/>
    <mergeCell ref="C4:C5"/>
    <mergeCell ref="B6:B7"/>
    <mergeCell ref="K4:K5"/>
    <mergeCell ref="A12:A13"/>
    <mergeCell ref="B12:B13"/>
    <mergeCell ref="C12:C13"/>
    <mergeCell ref="E12:E13"/>
    <mergeCell ref="K18:K19"/>
    <mergeCell ref="P20:P21"/>
    <mergeCell ref="O18:O19"/>
    <mergeCell ref="P18:P19"/>
    <mergeCell ref="M18:M19"/>
    <mergeCell ref="B16:B17"/>
    <mergeCell ref="C16:C17"/>
    <mergeCell ref="G20:G21"/>
    <mergeCell ref="K20:K21"/>
    <mergeCell ref="B20:B21"/>
    <mergeCell ref="M14:M15"/>
    <mergeCell ref="O16:O17"/>
    <mergeCell ref="M16:M17"/>
    <mergeCell ref="P16:P17"/>
    <mergeCell ref="A14:A15"/>
    <mergeCell ref="C14:C15"/>
    <mergeCell ref="E14:E15"/>
    <mergeCell ref="K16:K17"/>
    <mergeCell ref="I14:I15"/>
    <mergeCell ref="A18:A19"/>
    <mergeCell ref="E22:E23"/>
    <mergeCell ref="B22:B23"/>
    <mergeCell ref="G22:G23"/>
    <mergeCell ref="M22:M23"/>
    <mergeCell ref="P22:P23"/>
    <mergeCell ref="C22:C23"/>
    <mergeCell ref="I22:I23"/>
    <mergeCell ref="O22:O23"/>
    <mergeCell ref="K22:K23"/>
    <mergeCell ref="A22:A23"/>
    <mergeCell ref="R22:R23"/>
    <mergeCell ref="B26:B27"/>
    <mergeCell ref="C26:C27"/>
    <mergeCell ref="Q52:Q53"/>
    <mergeCell ref="O52:O53"/>
    <mergeCell ref="K52:K53"/>
    <mergeCell ref="K56:K57"/>
    <mergeCell ref="M54:M55"/>
    <mergeCell ref="R52:R53"/>
    <mergeCell ref="R54:R55"/>
    <mergeCell ref="K54:K55"/>
    <mergeCell ref="P52:P53"/>
    <mergeCell ref="M52:M53"/>
    <mergeCell ref="G52:G53"/>
    <mergeCell ref="G54:G55"/>
    <mergeCell ref="G56:G57"/>
    <mergeCell ref="Q56:Q57"/>
    <mergeCell ref="K50:K51"/>
    <mergeCell ref="O54:O55"/>
    <mergeCell ref="P54:P55"/>
    <mergeCell ref="Q54:Q55"/>
    <mergeCell ref="M50:M51"/>
    <mergeCell ref="M56:M57"/>
    <mergeCell ref="R56:R57"/>
    <mergeCell ref="Q34:Q35"/>
    <mergeCell ref="R58:R59"/>
    <mergeCell ref="P58:P59"/>
    <mergeCell ref="Q58:Q59"/>
    <mergeCell ref="P56:P57"/>
    <mergeCell ref="E54:E55"/>
    <mergeCell ref="E58:E59"/>
    <mergeCell ref="O56:O57"/>
    <mergeCell ref="E56:E57"/>
    <mergeCell ref="K58:K59"/>
    <mergeCell ref="I58:I59"/>
    <mergeCell ref="M58:M59"/>
    <mergeCell ref="O58:O59"/>
    <mergeCell ref="I54:I55"/>
    <mergeCell ref="P36:P37"/>
    <mergeCell ref="Q36:Q37"/>
    <mergeCell ref="R34:R35"/>
    <mergeCell ref="E38:E39"/>
    <mergeCell ref="G38:G39"/>
    <mergeCell ref="E36:E37"/>
    <mergeCell ref="G36:G37"/>
    <mergeCell ref="R36:R37"/>
    <mergeCell ref="R38:R39"/>
    <mergeCell ref="A54:A55"/>
    <mergeCell ref="C56:C57"/>
    <mergeCell ref="A58:A59"/>
    <mergeCell ref="B58:B59"/>
    <mergeCell ref="C54:C55"/>
    <mergeCell ref="B54:B55"/>
    <mergeCell ref="A56:A57"/>
    <mergeCell ref="B56:B57"/>
    <mergeCell ref="C58:C59"/>
    <mergeCell ref="I56:I57"/>
    <mergeCell ref="G58:G59"/>
    <mergeCell ref="A62:A63"/>
    <mergeCell ref="B62:B63"/>
    <mergeCell ref="C62:C63"/>
    <mergeCell ref="E62:E63"/>
    <mergeCell ref="G60:G61"/>
    <mergeCell ref="I62:I63"/>
    <mergeCell ref="G62:G63"/>
    <mergeCell ref="I60:I61"/>
    <mergeCell ref="A66:A67"/>
    <mergeCell ref="Q60:Q61"/>
    <mergeCell ref="O66:O67"/>
    <mergeCell ref="P66:P67"/>
    <mergeCell ref="Q66:Q67"/>
    <mergeCell ref="A60:A61"/>
    <mergeCell ref="B60:B61"/>
    <mergeCell ref="C60:C61"/>
    <mergeCell ref="E60:E61"/>
    <mergeCell ref="K60:K61"/>
    <mergeCell ref="M60:M61"/>
    <mergeCell ref="M62:M63"/>
    <mergeCell ref="I64:I65"/>
    <mergeCell ref="I66:I67"/>
    <mergeCell ref="K62:K63"/>
    <mergeCell ref="M66:M67"/>
    <mergeCell ref="K66:K67"/>
    <mergeCell ref="M64:M65"/>
    <mergeCell ref="K64:K65"/>
    <mergeCell ref="G64:G65"/>
    <mergeCell ref="E68:E69"/>
    <mergeCell ref="C70:C71"/>
    <mergeCell ref="E70:E71"/>
    <mergeCell ref="A70:A71"/>
    <mergeCell ref="B70:B71"/>
    <mergeCell ref="B66:B67"/>
    <mergeCell ref="E66:E67"/>
    <mergeCell ref="R60:R61"/>
    <mergeCell ref="R62:R63"/>
    <mergeCell ref="O60:O61"/>
    <mergeCell ref="P60:P61"/>
    <mergeCell ref="P62:P63"/>
    <mergeCell ref="Q62:Q63"/>
    <mergeCell ref="O62:O63"/>
    <mergeCell ref="R64:R65"/>
    <mergeCell ref="O64:O65"/>
    <mergeCell ref="Q64:Q65"/>
    <mergeCell ref="P64:P65"/>
    <mergeCell ref="A64:A65"/>
    <mergeCell ref="B64:B65"/>
    <mergeCell ref="C64:C65"/>
    <mergeCell ref="E64:E65"/>
    <mergeCell ref="C66:C67"/>
    <mergeCell ref="G66:G67"/>
    <mergeCell ref="G70:G71"/>
    <mergeCell ref="I70:I71"/>
    <mergeCell ref="K70:K71"/>
    <mergeCell ref="Q70:Q71"/>
    <mergeCell ref="M68:M69"/>
    <mergeCell ref="P68:P69"/>
    <mergeCell ref="O74:O75"/>
    <mergeCell ref="P74:P75"/>
    <mergeCell ref="O70:O71"/>
    <mergeCell ref="Q68:Q69"/>
    <mergeCell ref="A73:R73"/>
    <mergeCell ref="A74:A75"/>
    <mergeCell ref="R70:R71"/>
    <mergeCell ref="R68:R69"/>
    <mergeCell ref="O68:O69"/>
    <mergeCell ref="C74:C75"/>
    <mergeCell ref="E74:E75"/>
    <mergeCell ref="G68:G69"/>
    <mergeCell ref="I68:I69"/>
    <mergeCell ref="K68:K69"/>
    <mergeCell ref="I74:I75"/>
    <mergeCell ref="A68:A69"/>
    <mergeCell ref="B68:B69"/>
    <mergeCell ref="C68:C69"/>
    <mergeCell ref="Q80:Q81"/>
    <mergeCell ref="Q82:Q83"/>
    <mergeCell ref="Q74:Q75"/>
    <mergeCell ref="R74:R75"/>
    <mergeCell ref="C80:C81"/>
    <mergeCell ref="E80:E81"/>
    <mergeCell ref="C76:C77"/>
    <mergeCell ref="E76:E77"/>
    <mergeCell ref="A76:A77"/>
    <mergeCell ref="B76:B77"/>
    <mergeCell ref="A80:A81"/>
    <mergeCell ref="B80:B81"/>
    <mergeCell ref="A78:A79"/>
    <mergeCell ref="B78:B79"/>
    <mergeCell ref="K80:K81"/>
    <mergeCell ref="M80:M81"/>
    <mergeCell ref="R78:R79"/>
    <mergeCell ref="R80:R81"/>
    <mergeCell ref="O76:O77"/>
    <mergeCell ref="P76:P77"/>
    <mergeCell ref="G76:G77"/>
    <mergeCell ref="I76:I77"/>
    <mergeCell ref="B74:B75"/>
    <mergeCell ref="G74:G75"/>
    <mergeCell ref="O86:O87"/>
    <mergeCell ref="R82:R83"/>
    <mergeCell ref="O78:O79"/>
    <mergeCell ref="P78:P79"/>
    <mergeCell ref="O80:O81"/>
    <mergeCell ref="P80:P81"/>
    <mergeCell ref="A84:A85"/>
    <mergeCell ref="B84:B85"/>
    <mergeCell ref="C84:C85"/>
    <mergeCell ref="E84:E85"/>
    <mergeCell ref="A82:A83"/>
    <mergeCell ref="B82:B83"/>
    <mergeCell ref="C82:C83"/>
    <mergeCell ref="E82:E83"/>
    <mergeCell ref="P84:P85"/>
    <mergeCell ref="G82:G83"/>
    <mergeCell ref="I82:I83"/>
    <mergeCell ref="K82:K83"/>
    <mergeCell ref="M82:M83"/>
    <mergeCell ref="G80:G81"/>
    <mergeCell ref="I80:I81"/>
    <mergeCell ref="O82:O83"/>
    <mergeCell ref="P82:P83"/>
    <mergeCell ref="Q78:Q79"/>
    <mergeCell ref="O90:O91"/>
    <mergeCell ref="P86:P87"/>
    <mergeCell ref="Q84:Q85"/>
    <mergeCell ref="R84:R85"/>
    <mergeCell ref="Q86:Q87"/>
    <mergeCell ref="R86:R87"/>
    <mergeCell ref="A88:A89"/>
    <mergeCell ref="B88:B89"/>
    <mergeCell ref="C88:C89"/>
    <mergeCell ref="E88:E89"/>
    <mergeCell ref="A86:A87"/>
    <mergeCell ref="B86:B87"/>
    <mergeCell ref="C86:C87"/>
    <mergeCell ref="E86:E87"/>
    <mergeCell ref="P88:P89"/>
    <mergeCell ref="G86:G87"/>
    <mergeCell ref="I86:I87"/>
    <mergeCell ref="K86:K87"/>
    <mergeCell ref="M86:M87"/>
    <mergeCell ref="G84:G85"/>
    <mergeCell ref="I84:I85"/>
    <mergeCell ref="K84:K85"/>
    <mergeCell ref="M84:M85"/>
    <mergeCell ref="O84:O85"/>
    <mergeCell ref="P90:P91"/>
    <mergeCell ref="Q88:Q89"/>
    <mergeCell ref="R88:R89"/>
    <mergeCell ref="Q90:Q91"/>
    <mergeCell ref="R90:R91"/>
    <mergeCell ref="G92:G93"/>
    <mergeCell ref="I92:I93"/>
    <mergeCell ref="A90:A91"/>
    <mergeCell ref="B90:B91"/>
    <mergeCell ref="C90:C91"/>
    <mergeCell ref="E90:E91"/>
    <mergeCell ref="A92:A93"/>
    <mergeCell ref="B92:B93"/>
    <mergeCell ref="C92:C93"/>
    <mergeCell ref="E92:E93"/>
    <mergeCell ref="G90:G91"/>
    <mergeCell ref="I90:I91"/>
    <mergeCell ref="K90:K91"/>
    <mergeCell ref="M90:M91"/>
    <mergeCell ref="G88:G89"/>
    <mergeCell ref="I88:I89"/>
    <mergeCell ref="K88:K89"/>
    <mergeCell ref="M88:M89"/>
    <mergeCell ref="O88:O89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277C89AD-A555-46D9-B105-A1A3656373E8}"/>
    <dataValidation imeMode="on" allowBlank="1" showInputMessage="1" showErrorMessage="1" sqref="C24 C72 C48 C96" xr:uid="{FC8AACC9-47B6-49CC-A797-BF256BB62548}"/>
    <dataValidation type="list" imeMode="on" allowBlank="1" showInputMessage="1" sqref="C4:C23 C28:C47 C52:C71 C76:C95" xr:uid="{A08AD571-32A6-40A5-B18C-30B143F7E91B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BAE6-D66C-4710-8A84-6B69572F0563}">
  <dimension ref="A1:R96"/>
  <sheetViews>
    <sheetView tabSelected="1" workbookViewId="0">
      <selection sqref="A1:R1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34" customWidth="1"/>
    <col min="19" max="16384" width="9" style="2"/>
  </cols>
  <sheetData>
    <row r="1" spans="1:18" s="34" customFormat="1" ht="21" customHeight="1" x14ac:dyDescent="0.15">
      <c r="A1" s="55" t="str">
        <f>'[1]A-1'!$E$9&amp;"年度分収集運搬手数料調定書内訳"</f>
        <v>2027年度分収集運搬手数料調定書内訳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45" t="s">
        <v>0</v>
      </c>
      <c r="B2" s="45" t="s">
        <v>2</v>
      </c>
      <c r="C2" s="46" t="s">
        <v>3</v>
      </c>
      <c r="D2" s="33" t="s">
        <v>14</v>
      </c>
      <c r="E2" s="51" t="s">
        <v>1</v>
      </c>
      <c r="F2" s="33" t="s">
        <v>14</v>
      </c>
      <c r="G2" s="53" t="s">
        <v>1</v>
      </c>
      <c r="H2" s="33" t="s">
        <v>14</v>
      </c>
      <c r="I2" s="45" t="s">
        <v>1</v>
      </c>
      <c r="J2" s="33" t="s">
        <v>14</v>
      </c>
      <c r="K2" s="45" t="s">
        <v>1</v>
      </c>
      <c r="L2" s="33" t="s">
        <v>14</v>
      </c>
      <c r="M2" s="45" t="s">
        <v>1</v>
      </c>
      <c r="N2" s="33" t="s">
        <v>14</v>
      </c>
      <c r="O2" s="45" t="s">
        <v>1</v>
      </c>
      <c r="P2" s="48" t="s">
        <v>4</v>
      </c>
      <c r="Q2" s="47" t="s">
        <v>5</v>
      </c>
      <c r="R2" s="48" t="s">
        <v>6</v>
      </c>
    </row>
    <row r="3" spans="1:18" ht="15" customHeight="1" x14ac:dyDescent="0.15">
      <c r="A3" s="45"/>
      <c r="B3" s="45"/>
      <c r="C3" s="46"/>
      <c r="D3" s="32" t="s">
        <v>7</v>
      </c>
      <c r="E3" s="52"/>
      <c r="F3" s="32" t="s">
        <v>7</v>
      </c>
      <c r="G3" s="45"/>
      <c r="H3" s="32" t="s">
        <v>7</v>
      </c>
      <c r="I3" s="54"/>
      <c r="J3" s="32" t="s">
        <v>7</v>
      </c>
      <c r="K3" s="45"/>
      <c r="L3" s="32" t="s">
        <v>7</v>
      </c>
      <c r="M3" s="54"/>
      <c r="N3" s="32" t="s">
        <v>7</v>
      </c>
      <c r="O3" s="45"/>
      <c r="P3" s="50"/>
      <c r="Q3" s="45"/>
      <c r="R3" s="49"/>
    </row>
    <row r="4" spans="1:18" ht="25.5" customHeight="1" x14ac:dyDescent="0.15">
      <c r="A4" s="36"/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/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/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/>
      <c r="B8" s="40"/>
      <c r="C8" s="60"/>
      <c r="D8" s="5" t="s">
        <v>12</v>
      </c>
      <c r="E8" s="36"/>
      <c r="F8" s="5" t="s">
        <v>13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/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/>
      <c r="B10" s="40"/>
      <c r="C10" s="60"/>
      <c r="D10" s="5" t="s">
        <v>12</v>
      </c>
      <c r="E10" s="36"/>
      <c r="F10" s="5" t="s">
        <v>13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/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/>
      <c r="B12" s="40"/>
      <c r="C12" s="60"/>
      <c r="D12" s="5" t="s">
        <v>12</v>
      </c>
      <c r="E12" s="36"/>
      <c r="F12" s="5" t="s">
        <v>13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/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/>
      <c r="B14" s="40"/>
      <c r="C14" s="60"/>
      <c r="D14" s="5" t="s">
        <v>12</v>
      </c>
      <c r="E14" s="36"/>
      <c r="F14" s="5" t="s">
        <v>13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/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/>
      <c r="B16" s="40"/>
      <c r="C16" s="60"/>
      <c r="D16" s="5" t="s">
        <v>12</v>
      </c>
      <c r="E16" s="36"/>
      <c r="F16" s="5" t="s">
        <v>13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/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/>
      <c r="B18" s="40"/>
      <c r="C18" s="60"/>
      <c r="D18" s="5" t="s">
        <v>12</v>
      </c>
      <c r="E18" s="36"/>
      <c r="F18" s="5" t="s">
        <v>13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/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/>
      <c r="B20" s="40"/>
      <c r="C20" s="60"/>
      <c r="D20" s="5" t="s">
        <v>12</v>
      </c>
      <c r="E20" s="36"/>
      <c r="F20" s="5" t="s">
        <v>13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/>
      <c r="B22" s="40"/>
      <c r="C22" s="60"/>
      <c r="D22" s="5" t="s">
        <v>12</v>
      </c>
      <c r="E22" s="36"/>
      <c r="F22" s="5" t="s">
        <v>13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34" customFormat="1" ht="21" customHeight="1" thickTop="1" x14ac:dyDescent="0.15">
      <c r="A24" s="35"/>
      <c r="B24" s="21"/>
      <c r="C24" s="22"/>
      <c r="D24" s="23" t="s">
        <v>12</v>
      </c>
      <c r="E24" s="35" t="str">
        <f>IF(SUM(E4:E23)=0,"",SUM(E4:E23))</f>
        <v/>
      </c>
      <c r="F24" s="23" t="s">
        <v>13</v>
      </c>
      <c r="G24" s="35" t="str">
        <f>IF(SUM(G4:G23)=0,"",SUM(G4:G23))</f>
        <v/>
      </c>
      <c r="H24" s="23" t="s">
        <v>8</v>
      </c>
      <c r="I24" s="35" t="str">
        <f>IF(SUM(I4:I23)=0,"",SUM(I4:I23))</f>
        <v/>
      </c>
      <c r="J24" s="23" t="s">
        <v>9</v>
      </c>
      <c r="K24" s="35" t="str">
        <f>IF(SUM(K4:K23)=0,"",SUM(K4:K23))</f>
        <v/>
      </c>
      <c r="L24" s="23" t="s">
        <v>10</v>
      </c>
      <c r="M24" s="35" t="str">
        <f>IF(SUM(M4:M23)=0,"",SUM(M4:M23))</f>
        <v/>
      </c>
      <c r="N24" s="23" t="s">
        <v>11</v>
      </c>
      <c r="O24" s="35" t="str">
        <f>IF(SUM(O4:O23)=0,"",SUM(O4:O23))</f>
        <v/>
      </c>
      <c r="P24" s="24" t="str">
        <f>IF(SUM(P4:P23)=0,"",SUM(P4:P23))</f>
        <v/>
      </c>
      <c r="Q24" s="35"/>
      <c r="R24" s="35"/>
    </row>
    <row r="25" spans="1:18" s="34" customFormat="1" ht="21" customHeight="1" x14ac:dyDescent="0.15">
      <c r="A25" s="55" t="str">
        <f>A1</f>
        <v>2027年度分収集運搬手数料調定書内訳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45" t="s">
        <v>0</v>
      </c>
      <c r="B26" s="45" t="s">
        <v>2</v>
      </c>
      <c r="C26" s="46" t="s">
        <v>3</v>
      </c>
      <c r="D26" s="33" t="s">
        <v>14</v>
      </c>
      <c r="E26" s="51" t="s">
        <v>1</v>
      </c>
      <c r="F26" s="33" t="s">
        <v>14</v>
      </c>
      <c r="G26" s="53" t="s">
        <v>1</v>
      </c>
      <c r="H26" s="33" t="s">
        <v>14</v>
      </c>
      <c r="I26" s="45" t="s">
        <v>1</v>
      </c>
      <c r="J26" s="33" t="s">
        <v>14</v>
      </c>
      <c r="K26" s="45" t="s">
        <v>1</v>
      </c>
      <c r="L26" s="33" t="s">
        <v>14</v>
      </c>
      <c r="M26" s="45" t="s">
        <v>1</v>
      </c>
      <c r="N26" s="33" t="s">
        <v>14</v>
      </c>
      <c r="O26" s="45" t="s">
        <v>1</v>
      </c>
      <c r="P26" s="48" t="s">
        <v>4</v>
      </c>
      <c r="Q26" s="47" t="s">
        <v>5</v>
      </c>
      <c r="R26" s="48" t="s">
        <v>6</v>
      </c>
    </row>
    <row r="27" spans="1:18" ht="15" customHeight="1" x14ac:dyDescent="0.15">
      <c r="A27" s="45"/>
      <c r="B27" s="45"/>
      <c r="C27" s="46"/>
      <c r="D27" s="32" t="s">
        <v>7</v>
      </c>
      <c r="E27" s="52"/>
      <c r="F27" s="32" t="s">
        <v>7</v>
      </c>
      <c r="G27" s="45"/>
      <c r="H27" s="32" t="s">
        <v>7</v>
      </c>
      <c r="I27" s="54"/>
      <c r="J27" s="32" t="s">
        <v>7</v>
      </c>
      <c r="K27" s="45"/>
      <c r="L27" s="32" t="s">
        <v>7</v>
      </c>
      <c r="M27" s="54"/>
      <c r="N27" s="32" t="s">
        <v>7</v>
      </c>
      <c r="O27" s="45"/>
      <c r="P27" s="50"/>
      <c r="Q27" s="45"/>
      <c r="R27" s="49"/>
    </row>
    <row r="28" spans="1:18" ht="25.5" customHeight="1" x14ac:dyDescent="0.15">
      <c r="A28" s="36"/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/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/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/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/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44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/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38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/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/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/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38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/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38"/>
      <c r="R46" s="36"/>
    </row>
    <row r="47" spans="1:18" ht="25.5" customHeight="1" thickBot="1" x14ac:dyDescent="0.2">
      <c r="A47" s="37"/>
      <c r="B47" s="41"/>
      <c r="C47" s="80"/>
      <c r="D47" s="6">
        <v>2000</v>
      </c>
      <c r="E47" s="37"/>
      <c r="F47" s="6">
        <v>3000</v>
      </c>
      <c r="G47" s="37"/>
      <c r="H47" s="6">
        <v>3000</v>
      </c>
      <c r="I47" s="37"/>
      <c r="J47" s="6">
        <v>3000</v>
      </c>
      <c r="K47" s="37"/>
      <c r="L47" s="6">
        <v>2000</v>
      </c>
      <c r="M47" s="37"/>
      <c r="N47" s="7">
        <v>2000</v>
      </c>
      <c r="O47" s="37"/>
      <c r="P47" s="43"/>
      <c r="Q47" s="39"/>
      <c r="R47" s="37"/>
    </row>
    <row r="48" spans="1:18" s="34" customFormat="1" ht="21" customHeight="1" thickTop="1" x14ac:dyDescent="0.15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34" customFormat="1" ht="21" customHeight="1" x14ac:dyDescent="0.15">
      <c r="A49" s="55" t="str">
        <f>A1</f>
        <v>2027年度分収集運搬手数料調定書内訳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45" t="s">
        <v>0</v>
      </c>
      <c r="B50" s="45" t="s">
        <v>2</v>
      </c>
      <c r="C50" s="46" t="s">
        <v>3</v>
      </c>
      <c r="D50" s="33" t="s">
        <v>14</v>
      </c>
      <c r="E50" s="51" t="s">
        <v>1</v>
      </c>
      <c r="F50" s="33" t="s">
        <v>14</v>
      </c>
      <c r="G50" s="53" t="s">
        <v>1</v>
      </c>
      <c r="H50" s="33" t="s">
        <v>14</v>
      </c>
      <c r="I50" s="45" t="s">
        <v>1</v>
      </c>
      <c r="J50" s="33" t="s">
        <v>14</v>
      </c>
      <c r="K50" s="45" t="s">
        <v>1</v>
      </c>
      <c r="L50" s="33" t="s">
        <v>14</v>
      </c>
      <c r="M50" s="45" t="s">
        <v>1</v>
      </c>
      <c r="N50" s="33" t="s">
        <v>14</v>
      </c>
      <c r="O50" s="45" t="s">
        <v>1</v>
      </c>
      <c r="P50" s="48" t="s">
        <v>4</v>
      </c>
      <c r="Q50" s="47" t="s">
        <v>5</v>
      </c>
      <c r="R50" s="48" t="s">
        <v>6</v>
      </c>
    </row>
    <row r="51" spans="1:18" ht="15" customHeight="1" x14ac:dyDescent="0.15">
      <c r="A51" s="45"/>
      <c r="B51" s="45"/>
      <c r="C51" s="46"/>
      <c r="D51" s="32" t="s">
        <v>7</v>
      </c>
      <c r="E51" s="52"/>
      <c r="F51" s="32" t="s">
        <v>7</v>
      </c>
      <c r="G51" s="45"/>
      <c r="H51" s="32" t="s">
        <v>7</v>
      </c>
      <c r="I51" s="54"/>
      <c r="J51" s="32" t="s">
        <v>7</v>
      </c>
      <c r="K51" s="45"/>
      <c r="L51" s="32" t="s">
        <v>7</v>
      </c>
      <c r="M51" s="54"/>
      <c r="N51" s="32" t="s">
        <v>7</v>
      </c>
      <c r="O51" s="45"/>
      <c r="P51" s="50"/>
      <c r="Q51" s="45"/>
      <c r="R51" s="49"/>
    </row>
    <row r="52" spans="1:18" ht="25.5" customHeight="1" x14ac:dyDescent="0.15">
      <c r="A52" s="36"/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/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/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/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/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44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/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38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/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/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/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/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/>
      <c r="Q68" s="38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/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/>
      <c r="Q70" s="38"/>
      <c r="R70" s="36"/>
    </row>
    <row r="71" spans="1:18" ht="25.5" customHeight="1" thickBot="1" x14ac:dyDescent="0.2">
      <c r="A71" s="37"/>
      <c r="B71" s="41"/>
      <c r="C71" s="80"/>
      <c r="D71" s="6">
        <v>2000</v>
      </c>
      <c r="E71" s="37"/>
      <c r="F71" s="6">
        <v>3000</v>
      </c>
      <c r="G71" s="37"/>
      <c r="H71" s="6">
        <v>3000</v>
      </c>
      <c r="I71" s="37"/>
      <c r="J71" s="6">
        <v>3000</v>
      </c>
      <c r="K71" s="37"/>
      <c r="L71" s="6">
        <v>2000</v>
      </c>
      <c r="M71" s="37"/>
      <c r="N71" s="7">
        <v>2000</v>
      </c>
      <c r="O71" s="37"/>
      <c r="P71" s="43"/>
      <c r="Q71" s="39"/>
      <c r="R71" s="37"/>
    </row>
    <row r="72" spans="1:18" s="34" customFormat="1" ht="21" customHeight="1" thickTop="1" x14ac:dyDescent="0.15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34" customFormat="1" ht="21" customHeight="1" x14ac:dyDescent="0.15">
      <c r="A73" s="55" t="str">
        <f>A1</f>
        <v>2027年度分収集運搬手数料調定書内訳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45" t="s">
        <v>0</v>
      </c>
      <c r="B74" s="45" t="s">
        <v>2</v>
      </c>
      <c r="C74" s="46" t="s">
        <v>3</v>
      </c>
      <c r="D74" s="33" t="s">
        <v>14</v>
      </c>
      <c r="E74" s="51" t="s">
        <v>1</v>
      </c>
      <c r="F74" s="33" t="s">
        <v>14</v>
      </c>
      <c r="G74" s="53" t="s">
        <v>1</v>
      </c>
      <c r="H74" s="33" t="s">
        <v>14</v>
      </c>
      <c r="I74" s="45" t="s">
        <v>1</v>
      </c>
      <c r="J74" s="33" t="s">
        <v>14</v>
      </c>
      <c r="K74" s="45" t="s">
        <v>1</v>
      </c>
      <c r="L74" s="33" t="s">
        <v>14</v>
      </c>
      <c r="M74" s="45" t="s">
        <v>1</v>
      </c>
      <c r="N74" s="33" t="s">
        <v>14</v>
      </c>
      <c r="O74" s="45" t="s">
        <v>1</v>
      </c>
      <c r="P74" s="48" t="s">
        <v>4</v>
      </c>
      <c r="Q74" s="47" t="s">
        <v>5</v>
      </c>
      <c r="R74" s="48" t="s">
        <v>6</v>
      </c>
    </row>
    <row r="75" spans="1:18" ht="15" customHeight="1" x14ac:dyDescent="0.15">
      <c r="A75" s="45"/>
      <c r="B75" s="45"/>
      <c r="C75" s="46"/>
      <c r="D75" s="32" t="s">
        <v>7</v>
      </c>
      <c r="E75" s="52"/>
      <c r="F75" s="32" t="s">
        <v>7</v>
      </c>
      <c r="G75" s="45"/>
      <c r="H75" s="32" t="s">
        <v>7</v>
      </c>
      <c r="I75" s="54"/>
      <c r="J75" s="32" t="s">
        <v>7</v>
      </c>
      <c r="K75" s="45"/>
      <c r="L75" s="32" t="s">
        <v>7</v>
      </c>
      <c r="M75" s="54"/>
      <c r="N75" s="32" t="s">
        <v>7</v>
      </c>
      <c r="O75" s="45"/>
      <c r="P75" s="50"/>
      <c r="Q75" s="45"/>
      <c r="R75" s="49"/>
    </row>
    <row r="76" spans="1:18" ht="25.5" customHeight="1" x14ac:dyDescent="0.15">
      <c r="A76" s="36"/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/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/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/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/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44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/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38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/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/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/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38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/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38"/>
      <c r="R94" s="36"/>
    </row>
    <row r="95" spans="1:18" ht="25.5" customHeight="1" thickBot="1" x14ac:dyDescent="0.2">
      <c r="A95" s="37"/>
      <c r="B95" s="41"/>
      <c r="C95" s="80"/>
      <c r="D95" s="6">
        <v>2000</v>
      </c>
      <c r="E95" s="37"/>
      <c r="F95" s="6">
        <v>3000</v>
      </c>
      <c r="G95" s="37"/>
      <c r="H95" s="6">
        <v>3000</v>
      </c>
      <c r="I95" s="37"/>
      <c r="J95" s="6">
        <v>3000</v>
      </c>
      <c r="K95" s="37"/>
      <c r="L95" s="6">
        <v>2000</v>
      </c>
      <c r="M95" s="37"/>
      <c r="N95" s="7">
        <v>2000</v>
      </c>
      <c r="O95" s="37"/>
      <c r="P95" s="43"/>
      <c r="Q95" s="39"/>
      <c r="R95" s="37"/>
    </row>
    <row r="96" spans="1:18" s="34" customFormat="1" ht="21" customHeight="1" thickTop="1" x14ac:dyDescent="0.15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G92:G93"/>
    <mergeCell ref="I92:I93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A92:A93"/>
    <mergeCell ref="B92:B93"/>
    <mergeCell ref="C92:C93"/>
    <mergeCell ref="E92:E93"/>
    <mergeCell ref="O86:O87"/>
    <mergeCell ref="P86:P87"/>
    <mergeCell ref="Q82:Q83"/>
    <mergeCell ref="Q92:Q93"/>
    <mergeCell ref="K84:K85"/>
    <mergeCell ref="M84:M85"/>
    <mergeCell ref="O88:O89"/>
    <mergeCell ref="M90:M91"/>
    <mergeCell ref="P88:P89"/>
    <mergeCell ref="Q86:Q87"/>
    <mergeCell ref="G88:G89"/>
    <mergeCell ref="I88:I89"/>
    <mergeCell ref="R80:R81"/>
    <mergeCell ref="O80:O81"/>
    <mergeCell ref="R86:R87"/>
    <mergeCell ref="A86:A87"/>
    <mergeCell ref="B86:B87"/>
    <mergeCell ref="C86:C87"/>
    <mergeCell ref="E86:E87"/>
    <mergeCell ref="G80:G81"/>
    <mergeCell ref="I80:I81"/>
    <mergeCell ref="A84:A85"/>
    <mergeCell ref="B84:B85"/>
    <mergeCell ref="C84:C85"/>
    <mergeCell ref="E84:E85"/>
    <mergeCell ref="G86:G87"/>
    <mergeCell ref="I86:I87"/>
    <mergeCell ref="G84:G85"/>
    <mergeCell ref="I84:I85"/>
    <mergeCell ref="A80:A81"/>
    <mergeCell ref="B80:B81"/>
    <mergeCell ref="P80:P81"/>
    <mergeCell ref="K86:K87"/>
    <mergeCell ref="M86:M87"/>
    <mergeCell ref="A70:A71"/>
    <mergeCell ref="E66:E67"/>
    <mergeCell ref="A66:A67"/>
    <mergeCell ref="E68:E69"/>
    <mergeCell ref="G90:G91"/>
    <mergeCell ref="I90:I91"/>
    <mergeCell ref="R74:R75"/>
    <mergeCell ref="R82:R83"/>
    <mergeCell ref="Q84:Q85"/>
    <mergeCell ref="R84:R85"/>
    <mergeCell ref="O82:O83"/>
    <mergeCell ref="P82:P83"/>
    <mergeCell ref="O84:O85"/>
    <mergeCell ref="P84:P85"/>
    <mergeCell ref="G82:G83"/>
    <mergeCell ref="I82:I83"/>
    <mergeCell ref="K82:K83"/>
    <mergeCell ref="M82:M83"/>
    <mergeCell ref="K80:K81"/>
    <mergeCell ref="M80:M81"/>
    <mergeCell ref="R78:R79"/>
    <mergeCell ref="Q80:Q81"/>
    <mergeCell ref="R76:R77"/>
    <mergeCell ref="K78:K79"/>
    <mergeCell ref="A76:A77"/>
    <mergeCell ref="B76:B77"/>
    <mergeCell ref="C76:C77"/>
    <mergeCell ref="E76:E77"/>
    <mergeCell ref="G76:G77"/>
    <mergeCell ref="I74:I75"/>
    <mergeCell ref="K74:K75"/>
    <mergeCell ref="M74:M75"/>
    <mergeCell ref="A74:A75"/>
    <mergeCell ref="B74:B75"/>
    <mergeCell ref="C74:C75"/>
    <mergeCell ref="E74:E75"/>
    <mergeCell ref="G74:G75"/>
    <mergeCell ref="I76:I77"/>
    <mergeCell ref="K76:K77"/>
    <mergeCell ref="M76:M77"/>
    <mergeCell ref="A44:A45"/>
    <mergeCell ref="B44:B45"/>
    <mergeCell ref="C44:C45"/>
    <mergeCell ref="E44:E45"/>
    <mergeCell ref="O40:O41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A46:A47"/>
    <mergeCell ref="B46:B47"/>
    <mergeCell ref="C46:C47"/>
    <mergeCell ref="E46:E47"/>
    <mergeCell ref="G46:G47"/>
    <mergeCell ref="I46:I47"/>
    <mergeCell ref="B42:B43"/>
    <mergeCell ref="O44:O45"/>
    <mergeCell ref="P44:P45"/>
    <mergeCell ref="O42:O43"/>
    <mergeCell ref="C42:C43"/>
    <mergeCell ref="E42:E43"/>
    <mergeCell ref="K44:K45"/>
    <mergeCell ref="G44:G45"/>
    <mergeCell ref="I44:I45"/>
    <mergeCell ref="K42:K43"/>
    <mergeCell ref="I40:I41"/>
    <mergeCell ref="K40:K41"/>
    <mergeCell ref="G42:G43"/>
    <mergeCell ref="I42:I43"/>
    <mergeCell ref="R44:R45"/>
    <mergeCell ref="R42:R43"/>
    <mergeCell ref="O46:O47"/>
    <mergeCell ref="P46:P47"/>
    <mergeCell ref="Q42:Q43"/>
    <mergeCell ref="R40:R41"/>
    <mergeCell ref="R46:R47"/>
    <mergeCell ref="R26:R27"/>
    <mergeCell ref="P26:P27"/>
    <mergeCell ref="O28:O29"/>
    <mergeCell ref="P28:P29"/>
    <mergeCell ref="O38:O39"/>
    <mergeCell ref="P38:P39"/>
    <mergeCell ref="P42:P43"/>
    <mergeCell ref="K26:K27"/>
    <mergeCell ref="Q28:Q29"/>
    <mergeCell ref="R28:R29"/>
    <mergeCell ref="M26:M27"/>
    <mergeCell ref="G30:G31"/>
    <mergeCell ref="I30:I31"/>
    <mergeCell ref="K30:K31"/>
    <mergeCell ref="A62:A63"/>
    <mergeCell ref="B62:B63"/>
    <mergeCell ref="C62:C63"/>
    <mergeCell ref="R30:R31"/>
    <mergeCell ref="K32:K33"/>
    <mergeCell ref="O30:O31"/>
    <mergeCell ref="M32:M33"/>
    <mergeCell ref="O32:O33"/>
    <mergeCell ref="Q30:Q31"/>
    <mergeCell ref="R32:R33"/>
    <mergeCell ref="A32:A33"/>
    <mergeCell ref="B32:B33"/>
    <mergeCell ref="C32:C33"/>
    <mergeCell ref="E34:E35"/>
    <mergeCell ref="G34:G35"/>
    <mergeCell ref="I34:I35"/>
    <mergeCell ref="A30:A31"/>
    <mergeCell ref="A36:A37"/>
    <mergeCell ref="B36:B37"/>
    <mergeCell ref="C36:C37"/>
    <mergeCell ref="A34:A35"/>
    <mergeCell ref="E36:E37"/>
    <mergeCell ref="A40:A41"/>
    <mergeCell ref="B40:B41"/>
    <mergeCell ref="A82:A83"/>
    <mergeCell ref="B82:B83"/>
    <mergeCell ref="C82:C83"/>
    <mergeCell ref="E82:E83"/>
    <mergeCell ref="A78:A79"/>
    <mergeCell ref="B78:B79"/>
    <mergeCell ref="A68:A69"/>
    <mergeCell ref="B68:B69"/>
    <mergeCell ref="C68:C69"/>
    <mergeCell ref="B70:B71"/>
    <mergeCell ref="C70:C71"/>
    <mergeCell ref="E70:E71"/>
    <mergeCell ref="A73:R73"/>
    <mergeCell ref="G68:G69"/>
    <mergeCell ref="P68:P69"/>
    <mergeCell ref="I68:I69"/>
    <mergeCell ref="K68:K69"/>
    <mergeCell ref="R68:R69"/>
    <mergeCell ref="O68:O69"/>
    <mergeCell ref="Q68:Q69"/>
    <mergeCell ref="M68:M69"/>
    <mergeCell ref="Q74:Q75"/>
    <mergeCell ref="O74:O75"/>
    <mergeCell ref="P74:P75"/>
    <mergeCell ref="A90:A91"/>
    <mergeCell ref="B90:B91"/>
    <mergeCell ref="C90:C91"/>
    <mergeCell ref="E90:E91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A88:A89"/>
    <mergeCell ref="B88:B89"/>
    <mergeCell ref="C88:C89"/>
    <mergeCell ref="E88:E89"/>
    <mergeCell ref="O70:O71"/>
    <mergeCell ref="P70:P71"/>
    <mergeCell ref="Q70:Q71"/>
    <mergeCell ref="I70:I71"/>
    <mergeCell ref="K70:K71"/>
    <mergeCell ref="M70:M71"/>
    <mergeCell ref="R70:R71"/>
    <mergeCell ref="C80:C81"/>
    <mergeCell ref="E80:E81"/>
    <mergeCell ref="G70:G71"/>
    <mergeCell ref="G78:G79"/>
    <mergeCell ref="I78:I79"/>
    <mergeCell ref="M78:M79"/>
    <mergeCell ref="Q76:Q77"/>
    <mergeCell ref="C78:C79"/>
    <mergeCell ref="E78:E79"/>
    <mergeCell ref="Q78:Q79"/>
    <mergeCell ref="O76:O77"/>
    <mergeCell ref="P76:P77"/>
    <mergeCell ref="O78:O79"/>
    <mergeCell ref="P78:P79"/>
    <mergeCell ref="A64:A65"/>
    <mergeCell ref="B64:B65"/>
    <mergeCell ref="C64:C65"/>
    <mergeCell ref="E64:E65"/>
    <mergeCell ref="B66:B67"/>
    <mergeCell ref="C66:C67"/>
    <mergeCell ref="R64:R65"/>
    <mergeCell ref="I64:I65"/>
    <mergeCell ref="M66:M67"/>
    <mergeCell ref="O66:O67"/>
    <mergeCell ref="P66:P67"/>
    <mergeCell ref="Q66:Q67"/>
    <mergeCell ref="Q64:Q65"/>
    <mergeCell ref="M64:M65"/>
    <mergeCell ref="O64:O65"/>
    <mergeCell ref="K66:K67"/>
    <mergeCell ref="I66:I67"/>
    <mergeCell ref="R66:R67"/>
    <mergeCell ref="G66:G67"/>
    <mergeCell ref="I62:I63"/>
    <mergeCell ref="K62:K63"/>
    <mergeCell ref="P60:P61"/>
    <mergeCell ref="K60:K61"/>
    <mergeCell ref="K64:K65"/>
    <mergeCell ref="G62:G63"/>
    <mergeCell ref="I60:I61"/>
    <mergeCell ref="O62:O63"/>
    <mergeCell ref="P64:P65"/>
    <mergeCell ref="M62:M63"/>
    <mergeCell ref="G64:G65"/>
    <mergeCell ref="R62:R63"/>
    <mergeCell ref="Q60:Q61"/>
    <mergeCell ref="R60:R61"/>
    <mergeCell ref="M60:M61"/>
    <mergeCell ref="Q62:Q63"/>
    <mergeCell ref="O60:O61"/>
    <mergeCell ref="P62:P63"/>
    <mergeCell ref="R54:R55"/>
    <mergeCell ref="K54:K55"/>
    <mergeCell ref="R56:R57"/>
    <mergeCell ref="O56:O57"/>
    <mergeCell ref="P56:P57"/>
    <mergeCell ref="Q54:Q55"/>
    <mergeCell ref="P54:P55"/>
    <mergeCell ref="Q56:Q57"/>
    <mergeCell ref="M54:M55"/>
    <mergeCell ref="O54:O55"/>
    <mergeCell ref="E62:E63"/>
    <mergeCell ref="G54:G55"/>
    <mergeCell ref="E54:E55"/>
    <mergeCell ref="B54:B55"/>
    <mergeCell ref="C60:C61"/>
    <mergeCell ref="C58:C59"/>
    <mergeCell ref="E56:E57"/>
    <mergeCell ref="E60:E61"/>
    <mergeCell ref="C54:C55"/>
    <mergeCell ref="G60:G61"/>
    <mergeCell ref="C56:C57"/>
    <mergeCell ref="I54:I55"/>
    <mergeCell ref="M56:M57"/>
    <mergeCell ref="I56:I57"/>
    <mergeCell ref="G50:G51"/>
    <mergeCell ref="G58:G59"/>
    <mergeCell ref="G56:G57"/>
    <mergeCell ref="A52:A53"/>
    <mergeCell ref="A50:A51"/>
    <mergeCell ref="R58:R59"/>
    <mergeCell ref="P58:P59"/>
    <mergeCell ref="M58:M59"/>
    <mergeCell ref="Q58:Q59"/>
    <mergeCell ref="O58:O59"/>
    <mergeCell ref="K58:K59"/>
    <mergeCell ref="K56:K57"/>
    <mergeCell ref="I58:I59"/>
    <mergeCell ref="A56:A57"/>
    <mergeCell ref="R50:R51"/>
    <mergeCell ref="R52:R53"/>
    <mergeCell ref="E50:E51"/>
    <mergeCell ref="A54:A55"/>
    <mergeCell ref="Q52:Q53"/>
    <mergeCell ref="O52:O53"/>
    <mergeCell ref="O50:O51"/>
    <mergeCell ref="I52:I53"/>
    <mergeCell ref="K50:K51"/>
    <mergeCell ref="M52:M53"/>
    <mergeCell ref="K52:K53"/>
    <mergeCell ref="C52:C53"/>
    <mergeCell ref="B52:B53"/>
    <mergeCell ref="E52:E53"/>
    <mergeCell ref="Q50:Q51"/>
    <mergeCell ref="P50:P51"/>
    <mergeCell ref="P52:P53"/>
    <mergeCell ref="I50:I51"/>
    <mergeCell ref="M50:M51"/>
    <mergeCell ref="G52:G53"/>
    <mergeCell ref="B50:B51"/>
    <mergeCell ref="C50:C51"/>
    <mergeCell ref="B26:B27"/>
    <mergeCell ref="C26:C27"/>
    <mergeCell ref="A20:A21"/>
    <mergeCell ref="G22:G23"/>
    <mergeCell ref="A60:A61"/>
    <mergeCell ref="B60:B61"/>
    <mergeCell ref="E58:E59"/>
    <mergeCell ref="B56:B57"/>
    <mergeCell ref="A58:A59"/>
    <mergeCell ref="B58:B59"/>
    <mergeCell ref="A28:A29"/>
    <mergeCell ref="B28:B29"/>
    <mergeCell ref="C28:C29"/>
    <mergeCell ref="E28:E29"/>
    <mergeCell ref="B34:B35"/>
    <mergeCell ref="C34:C35"/>
    <mergeCell ref="C40:C41"/>
    <mergeCell ref="E40:E41"/>
    <mergeCell ref="A38:A39"/>
    <mergeCell ref="B38:B39"/>
    <mergeCell ref="C38:C39"/>
    <mergeCell ref="E38:E39"/>
    <mergeCell ref="G40:G41"/>
    <mergeCell ref="A42:A43"/>
    <mergeCell ref="A49:R49"/>
    <mergeCell ref="A25:R25"/>
    <mergeCell ref="E26:E27"/>
    <mergeCell ref="G26:G27"/>
    <mergeCell ref="I26:I27"/>
    <mergeCell ref="K20:K21"/>
    <mergeCell ref="G20:G21"/>
    <mergeCell ref="Q32:Q33"/>
    <mergeCell ref="Q38:Q39"/>
    <mergeCell ref="P30:P31"/>
    <mergeCell ref="P32:P33"/>
    <mergeCell ref="P36:P37"/>
    <mergeCell ref="Q36:Q37"/>
    <mergeCell ref="Q26:Q27"/>
    <mergeCell ref="R38:R39"/>
    <mergeCell ref="K38:K39"/>
    <mergeCell ref="M38:M39"/>
    <mergeCell ref="O34:O35"/>
    <mergeCell ref="P34:P35"/>
    <mergeCell ref="M22:M23"/>
    <mergeCell ref="K22:K23"/>
    <mergeCell ref="E22:E23"/>
    <mergeCell ref="B22:B23"/>
    <mergeCell ref="A22:A23"/>
    <mergeCell ref="K28:K29"/>
    <mergeCell ref="O22:O23"/>
    <mergeCell ref="P20:P21"/>
    <mergeCell ref="O26:O27"/>
    <mergeCell ref="I28:I29"/>
    <mergeCell ref="G28:G29"/>
    <mergeCell ref="O16:O17"/>
    <mergeCell ref="A16:A17"/>
    <mergeCell ref="B18:B19"/>
    <mergeCell ref="G18:G19"/>
    <mergeCell ref="K18:K19"/>
    <mergeCell ref="I18:I19"/>
    <mergeCell ref="I22:I23"/>
    <mergeCell ref="B16:B17"/>
    <mergeCell ref="C16:C17"/>
    <mergeCell ref="E20:E21"/>
    <mergeCell ref="I20:I21"/>
    <mergeCell ref="P22:P23"/>
    <mergeCell ref="M28:M29"/>
    <mergeCell ref="O20:O21"/>
    <mergeCell ref="C22:C23"/>
    <mergeCell ref="B20:B21"/>
    <mergeCell ref="C20:C21"/>
    <mergeCell ref="A26:A27"/>
    <mergeCell ref="A12:A13"/>
    <mergeCell ref="B12:B13"/>
    <mergeCell ref="C12:C13"/>
    <mergeCell ref="E12:E13"/>
    <mergeCell ref="C10:C11"/>
    <mergeCell ref="G10:G11"/>
    <mergeCell ref="A18:A19"/>
    <mergeCell ref="P16:P17"/>
    <mergeCell ref="O18:O19"/>
    <mergeCell ref="C18:C19"/>
    <mergeCell ref="E16:E17"/>
    <mergeCell ref="E18:E19"/>
    <mergeCell ref="I16:I17"/>
    <mergeCell ref="G16:G17"/>
    <mergeCell ref="A14:A15"/>
    <mergeCell ref="K16:K17"/>
    <mergeCell ref="B6:B7"/>
    <mergeCell ref="C6:C7"/>
    <mergeCell ref="A8:A9"/>
    <mergeCell ref="E6:E7"/>
    <mergeCell ref="G8:G9"/>
    <mergeCell ref="E10:E11"/>
    <mergeCell ref="A10:A11"/>
    <mergeCell ref="B14:B15"/>
    <mergeCell ref="Q10:Q11"/>
    <mergeCell ref="O10:O11"/>
    <mergeCell ref="B10:B11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B8:B9"/>
    <mergeCell ref="C14:C15"/>
    <mergeCell ref="E14:E15"/>
    <mergeCell ref="G6:G7"/>
    <mergeCell ref="I6:I7"/>
    <mergeCell ref="M8:M9"/>
    <mergeCell ref="K8:K9"/>
    <mergeCell ref="M6:M7"/>
    <mergeCell ref="K6:K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E8:E9"/>
    <mergeCell ref="C8:C9"/>
    <mergeCell ref="I4:I5"/>
    <mergeCell ref="I8:I9"/>
    <mergeCell ref="A4:A5"/>
    <mergeCell ref="A6:A7"/>
    <mergeCell ref="B4:B5"/>
    <mergeCell ref="E4:E5"/>
    <mergeCell ref="R4:R5"/>
    <mergeCell ref="C2:C3"/>
    <mergeCell ref="P2:P3"/>
    <mergeCell ref="R2:R3"/>
    <mergeCell ref="Q4:Q5"/>
    <mergeCell ref="O4:O5"/>
    <mergeCell ref="P4:P5"/>
    <mergeCell ref="G4:G5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K12:K13"/>
    <mergeCell ref="P12:P13"/>
    <mergeCell ref="P10:P11"/>
    <mergeCell ref="Q8:Q9"/>
    <mergeCell ref="O6:O7"/>
    <mergeCell ref="Q6:Q7"/>
    <mergeCell ref="R8:R9"/>
    <mergeCell ref="R18:R19"/>
    <mergeCell ref="R14:R15"/>
    <mergeCell ref="Q18:Q19"/>
    <mergeCell ref="Q14:Q15"/>
    <mergeCell ref="O14:O15"/>
    <mergeCell ref="M20:M21"/>
    <mergeCell ref="M18:M19"/>
    <mergeCell ref="R22:R23"/>
    <mergeCell ref="R12:R13"/>
    <mergeCell ref="Q12:Q13"/>
    <mergeCell ref="P14:P15"/>
    <mergeCell ref="P18:P19"/>
    <mergeCell ref="Q16:Q17"/>
    <mergeCell ref="R16:R17"/>
    <mergeCell ref="M16:M17"/>
    <mergeCell ref="Q22:Q23"/>
    <mergeCell ref="R20:R21"/>
    <mergeCell ref="Q20:Q21"/>
    <mergeCell ref="G38:G39"/>
    <mergeCell ref="I38:I39"/>
    <mergeCell ref="M34:M35"/>
    <mergeCell ref="M36:M37"/>
    <mergeCell ref="K34:K35"/>
    <mergeCell ref="K36:K37"/>
    <mergeCell ref="G36:G37"/>
    <mergeCell ref="I36:I37"/>
    <mergeCell ref="R36:R37"/>
    <mergeCell ref="Q34:Q35"/>
    <mergeCell ref="B30:B31"/>
    <mergeCell ref="C30:C31"/>
    <mergeCell ref="E32:E33"/>
    <mergeCell ref="G32:G33"/>
    <mergeCell ref="I32:I33"/>
    <mergeCell ref="E30:E31"/>
    <mergeCell ref="M30:M31"/>
    <mergeCell ref="R34:R35"/>
    <mergeCell ref="O36:O37"/>
  </mergeCells>
  <phoneticPr fontId="3"/>
  <dataValidations count="3">
    <dataValidation imeMode="disabled" allowBlank="1" showInputMessage="1" showErrorMessage="1" sqref="N69 N21 A30:B30 N23 K4:K24 A20:B20 A4:B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5 N71 A6:B6 N7 N9 A8:B8 A10:B10 N11 A12:B12 N13 A14:B14 N15 A16:B16 N17 I4:I24 O4:R24 G4:G24 M4:M24 E4:E24 N19 A18:B18" xr:uid="{9F9A2A44-27EF-485E-9412-CCDDDC5C15E2}"/>
    <dataValidation imeMode="on" allowBlank="1" showInputMessage="1" showErrorMessage="1" sqref="C24 C72 C48 C96" xr:uid="{2A1268B0-DB0C-4C01-A5D1-56D2A67EB6B7}"/>
    <dataValidation type="list" imeMode="on" allowBlank="1" showInputMessage="1" sqref="C4:C23 C28:C47 C52:C71 C76:C95" xr:uid="{492D3F3E-C39D-41C9-A53A-6C2EC723CD39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594F-46F6-428C-96B9-2DBBFD931842}">
  <dimension ref="A1:T575"/>
  <sheetViews>
    <sheetView topLeftCell="A6" workbookViewId="0">
      <selection activeCell="C4" sqref="C4:C23"/>
    </sheetView>
  </sheetViews>
  <sheetFormatPr defaultRowHeight="14.25" x14ac:dyDescent="0.1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 x14ac:dyDescent="0.15">
      <c r="A1" s="55" t="str">
        <f>'[1]A-1'!$E$9&amp;"年度分収集運搬手数料収入原簿内訳"</f>
        <v>2027年度分収集運搬手数料収入原簿内訳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5.75" customHeight="1" x14ac:dyDescent="0.15">
      <c r="A2" s="62" t="s">
        <v>0</v>
      </c>
      <c r="B2" s="62" t="s">
        <v>2</v>
      </c>
      <c r="C2" s="63" t="s">
        <v>3</v>
      </c>
      <c r="D2" s="4" t="s">
        <v>14</v>
      </c>
      <c r="E2" s="64" t="s">
        <v>1</v>
      </c>
      <c r="F2" s="4" t="s">
        <v>14</v>
      </c>
      <c r="G2" s="66" t="s">
        <v>1</v>
      </c>
      <c r="H2" s="4" t="s">
        <v>14</v>
      </c>
      <c r="I2" s="62" t="s">
        <v>1</v>
      </c>
      <c r="J2" s="4" t="s">
        <v>14</v>
      </c>
      <c r="K2" s="62" t="s">
        <v>1</v>
      </c>
      <c r="L2" s="4" t="s">
        <v>14</v>
      </c>
      <c r="M2" s="62" t="s">
        <v>1</v>
      </c>
      <c r="N2" s="4" t="s">
        <v>14</v>
      </c>
      <c r="O2" s="62" t="s">
        <v>1</v>
      </c>
      <c r="P2" s="68" t="s">
        <v>4</v>
      </c>
      <c r="Q2" s="71" t="s">
        <v>5</v>
      </c>
      <c r="R2" s="68" t="s">
        <v>6</v>
      </c>
    </row>
    <row r="3" spans="1:18" ht="15" customHeight="1" x14ac:dyDescent="0.15">
      <c r="A3" s="62"/>
      <c r="B3" s="62"/>
      <c r="C3" s="63"/>
      <c r="D3" s="3" t="s">
        <v>7</v>
      </c>
      <c r="E3" s="65"/>
      <c r="F3" s="3" t="s">
        <v>7</v>
      </c>
      <c r="G3" s="62"/>
      <c r="H3" s="3" t="s">
        <v>7</v>
      </c>
      <c r="I3" s="67"/>
      <c r="J3" s="3" t="s">
        <v>7</v>
      </c>
      <c r="K3" s="62"/>
      <c r="L3" s="3" t="s">
        <v>7</v>
      </c>
      <c r="M3" s="67"/>
      <c r="N3" s="3" t="s">
        <v>7</v>
      </c>
      <c r="O3" s="62"/>
      <c r="P3" s="69"/>
      <c r="Q3" s="62"/>
      <c r="R3" s="70"/>
    </row>
    <row r="4" spans="1:18" ht="25.5" customHeight="1" x14ac:dyDescent="0.15">
      <c r="A4" s="36">
        <v>1</v>
      </c>
      <c r="B4" s="40"/>
      <c r="C4" s="60"/>
      <c r="D4" s="5" t="s">
        <v>12</v>
      </c>
      <c r="E4" s="36"/>
      <c r="F4" s="5" t="s">
        <v>13</v>
      </c>
      <c r="G4" s="36"/>
      <c r="H4" s="5" t="s">
        <v>8</v>
      </c>
      <c r="I4" s="36"/>
      <c r="J4" s="5" t="s">
        <v>9</v>
      </c>
      <c r="K4" s="36"/>
      <c r="L4" s="5" t="s">
        <v>10</v>
      </c>
      <c r="M4" s="36"/>
      <c r="N4" s="5" t="s">
        <v>11</v>
      </c>
      <c r="O4" s="36"/>
      <c r="P4" s="42" t="str">
        <f>IF(E4+G4+I4+K4+M4=0,"",D5*E4+F5*G4+H5*I4+J5*K4+L5*M4+N5*O4)</f>
        <v/>
      </c>
      <c r="Q4" s="38"/>
      <c r="R4" s="36"/>
    </row>
    <row r="5" spans="1:18" ht="25.5" customHeight="1" x14ac:dyDescent="0.15">
      <c r="A5" s="37"/>
      <c r="B5" s="41"/>
      <c r="C5" s="61"/>
      <c r="D5" s="6">
        <v>2000</v>
      </c>
      <c r="E5" s="37"/>
      <c r="F5" s="6">
        <v>3000</v>
      </c>
      <c r="G5" s="37"/>
      <c r="H5" s="6">
        <v>3000</v>
      </c>
      <c r="I5" s="37"/>
      <c r="J5" s="6">
        <v>3000</v>
      </c>
      <c r="K5" s="37"/>
      <c r="L5" s="6">
        <v>2000</v>
      </c>
      <c r="M5" s="37"/>
      <c r="N5" s="7">
        <v>2000</v>
      </c>
      <c r="O5" s="37"/>
      <c r="P5" s="43"/>
      <c r="Q5" s="39"/>
      <c r="R5" s="37"/>
    </row>
    <row r="6" spans="1:18" ht="25.5" customHeight="1" x14ac:dyDescent="0.15">
      <c r="A6" s="36">
        <v>2</v>
      </c>
      <c r="B6" s="40"/>
      <c r="C6" s="60"/>
      <c r="D6" s="5" t="s">
        <v>12</v>
      </c>
      <c r="E6" s="36"/>
      <c r="F6" s="5" t="s">
        <v>13</v>
      </c>
      <c r="G6" s="36"/>
      <c r="H6" s="5" t="s">
        <v>8</v>
      </c>
      <c r="I6" s="36"/>
      <c r="J6" s="5" t="s">
        <v>9</v>
      </c>
      <c r="K6" s="36"/>
      <c r="L6" s="5" t="s">
        <v>10</v>
      </c>
      <c r="M6" s="36"/>
      <c r="N6" s="5" t="s">
        <v>11</v>
      </c>
      <c r="O6" s="36"/>
      <c r="P6" s="42" t="str">
        <f>IF(E6+G6+I6+K6+M6=0,"",D7*E6+F7*G6+H7*I6+J7*K6+L7*M6+N7*O6)</f>
        <v/>
      </c>
      <c r="Q6" s="44"/>
      <c r="R6" s="36"/>
    </row>
    <row r="7" spans="1:18" ht="25.5" customHeight="1" x14ac:dyDescent="0.15">
      <c r="A7" s="37"/>
      <c r="B7" s="41"/>
      <c r="C7" s="61"/>
      <c r="D7" s="6">
        <v>2000</v>
      </c>
      <c r="E7" s="37"/>
      <c r="F7" s="6">
        <v>3000</v>
      </c>
      <c r="G7" s="37"/>
      <c r="H7" s="6">
        <v>3000</v>
      </c>
      <c r="I7" s="37"/>
      <c r="J7" s="6">
        <v>3000</v>
      </c>
      <c r="K7" s="37"/>
      <c r="L7" s="6">
        <v>2000</v>
      </c>
      <c r="M7" s="37"/>
      <c r="N7" s="7">
        <v>2000</v>
      </c>
      <c r="O7" s="37"/>
      <c r="P7" s="43"/>
      <c r="Q7" s="39"/>
      <c r="R7" s="37"/>
    </row>
    <row r="8" spans="1:18" ht="25.5" customHeight="1" x14ac:dyDescent="0.15">
      <c r="A8" s="36">
        <v>3</v>
      </c>
      <c r="B8" s="40"/>
      <c r="C8" s="60"/>
      <c r="D8" s="5" t="s">
        <v>37</v>
      </c>
      <c r="E8" s="36"/>
      <c r="F8" s="5" t="s">
        <v>38</v>
      </c>
      <c r="G8" s="36"/>
      <c r="H8" s="5" t="s">
        <v>8</v>
      </c>
      <c r="I8" s="36"/>
      <c r="J8" s="5" t="s">
        <v>9</v>
      </c>
      <c r="K8" s="36"/>
      <c r="L8" s="5" t="s">
        <v>10</v>
      </c>
      <c r="M8" s="36"/>
      <c r="N8" s="5" t="s">
        <v>11</v>
      </c>
      <c r="O8" s="36"/>
      <c r="P8" s="42" t="str">
        <f>IF(E8+G8+I8+K8+M8=0,"",D9*E8+F9*G8+H9*I8+J9*K8+L9*M8+N9*O8)</f>
        <v/>
      </c>
      <c r="Q8" s="44"/>
      <c r="R8" s="36"/>
    </row>
    <row r="9" spans="1:18" ht="25.5" customHeight="1" x14ac:dyDescent="0.15">
      <c r="A9" s="37"/>
      <c r="B9" s="41"/>
      <c r="C9" s="61"/>
      <c r="D9" s="6">
        <v>2000</v>
      </c>
      <c r="E9" s="37"/>
      <c r="F9" s="6">
        <v>3000</v>
      </c>
      <c r="G9" s="37"/>
      <c r="H9" s="6">
        <v>3000</v>
      </c>
      <c r="I9" s="37"/>
      <c r="J9" s="6">
        <v>3000</v>
      </c>
      <c r="K9" s="37"/>
      <c r="L9" s="6">
        <v>2000</v>
      </c>
      <c r="M9" s="37"/>
      <c r="N9" s="7">
        <v>2000</v>
      </c>
      <c r="O9" s="37"/>
      <c r="P9" s="43"/>
      <c r="Q9" s="39"/>
      <c r="R9" s="37"/>
    </row>
    <row r="10" spans="1:18" ht="25.5" customHeight="1" x14ac:dyDescent="0.15">
      <c r="A10" s="36">
        <v>4</v>
      </c>
      <c r="B10" s="40"/>
      <c r="C10" s="60"/>
      <c r="D10" s="5" t="s">
        <v>37</v>
      </c>
      <c r="E10" s="36"/>
      <c r="F10" s="5" t="s">
        <v>38</v>
      </c>
      <c r="G10" s="36"/>
      <c r="H10" s="5" t="s">
        <v>8</v>
      </c>
      <c r="I10" s="36"/>
      <c r="J10" s="5" t="s">
        <v>9</v>
      </c>
      <c r="K10" s="36"/>
      <c r="L10" s="5" t="s">
        <v>10</v>
      </c>
      <c r="M10" s="36"/>
      <c r="N10" s="5" t="s">
        <v>11</v>
      </c>
      <c r="O10" s="36"/>
      <c r="P10" s="42" t="str">
        <f>IF(E10+G10+I10+K10+M10=0,"",D11*E10+F11*G10+H11*I10+J11*K10+L11*M10+N11*O10)</f>
        <v/>
      </c>
      <c r="Q10" s="44"/>
      <c r="R10" s="36"/>
    </row>
    <row r="11" spans="1:18" ht="25.5" customHeight="1" x14ac:dyDescent="0.15">
      <c r="A11" s="37"/>
      <c r="B11" s="41"/>
      <c r="C11" s="61"/>
      <c r="D11" s="6">
        <v>2000</v>
      </c>
      <c r="E11" s="37"/>
      <c r="F11" s="6">
        <v>3000</v>
      </c>
      <c r="G11" s="37"/>
      <c r="H11" s="6">
        <v>3000</v>
      </c>
      <c r="I11" s="37"/>
      <c r="J11" s="6">
        <v>3000</v>
      </c>
      <c r="K11" s="37"/>
      <c r="L11" s="6">
        <v>2000</v>
      </c>
      <c r="M11" s="37"/>
      <c r="N11" s="7">
        <v>2000</v>
      </c>
      <c r="O11" s="37"/>
      <c r="P11" s="43"/>
      <c r="Q11" s="39"/>
      <c r="R11" s="37"/>
    </row>
    <row r="12" spans="1:18" ht="25.5" customHeight="1" x14ac:dyDescent="0.15">
      <c r="A12" s="36">
        <v>5</v>
      </c>
      <c r="B12" s="40"/>
      <c r="C12" s="60"/>
      <c r="D12" s="5" t="s">
        <v>37</v>
      </c>
      <c r="E12" s="36"/>
      <c r="F12" s="5" t="s">
        <v>38</v>
      </c>
      <c r="G12" s="36"/>
      <c r="H12" s="5" t="s">
        <v>8</v>
      </c>
      <c r="I12" s="36"/>
      <c r="J12" s="5" t="s">
        <v>9</v>
      </c>
      <c r="K12" s="36"/>
      <c r="L12" s="5" t="s">
        <v>10</v>
      </c>
      <c r="M12" s="36"/>
      <c r="N12" s="5" t="s">
        <v>11</v>
      </c>
      <c r="O12" s="36"/>
      <c r="P12" s="42" t="str">
        <f>IF(E12+G12+I12+K12+M12=0,"",D13*E12+F13*G12+H13*I12+J13*K12+L13*M12+N13*O12)</f>
        <v/>
      </c>
      <c r="Q12" s="38"/>
      <c r="R12" s="36"/>
    </row>
    <row r="13" spans="1:18" ht="25.5" customHeight="1" x14ac:dyDescent="0.15">
      <c r="A13" s="37"/>
      <c r="B13" s="41"/>
      <c r="C13" s="61"/>
      <c r="D13" s="6">
        <v>2000</v>
      </c>
      <c r="E13" s="37"/>
      <c r="F13" s="6">
        <v>3000</v>
      </c>
      <c r="G13" s="37"/>
      <c r="H13" s="6">
        <v>3000</v>
      </c>
      <c r="I13" s="37"/>
      <c r="J13" s="6">
        <v>3000</v>
      </c>
      <c r="K13" s="37"/>
      <c r="L13" s="6">
        <v>2000</v>
      </c>
      <c r="M13" s="37"/>
      <c r="N13" s="7">
        <v>2000</v>
      </c>
      <c r="O13" s="37"/>
      <c r="P13" s="43"/>
      <c r="Q13" s="39"/>
      <c r="R13" s="37"/>
    </row>
    <row r="14" spans="1:18" ht="25.5" customHeight="1" x14ac:dyDescent="0.15">
      <c r="A14" s="36">
        <v>6</v>
      </c>
      <c r="B14" s="40"/>
      <c r="C14" s="60"/>
      <c r="D14" s="5" t="s">
        <v>37</v>
      </c>
      <c r="E14" s="36"/>
      <c r="F14" s="5" t="s">
        <v>38</v>
      </c>
      <c r="G14" s="36"/>
      <c r="H14" s="5" t="s">
        <v>8</v>
      </c>
      <c r="I14" s="36"/>
      <c r="J14" s="5" t="s">
        <v>9</v>
      </c>
      <c r="K14" s="36"/>
      <c r="L14" s="5" t="s">
        <v>10</v>
      </c>
      <c r="M14" s="36"/>
      <c r="N14" s="5" t="s">
        <v>11</v>
      </c>
      <c r="O14" s="36"/>
      <c r="P14" s="42" t="str">
        <f>IF(E14+G14+I14+K14+M14=0,"",D15*E14+F15*G14+H15*I14+J15*K14+L15*M14+N15*O14)</f>
        <v/>
      </c>
      <c r="Q14" s="44"/>
      <c r="R14" s="36"/>
    </row>
    <row r="15" spans="1:18" ht="25.5" customHeight="1" x14ac:dyDescent="0.15">
      <c r="A15" s="37"/>
      <c r="B15" s="41"/>
      <c r="C15" s="61"/>
      <c r="D15" s="6">
        <v>2000</v>
      </c>
      <c r="E15" s="37"/>
      <c r="F15" s="6">
        <v>3000</v>
      </c>
      <c r="G15" s="37"/>
      <c r="H15" s="6">
        <v>3000</v>
      </c>
      <c r="I15" s="37"/>
      <c r="J15" s="6">
        <v>3000</v>
      </c>
      <c r="K15" s="37"/>
      <c r="L15" s="6">
        <v>2000</v>
      </c>
      <c r="M15" s="37"/>
      <c r="N15" s="7">
        <v>2000</v>
      </c>
      <c r="O15" s="37"/>
      <c r="P15" s="43"/>
      <c r="Q15" s="39"/>
      <c r="R15" s="37"/>
    </row>
    <row r="16" spans="1:18" ht="25.5" customHeight="1" x14ac:dyDescent="0.15">
      <c r="A16" s="36">
        <v>7</v>
      </c>
      <c r="B16" s="40"/>
      <c r="C16" s="60"/>
      <c r="D16" s="5" t="s">
        <v>37</v>
      </c>
      <c r="E16" s="36"/>
      <c r="F16" s="5" t="s">
        <v>38</v>
      </c>
      <c r="G16" s="36"/>
      <c r="H16" s="5" t="s">
        <v>8</v>
      </c>
      <c r="I16" s="36"/>
      <c r="J16" s="5" t="s">
        <v>9</v>
      </c>
      <c r="K16" s="36"/>
      <c r="L16" s="5" t="s">
        <v>10</v>
      </c>
      <c r="M16" s="36"/>
      <c r="N16" s="5" t="s">
        <v>11</v>
      </c>
      <c r="O16" s="36"/>
      <c r="P16" s="42" t="str">
        <f>IF(E16+G16+I16+K16+M16=0,"",D17*E16+F17*G16+H17*I16+J17*K16+L17*M16+N17*O16)</f>
        <v/>
      </c>
      <c r="Q16" s="38"/>
      <c r="R16" s="36"/>
    </row>
    <row r="17" spans="1:18" ht="25.5" customHeight="1" x14ac:dyDescent="0.15">
      <c r="A17" s="37"/>
      <c r="B17" s="41"/>
      <c r="C17" s="61"/>
      <c r="D17" s="6">
        <v>2000</v>
      </c>
      <c r="E17" s="37"/>
      <c r="F17" s="6">
        <v>3000</v>
      </c>
      <c r="G17" s="37"/>
      <c r="H17" s="6">
        <v>3000</v>
      </c>
      <c r="I17" s="37"/>
      <c r="J17" s="6">
        <v>3000</v>
      </c>
      <c r="K17" s="37"/>
      <c r="L17" s="6">
        <v>2000</v>
      </c>
      <c r="M17" s="37"/>
      <c r="N17" s="7">
        <v>2000</v>
      </c>
      <c r="O17" s="37"/>
      <c r="P17" s="43"/>
      <c r="Q17" s="39"/>
      <c r="R17" s="37"/>
    </row>
    <row r="18" spans="1:18" ht="25.5" customHeight="1" x14ac:dyDescent="0.15">
      <c r="A18" s="36">
        <v>8</v>
      </c>
      <c r="B18" s="40"/>
      <c r="C18" s="60"/>
      <c r="D18" s="5" t="s">
        <v>37</v>
      </c>
      <c r="E18" s="36"/>
      <c r="F18" s="5" t="s">
        <v>38</v>
      </c>
      <c r="G18" s="36"/>
      <c r="H18" s="5" t="s">
        <v>8</v>
      </c>
      <c r="I18" s="36"/>
      <c r="J18" s="5" t="s">
        <v>9</v>
      </c>
      <c r="K18" s="36"/>
      <c r="L18" s="5" t="s">
        <v>10</v>
      </c>
      <c r="M18" s="36"/>
      <c r="N18" s="5" t="s">
        <v>11</v>
      </c>
      <c r="O18" s="36"/>
      <c r="P18" s="42" t="str">
        <f>IF(E18+G18+I18+K18+M18=0,"",D19*E18+F19*G18+H19*I18+J19*K18+L19*M18+N19*O18)</f>
        <v/>
      </c>
      <c r="Q18" s="38"/>
      <c r="R18" s="36"/>
    </row>
    <row r="19" spans="1:18" ht="25.5" customHeight="1" x14ac:dyDescent="0.15">
      <c r="A19" s="37"/>
      <c r="B19" s="41"/>
      <c r="C19" s="61"/>
      <c r="D19" s="6">
        <v>2000</v>
      </c>
      <c r="E19" s="37"/>
      <c r="F19" s="6">
        <v>3000</v>
      </c>
      <c r="G19" s="37"/>
      <c r="H19" s="6">
        <v>3000</v>
      </c>
      <c r="I19" s="37"/>
      <c r="J19" s="6">
        <v>3000</v>
      </c>
      <c r="K19" s="37"/>
      <c r="L19" s="6">
        <v>2000</v>
      </c>
      <c r="M19" s="37"/>
      <c r="N19" s="7">
        <v>2000</v>
      </c>
      <c r="O19" s="37"/>
      <c r="P19" s="43"/>
      <c r="Q19" s="39"/>
      <c r="R19" s="37"/>
    </row>
    <row r="20" spans="1:18" ht="25.5" customHeight="1" x14ac:dyDescent="0.15">
      <c r="A20" s="36">
        <v>9</v>
      </c>
      <c r="B20" s="40"/>
      <c r="C20" s="60"/>
      <c r="D20" s="5" t="s">
        <v>37</v>
      </c>
      <c r="E20" s="36"/>
      <c r="F20" s="5" t="s">
        <v>38</v>
      </c>
      <c r="G20" s="36"/>
      <c r="H20" s="5" t="s">
        <v>8</v>
      </c>
      <c r="I20" s="36"/>
      <c r="J20" s="5" t="s">
        <v>9</v>
      </c>
      <c r="K20" s="36"/>
      <c r="L20" s="5" t="s">
        <v>10</v>
      </c>
      <c r="M20" s="36"/>
      <c r="N20" s="5" t="s">
        <v>11</v>
      </c>
      <c r="O20" s="36"/>
      <c r="P20" s="42" t="str">
        <f>IF(E20+G20+I20+K20+M20=0,"",D21*E20+F21*G20+H21*I20+J21*K20+L21*M20+N21*O20)</f>
        <v/>
      </c>
      <c r="Q20" s="44"/>
      <c r="R20" s="36"/>
    </row>
    <row r="21" spans="1:18" ht="25.5" customHeight="1" x14ac:dyDescent="0.15">
      <c r="A21" s="37"/>
      <c r="B21" s="41"/>
      <c r="C21" s="61"/>
      <c r="D21" s="6">
        <v>2000</v>
      </c>
      <c r="E21" s="37"/>
      <c r="F21" s="6">
        <v>3000</v>
      </c>
      <c r="G21" s="37"/>
      <c r="H21" s="6">
        <v>3000</v>
      </c>
      <c r="I21" s="37"/>
      <c r="J21" s="6">
        <v>3000</v>
      </c>
      <c r="K21" s="37"/>
      <c r="L21" s="6">
        <v>2000</v>
      </c>
      <c r="M21" s="37"/>
      <c r="N21" s="7">
        <v>2000</v>
      </c>
      <c r="O21" s="37"/>
      <c r="P21" s="43"/>
      <c r="Q21" s="39"/>
      <c r="R21" s="37"/>
    </row>
    <row r="22" spans="1:18" ht="25.5" customHeight="1" x14ac:dyDescent="0.15">
      <c r="A22" s="36">
        <v>10</v>
      </c>
      <c r="B22" s="40"/>
      <c r="C22" s="60"/>
      <c r="D22" s="5" t="s">
        <v>37</v>
      </c>
      <c r="E22" s="36"/>
      <c r="F22" s="5" t="s">
        <v>38</v>
      </c>
      <c r="G22" s="36"/>
      <c r="H22" s="5" t="s">
        <v>8</v>
      </c>
      <c r="I22" s="36"/>
      <c r="J22" s="5" t="s">
        <v>9</v>
      </c>
      <c r="K22" s="36"/>
      <c r="L22" s="5" t="s">
        <v>10</v>
      </c>
      <c r="M22" s="36"/>
      <c r="N22" s="5" t="s">
        <v>11</v>
      </c>
      <c r="O22" s="36"/>
      <c r="P22" s="42" t="str">
        <f>IF(E22+G22+I22+K22+M22=0,"",D23*E22+F23*G22+H23*I22+J23*K22+L23*M22+N23*O22)</f>
        <v/>
      </c>
      <c r="Q22" s="44"/>
      <c r="R22" s="36"/>
    </row>
    <row r="23" spans="1:18" ht="25.5" customHeight="1" thickBot="1" x14ac:dyDescent="0.2">
      <c r="A23" s="57"/>
      <c r="B23" s="59"/>
      <c r="C23" s="8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6"/>
      <c r="Q23" s="58"/>
      <c r="R23" s="57"/>
    </row>
    <row r="24" spans="1:18" s="1" customFormat="1" ht="21" customHeight="1" thickTop="1" x14ac:dyDescent="0.15">
      <c r="A24" s="20"/>
      <c r="B24" s="21"/>
      <c r="C24" s="22"/>
      <c r="D24" s="23" t="s">
        <v>39</v>
      </c>
      <c r="E24" s="20" t="str">
        <f>IF(SUM(E4:E23)=0,"",SUM(E4:E23))</f>
        <v/>
      </c>
      <c r="F24" s="23" t="s">
        <v>40</v>
      </c>
      <c r="G24" s="20" t="str">
        <f>IF(SUM(G4:G23)=0,"",SUM(G4:G23))</f>
        <v/>
      </c>
      <c r="H24" s="23" t="s">
        <v>8</v>
      </c>
      <c r="I24" s="20" t="str">
        <f>IF(SUM(I4:I23)=0,"",SUM(I4:I23))</f>
        <v/>
      </c>
      <c r="J24" s="23" t="s">
        <v>9</v>
      </c>
      <c r="K24" s="20" t="str">
        <f>IF(SUM(K4:K23)=0,"",SUM(K4:K23))</f>
        <v/>
      </c>
      <c r="L24" s="23" t="s">
        <v>10</v>
      </c>
      <c r="M24" s="20" t="str">
        <f>IF(SUM(M4:M23)=0,"",SUM(M4:M23))</f>
        <v/>
      </c>
      <c r="N24" s="23" t="s">
        <v>11</v>
      </c>
      <c r="O24" s="20" t="str">
        <f>IF(SUM(O4:O23)=0,"",SUM(O4:O23))</f>
        <v/>
      </c>
      <c r="P24" s="24" t="str">
        <f>IF(SUM(P4:P23)=0,"",SUM(P4:P23))</f>
        <v/>
      </c>
      <c r="Q24" s="27" t="str">
        <f>IF(SUM(P24)=SUM(R24),"現/未          0","現/未  "&amp;(P24-SUM(R24))/1000&amp;",000")</f>
        <v>現/未          0</v>
      </c>
      <c r="R24" s="27">
        <f>IF(SUMIF(R4:R23,"",P4:P23)=0,0,SUMIF(R4:R23,"",P4:P23))</f>
        <v>0</v>
      </c>
    </row>
    <row r="25" spans="1:18" s="1" customFormat="1" ht="21" customHeight="1" x14ac:dyDescent="0.15">
      <c r="A25" s="55" t="str">
        <f>A1</f>
        <v>2027年度分収集運搬手数料収入原簿内訳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ht="15.75" customHeight="1" x14ac:dyDescent="0.15">
      <c r="A26" s="62" t="s">
        <v>0</v>
      </c>
      <c r="B26" s="62" t="s">
        <v>2</v>
      </c>
      <c r="C26" s="63" t="s">
        <v>3</v>
      </c>
      <c r="D26" s="4" t="s">
        <v>14</v>
      </c>
      <c r="E26" s="64" t="s">
        <v>1</v>
      </c>
      <c r="F26" s="4" t="s">
        <v>14</v>
      </c>
      <c r="G26" s="66" t="s">
        <v>1</v>
      </c>
      <c r="H26" s="4" t="s">
        <v>14</v>
      </c>
      <c r="I26" s="62" t="s">
        <v>1</v>
      </c>
      <c r="J26" s="4" t="s">
        <v>14</v>
      </c>
      <c r="K26" s="62" t="s">
        <v>1</v>
      </c>
      <c r="L26" s="4" t="s">
        <v>14</v>
      </c>
      <c r="M26" s="62" t="s">
        <v>1</v>
      </c>
      <c r="N26" s="4" t="s">
        <v>14</v>
      </c>
      <c r="O26" s="62" t="s">
        <v>1</v>
      </c>
      <c r="P26" s="68" t="s">
        <v>4</v>
      </c>
      <c r="Q26" s="71" t="s">
        <v>5</v>
      </c>
      <c r="R26" s="68" t="s">
        <v>6</v>
      </c>
    </row>
    <row r="27" spans="1:18" ht="15" customHeight="1" x14ac:dyDescent="0.15">
      <c r="A27" s="62"/>
      <c r="B27" s="62"/>
      <c r="C27" s="63"/>
      <c r="D27" s="3" t="s">
        <v>7</v>
      </c>
      <c r="E27" s="65"/>
      <c r="F27" s="3" t="s">
        <v>7</v>
      </c>
      <c r="G27" s="62"/>
      <c r="H27" s="3" t="s">
        <v>7</v>
      </c>
      <c r="I27" s="67"/>
      <c r="J27" s="3" t="s">
        <v>7</v>
      </c>
      <c r="K27" s="62"/>
      <c r="L27" s="3" t="s">
        <v>7</v>
      </c>
      <c r="M27" s="67"/>
      <c r="N27" s="3" t="s">
        <v>7</v>
      </c>
      <c r="O27" s="62"/>
      <c r="P27" s="69"/>
      <c r="Q27" s="62"/>
      <c r="R27" s="70"/>
    </row>
    <row r="28" spans="1:18" ht="25.5" customHeight="1" x14ac:dyDescent="0.15">
      <c r="A28" s="36">
        <v>11</v>
      </c>
      <c r="B28" s="40"/>
      <c r="C28" s="60"/>
      <c r="D28" s="5" t="s">
        <v>12</v>
      </c>
      <c r="E28" s="36"/>
      <c r="F28" s="5" t="s">
        <v>13</v>
      </c>
      <c r="G28" s="36"/>
      <c r="H28" s="5" t="s">
        <v>8</v>
      </c>
      <c r="I28" s="36"/>
      <c r="J28" s="5" t="s">
        <v>9</v>
      </c>
      <c r="K28" s="36"/>
      <c r="L28" s="5" t="s">
        <v>10</v>
      </c>
      <c r="M28" s="36"/>
      <c r="N28" s="5" t="s">
        <v>11</v>
      </c>
      <c r="O28" s="36"/>
      <c r="P28" s="42" t="str">
        <f>IF(E28+G28+I28+K28+M28=0,"",D29*E28+F29*G28+H29*I28+J29*K28+L29*M28+N29*O28)</f>
        <v/>
      </c>
      <c r="Q28" s="38"/>
      <c r="R28" s="36"/>
    </row>
    <row r="29" spans="1:18" ht="25.5" customHeight="1" x14ac:dyDescent="0.15">
      <c r="A29" s="37"/>
      <c r="B29" s="41"/>
      <c r="C29" s="61"/>
      <c r="D29" s="6">
        <v>2000</v>
      </c>
      <c r="E29" s="37"/>
      <c r="F29" s="6">
        <v>3000</v>
      </c>
      <c r="G29" s="37"/>
      <c r="H29" s="6">
        <v>3000</v>
      </c>
      <c r="I29" s="37"/>
      <c r="J29" s="6">
        <v>3000</v>
      </c>
      <c r="K29" s="37"/>
      <c r="L29" s="6">
        <v>2000</v>
      </c>
      <c r="M29" s="37"/>
      <c r="N29" s="7">
        <v>2000</v>
      </c>
      <c r="O29" s="37"/>
      <c r="P29" s="43"/>
      <c r="Q29" s="39"/>
      <c r="R29" s="37"/>
    </row>
    <row r="30" spans="1:18" ht="25.5" customHeight="1" x14ac:dyDescent="0.15">
      <c r="A30" s="36">
        <v>12</v>
      </c>
      <c r="B30" s="40"/>
      <c r="C30" s="60"/>
      <c r="D30" s="5" t="s">
        <v>12</v>
      </c>
      <c r="E30" s="36"/>
      <c r="F30" s="5" t="s">
        <v>13</v>
      </c>
      <c r="G30" s="36"/>
      <c r="H30" s="5" t="s">
        <v>8</v>
      </c>
      <c r="I30" s="36"/>
      <c r="J30" s="5" t="s">
        <v>9</v>
      </c>
      <c r="K30" s="36"/>
      <c r="L30" s="5" t="s">
        <v>10</v>
      </c>
      <c r="M30" s="36"/>
      <c r="N30" s="5" t="s">
        <v>11</v>
      </c>
      <c r="O30" s="36"/>
      <c r="P30" s="42" t="str">
        <f>IF(E30+G30+I30+K30+M30=0,"",D31*E30+F31*G30+H31*I30+J31*K30+L31*M30+N31*O30)</f>
        <v/>
      </c>
      <c r="Q30" s="44"/>
      <c r="R30" s="36"/>
    </row>
    <row r="31" spans="1:18" ht="25.5" customHeight="1" x14ac:dyDescent="0.15">
      <c r="A31" s="37"/>
      <c r="B31" s="41"/>
      <c r="C31" s="61"/>
      <c r="D31" s="6">
        <v>2000</v>
      </c>
      <c r="E31" s="37"/>
      <c r="F31" s="6">
        <v>3000</v>
      </c>
      <c r="G31" s="37"/>
      <c r="H31" s="6">
        <v>3000</v>
      </c>
      <c r="I31" s="37"/>
      <c r="J31" s="6">
        <v>3000</v>
      </c>
      <c r="K31" s="37"/>
      <c r="L31" s="6">
        <v>2000</v>
      </c>
      <c r="M31" s="37"/>
      <c r="N31" s="7">
        <v>2000</v>
      </c>
      <c r="O31" s="37"/>
      <c r="P31" s="43"/>
      <c r="Q31" s="39"/>
      <c r="R31" s="37"/>
    </row>
    <row r="32" spans="1:18" ht="25.5" customHeight="1" x14ac:dyDescent="0.15">
      <c r="A32" s="36">
        <v>13</v>
      </c>
      <c r="B32" s="40"/>
      <c r="C32" s="60"/>
      <c r="D32" s="5" t="s">
        <v>12</v>
      </c>
      <c r="E32" s="36"/>
      <c r="F32" s="5" t="s">
        <v>13</v>
      </c>
      <c r="G32" s="36"/>
      <c r="H32" s="5" t="s">
        <v>8</v>
      </c>
      <c r="I32" s="36"/>
      <c r="J32" s="5" t="s">
        <v>9</v>
      </c>
      <c r="K32" s="36"/>
      <c r="L32" s="5" t="s">
        <v>10</v>
      </c>
      <c r="M32" s="36"/>
      <c r="N32" s="5" t="s">
        <v>11</v>
      </c>
      <c r="O32" s="36"/>
      <c r="P32" s="42" t="str">
        <f>IF(E32+G32+I32+K32+M32=0,"",D33*E32+F33*G32+H33*I32+J33*K32+L33*M32+N33*O32)</f>
        <v/>
      </c>
      <c r="Q32" s="44"/>
      <c r="R32" s="36"/>
    </row>
    <row r="33" spans="1:18" ht="25.5" customHeight="1" x14ac:dyDescent="0.15">
      <c r="A33" s="37"/>
      <c r="B33" s="41"/>
      <c r="C33" s="61"/>
      <c r="D33" s="6">
        <v>2000</v>
      </c>
      <c r="E33" s="37"/>
      <c r="F33" s="6">
        <v>3000</v>
      </c>
      <c r="G33" s="37"/>
      <c r="H33" s="6">
        <v>3000</v>
      </c>
      <c r="I33" s="37"/>
      <c r="J33" s="6">
        <v>3000</v>
      </c>
      <c r="K33" s="37"/>
      <c r="L33" s="6">
        <v>2000</v>
      </c>
      <c r="M33" s="37"/>
      <c r="N33" s="7">
        <v>2000</v>
      </c>
      <c r="O33" s="37"/>
      <c r="P33" s="43"/>
      <c r="Q33" s="39"/>
      <c r="R33" s="37"/>
    </row>
    <row r="34" spans="1:18" ht="25.5" customHeight="1" x14ac:dyDescent="0.15">
      <c r="A34" s="36">
        <v>14</v>
      </c>
      <c r="B34" s="40"/>
      <c r="C34" s="60"/>
      <c r="D34" s="5" t="s">
        <v>12</v>
      </c>
      <c r="E34" s="36"/>
      <c r="F34" s="5" t="s">
        <v>13</v>
      </c>
      <c r="G34" s="36"/>
      <c r="H34" s="5" t="s">
        <v>8</v>
      </c>
      <c r="I34" s="36"/>
      <c r="J34" s="5" t="s">
        <v>9</v>
      </c>
      <c r="K34" s="36"/>
      <c r="L34" s="5" t="s">
        <v>10</v>
      </c>
      <c r="M34" s="36"/>
      <c r="N34" s="5" t="s">
        <v>11</v>
      </c>
      <c r="O34" s="36"/>
      <c r="P34" s="42" t="str">
        <f>IF(E34+G34+I34+K34+M34=0,"",D35*E34+F35*G34+H35*I34+J35*K34+L35*M34+N35*O34)</f>
        <v/>
      </c>
      <c r="Q34" s="44"/>
      <c r="R34" s="36"/>
    </row>
    <row r="35" spans="1:18" ht="25.5" customHeight="1" x14ac:dyDescent="0.15">
      <c r="A35" s="37"/>
      <c r="B35" s="41"/>
      <c r="C35" s="61"/>
      <c r="D35" s="6">
        <v>2000</v>
      </c>
      <c r="E35" s="37"/>
      <c r="F35" s="6">
        <v>3000</v>
      </c>
      <c r="G35" s="37"/>
      <c r="H35" s="6">
        <v>3000</v>
      </c>
      <c r="I35" s="37"/>
      <c r="J35" s="6">
        <v>3000</v>
      </c>
      <c r="K35" s="37"/>
      <c r="L35" s="6">
        <v>2000</v>
      </c>
      <c r="M35" s="37"/>
      <c r="N35" s="7">
        <v>2000</v>
      </c>
      <c r="O35" s="37"/>
      <c r="P35" s="43"/>
      <c r="Q35" s="39"/>
      <c r="R35" s="37"/>
    </row>
    <row r="36" spans="1:18" ht="25.5" customHeight="1" x14ac:dyDescent="0.15">
      <c r="A36" s="36">
        <v>15</v>
      </c>
      <c r="B36" s="40"/>
      <c r="C36" s="60"/>
      <c r="D36" s="5" t="s">
        <v>12</v>
      </c>
      <c r="E36" s="36"/>
      <c r="F36" s="5" t="s">
        <v>13</v>
      </c>
      <c r="G36" s="36"/>
      <c r="H36" s="5" t="s">
        <v>8</v>
      </c>
      <c r="I36" s="36"/>
      <c r="J36" s="5" t="s">
        <v>9</v>
      </c>
      <c r="K36" s="36"/>
      <c r="L36" s="5" t="s">
        <v>10</v>
      </c>
      <c r="M36" s="36"/>
      <c r="N36" s="5" t="s">
        <v>11</v>
      </c>
      <c r="O36" s="36"/>
      <c r="P36" s="42" t="str">
        <f>IF(E36+G36+I36+K36+M36=0,"",D37*E36+F37*G36+H37*I36+J37*K36+L37*M36+N37*O36)</f>
        <v/>
      </c>
      <c r="Q36" s="38"/>
      <c r="R36" s="36"/>
    </row>
    <row r="37" spans="1:18" ht="25.5" customHeight="1" x14ac:dyDescent="0.15">
      <c r="A37" s="37"/>
      <c r="B37" s="41"/>
      <c r="C37" s="61"/>
      <c r="D37" s="6">
        <v>2000</v>
      </c>
      <c r="E37" s="37"/>
      <c r="F37" s="6">
        <v>3000</v>
      </c>
      <c r="G37" s="37"/>
      <c r="H37" s="6">
        <v>3000</v>
      </c>
      <c r="I37" s="37"/>
      <c r="J37" s="6">
        <v>3000</v>
      </c>
      <c r="K37" s="37"/>
      <c r="L37" s="6">
        <v>2000</v>
      </c>
      <c r="M37" s="37"/>
      <c r="N37" s="7">
        <v>2000</v>
      </c>
      <c r="O37" s="37"/>
      <c r="P37" s="43"/>
      <c r="Q37" s="39"/>
      <c r="R37" s="37"/>
    </row>
    <row r="38" spans="1:18" ht="25.5" customHeight="1" x14ac:dyDescent="0.15">
      <c r="A38" s="36">
        <v>16</v>
      </c>
      <c r="B38" s="40"/>
      <c r="C38" s="60"/>
      <c r="D38" s="5" t="s">
        <v>12</v>
      </c>
      <c r="E38" s="36"/>
      <c r="F38" s="5" t="s">
        <v>13</v>
      </c>
      <c r="G38" s="36"/>
      <c r="H38" s="5" t="s">
        <v>8</v>
      </c>
      <c r="I38" s="36"/>
      <c r="J38" s="5" t="s">
        <v>9</v>
      </c>
      <c r="K38" s="36"/>
      <c r="L38" s="5" t="s">
        <v>10</v>
      </c>
      <c r="M38" s="36"/>
      <c r="N38" s="5" t="s">
        <v>11</v>
      </c>
      <c r="O38" s="36"/>
      <c r="P38" s="42" t="str">
        <f>IF(E38+G38+I38+K38+M38=0,"",D39*E38+F39*G38+H39*I38+J39*K38+L39*M38+N39*O38)</f>
        <v/>
      </c>
      <c r="Q38" s="44"/>
      <c r="R38" s="36"/>
    </row>
    <row r="39" spans="1:18" ht="25.5" customHeight="1" x14ac:dyDescent="0.15">
      <c r="A39" s="37"/>
      <c r="B39" s="41"/>
      <c r="C39" s="61"/>
      <c r="D39" s="6">
        <v>2000</v>
      </c>
      <c r="E39" s="37"/>
      <c r="F39" s="6">
        <v>3000</v>
      </c>
      <c r="G39" s="37"/>
      <c r="H39" s="6">
        <v>3000</v>
      </c>
      <c r="I39" s="37"/>
      <c r="J39" s="6">
        <v>3000</v>
      </c>
      <c r="K39" s="37"/>
      <c r="L39" s="6">
        <v>2000</v>
      </c>
      <c r="M39" s="37"/>
      <c r="N39" s="7">
        <v>2000</v>
      </c>
      <c r="O39" s="37"/>
      <c r="P39" s="43"/>
      <c r="Q39" s="39"/>
      <c r="R39" s="37"/>
    </row>
    <row r="40" spans="1:18" ht="25.5" customHeight="1" x14ac:dyDescent="0.15">
      <c r="A40" s="36">
        <v>17</v>
      </c>
      <c r="B40" s="40"/>
      <c r="C40" s="60"/>
      <c r="D40" s="5" t="s">
        <v>12</v>
      </c>
      <c r="E40" s="36"/>
      <c r="F40" s="5" t="s">
        <v>13</v>
      </c>
      <c r="G40" s="36"/>
      <c r="H40" s="5" t="s">
        <v>8</v>
      </c>
      <c r="I40" s="36"/>
      <c r="J40" s="5" t="s">
        <v>9</v>
      </c>
      <c r="K40" s="36"/>
      <c r="L40" s="5" t="s">
        <v>10</v>
      </c>
      <c r="M40" s="36"/>
      <c r="N40" s="5" t="s">
        <v>11</v>
      </c>
      <c r="O40" s="36"/>
      <c r="P40" s="42" t="str">
        <f>IF(E40+G40+I40+K40+M40=0,"",D41*E40+F41*G40+H41*I40+J41*K40+L41*M40+N41*O40)</f>
        <v/>
      </c>
      <c r="Q40" s="38"/>
      <c r="R40" s="36"/>
    </row>
    <row r="41" spans="1:18" ht="25.5" customHeight="1" x14ac:dyDescent="0.15">
      <c r="A41" s="37"/>
      <c r="B41" s="41"/>
      <c r="C41" s="61"/>
      <c r="D41" s="6">
        <v>2000</v>
      </c>
      <c r="E41" s="37"/>
      <c r="F41" s="6">
        <v>3000</v>
      </c>
      <c r="G41" s="37"/>
      <c r="H41" s="6">
        <v>3000</v>
      </c>
      <c r="I41" s="37"/>
      <c r="J41" s="6">
        <v>3000</v>
      </c>
      <c r="K41" s="37"/>
      <c r="L41" s="6">
        <v>2000</v>
      </c>
      <c r="M41" s="37"/>
      <c r="N41" s="7">
        <v>2000</v>
      </c>
      <c r="O41" s="37"/>
      <c r="P41" s="43"/>
      <c r="Q41" s="39"/>
      <c r="R41" s="37"/>
    </row>
    <row r="42" spans="1:18" ht="25.5" customHeight="1" x14ac:dyDescent="0.15">
      <c r="A42" s="36">
        <v>18</v>
      </c>
      <c r="B42" s="40"/>
      <c r="C42" s="60"/>
      <c r="D42" s="5" t="s">
        <v>12</v>
      </c>
      <c r="E42" s="36"/>
      <c r="F42" s="5" t="s">
        <v>13</v>
      </c>
      <c r="G42" s="36"/>
      <c r="H42" s="5" t="s">
        <v>8</v>
      </c>
      <c r="I42" s="36"/>
      <c r="J42" s="5" t="s">
        <v>9</v>
      </c>
      <c r="K42" s="36"/>
      <c r="L42" s="5" t="s">
        <v>10</v>
      </c>
      <c r="M42" s="36"/>
      <c r="N42" s="5" t="s">
        <v>11</v>
      </c>
      <c r="O42" s="36"/>
      <c r="P42" s="42" t="str">
        <f>IF(E42+G42+I42+K42+M42=0,"",D43*E42+F43*G42+H43*I42+J43*K42+L43*M42+N43*O42)</f>
        <v/>
      </c>
      <c r="Q42" s="38"/>
      <c r="R42" s="36"/>
    </row>
    <row r="43" spans="1:18" ht="25.5" customHeight="1" x14ac:dyDescent="0.15">
      <c r="A43" s="37"/>
      <c r="B43" s="41"/>
      <c r="C43" s="61"/>
      <c r="D43" s="6">
        <v>2000</v>
      </c>
      <c r="E43" s="37"/>
      <c r="F43" s="6">
        <v>3000</v>
      </c>
      <c r="G43" s="37"/>
      <c r="H43" s="6">
        <v>3000</v>
      </c>
      <c r="I43" s="37"/>
      <c r="J43" s="6">
        <v>3000</v>
      </c>
      <c r="K43" s="37"/>
      <c r="L43" s="6">
        <v>2000</v>
      </c>
      <c r="M43" s="37"/>
      <c r="N43" s="7">
        <v>2000</v>
      </c>
      <c r="O43" s="37"/>
      <c r="P43" s="43"/>
      <c r="Q43" s="39"/>
      <c r="R43" s="37"/>
    </row>
    <row r="44" spans="1:18" ht="25.5" customHeight="1" x14ac:dyDescent="0.15">
      <c r="A44" s="36">
        <v>19</v>
      </c>
      <c r="B44" s="40"/>
      <c r="C44" s="60"/>
      <c r="D44" s="5" t="s">
        <v>12</v>
      </c>
      <c r="E44" s="36"/>
      <c r="F44" s="5" t="s">
        <v>13</v>
      </c>
      <c r="G44" s="36"/>
      <c r="H44" s="5" t="s">
        <v>8</v>
      </c>
      <c r="I44" s="36"/>
      <c r="J44" s="5" t="s">
        <v>9</v>
      </c>
      <c r="K44" s="36"/>
      <c r="L44" s="5" t="s">
        <v>10</v>
      </c>
      <c r="M44" s="36"/>
      <c r="N44" s="5" t="s">
        <v>11</v>
      </c>
      <c r="O44" s="36"/>
      <c r="P44" s="42" t="str">
        <f>IF(E44+G44+I44+K44+M44=0,"",D45*E44+F45*G44+H45*I44+J45*K44+L45*M44+N45*O44)</f>
        <v/>
      </c>
      <c r="Q44" s="44"/>
      <c r="R44" s="36"/>
    </row>
    <row r="45" spans="1:18" ht="25.5" customHeight="1" x14ac:dyDescent="0.15">
      <c r="A45" s="37"/>
      <c r="B45" s="41"/>
      <c r="C45" s="61"/>
      <c r="D45" s="6">
        <v>2000</v>
      </c>
      <c r="E45" s="37"/>
      <c r="F45" s="6">
        <v>3000</v>
      </c>
      <c r="G45" s="37"/>
      <c r="H45" s="6">
        <v>3000</v>
      </c>
      <c r="I45" s="37"/>
      <c r="J45" s="6">
        <v>3000</v>
      </c>
      <c r="K45" s="37"/>
      <c r="L45" s="6">
        <v>2000</v>
      </c>
      <c r="M45" s="37"/>
      <c r="N45" s="7">
        <v>2000</v>
      </c>
      <c r="O45" s="37"/>
      <c r="P45" s="43"/>
      <c r="Q45" s="39"/>
      <c r="R45" s="37"/>
    </row>
    <row r="46" spans="1:18" ht="25.5" customHeight="1" x14ac:dyDescent="0.15">
      <c r="A46" s="36">
        <v>20</v>
      </c>
      <c r="B46" s="40"/>
      <c r="C46" s="60"/>
      <c r="D46" s="5" t="s">
        <v>12</v>
      </c>
      <c r="E46" s="36"/>
      <c r="F46" s="5" t="s">
        <v>13</v>
      </c>
      <c r="G46" s="36"/>
      <c r="H46" s="5" t="s">
        <v>8</v>
      </c>
      <c r="I46" s="36"/>
      <c r="J46" s="5" t="s">
        <v>9</v>
      </c>
      <c r="K46" s="36"/>
      <c r="L46" s="5" t="s">
        <v>10</v>
      </c>
      <c r="M46" s="36"/>
      <c r="N46" s="5" t="s">
        <v>11</v>
      </c>
      <c r="O46" s="36"/>
      <c r="P46" s="42" t="str">
        <f>IF(E46+G46+I46+K46+M46=0,"",D47*E46+F47*G46+H47*I46+J47*K46+L47*M46+N47*O46)</f>
        <v/>
      </c>
      <c r="Q46" s="44"/>
      <c r="R46" s="36"/>
    </row>
    <row r="47" spans="1:18" ht="25.5" customHeight="1" thickBot="1" x14ac:dyDescent="0.2">
      <c r="A47" s="57"/>
      <c r="B47" s="59"/>
      <c r="C47" s="80"/>
      <c r="D47" s="25">
        <v>2000</v>
      </c>
      <c r="E47" s="57"/>
      <c r="F47" s="25">
        <v>3000</v>
      </c>
      <c r="G47" s="57"/>
      <c r="H47" s="25">
        <v>3000</v>
      </c>
      <c r="I47" s="57"/>
      <c r="J47" s="25">
        <v>3000</v>
      </c>
      <c r="K47" s="57"/>
      <c r="L47" s="25">
        <v>2000</v>
      </c>
      <c r="M47" s="57"/>
      <c r="N47" s="26">
        <v>2000</v>
      </c>
      <c r="O47" s="57"/>
      <c r="P47" s="56"/>
      <c r="Q47" s="58"/>
      <c r="R47" s="57"/>
    </row>
    <row r="48" spans="1:18" s="1" customFormat="1" ht="21" customHeight="1" thickTop="1" x14ac:dyDescent="0.15">
      <c r="A48" s="20"/>
      <c r="B48" s="21"/>
      <c r="C48" s="22"/>
      <c r="D48" s="23" t="s">
        <v>39</v>
      </c>
      <c r="E48" s="20" t="str">
        <f>IF(SUM(E28:E47)=0,"",SUM(E28:E47))</f>
        <v/>
      </c>
      <c r="F48" s="23" t="s">
        <v>40</v>
      </c>
      <c r="G48" s="20" t="str">
        <f>IF(SUM(G28:G47)=0,"",SUM(G28:G47))</f>
        <v/>
      </c>
      <c r="H48" s="23" t="s">
        <v>8</v>
      </c>
      <c r="I48" s="20" t="str">
        <f>IF(SUM(I28:I47)=0,"",SUM(I28:I47))</f>
        <v/>
      </c>
      <c r="J48" s="23" t="s">
        <v>9</v>
      </c>
      <c r="K48" s="20" t="str">
        <f>IF(SUM(K28:K47)=0,"",SUM(K28:K47))</f>
        <v/>
      </c>
      <c r="L48" s="23" t="s">
        <v>10</v>
      </c>
      <c r="M48" s="20" t="str">
        <f>IF(SUM(M28:M47)=0,"",SUM(M28:M47))</f>
        <v/>
      </c>
      <c r="N48" s="23" t="s">
        <v>11</v>
      </c>
      <c r="O48" s="20" t="str">
        <f>IF(SUM(O28:O47)=0,"",SUM(O28:O47))</f>
        <v/>
      </c>
      <c r="P48" s="24" t="str">
        <f>IF(SUM(P28:P47)=0,"",SUM(P28:P47))</f>
        <v/>
      </c>
      <c r="Q48" s="27" t="str">
        <f>IF(SUM(P48)=SUM(R48),"現/未          0","現/未  "&amp;(P48-SUM(R48))/1000&amp;",000")</f>
        <v>現/未          0</v>
      </c>
      <c r="R48" s="27">
        <f>IF(SUMIF(R28:R47,"",P28:P47)=0,0,SUMIF(R28:R47,"",P28:P47))</f>
        <v>0</v>
      </c>
    </row>
    <row r="49" spans="1:18" s="1" customFormat="1" ht="21" customHeight="1" x14ac:dyDescent="0.15">
      <c r="A49" s="55" t="str">
        <f>A25</f>
        <v>2027年度分収集運搬手数料収入原簿内訳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ht="15.75" customHeight="1" x14ac:dyDescent="0.15">
      <c r="A50" s="62" t="s">
        <v>0</v>
      </c>
      <c r="B50" s="62" t="s">
        <v>2</v>
      </c>
      <c r="C50" s="63" t="s">
        <v>3</v>
      </c>
      <c r="D50" s="4" t="s">
        <v>14</v>
      </c>
      <c r="E50" s="64" t="s">
        <v>1</v>
      </c>
      <c r="F50" s="4" t="s">
        <v>14</v>
      </c>
      <c r="G50" s="66" t="s">
        <v>1</v>
      </c>
      <c r="H50" s="4" t="s">
        <v>14</v>
      </c>
      <c r="I50" s="62" t="s">
        <v>1</v>
      </c>
      <c r="J50" s="4" t="s">
        <v>14</v>
      </c>
      <c r="K50" s="62" t="s">
        <v>1</v>
      </c>
      <c r="L50" s="4" t="s">
        <v>14</v>
      </c>
      <c r="M50" s="62" t="s">
        <v>1</v>
      </c>
      <c r="N50" s="4" t="s">
        <v>14</v>
      </c>
      <c r="O50" s="62" t="s">
        <v>1</v>
      </c>
      <c r="P50" s="68" t="s">
        <v>4</v>
      </c>
      <c r="Q50" s="71" t="s">
        <v>5</v>
      </c>
      <c r="R50" s="68" t="s">
        <v>6</v>
      </c>
    </row>
    <row r="51" spans="1:18" ht="15" customHeight="1" x14ac:dyDescent="0.15">
      <c r="A51" s="62"/>
      <c r="B51" s="62"/>
      <c r="C51" s="63"/>
      <c r="D51" s="3" t="s">
        <v>7</v>
      </c>
      <c r="E51" s="65"/>
      <c r="F51" s="3" t="s">
        <v>7</v>
      </c>
      <c r="G51" s="62"/>
      <c r="H51" s="3" t="s">
        <v>7</v>
      </c>
      <c r="I51" s="67"/>
      <c r="J51" s="3" t="s">
        <v>7</v>
      </c>
      <c r="K51" s="62"/>
      <c r="L51" s="3" t="s">
        <v>7</v>
      </c>
      <c r="M51" s="67"/>
      <c r="N51" s="3" t="s">
        <v>7</v>
      </c>
      <c r="O51" s="62"/>
      <c r="P51" s="69"/>
      <c r="Q51" s="62"/>
      <c r="R51" s="70"/>
    </row>
    <row r="52" spans="1:18" ht="25.5" customHeight="1" x14ac:dyDescent="0.15">
      <c r="A52" s="36">
        <v>21</v>
      </c>
      <c r="B52" s="40"/>
      <c r="C52" s="60"/>
      <c r="D52" s="5" t="s">
        <v>12</v>
      </c>
      <c r="E52" s="36"/>
      <c r="F52" s="5" t="s">
        <v>13</v>
      </c>
      <c r="G52" s="36"/>
      <c r="H52" s="5" t="s">
        <v>8</v>
      </c>
      <c r="I52" s="36"/>
      <c r="J52" s="5" t="s">
        <v>9</v>
      </c>
      <c r="K52" s="36"/>
      <c r="L52" s="5" t="s">
        <v>10</v>
      </c>
      <c r="M52" s="36"/>
      <c r="N52" s="5" t="s">
        <v>11</v>
      </c>
      <c r="O52" s="36"/>
      <c r="P52" s="42" t="str">
        <f>IF(E52+G52+I52+K52+M52=0,"",D53*E52+F53*G52+H53*I52+J53*K52+L53*M52+N53*O52)</f>
        <v/>
      </c>
      <c r="Q52" s="38"/>
      <c r="R52" s="36"/>
    </row>
    <row r="53" spans="1:18" ht="25.5" customHeight="1" x14ac:dyDescent="0.15">
      <c r="A53" s="37"/>
      <c r="B53" s="41"/>
      <c r="C53" s="61"/>
      <c r="D53" s="6">
        <v>2000</v>
      </c>
      <c r="E53" s="37"/>
      <c r="F53" s="6">
        <v>3000</v>
      </c>
      <c r="G53" s="37"/>
      <c r="H53" s="6">
        <v>3000</v>
      </c>
      <c r="I53" s="37"/>
      <c r="J53" s="6">
        <v>3000</v>
      </c>
      <c r="K53" s="37"/>
      <c r="L53" s="6">
        <v>2000</v>
      </c>
      <c r="M53" s="37"/>
      <c r="N53" s="7">
        <v>2000</v>
      </c>
      <c r="O53" s="37"/>
      <c r="P53" s="43"/>
      <c r="Q53" s="39"/>
      <c r="R53" s="37"/>
    </row>
    <row r="54" spans="1:18" ht="25.5" customHeight="1" x14ac:dyDescent="0.15">
      <c r="A54" s="36">
        <v>22</v>
      </c>
      <c r="B54" s="40"/>
      <c r="C54" s="60"/>
      <c r="D54" s="5" t="s">
        <v>12</v>
      </c>
      <c r="E54" s="36"/>
      <c r="F54" s="5" t="s">
        <v>13</v>
      </c>
      <c r="G54" s="36"/>
      <c r="H54" s="5" t="s">
        <v>8</v>
      </c>
      <c r="I54" s="36"/>
      <c r="J54" s="5" t="s">
        <v>9</v>
      </c>
      <c r="K54" s="36"/>
      <c r="L54" s="5" t="s">
        <v>10</v>
      </c>
      <c r="M54" s="36"/>
      <c r="N54" s="5" t="s">
        <v>11</v>
      </c>
      <c r="O54" s="36"/>
      <c r="P54" s="42" t="str">
        <f>IF(E54+G54+I54+K54+M54=0,"",D55*E54+F55*G54+H55*I54+J55*K54+L55*M54+N55*O54)</f>
        <v/>
      </c>
      <c r="Q54" s="44"/>
      <c r="R54" s="36"/>
    </row>
    <row r="55" spans="1:18" ht="25.5" customHeight="1" x14ac:dyDescent="0.15">
      <c r="A55" s="37"/>
      <c r="B55" s="41"/>
      <c r="C55" s="61"/>
      <c r="D55" s="6">
        <v>2000</v>
      </c>
      <c r="E55" s="37"/>
      <c r="F55" s="6">
        <v>3000</v>
      </c>
      <c r="G55" s="37"/>
      <c r="H55" s="6">
        <v>3000</v>
      </c>
      <c r="I55" s="37"/>
      <c r="J55" s="6">
        <v>3000</v>
      </c>
      <c r="K55" s="37"/>
      <c r="L55" s="6">
        <v>2000</v>
      </c>
      <c r="M55" s="37"/>
      <c r="N55" s="7">
        <v>2000</v>
      </c>
      <c r="O55" s="37"/>
      <c r="P55" s="43"/>
      <c r="Q55" s="39"/>
      <c r="R55" s="37"/>
    </row>
    <row r="56" spans="1:18" ht="25.5" customHeight="1" x14ac:dyDescent="0.15">
      <c r="A56" s="36">
        <v>23</v>
      </c>
      <c r="B56" s="40"/>
      <c r="C56" s="60"/>
      <c r="D56" s="5" t="s">
        <v>12</v>
      </c>
      <c r="E56" s="36"/>
      <c r="F56" s="5" t="s">
        <v>13</v>
      </c>
      <c r="G56" s="36"/>
      <c r="H56" s="5" t="s">
        <v>8</v>
      </c>
      <c r="I56" s="36"/>
      <c r="J56" s="5" t="s">
        <v>9</v>
      </c>
      <c r="K56" s="36"/>
      <c r="L56" s="5" t="s">
        <v>10</v>
      </c>
      <c r="M56" s="36"/>
      <c r="N56" s="5" t="s">
        <v>11</v>
      </c>
      <c r="O56" s="36"/>
      <c r="P56" s="42" t="str">
        <f>IF(E56+G56+I56+K56+M56=0,"",D57*E56+F57*G56+H57*I56+J57*K56+L57*M56+N57*O56)</f>
        <v/>
      </c>
      <c r="Q56" s="44"/>
      <c r="R56" s="36"/>
    </row>
    <row r="57" spans="1:18" ht="25.5" customHeight="1" x14ac:dyDescent="0.15">
      <c r="A57" s="37"/>
      <c r="B57" s="41"/>
      <c r="C57" s="61"/>
      <c r="D57" s="6">
        <v>2000</v>
      </c>
      <c r="E57" s="37"/>
      <c r="F57" s="6">
        <v>3000</v>
      </c>
      <c r="G57" s="37"/>
      <c r="H57" s="6">
        <v>3000</v>
      </c>
      <c r="I57" s="37"/>
      <c r="J57" s="6">
        <v>3000</v>
      </c>
      <c r="K57" s="37"/>
      <c r="L57" s="6">
        <v>2000</v>
      </c>
      <c r="M57" s="37"/>
      <c r="N57" s="7">
        <v>2000</v>
      </c>
      <c r="O57" s="37"/>
      <c r="P57" s="43"/>
      <c r="Q57" s="39"/>
      <c r="R57" s="37"/>
    </row>
    <row r="58" spans="1:18" ht="25.5" customHeight="1" x14ac:dyDescent="0.15">
      <c r="A58" s="36">
        <v>24</v>
      </c>
      <c r="B58" s="40"/>
      <c r="C58" s="60"/>
      <c r="D58" s="5" t="s">
        <v>12</v>
      </c>
      <c r="E58" s="36"/>
      <c r="F58" s="5" t="s">
        <v>13</v>
      </c>
      <c r="G58" s="36"/>
      <c r="H58" s="5" t="s">
        <v>8</v>
      </c>
      <c r="I58" s="36"/>
      <c r="J58" s="5" t="s">
        <v>9</v>
      </c>
      <c r="K58" s="36"/>
      <c r="L58" s="5" t="s">
        <v>10</v>
      </c>
      <c r="M58" s="36"/>
      <c r="N58" s="5" t="s">
        <v>11</v>
      </c>
      <c r="O58" s="36"/>
      <c r="P58" s="42" t="str">
        <f>IF(E58+G58+I58+K58+M58=0,"",D59*E58+F59*G58+H59*I58+J59*K58+L59*M58+N59*O58)</f>
        <v/>
      </c>
      <c r="Q58" s="44"/>
      <c r="R58" s="36"/>
    </row>
    <row r="59" spans="1:18" ht="25.5" customHeight="1" x14ac:dyDescent="0.15">
      <c r="A59" s="37"/>
      <c r="B59" s="41"/>
      <c r="C59" s="61"/>
      <c r="D59" s="6">
        <v>2000</v>
      </c>
      <c r="E59" s="37"/>
      <c r="F59" s="6">
        <v>3000</v>
      </c>
      <c r="G59" s="37"/>
      <c r="H59" s="6">
        <v>3000</v>
      </c>
      <c r="I59" s="37"/>
      <c r="J59" s="6">
        <v>3000</v>
      </c>
      <c r="K59" s="37"/>
      <c r="L59" s="6">
        <v>2000</v>
      </c>
      <c r="M59" s="37"/>
      <c r="N59" s="7">
        <v>2000</v>
      </c>
      <c r="O59" s="37"/>
      <c r="P59" s="43"/>
      <c r="Q59" s="39"/>
      <c r="R59" s="37"/>
    </row>
    <row r="60" spans="1:18" ht="25.5" customHeight="1" x14ac:dyDescent="0.15">
      <c r="A60" s="36">
        <v>25</v>
      </c>
      <c r="B60" s="40"/>
      <c r="C60" s="60"/>
      <c r="D60" s="5" t="s">
        <v>12</v>
      </c>
      <c r="E60" s="36"/>
      <c r="F60" s="5" t="s">
        <v>13</v>
      </c>
      <c r="G60" s="36"/>
      <c r="H60" s="5" t="s">
        <v>8</v>
      </c>
      <c r="I60" s="36"/>
      <c r="J60" s="5" t="s">
        <v>9</v>
      </c>
      <c r="K60" s="36"/>
      <c r="L60" s="5" t="s">
        <v>10</v>
      </c>
      <c r="M60" s="36"/>
      <c r="N60" s="5" t="s">
        <v>11</v>
      </c>
      <c r="O60" s="36"/>
      <c r="P60" s="42" t="str">
        <f>IF(E60+G60+I60+K60+M60=0,"",D61*E60+F61*G60+H61*I60+J61*K60+L61*M60+N61*O60)</f>
        <v/>
      </c>
      <c r="Q60" s="38"/>
      <c r="R60" s="36"/>
    </row>
    <row r="61" spans="1:18" ht="25.5" customHeight="1" x14ac:dyDescent="0.15">
      <c r="A61" s="37"/>
      <c r="B61" s="41"/>
      <c r="C61" s="61"/>
      <c r="D61" s="6">
        <v>2000</v>
      </c>
      <c r="E61" s="37"/>
      <c r="F61" s="6">
        <v>3000</v>
      </c>
      <c r="G61" s="37"/>
      <c r="H61" s="6">
        <v>3000</v>
      </c>
      <c r="I61" s="37"/>
      <c r="J61" s="6">
        <v>3000</v>
      </c>
      <c r="K61" s="37"/>
      <c r="L61" s="6">
        <v>2000</v>
      </c>
      <c r="M61" s="37"/>
      <c r="N61" s="7">
        <v>2000</v>
      </c>
      <c r="O61" s="37"/>
      <c r="P61" s="43"/>
      <c r="Q61" s="39"/>
      <c r="R61" s="37"/>
    </row>
    <row r="62" spans="1:18" ht="25.5" customHeight="1" x14ac:dyDescent="0.15">
      <c r="A62" s="36">
        <v>26</v>
      </c>
      <c r="B62" s="40"/>
      <c r="C62" s="60"/>
      <c r="D62" s="5" t="s">
        <v>12</v>
      </c>
      <c r="E62" s="36"/>
      <c r="F62" s="5" t="s">
        <v>13</v>
      </c>
      <c r="G62" s="36"/>
      <c r="H62" s="5" t="s">
        <v>8</v>
      </c>
      <c r="I62" s="36"/>
      <c r="J62" s="5" t="s">
        <v>9</v>
      </c>
      <c r="K62" s="36"/>
      <c r="L62" s="5" t="s">
        <v>10</v>
      </c>
      <c r="M62" s="36"/>
      <c r="N62" s="5" t="s">
        <v>11</v>
      </c>
      <c r="O62" s="36"/>
      <c r="P62" s="42" t="str">
        <f>IF(E62+G62+I62+K62+M62=0,"",D63*E62+F63*G62+H63*I62+J63*K62+L63*M62+N63*O62)</f>
        <v/>
      </c>
      <c r="Q62" s="44"/>
      <c r="R62" s="36"/>
    </row>
    <row r="63" spans="1:18" ht="25.5" customHeight="1" x14ac:dyDescent="0.15">
      <c r="A63" s="37"/>
      <c r="B63" s="41"/>
      <c r="C63" s="61"/>
      <c r="D63" s="6">
        <v>2000</v>
      </c>
      <c r="E63" s="37"/>
      <c r="F63" s="6">
        <v>3000</v>
      </c>
      <c r="G63" s="37"/>
      <c r="H63" s="6">
        <v>3000</v>
      </c>
      <c r="I63" s="37"/>
      <c r="J63" s="6">
        <v>3000</v>
      </c>
      <c r="K63" s="37"/>
      <c r="L63" s="6">
        <v>2000</v>
      </c>
      <c r="M63" s="37"/>
      <c r="N63" s="7">
        <v>2000</v>
      </c>
      <c r="O63" s="37"/>
      <c r="P63" s="43"/>
      <c r="Q63" s="39"/>
      <c r="R63" s="37"/>
    </row>
    <row r="64" spans="1:18" ht="25.5" customHeight="1" x14ac:dyDescent="0.15">
      <c r="A64" s="36">
        <v>27</v>
      </c>
      <c r="B64" s="40"/>
      <c r="C64" s="60"/>
      <c r="D64" s="5" t="s">
        <v>12</v>
      </c>
      <c r="E64" s="36"/>
      <c r="F64" s="5" t="s">
        <v>13</v>
      </c>
      <c r="G64" s="36"/>
      <c r="H64" s="5" t="s">
        <v>8</v>
      </c>
      <c r="I64" s="36"/>
      <c r="J64" s="5" t="s">
        <v>9</v>
      </c>
      <c r="K64" s="36"/>
      <c r="L64" s="5" t="s">
        <v>10</v>
      </c>
      <c r="M64" s="36"/>
      <c r="N64" s="5" t="s">
        <v>11</v>
      </c>
      <c r="O64" s="36"/>
      <c r="P64" s="42" t="str">
        <f>IF(E64+G64+I64+K64+M64=0,"",D65*E64+F65*G64+H65*I64+J65*K64+L65*M64+N65*O64)</f>
        <v/>
      </c>
      <c r="Q64" s="38"/>
      <c r="R64" s="36"/>
    </row>
    <row r="65" spans="1:18" ht="25.5" customHeight="1" x14ac:dyDescent="0.15">
      <c r="A65" s="37"/>
      <c r="B65" s="41"/>
      <c r="C65" s="61"/>
      <c r="D65" s="6">
        <v>2000</v>
      </c>
      <c r="E65" s="37"/>
      <c r="F65" s="6">
        <v>3000</v>
      </c>
      <c r="G65" s="37"/>
      <c r="H65" s="6">
        <v>3000</v>
      </c>
      <c r="I65" s="37"/>
      <c r="J65" s="6">
        <v>3000</v>
      </c>
      <c r="K65" s="37"/>
      <c r="L65" s="6">
        <v>2000</v>
      </c>
      <c r="M65" s="37"/>
      <c r="N65" s="7">
        <v>2000</v>
      </c>
      <c r="O65" s="37"/>
      <c r="P65" s="43"/>
      <c r="Q65" s="39"/>
      <c r="R65" s="37"/>
    </row>
    <row r="66" spans="1:18" ht="25.5" customHeight="1" x14ac:dyDescent="0.15">
      <c r="A66" s="36">
        <v>28</v>
      </c>
      <c r="B66" s="40"/>
      <c r="C66" s="60"/>
      <c r="D66" s="5" t="s">
        <v>12</v>
      </c>
      <c r="E66" s="36"/>
      <c r="F66" s="5" t="s">
        <v>13</v>
      </c>
      <c r="G66" s="36"/>
      <c r="H66" s="5" t="s">
        <v>8</v>
      </c>
      <c r="I66" s="36"/>
      <c r="J66" s="5" t="s">
        <v>9</v>
      </c>
      <c r="K66" s="36"/>
      <c r="L66" s="5" t="s">
        <v>10</v>
      </c>
      <c r="M66" s="36"/>
      <c r="N66" s="5" t="s">
        <v>11</v>
      </c>
      <c r="O66" s="36"/>
      <c r="P66" s="42" t="str">
        <f>IF(E66+G66+I66+K66+M66=0,"",D67*E66+F67*G66+H67*I66+J67*K66+L67*M66+N67*O66)</f>
        <v/>
      </c>
      <c r="Q66" s="38"/>
      <c r="R66" s="36"/>
    </row>
    <row r="67" spans="1:18" ht="25.5" customHeight="1" x14ac:dyDescent="0.15">
      <c r="A67" s="37"/>
      <c r="B67" s="41"/>
      <c r="C67" s="61"/>
      <c r="D67" s="6">
        <v>2000</v>
      </c>
      <c r="E67" s="37"/>
      <c r="F67" s="6">
        <v>3000</v>
      </c>
      <c r="G67" s="37"/>
      <c r="H67" s="6">
        <v>3000</v>
      </c>
      <c r="I67" s="37"/>
      <c r="J67" s="6">
        <v>3000</v>
      </c>
      <c r="K67" s="37"/>
      <c r="L67" s="6">
        <v>2000</v>
      </c>
      <c r="M67" s="37"/>
      <c r="N67" s="7">
        <v>2000</v>
      </c>
      <c r="O67" s="37"/>
      <c r="P67" s="43"/>
      <c r="Q67" s="39"/>
      <c r="R67" s="37"/>
    </row>
    <row r="68" spans="1:18" ht="25.5" customHeight="1" x14ac:dyDescent="0.15">
      <c r="A68" s="36">
        <v>29</v>
      </c>
      <c r="B68" s="40"/>
      <c r="C68" s="60"/>
      <c r="D68" s="5" t="s">
        <v>12</v>
      </c>
      <c r="E68" s="36"/>
      <c r="F68" s="5" t="s">
        <v>13</v>
      </c>
      <c r="G68" s="36"/>
      <c r="H68" s="5" t="s">
        <v>8</v>
      </c>
      <c r="I68" s="36"/>
      <c r="J68" s="5" t="s">
        <v>9</v>
      </c>
      <c r="K68" s="36"/>
      <c r="L68" s="5" t="s">
        <v>10</v>
      </c>
      <c r="M68" s="36"/>
      <c r="N68" s="5" t="s">
        <v>11</v>
      </c>
      <c r="O68" s="36"/>
      <c r="P68" s="42" t="str">
        <f>IF(E68+G68+I68+K68+M68=0,"",D69*E68+F69*G68+H69*I68+J69*K68+L69*M68+N69*O68)</f>
        <v/>
      </c>
      <c r="Q68" s="44"/>
      <c r="R68" s="36"/>
    </row>
    <row r="69" spans="1:18" ht="25.5" customHeight="1" x14ac:dyDescent="0.15">
      <c r="A69" s="37"/>
      <c r="B69" s="41"/>
      <c r="C69" s="61"/>
      <c r="D69" s="6">
        <v>2000</v>
      </c>
      <c r="E69" s="37"/>
      <c r="F69" s="6">
        <v>3000</v>
      </c>
      <c r="G69" s="37"/>
      <c r="H69" s="6">
        <v>3000</v>
      </c>
      <c r="I69" s="37"/>
      <c r="J69" s="6">
        <v>3000</v>
      </c>
      <c r="K69" s="37"/>
      <c r="L69" s="6">
        <v>2000</v>
      </c>
      <c r="M69" s="37"/>
      <c r="N69" s="7">
        <v>2000</v>
      </c>
      <c r="O69" s="37"/>
      <c r="P69" s="43"/>
      <c r="Q69" s="39"/>
      <c r="R69" s="37"/>
    </row>
    <row r="70" spans="1:18" ht="25.5" customHeight="1" x14ac:dyDescent="0.15">
      <c r="A70" s="36">
        <v>30</v>
      </c>
      <c r="B70" s="40"/>
      <c r="C70" s="60"/>
      <c r="D70" s="5" t="s">
        <v>12</v>
      </c>
      <c r="E70" s="36"/>
      <c r="F70" s="5" t="s">
        <v>13</v>
      </c>
      <c r="G70" s="36"/>
      <c r="H70" s="5" t="s">
        <v>8</v>
      </c>
      <c r="I70" s="36"/>
      <c r="J70" s="5" t="s">
        <v>9</v>
      </c>
      <c r="K70" s="36"/>
      <c r="L70" s="5" t="s">
        <v>10</v>
      </c>
      <c r="M70" s="36"/>
      <c r="N70" s="5" t="s">
        <v>11</v>
      </c>
      <c r="O70" s="36"/>
      <c r="P70" s="42" t="str">
        <f>IF(E70+G70+I70+K70+M70=0,"",D71*E70+F71*G70+H71*I70+J71*K70+L71*M70+N71*O70)</f>
        <v/>
      </c>
      <c r="Q70" s="44"/>
      <c r="R70" s="36"/>
    </row>
    <row r="71" spans="1:18" ht="25.5" customHeight="1" thickBot="1" x14ac:dyDescent="0.2">
      <c r="A71" s="57"/>
      <c r="B71" s="59"/>
      <c r="C71" s="80"/>
      <c r="D71" s="25">
        <v>2000</v>
      </c>
      <c r="E71" s="57"/>
      <c r="F71" s="25">
        <v>3000</v>
      </c>
      <c r="G71" s="57"/>
      <c r="H71" s="25">
        <v>3000</v>
      </c>
      <c r="I71" s="57"/>
      <c r="J71" s="25">
        <v>3000</v>
      </c>
      <c r="K71" s="57"/>
      <c r="L71" s="25">
        <v>2000</v>
      </c>
      <c r="M71" s="57"/>
      <c r="N71" s="26">
        <v>2000</v>
      </c>
      <c r="O71" s="57"/>
      <c r="P71" s="56"/>
      <c r="Q71" s="58"/>
      <c r="R71" s="57"/>
    </row>
    <row r="72" spans="1:18" s="1" customFormat="1" ht="21" customHeight="1" thickTop="1" x14ac:dyDescent="0.15">
      <c r="A72" s="20"/>
      <c r="B72" s="21"/>
      <c r="C72" s="22"/>
      <c r="D72" s="23" t="s">
        <v>39</v>
      </c>
      <c r="E72" s="20" t="str">
        <f>IF(SUM(E52:E71)=0,"",SUM(E52:E71))</f>
        <v/>
      </c>
      <c r="F72" s="23" t="s">
        <v>40</v>
      </c>
      <c r="G72" s="20" t="str">
        <f>IF(SUM(G52:G71)=0,"",SUM(G52:G71))</f>
        <v/>
      </c>
      <c r="H72" s="23" t="s">
        <v>8</v>
      </c>
      <c r="I72" s="20" t="str">
        <f>IF(SUM(I52:I71)=0,"",SUM(I52:I71))</f>
        <v/>
      </c>
      <c r="J72" s="23" t="s">
        <v>9</v>
      </c>
      <c r="K72" s="20" t="str">
        <f>IF(SUM(K52:K71)=0,"",SUM(K52:K71))</f>
        <v/>
      </c>
      <c r="L72" s="23" t="s">
        <v>10</v>
      </c>
      <c r="M72" s="20" t="str">
        <f>IF(SUM(M52:M71)=0,"",SUM(M52:M71))</f>
        <v/>
      </c>
      <c r="N72" s="23" t="s">
        <v>11</v>
      </c>
      <c r="O72" s="20" t="str">
        <f>IF(SUM(O52:O71)=0,"",SUM(O52:O71))</f>
        <v/>
      </c>
      <c r="P72" s="24" t="str">
        <f>IF(SUM(P52:P71)=0,"",SUM(P52:P71))</f>
        <v/>
      </c>
      <c r="Q72" s="27" t="str">
        <f>IF(SUM(P72)=SUM(R72),"現/未          0","現/未  "&amp;(P72-SUM(R72))/1000&amp;",000")</f>
        <v>現/未          0</v>
      </c>
      <c r="R72" s="27">
        <f>IF(SUMIF(R52:R71,"",P52:P71)=0,0,SUMIF(R52:R71,"",P52:P71))</f>
        <v>0</v>
      </c>
    </row>
    <row r="73" spans="1:18" s="1" customFormat="1" ht="21" customHeight="1" x14ac:dyDescent="0.15">
      <c r="A73" s="55" t="str">
        <f>A49</f>
        <v>2027年度分収集運搬手数料収入原簿内訳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spans="1:18" ht="15.75" customHeight="1" x14ac:dyDescent="0.15">
      <c r="A74" s="62" t="s">
        <v>0</v>
      </c>
      <c r="B74" s="62" t="s">
        <v>2</v>
      </c>
      <c r="C74" s="63" t="s">
        <v>3</v>
      </c>
      <c r="D74" s="4" t="s">
        <v>14</v>
      </c>
      <c r="E74" s="64" t="s">
        <v>1</v>
      </c>
      <c r="F74" s="4" t="s">
        <v>14</v>
      </c>
      <c r="G74" s="66" t="s">
        <v>1</v>
      </c>
      <c r="H74" s="4" t="s">
        <v>14</v>
      </c>
      <c r="I74" s="62" t="s">
        <v>1</v>
      </c>
      <c r="J74" s="4" t="s">
        <v>14</v>
      </c>
      <c r="K74" s="62" t="s">
        <v>1</v>
      </c>
      <c r="L74" s="4" t="s">
        <v>14</v>
      </c>
      <c r="M74" s="62" t="s">
        <v>1</v>
      </c>
      <c r="N74" s="4" t="s">
        <v>14</v>
      </c>
      <c r="O74" s="62" t="s">
        <v>1</v>
      </c>
      <c r="P74" s="68" t="s">
        <v>4</v>
      </c>
      <c r="Q74" s="71" t="s">
        <v>5</v>
      </c>
      <c r="R74" s="68" t="s">
        <v>6</v>
      </c>
    </row>
    <row r="75" spans="1:18" ht="15" customHeight="1" x14ac:dyDescent="0.15">
      <c r="A75" s="62"/>
      <c r="B75" s="62"/>
      <c r="C75" s="63"/>
      <c r="D75" s="3" t="s">
        <v>7</v>
      </c>
      <c r="E75" s="65"/>
      <c r="F75" s="3" t="s">
        <v>7</v>
      </c>
      <c r="G75" s="62"/>
      <c r="H75" s="3" t="s">
        <v>7</v>
      </c>
      <c r="I75" s="67"/>
      <c r="J75" s="3" t="s">
        <v>7</v>
      </c>
      <c r="K75" s="62"/>
      <c r="L75" s="3" t="s">
        <v>7</v>
      </c>
      <c r="M75" s="67"/>
      <c r="N75" s="3" t="s">
        <v>7</v>
      </c>
      <c r="O75" s="62"/>
      <c r="P75" s="69"/>
      <c r="Q75" s="62"/>
      <c r="R75" s="70"/>
    </row>
    <row r="76" spans="1:18" ht="25.5" customHeight="1" x14ac:dyDescent="0.15">
      <c r="A76" s="36">
        <v>31</v>
      </c>
      <c r="B76" s="40"/>
      <c r="C76" s="60"/>
      <c r="D76" s="5" t="s">
        <v>12</v>
      </c>
      <c r="E76" s="36"/>
      <c r="F76" s="5" t="s">
        <v>13</v>
      </c>
      <c r="G76" s="36"/>
      <c r="H76" s="5" t="s">
        <v>8</v>
      </c>
      <c r="I76" s="36"/>
      <c r="J76" s="5" t="s">
        <v>9</v>
      </c>
      <c r="K76" s="36"/>
      <c r="L76" s="5" t="s">
        <v>10</v>
      </c>
      <c r="M76" s="36"/>
      <c r="N76" s="5" t="s">
        <v>11</v>
      </c>
      <c r="O76" s="36"/>
      <c r="P76" s="42" t="str">
        <f>IF(E76+G76+I76+K76+M76=0,"",D77*E76+F77*G76+H77*I76+J77*K76+L77*M76+N77*O76)</f>
        <v/>
      </c>
      <c r="Q76" s="38"/>
      <c r="R76" s="36"/>
    </row>
    <row r="77" spans="1:18" ht="25.5" customHeight="1" x14ac:dyDescent="0.15">
      <c r="A77" s="37"/>
      <c r="B77" s="41"/>
      <c r="C77" s="61"/>
      <c r="D77" s="6">
        <v>2000</v>
      </c>
      <c r="E77" s="37"/>
      <c r="F77" s="6">
        <v>3000</v>
      </c>
      <c r="G77" s="37"/>
      <c r="H77" s="6">
        <v>3000</v>
      </c>
      <c r="I77" s="37"/>
      <c r="J77" s="6">
        <v>3000</v>
      </c>
      <c r="K77" s="37"/>
      <c r="L77" s="6">
        <v>2000</v>
      </c>
      <c r="M77" s="37"/>
      <c r="N77" s="7">
        <v>2000</v>
      </c>
      <c r="O77" s="37"/>
      <c r="P77" s="43"/>
      <c r="Q77" s="39"/>
      <c r="R77" s="37"/>
    </row>
    <row r="78" spans="1:18" ht="25.5" customHeight="1" x14ac:dyDescent="0.15">
      <c r="A78" s="36">
        <v>32</v>
      </c>
      <c r="B78" s="40"/>
      <c r="C78" s="60"/>
      <c r="D78" s="5" t="s">
        <v>12</v>
      </c>
      <c r="E78" s="36"/>
      <c r="F78" s="5" t="s">
        <v>13</v>
      </c>
      <c r="G78" s="36"/>
      <c r="H78" s="5" t="s">
        <v>8</v>
      </c>
      <c r="I78" s="36"/>
      <c r="J78" s="5" t="s">
        <v>9</v>
      </c>
      <c r="K78" s="36"/>
      <c r="L78" s="5" t="s">
        <v>10</v>
      </c>
      <c r="M78" s="36"/>
      <c r="N78" s="5" t="s">
        <v>11</v>
      </c>
      <c r="O78" s="36"/>
      <c r="P78" s="42" t="str">
        <f>IF(E78+G78+I78+K78+M78=0,"",D79*E78+F79*G78+H79*I78+J79*K78+L79*M78+N79*O78)</f>
        <v/>
      </c>
      <c r="Q78" s="44"/>
      <c r="R78" s="36"/>
    </row>
    <row r="79" spans="1:18" ht="25.5" customHeight="1" x14ac:dyDescent="0.15">
      <c r="A79" s="37"/>
      <c r="B79" s="41"/>
      <c r="C79" s="61"/>
      <c r="D79" s="6">
        <v>2000</v>
      </c>
      <c r="E79" s="37"/>
      <c r="F79" s="6">
        <v>3000</v>
      </c>
      <c r="G79" s="37"/>
      <c r="H79" s="6">
        <v>3000</v>
      </c>
      <c r="I79" s="37"/>
      <c r="J79" s="6">
        <v>3000</v>
      </c>
      <c r="K79" s="37"/>
      <c r="L79" s="6">
        <v>2000</v>
      </c>
      <c r="M79" s="37"/>
      <c r="N79" s="7">
        <v>2000</v>
      </c>
      <c r="O79" s="37"/>
      <c r="P79" s="43"/>
      <c r="Q79" s="39"/>
      <c r="R79" s="37"/>
    </row>
    <row r="80" spans="1:18" ht="25.5" customHeight="1" x14ac:dyDescent="0.15">
      <c r="A80" s="36">
        <v>33</v>
      </c>
      <c r="B80" s="40"/>
      <c r="C80" s="60"/>
      <c r="D80" s="5" t="s">
        <v>12</v>
      </c>
      <c r="E80" s="36"/>
      <c r="F80" s="5" t="s">
        <v>13</v>
      </c>
      <c r="G80" s="36"/>
      <c r="H80" s="5" t="s">
        <v>8</v>
      </c>
      <c r="I80" s="36"/>
      <c r="J80" s="5" t="s">
        <v>9</v>
      </c>
      <c r="K80" s="36"/>
      <c r="L80" s="5" t="s">
        <v>10</v>
      </c>
      <c r="M80" s="36"/>
      <c r="N80" s="5" t="s">
        <v>11</v>
      </c>
      <c r="O80" s="36"/>
      <c r="P80" s="42" t="str">
        <f>IF(E80+G80+I80+K80+M80=0,"",D81*E80+F81*G80+H81*I80+J81*K80+L81*M80+N81*O80)</f>
        <v/>
      </c>
      <c r="Q80" s="44"/>
      <c r="R80" s="36"/>
    </row>
    <row r="81" spans="1:18" ht="25.5" customHeight="1" x14ac:dyDescent="0.15">
      <c r="A81" s="37"/>
      <c r="B81" s="41"/>
      <c r="C81" s="61"/>
      <c r="D81" s="6">
        <v>2000</v>
      </c>
      <c r="E81" s="37"/>
      <c r="F81" s="6">
        <v>3000</v>
      </c>
      <c r="G81" s="37"/>
      <c r="H81" s="6">
        <v>3000</v>
      </c>
      <c r="I81" s="37"/>
      <c r="J81" s="6">
        <v>3000</v>
      </c>
      <c r="K81" s="37"/>
      <c r="L81" s="6">
        <v>2000</v>
      </c>
      <c r="M81" s="37"/>
      <c r="N81" s="7">
        <v>2000</v>
      </c>
      <c r="O81" s="37"/>
      <c r="P81" s="43"/>
      <c r="Q81" s="39"/>
      <c r="R81" s="37"/>
    </row>
    <row r="82" spans="1:18" ht="25.5" customHeight="1" x14ac:dyDescent="0.15">
      <c r="A82" s="36">
        <v>34</v>
      </c>
      <c r="B82" s="40"/>
      <c r="C82" s="60"/>
      <c r="D82" s="5" t="s">
        <v>12</v>
      </c>
      <c r="E82" s="36"/>
      <c r="F82" s="5" t="s">
        <v>13</v>
      </c>
      <c r="G82" s="36"/>
      <c r="H82" s="5" t="s">
        <v>8</v>
      </c>
      <c r="I82" s="36"/>
      <c r="J82" s="5" t="s">
        <v>9</v>
      </c>
      <c r="K82" s="36"/>
      <c r="L82" s="5" t="s">
        <v>10</v>
      </c>
      <c r="M82" s="36"/>
      <c r="N82" s="5" t="s">
        <v>11</v>
      </c>
      <c r="O82" s="36"/>
      <c r="P82" s="42" t="str">
        <f>IF(E82+G82+I82+K82+M82=0,"",D83*E82+F83*G82+H83*I82+J83*K82+L83*M82+N83*O82)</f>
        <v/>
      </c>
      <c r="Q82" s="44"/>
      <c r="R82" s="36"/>
    </row>
    <row r="83" spans="1:18" ht="25.5" customHeight="1" x14ac:dyDescent="0.15">
      <c r="A83" s="37"/>
      <c r="B83" s="41"/>
      <c r="C83" s="61"/>
      <c r="D83" s="6">
        <v>2000</v>
      </c>
      <c r="E83" s="37"/>
      <c r="F83" s="6">
        <v>3000</v>
      </c>
      <c r="G83" s="37"/>
      <c r="H83" s="6">
        <v>3000</v>
      </c>
      <c r="I83" s="37"/>
      <c r="J83" s="6">
        <v>3000</v>
      </c>
      <c r="K83" s="37"/>
      <c r="L83" s="6">
        <v>2000</v>
      </c>
      <c r="M83" s="37"/>
      <c r="N83" s="7">
        <v>2000</v>
      </c>
      <c r="O83" s="37"/>
      <c r="P83" s="43"/>
      <c r="Q83" s="39"/>
      <c r="R83" s="37"/>
    </row>
    <row r="84" spans="1:18" ht="25.5" customHeight="1" x14ac:dyDescent="0.15">
      <c r="A84" s="36">
        <v>35</v>
      </c>
      <c r="B84" s="40"/>
      <c r="C84" s="60"/>
      <c r="D84" s="5" t="s">
        <v>12</v>
      </c>
      <c r="E84" s="36"/>
      <c r="F84" s="5" t="s">
        <v>13</v>
      </c>
      <c r="G84" s="36"/>
      <c r="H84" s="5" t="s">
        <v>8</v>
      </c>
      <c r="I84" s="36"/>
      <c r="J84" s="5" t="s">
        <v>9</v>
      </c>
      <c r="K84" s="36"/>
      <c r="L84" s="5" t="s">
        <v>10</v>
      </c>
      <c r="M84" s="36"/>
      <c r="N84" s="5" t="s">
        <v>11</v>
      </c>
      <c r="O84" s="36"/>
      <c r="P84" s="42" t="str">
        <f>IF(E84+G84+I84+K84+M84=0,"",D85*E84+F85*G84+H85*I84+J85*K84+L85*M84+N85*O84)</f>
        <v/>
      </c>
      <c r="Q84" s="38"/>
      <c r="R84" s="36"/>
    </row>
    <row r="85" spans="1:18" ht="25.5" customHeight="1" x14ac:dyDescent="0.15">
      <c r="A85" s="37"/>
      <c r="B85" s="41"/>
      <c r="C85" s="61"/>
      <c r="D85" s="6">
        <v>2000</v>
      </c>
      <c r="E85" s="37"/>
      <c r="F85" s="6">
        <v>3000</v>
      </c>
      <c r="G85" s="37"/>
      <c r="H85" s="6">
        <v>3000</v>
      </c>
      <c r="I85" s="37"/>
      <c r="J85" s="6">
        <v>3000</v>
      </c>
      <c r="K85" s="37"/>
      <c r="L85" s="6">
        <v>2000</v>
      </c>
      <c r="M85" s="37"/>
      <c r="N85" s="7">
        <v>2000</v>
      </c>
      <c r="O85" s="37"/>
      <c r="P85" s="43"/>
      <c r="Q85" s="39"/>
      <c r="R85" s="37"/>
    </row>
    <row r="86" spans="1:18" ht="25.5" customHeight="1" x14ac:dyDescent="0.15">
      <c r="A86" s="36">
        <v>36</v>
      </c>
      <c r="B86" s="40"/>
      <c r="C86" s="60"/>
      <c r="D86" s="5" t="s">
        <v>12</v>
      </c>
      <c r="E86" s="36"/>
      <c r="F86" s="5" t="s">
        <v>13</v>
      </c>
      <c r="G86" s="36"/>
      <c r="H86" s="5" t="s">
        <v>8</v>
      </c>
      <c r="I86" s="36"/>
      <c r="J86" s="5" t="s">
        <v>9</v>
      </c>
      <c r="K86" s="36"/>
      <c r="L86" s="5" t="s">
        <v>10</v>
      </c>
      <c r="M86" s="36"/>
      <c r="N86" s="5" t="s">
        <v>11</v>
      </c>
      <c r="O86" s="36"/>
      <c r="P86" s="42" t="str">
        <f>IF(E86+G86+I86+K86+M86=0,"",D87*E86+F87*G86+H87*I86+J87*K86+L87*M86+N87*O86)</f>
        <v/>
      </c>
      <c r="Q86" s="44"/>
      <c r="R86" s="36"/>
    </row>
    <row r="87" spans="1:18" ht="25.5" customHeight="1" x14ac:dyDescent="0.15">
      <c r="A87" s="37"/>
      <c r="B87" s="41"/>
      <c r="C87" s="61"/>
      <c r="D87" s="6">
        <v>2000</v>
      </c>
      <c r="E87" s="37"/>
      <c r="F87" s="6">
        <v>3000</v>
      </c>
      <c r="G87" s="37"/>
      <c r="H87" s="6">
        <v>3000</v>
      </c>
      <c r="I87" s="37"/>
      <c r="J87" s="6">
        <v>3000</v>
      </c>
      <c r="K87" s="37"/>
      <c r="L87" s="6">
        <v>2000</v>
      </c>
      <c r="M87" s="37"/>
      <c r="N87" s="7">
        <v>2000</v>
      </c>
      <c r="O87" s="37"/>
      <c r="P87" s="43"/>
      <c r="Q87" s="39"/>
      <c r="R87" s="37"/>
    </row>
    <row r="88" spans="1:18" ht="25.5" customHeight="1" x14ac:dyDescent="0.15">
      <c r="A88" s="36">
        <v>37</v>
      </c>
      <c r="B88" s="40"/>
      <c r="C88" s="60"/>
      <c r="D88" s="5" t="s">
        <v>12</v>
      </c>
      <c r="E88" s="36"/>
      <c r="F88" s="5" t="s">
        <v>13</v>
      </c>
      <c r="G88" s="36"/>
      <c r="H88" s="5" t="s">
        <v>8</v>
      </c>
      <c r="I88" s="36"/>
      <c r="J88" s="5" t="s">
        <v>9</v>
      </c>
      <c r="K88" s="36"/>
      <c r="L88" s="5" t="s">
        <v>10</v>
      </c>
      <c r="M88" s="36"/>
      <c r="N88" s="5" t="s">
        <v>11</v>
      </c>
      <c r="O88" s="36"/>
      <c r="P88" s="42" t="str">
        <f>IF(E88+G88+I88+K88+M88=0,"",D89*E88+F89*G88+H89*I88+J89*K88+L89*M88+N89*O88)</f>
        <v/>
      </c>
      <c r="Q88" s="38"/>
      <c r="R88" s="36"/>
    </row>
    <row r="89" spans="1:18" ht="25.5" customHeight="1" x14ac:dyDescent="0.15">
      <c r="A89" s="37"/>
      <c r="B89" s="41"/>
      <c r="C89" s="61"/>
      <c r="D89" s="6">
        <v>2000</v>
      </c>
      <c r="E89" s="37"/>
      <c r="F89" s="6">
        <v>3000</v>
      </c>
      <c r="G89" s="37"/>
      <c r="H89" s="6">
        <v>3000</v>
      </c>
      <c r="I89" s="37"/>
      <c r="J89" s="6">
        <v>3000</v>
      </c>
      <c r="K89" s="37"/>
      <c r="L89" s="6">
        <v>2000</v>
      </c>
      <c r="M89" s="37"/>
      <c r="N89" s="7">
        <v>2000</v>
      </c>
      <c r="O89" s="37"/>
      <c r="P89" s="43"/>
      <c r="Q89" s="39"/>
      <c r="R89" s="37"/>
    </row>
    <row r="90" spans="1:18" ht="25.5" customHeight="1" x14ac:dyDescent="0.15">
      <c r="A90" s="36">
        <v>38</v>
      </c>
      <c r="B90" s="40"/>
      <c r="C90" s="60"/>
      <c r="D90" s="5" t="s">
        <v>12</v>
      </c>
      <c r="E90" s="36"/>
      <c r="F90" s="5" t="s">
        <v>13</v>
      </c>
      <c r="G90" s="36"/>
      <c r="H90" s="5" t="s">
        <v>8</v>
      </c>
      <c r="I90" s="36"/>
      <c r="J90" s="5" t="s">
        <v>9</v>
      </c>
      <c r="K90" s="36"/>
      <c r="L90" s="5" t="s">
        <v>10</v>
      </c>
      <c r="M90" s="36"/>
      <c r="N90" s="5" t="s">
        <v>11</v>
      </c>
      <c r="O90" s="36"/>
      <c r="P90" s="42" t="str">
        <f>IF(E90+G90+I90+K90+M90=0,"",D91*E90+F91*G90+H91*I90+J91*K90+L91*M90+N91*O90)</f>
        <v/>
      </c>
      <c r="Q90" s="38"/>
      <c r="R90" s="36"/>
    </row>
    <row r="91" spans="1:18" ht="25.5" customHeight="1" x14ac:dyDescent="0.15">
      <c r="A91" s="37"/>
      <c r="B91" s="41"/>
      <c r="C91" s="61"/>
      <c r="D91" s="6">
        <v>2000</v>
      </c>
      <c r="E91" s="37"/>
      <c r="F91" s="6">
        <v>3000</v>
      </c>
      <c r="G91" s="37"/>
      <c r="H91" s="6">
        <v>3000</v>
      </c>
      <c r="I91" s="37"/>
      <c r="J91" s="6">
        <v>3000</v>
      </c>
      <c r="K91" s="37"/>
      <c r="L91" s="6">
        <v>2000</v>
      </c>
      <c r="M91" s="37"/>
      <c r="N91" s="7">
        <v>2000</v>
      </c>
      <c r="O91" s="37"/>
      <c r="P91" s="43"/>
      <c r="Q91" s="39"/>
      <c r="R91" s="37"/>
    </row>
    <row r="92" spans="1:18" ht="25.5" customHeight="1" x14ac:dyDescent="0.15">
      <c r="A92" s="36">
        <v>39</v>
      </c>
      <c r="B92" s="40"/>
      <c r="C92" s="60"/>
      <c r="D92" s="5" t="s">
        <v>12</v>
      </c>
      <c r="E92" s="36"/>
      <c r="F92" s="5" t="s">
        <v>13</v>
      </c>
      <c r="G92" s="36"/>
      <c r="H92" s="5" t="s">
        <v>8</v>
      </c>
      <c r="I92" s="36"/>
      <c r="J92" s="5" t="s">
        <v>9</v>
      </c>
      <c r="K92" s="36"/>
      <c r="L92" s="5" t="s">
        <v>10</v>
      </c>
      <c r="M92" s="36"/>
      <c r="N92" s="5" t="s">
        <v>11</v>
      </c>
      <c r="O92" s="36"/>
      <c r="P92" s="42" t="str">
        <f>IF(E92+G92+I92+K92+M92=0,"",D93*E92+F93*G92+H93*I92+J93*K92+L93*M92+N93*O92)</f>
        <v/>
      </c>
      <c r="Q92" s="44"/>
      <c r="R92" s="36"/>
    </row>
    <row r="93" spans="1:18" ht="25.5" customHeight="1" x14ac:dyDescent="0.15">
      <c r="A93" s="37"/>
      <c r="B93" s="41"/>
      <c r="C93" s="61"/>
      <c r="D93" s="6">
        <v>2000</v>
      </c>
      <c r="E93" s="37"/>
      <c r="F93" s="6">
        <v>3000</v>
      </c>
      <c r="G93" s="37"/>
      <c r="H93" s="6">
        <v>3000</v>
      </c>
      <c r="I93" s="37"/>
      <c r="J93" s="6">
        <v>3000</v>
      </c>
      <c r="K93" s="37"/>
      <c r="L93" s="6">
        <v>2000</v>
      </c>
      <c r="M93" s="37"/>
      <c r="N93" s="7">
        <v>2000</v>
      </c>
      <c r="O93" s="37"/>
      <c r="P93" s="43"/>
      <c r="Q93" s="39"/>
      <c r="R93" s="37"/>
    </row>
    <row r="94" spans="1:18" ht="25.5" customHeight="1" x14ac:dyDescent="0.15">
      <c r="A94" s="36">
        <v>40</v>
      </c>
      <c r="B94" s="40"/>
      <c r="C94" s="60"/>
      <c r="D94" s="5" t="s">
        <v>12</v>
      </c>
      <c r="E94" s="36"/>
      <c r="F94" s="5" t="s">
        <v>13</v>
      </c>
      <c r="G94" s="36"/>
      <c r="H94" s="5" t="s">
        <v>8</v>
      </c>
      <c r="I94" s="36"/>
      <c r="J94" s="5" t="s">
        <v>9</v>
      </c>
      <c r="K94" s="36"/>
      <c r="L94" s="5" t="s">
        <v>10</v>
      </c>
      <c r="M94" s="36"/>
      <c r="N94" s="5" t="s">
        <v>11</v>
      </c>
      <c r="O94" s="36"/>
      <c r="P94" s="42" t="str">
        <f>IF(E94+G94+I94+K94+M94=0,"",D95*E94+F95*G94+H95*I94+J95*K94+L95*M94+N95*O94)</f>
        <v/>
      </c>
      <c r="Q94" s="44"/>
      <c r="R94" s="36"/>
    </row>
    <row r="95" spans="1:18" ht="25.5" customHeight="1" thickBot="1" x14ac:dyDescent="0.2">
      <c r="A95" s="57"/>
      <c r="B95" s="59"/>
      <c r="C95" s="80"/>
      <c r="D95" s="25">
        <v>2000</v>
      </c>
      <c r="E95" s="57"/>
      <c r="F95" s="25">
        <v>3000</v>
      </c>
      <c r="G95" s="57"/>
      <c r="H95" s="25">
        <v>3000</v>
      </c>
      <c r="I95" s="57"/>
      <c r="J95" s="25">
        <v>3000</v>
      </c>
      <c r="K95" s="57"/>
      <c r="L95" s="25">
        <v>2000</v>
      </c>
      <c r="M95" s="57"/>
      <c r="N95" s="26">
        <v>2000</v>
      </c>
      <c r="O95" s="57"/>
      <c r="P95" s="56"/>
      <c r="Q95" s="58"/>
      <c r="R95" s="57"/>
    </row>
    <row r="96" spans="1:18" s="1" customFormat="1" ht="21" customHeight="1" thickTop="1" x14ac:dyDescent="0.15">
      <c r="B96" s="15"/>
      <c r="C96" s="16"/>
      <c r="D96" s="23" t="s">
        <v>12</v>
      </c>
      <c r="E96" s="20" t="str">
        <f>IF(SUM(E92:E95)=0,"",SUM(E76:E95))</f>
        <v/>
      </c>
      <c r="F96" s="23" t="s">
        <v>13</v>
      </c>
      <c r="G96" s="20" t="str">
        <f>IF(SUM(G92:G95)=0,"",SUM(G92:G95))</f>
        <v/>
      </c>
      <c r="H96" s="23" t="s">
        <v>8</v>
      </c>
      <c r="I96" s="20" t="str">
        <f>IF(SUM(I92:I95)=0,"",SUM(I92:I95))</f>
        <v/>
      </c>
      <c r="J96" s="23" t="s">
        <v>9</v>
      </c>
      <c r="K96" s="20" t="str">
        <f>IF(SUM(K92:K95)=0,"",SUM(K92:K95))</f>
        <v/>
      </c>
      <c r="L96" s="23" t="s">
        <v>10</v>
      </c>
      <c r="M96" s="20" t="str">
        <f>IF(SUM(M92:M95)=0,"",SUM(M92:M95))</f>
        <v/>
      </c>
      <c r="N96" s="23" t="s">
        <v>11</v>
      </c>
      <c r="O96" s="20" t="str">
        <f>IF(SUM(O92:O95)=0,"",SUM(O92:O95))</f>
        <v/>
      </c>
      <c r="P96" s="24" t="str">
        <f>IF(SUM(P92:P95)=0,"",SUM(P92:P95))</f>
        <v/>
      </c>
      <c r="Q96" s="29" t="str">
        <f>IF(SUM(P96)=SUM(R96),"現/未          0","現/未  "&amp;(P96-SUM(R96))/1000&amp;",000")</f>
        <v>現/未          0</v>
      </c>
      <c r="R96" s="28">
        <f>IF(SUMIF(R92:R95,"",P92:P95)=0,0,SUMIF(R92:R95,"",P92:P95))</f>
        <v>0</v>
      </c>
    </row>
    <row r="97" spans="1:18" s="1" customFormat="1" ht="21" customHeight="1" x14ac:dyDescent="0.15">
      <c r="A97" s="55" t="str">
        <f>A73</f>
        <v>2027年度分収集運搬手数料収入原簿内訳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spans="1:18" ht="15.75" customHeight="1" x14ac:dyDescent="0.15">
      <c r="A98" s="62" t="s">
        <v>0</v>
      </c>
      <c r="B98" s="62" t="s">
        <v>2</v>
      </c>
      <c r="C98" s="63" t="s">
        <v>3</v>
      </c>
      <c r="D98" s="4" t="s">
        <v>14</v>
      </c>
      <c r="E98" s="64" t="s">
        <v>1</v>
      </c>
      <c r="F98" s="4" t="s">
        <v>14</v>
      </c>
      <c r="G98" s="66" t="s">
        <v>1</v>
      </c>
      <c r="H98" s="4" t="s">
        <v>14</v>
      </c>
      <c r="I98" s="62" t="s">
        <v>1</v>
      </c>
      <c r="J98" s="4" t="s">
        <v>14</v>
      </c>
      <c r="K98" s="62" t="s">
        <v>1</v>
      </c>
      <c r="L98" s="4" t="s">
        <v>14</v>
      </c>
      <c r="M98" s="62" t="s">
        <v>1</v>
      </c>
      <c r="N98" s="4" t="s">
        <v>14</v>
      </c>
      <c r="O98" s="62" t="s">
        <v>1</v>
      </c>
      <c r="P98" s="68" t="s">
        <v>4</v>
      </c>
      <c r="Q98" s="71" t="s">
        <v>5</v>
      </c>
      <c r="R98" s="68" t="s">
        <v>6</v>
      </c>
    </row>
    <row r="99" spans="1:18" ht="15" customHeight="1" x14ac:dyDescent="0.15">
      <c r="A99" s="62"/>
      <c r="B99" s="62"/>
      <c r="C99" s="63"/>
      <c r="D99" s="3" t="s">
        <v>7</v>
      </c>
      <c r="E99" s="65"/>
      <c r="F99" s="3" t="s">
        <v>7</v>
      </c>
      <c r="G99" s="62"/>
      <c r="H99" s="3" t="s">
        <v>7</v>
      </c>
      <c r="I99" s="67"/>
      <c r="J99" s="3" t="s">
        <v>7</v>
      </c>
      <c r="K99" s="62"/>
      <c r="L99" s="3" t="s">
        <v>7</v>
      </c>
      <c r="M99" s="67"/>
      <c r="N99" s="3" t="s">
        <v>7</v>
      </c>
      <c r="O99" s="62"/>
      <c r="P99" s="69"/>
      <c r="Q99" s="62"/>
      <c r="R99" s="70"/>
    </row>
    <row r="100" spans="1:18" ht="25.5" customHeight="1" x14ac:dyDescent="0.15">
      <c r="A100" s="36">
        <v>41</v>
      </c>
      <c r="B100" s="40"/>
      <c r="C100" s="60"/>
      <c r="D100" s="5" t="s">
        <v>12</v>
      </c>
      <c r="E100" s="36"/>
      <c r="F100" s="5" t="s">
        <v>13</v>
      </c>
      <c r="G100" s="36"/>
      <c r="H100" s="5" t="s">
        <v>8</v>
      </c>
      <c r="I100" s="36"/>
      <c r="J100" s="5" t="s">
        <v>9</v>
      </c>
      <c r="K100" s="36"/>
      <c r="L100" s="5" t="s">
        <v>10</v>
      </c>
      <c r="M100" s="36"/>
      <c r="N100" s="5" t="s">
        <v>11</v>
      </c>
      <c r="O100" s="36"/>
      <c r="P100" s="42" t="str">
        <f>IF(E100+G100+I100+K100+M100=0,"",D101*E100+F101*G100+H101*I100+J101*K100+L101*M100+N101*O100)</f>
        <v/>
      </c>
      <c r="Q100" s="38"/>
      <c r="R100" s="36"/>
    </row>
    <row r="101" spans="1:18" ht="25.5" customHeight="1" x14ac:dyDescent="0.15">
      <c r="A101" s="37"/>
      <c r="B101" s="41"/>
      <c r="C101" s="61"/>
      <c r="D101" s="6">
        <v>2000</v>
      </c>
      <c r="E101" s="37"/>
      <c r="F101" s="6">
        <v>3000</v>
      </c>
      <c r="G101" s="37"/>
      <c r="H101" s="6">
        <v>3000</v>
      </c>
      <c r="I101" s="37"/>
      <c r="J101" s="6">
        <v>3000</v>
      </c>
      <c r="K101" s="37"/>
      <c r="L101" s="6">
        <v>2000</v>
      </c>
      <c r="M101" s="37"/>
      <c r="N101" s="7">
        <v>2000</v>
      </c>
      <c r="O101" s="37"/>
      <c r="P101" s="43"/>
      <c r="Q101" s="39"/>
      <c r="R101" s="37"/>
    </row>
    <row r="102" spans="1:18" ht="25.5" customHeight="1" x14ac:dyDescent="0.15">
      <c r="A102" s="36">
        <v>42</v>
      </c>
      <c r="B102" s="40"/>
      <c r="C102" s="60"/>
      <c r="D102" s="5" t="s">
        <v>12</v>
      </c>
      <c r="E102" s="36"/>
      <c r="F102" s="5" t="s">
        <v>13</v>
      </c>
      <c r="G102" s="36"/>
      <c r="H102" s="5" t="s">
        <v>8</v>
      </c>
      <c r="I102" s="36"/>
      <c r="J102" s="5" t="s">
        <v>9</v>
      </c>
      <c r="K102" s="36"/>
      <c r="L102" s="5" t="s">
        <v>10</v>
      </c>
      <c r="M102" s="36"/>
      <c r="N102" s="5" t="s">
        <v>11</v>
      </c>
      <c r="O102" s="36"/>
      <c r="P102" s="42" t="str">
        <f>IF(E102+G102+I102+K102+M102=0,"",D103*E102+F103*G102+H103*I102+J103*K102+L103*M102+N103*O102)</f>
        <v/>
      </c>
      <c r="Q102" s="44"/>
      <c r="R102" s="36"/>
    </row>
    <row r="103" spans="1:18" ht="25.5" customHeight="1" x14ac:dyDescent="0.15">
      <c r="A103" s="37"/>
      <c r="B103" s="41"/>
      <c r="C103" s="61"/>
      <c r="D103" s="6">
        <v>2000</v>
      </c>
      <c r="E103" s="37"/>
      <c r="F103" s="6">
        <v>3000</v>
      </c>
      <c r="G103" s="37"/>
      <c r="H103" s="6">
        <v>3000</v>
      </c>
      <c r="I103" s="37"/>
      <c r="J103" s="6">
        <v>3000</v>
      </c>
      <c r="K103" s="37"/>
      <c r="L103" s="6">
        <v>2000</v>
      </c>
      <c r="M103" s="37"/>
      <c r="N103" s="7">
        <v>2000</v>
      </c>
      <c r="O103" s="37"/>
      <c r="P103" s="43"/>
      <c r="Q103" s="39"/>
      <c r="R103" s="37"/>
    </row>
    <row r="104" spans="1:18" ht="25.5" customHeight="1" x14ac:dyDescent="0.15">
      <c r="A104" s="36">
        <v>43</v>
      </c>
      <c r="B104" s="40"/>
      <c r="C104" s="60"/>
      <c r="D104" s="5" t="s">
        <v>12</v>
      </c>
      <c r="E104" s="36"/>
      <c r="F104" s="5" t="s">
        <v>13</v>
      </c>
      <c r="G104" s="36"/>
      <c r="H104" s="5" t="s">
        <v>8</v>
      </c>
      <c r="I104" s="36"/>
      <c r="J104" s="5" t="s">
        <v>9</v>
      </c>
      <c r="K104" s="36"/>
      <c r="L104" s="5" t="s">
        <v>10</v>
      </c>
      <c r="M104" s="36"/>
      <c r="N104" s="5" t="s">
        <v>11</v>
      </c>
      <c r="O104" s="36"/>
      <c r="P104" s="42" t="str">
        <f>IF(E104+G104+I104+K104+M104=0,"",D105*E104+F105*G104+H105*I104+J105*K104+L105*M104+N105*O104)</f>
        <v/>
      </c>
      <c r="Q104" s="44"/>
      <c r="R104" s="36"/>
    </row>
    <row r="105" spans="1:18" ht="25.5" customHeight="1" x14ac:dyDescent="0.15">
      <c r="A105" s="37"/>
      <c r="B105" s="41"/>
      <c r="C105" s="61"/>
      <c r="D105" s="6">
        <v>2000</v>
      </c>
      <c r="E105" s="37"/>
      <c r="F105" s="6">
        <v>3000</v>
      </c>
      <c r="G105" s="37"/>
      <c r="H105" s="6">
        <v>3000</v>
      </c>
      <c r="I105" s="37"/>
      <c r="J105" s="6">
        <v>3000</v>
      </c>
      <c r="K105" s="37"/>
      <c r="L105" s="6">
        <v>2000</v>
      </c>
      <c r="M105" s="37"/>
      <c r="N105" s="7">
        <v>2000</v>
      </c>
      <c r="O105" s="37"/>
      <c r="P105" s="43"/>
      <c r="Q105" s="39"/>
      <c r="R105" s="37"/>
    </row>
    <row r="106" spans="1:18" ht="25.5" customHeight="1" x14ac:dyDescent="0.15">
      <c r="A106" s="36">
        <v>44</v>
      </c>
      <c r="B106" s="40"/>
      <c r="C106" s="60"/>
      <c r="D106" s="5" t="s">
        <v>12</v>
      </c>
      <c r="E106" s="36"/>
      <c r="F106" s="5" t="s">
        <v>13</v>
      </c>
      <c r="G106" s="36"/>
      <c r="H106" s="5" t="s">
        <v>8</v>
      </c>
      <c r="I106" s="36"/>
      <c r="J106" s="5" t="s">
        <v>9</v>
      </c>
      <c r="K106" s="36"/>
      <c r="L106" s="5" t="s">
        <v>10</v>
      </c>
      <c r="M106" s="36"/>
      <c r="N106" s="5" t="s">
        <v>11</v>
      </c>
      <c r="O106" s="36"/>
      <c r="P106" s="42" t="str">
        <f>IF(E106+G106+I106+K106+M106=0,"",D107*E106+F107*G106+H107*I106+J107*K106+L107*M106+N107*O106)</f>
        <v/>
      </c>
      <c r="Q106" s="44"/>
      <c r="R106" s="36"/>
    </row>
    <row r="107" spans="1:18" ht="25.5" customHeight="1" x14ac:dyDescent="0.15">
      <c r="A107" s="37"/>
      <c r="B107" s="41"/>
      <c r="C107" s="61"/>
      <c r="D107" s="6">
        <v>2000</v>
      </c>
      <c r="E107" s="37"/>
      <c r="F107" s="6">
        <v>3000</v>
      </c>
      <c r="G107" s="37"/>
      <c r="H107" s="6">
        <v>3000</v>
      </c>
      <c r="I107" s="37"/>
      <c r="J107" s="6">
        <v>3000</v>
      </c>
      <c r="K107" s="37"/>
      <c r="L107" s="6">
        <v>2000</v>
      </c>
      <c r="M107" s="37"/>
      <c r="N107" s="7">
        <v>2000</v>
      </c>
      <c r="O107" s="37"/>
      <c r="P107" s="43"/>
      <c r="Q107" s="39"/>
      <c r="R107" s="37"/>
    </row>
    <row r="108" spans="1:18" ht="25.5" customHeight="1" x14ac:dyDescent="0.15">
      <c r="A108" s="36">
        <v>45</v>
      </c>
      <c r="B108" s="40"/>
      <c r="C108" s="60"/>
      <c r="D108" s="5" t="s">
        <v>12</v>
      </c>
      <c r="E108" s="36"/>
      <c r="F108" s="5" t="s">
        <v>13</v>
      </c>
      <c r="G108" s="36"/>
      <c r="H108" s="5" t="s">
        <v>8</v>
      </c>
      <c r="I108" s="36"/>
      <c r="J108" s="5" t="s">
        <v>9</v>
      </c>
      <c r="K108" s="36"/>
      <c r="L108" s="5" t="s">
        <v>10</v>
      </c>
      <c r="M108" s="36"/>
      <c r="N108" s="5" t="s">
        <v>11</v>
      </c>
      <c r="O108" s="36"/>
      <c r="P108" s="42" t="str">
        <f>IF(E108+G108+I108+K108+M108=0,"",D109*E108+F109*G108+H109*I108+J109*K108+L109*M108+N109*O108)</f>
        <v/>
      </c>
      <c r="Q108" s="38"/>
      <c r="R108" s="36"/>
    </row>
    <row r="109" spans="1:18" ht="25.5" customHeight="1" x14ac:dyDescent="0.15">
      <c r="A109" s="37"/>
      <c r="B109" s="41"/>
      <c r="C109" s="61"/>
      <c r="D109" s="6">
        <v>2000</v>
      </c>
      <c r="E109" s="37"/>
      <c r="F109" s="6">
        <v>3000</v>
      </c>
      <c r="G109" s="37"/>
      <c r="H109" s="6">
        <v>3000</v>
      </c>
      <c r="I109" s="37"/>
      <c r="J109" s="6">
        <v>3000</v>
      </c>
      <c r="K109" s="37"/>
      <c r="L109" s="6">
        <v>2000</v>
      </c>
      <c r="M109" s="37"/>
      <c r="N109" s="7">
        <v>2000</v>
      </c>
      <c r="O109" s="37"/>
      <c r="P109" s="43"/>
      <c r="Q109" s="39"/>
      <c r="R109" s="37"/>
    </row>
    <row r="110" spans="1:18" ht="25.5" customHeight="1" x14ac:dyDescent="0.15">
      <c r="A110" s="36">
        <v>46</v>
      </c>
      <c r="B110" s="40"/>
      <c r="C110" s="60"/>
      <c r="D110" s="5" t="s">
        <v>12</v>
      </c>
      <c r="E110" s="36"/>
      <c r="F110" s="5" t="s">
        <v>13</v>
      </c>
      <c r="G110" s="36"/>
      <c r="H110" s="5" t="s">
        <v>8</v>
      </c>
      <c r="I110" s="36"/>
      <c r="J110" s="5" t="s">
        <v>9</v>
      </c>
      <c r="K110" s="36"/>
      <c r="L110" s="5" t="s">
        <v>10</v>
      </c>
      <c r="M110" s="36"/>
      <c r="N110" s="5" t="s">
        <v>11</v>
      </c>
      <c r="O110" s="36"/>
      <c r="P110" s="42" t="str">
        <f>IF(E110+G110+I110+K110+M110=0,"",D111*E110+F111*G110+H111*I110+J111*K110+L111*M110+N111*O110)</f>
        <v/>
      </c>
      <c r="Q110" s="44"/>
      <c r="R110" s="36"/>
    </row>
    <row r="111" spans="1:18" ht="25.5" customHeight="1" x14ac:dyDescent="0.15">
      <c r="A111" s="37"/>
      <c r="B111" s="41"/>
      <c r="C111" s="61"/>
      <c r="D111" s="6">
        <v>2000</v>
      </c>
      <c r="E111" s="37"/>
      <c r="F111" s="6">
        <v>3000</v>
      </c>
      <c r="G111" s="37"/>
      <c r="H111" s="6">
        <v>3000</v>
      </c>
      <c r="I111" s="37"/>
      <c r="J111" s="6">
        <v>3000</v>
      </c>
      <c r="K111" s="37"/>
      <c r="L111" s="6">
        <v>2000</v>
      </c>
      <c r="M111" s="37"/>
      <c r="N111" s="7">
        <v>2000</v>
      </c>
      <c r="O111" s="37"/>
      <c r="P111" s="43"/>
      <c r="Q111" s="39"/>
      <c r="R111" s="37"/>
    </row>
    <row r="112" spans="1:18" ht="25.5" customHeight="1" x14ac:dyDescent="0.15">
      <c r="A112" s="36">
        <v>47</v>
      </c>
      <c r="B112" s="40"/>
      <c r="C112" s="60"/>
      <c r="D112" s="5" t="s">
        <v>12</v>
      </c>
      <c r="E112" s="36"/>
      <c r="F112" s="5" t="s">
        <v>13</v>
      </c>
      <c r="G112" s="36"/>
      <c r="H112" s="5" t="s">
        <v>8</v>
      </c>
      <c r="I112" s="36"/>
      <c r="J112" s="5" t="s">
        <v>9</v>
      </c>
      <c r="K112" s="36"/>
      <c r="L112" s="5" t="s">
        <v>10</v>
      </c>
      <c r="M112" s="36"/>
      <c r="N112" s="5" t="s">
        <v>11</v>
      </c>
      <c r="O112" s="36"/>
      <c r="P112" s="42" t="str">
        <f>IF(E112+G112+I112+K112+M112=0,"",D113*E112+F113*G112+H113*I112+J113*K112+L113*M112+N113*O112)</f>
        <v/>
      </c>
      <c r="Q112" s="38"/>
      <c r="R112" s="36"/>
    </row>
    <row r="113" spans="1:18" ht="25.5" customHeight="1" x14ac:dyDescent="0.15">
      <c r="A113" s="37"/>
      <c r="B113" s="41"/>
      <c r="C113" s="61"/>
      <c r="D113" s="6">
        <v>2000</v>
      </c>
      <c r="E113" s="37"/>
      <c r="F113" s="6">
        <v>3000</v>
      </c>
      <c r="G113" s="37"/>
      <c r="H113" s="6">
        <v>3000</v>
      </c>
      <c r="I113" s="37"/>
      <c r="J113" s="6">
        <v>3000</v>
      </c>
      <c r="K113" s="37"/>
      <c r="L113" s="6">
        <v>2000</v>
      </c>
      <c r="M113" s="37"/>
      <c r="N113" s="7">
        <v>2000</v>
      </c>
      <c r="O113" s="37"/>
      <c r="P113" s="43"/>
      <c r="Q113" s="39"/>
      <c r="R113" s="37"/>
    </row>
    <row r="114" spans="1:18" ht="25.5" customHeight="1" x14ac:dyDescent="0.15">
      <c r="A114" s="36">
        <v>48</v>
      </c>
      <c r="B114" s="40"/>
      <c r="C114" s="60"/>
      <c r="D114" s="5" t="s">
        <v>12</v>
      </c>
      <c r="E114" s="36"/>
      <c r="F114" s="5" t="s">
        <v>13</v>
      </c>
      <c r="G114" s="36"/>
      <c r="H114" s="5" t="s">
        <v>8</v>
      </c>
      <c r="I114" s="36"/>
      <c r="J114" s="5" t="s">
        <v>9</v>
      </c>
      <c r="K114" s="36"/>
      <c r="L114" s="5" t="s">
        <v>10</v>
      </c>
      <c r="M114" s="36"/>
      <c r="N114" s="5" t="s">
        <v>11</v>
      </c>
      <c r="O114" s="36"/>
      <c r="P114" s="42" t="str">
        <f>IF(E114+G114+I114+K114+M114=0,"",D115*E114+F115*G114+H115*I114+J115*K114+L115*M114+N115*O114)</f>
        <v/>
      </c>
      <c r="Q114" s="38"/>
      <c r="R114" s="36"/>
    </row>
    <row r="115" spans="1:18" ht="25.5" customHeight="1" x14ac:dyDescent="0.15">
      <c r="A115" s="37"/>
      <c r="B115" s="41"/>
      <c r="C115" s="61"/>
      <c r="D115" s="6">
        <v>2000</v>
      </c>
      <c r="E115" s="37"/>
      <c r="F115" s="6">
        <v>3000</v>
      </c>
      <c r="G115" s="37"/>
      <c r="H115" s="6">
        <v>3000</v>
      </c>
      <c r="I115" s="37"/>
      <c r="J115" s="6">
        <v>3000</v>
      </c>
      <c r="K115" s="37"/>
      <c r="L115" s="6">
        <v>2000</v>
      </c>
      <c r="M115" s="37"/>
      <c r="N115" s="7">
        <v>2000</v>
      </c>
      <c r="O115" s="37"/>
      <c r="P115" s="43"/>
      <c r="Q115" s="39"/>
      <c r="R115" s="37"/>
    </row>
    <row r="116" spans="1:18" ht="25.5" customHeight="1" x14ac:dyDescent="0.15">
      <c r="A116" s="36">
        <v>49</v>
      </c>
      <c r="B116" s="40"/>
      <c r="C116" s="60"/>
      <c r="D116" s="5" t="s">
        <v>12</v>
      </c>
      <c r="E116" s="36"/>
      <c r="F116" s="5" t="s">
        <v>13</v>
      </c>
      <c r="G116" s="36"/>
      <c r="H116" s="5" t="s">
        <v>8</v>
      </c>
      <c r="I116" s="36"/>
      <c r="J116" s="5" t="s">
        <v>9</v>
      </c>
      <c r="K116" s="36"/>
      <c r="L116" s="5" t="s">
        <v>10</v>
      </c>
      <c r="M116" s="36"/>
      <c r="N116" s="5" t="s">
        <v>11</v>
      </c>
      <c r="O116" s="36"/>
      <c r="P116" s="42" t="str">
        <f>IF(E116+G116+I116+K116+M116=0,"",D117*E116+F117*G116+H117*I116+J117*K116+L117*M116+N117*O116)</f>
        <v/>
      </c>
      <c r="Q116" s="44"/>
      <c r="R116" s="36"/>
    </row>
    <row r="117" spans="1:18" ht="25.5" customHeight="1" x14ac:dyDescent="0.15">
      <c r="A117" s="37"/>
      <c r="B117" s="41"/>
      <c r="C117" s="61"/>
      <c r="D117" s="6">
        <v>2000</v>
      </c>
      <c r="E117" s="37"/>
      <c r="F117" s="6">
        <v>3000</v>
      </c>
      <c r="G117" s="37"/>
      <c r="H117" s="6">
        <v>3000</v>
      </c>
      <c r="I117" s="37"/>
      <c r="J117" s="6">
        <v>3000</v>
      </c>
      <c r="K117" s="37"/>
      <c r="L117" s="6">
        <v>2000</v>
      </c>
      <c r="M117" s="37"/>
      <c r="N117" s="7">
        <v>2000</v>
      </c>
      <c r="O117" s="37"/>
      <c r="P117" s="43"/>
      <c r="Q117" s="39"/>
      <c r="R117" s="37"/>
    </row>
    <row r="118" spans="1:18" ht="25.5" customHeight="1" x14ac:dyDescent="0.15">
      <c r="A118" s="36">
        <v>50</v>
      </c>
      <c r="B118" s="40"/>
      <c r="C118" s="60"/>
      <c r="D118" s="5" t="s">
        <v>12</v>
      </c>
      <c r="E118" s="36"/>
      <c r="F118" s="5" t="s">
        <v>13</v>
      </c>
      <c r="G118" s="36"/>
      <c r="H118" s="5" t="s">
        <v>8</v>
      </c>
      <c r="I118" s="36"/>
      <c r="J118" s="5" t="s">
        <v>9</v>
      </c>
      <c r="K118" s="36"/>
      <c r="L118" s="5" t="s">
        <v>10</v>
      </c>
      <c r="M118" s="36"/>
      <c r="N118" s="5" t="s">
        <v>11</v>
      </c>
      <c r="O118" s="36"/>
      <c r="P118" s="42" t="str">
        <f>IF(E118+G118+I118+K118+M118=0,"",D119*E118+F119*G118+H119*I118+J119*K118+L119*M118+N119*O118)</f>
        <v/>
      </c>
      <c r="Q118" s="44"/>
      <c r="R118" s="36"/>
    </row>
    <row r="119" spans="1:18" ht="25.5" customHeight="1" thickBot="1" x14ac:dyDescent="0.2">
      <c r="A119" s="57"/>
      <c r="B119" s="59"/>
      <c r="C119" s="80"/>
      <c r="D119" s="25">
        <v>2000</v>
      </c>
      <c r="E119" s="57"/>
      <c r="F119" s="25">
        <v>3000</v>
      </c>
      <c r="G119" s="57"/>
      <c r="H119" s="25">
        <v>3000</v>
      </c>
      <c r="I119" s="57"/>
      <c r="J119" s="25">
        <v>3000</v>
      </c>
      <c r="K119" s="57"/>
      <c r="L119" s="25">
        <v>2000</v>
      </c>
      <c r="M119" s="57"/>
      <c r="N119" s="26">
        <v>2000</v>
      </c>
      <c r="O119" s="57"/>
      <c r="P119" s="56"/>
      <c r="Q119" s="58"/>
      <c r="R119" s="57"/>
    </row>
    <row r="120" spans="1:18" s="1" customFormat="1" ht="21" customHeight="1" thickTop="1" x14ac:dyDescent="0.15">
      <c r="A120" s="20"/>
      <c r="B120" s="21"/>
      <c r="C120" s="22"/>
      <c r="D120" s="23" t="s">
        <v>39</v>
      </c>
      <c r="E120" s="20" t="str">
        <f>IF(SUM(E114:E119)=0,"",SUM(E114:E119))</f>
        <v/>
      </c>
      <c r="F120" s="23" t="s">
        <v>40</v>
      </c>
      <c r="G120" s="20" t="str">
        <f>IF(SUM(G114:G119)=0,"",SUM(G114:G119))</f>
        <v/>
      </c>
      <c r="H120" s="23" t="s">
        <v>8</v>
      </c>
      <c r="I120" s="20" t="str">
        <f>IF(SUM(I114:I119)=0,"",SUM(I114:I119))</f>
        <v/>
      </c>
      <c r="J120" s="23" t="s">
        <v>9</v>
      </c>
      <c r="K120" s="20" t="str">
        <f>IF(SUM(K114:K119)=0,"",SUM(K100:K119))</f>
        <v/>
      </c>
      <c r="L120" s="23" t="s">
        <v>10</v>
      </c>
      <c r="M120" s="20" t="str">
        <f>IF(SUM(M114:M119)=0,"",SUM(M114:M119))</f>
        <v/>
      </c>
      <c r="N120" s="23" t="s">
        <v>11</v>
      </c>
      <c r="O120" s="20" t="str">
        <f>IF(SUM(O114:O119)=0,"",SUM(O114:O119))</f>
        <v/>
      </c>
      <c r="P120" s="24" t="str">
        <f>IF(SUM(P114:P119)=0,"",SUM(P114:P119))</f>
        <v/>
      </c>
      <c r="Q120" s="29" t="str">
        <f>IF(SUM(P120)=SUM(R120),"現/未          0","現/未  "&amp;(P120-SUM(R120))/1000&amp;",000")</f>
        <v>現/未          0</v>
      </c>
      <c r="R120" s="28">
        <f>IF(SUMIF(R114:R119,"",P114:P119)=0,0,SUMIF(R114:R119,"",P114:P119))</f>
        <v>0</v>
      </c>
    </row>
    <row r="121" spans="1:18" s="1" customFormat="1" ht="21" customHeight="1" x14ac:dyDescent="0.15">
      <c r="A121" s="55" t="str">
        <f>A97</f>
        <v>2027年度分収集運搬手数料収入原簿内訳</v>
      </c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spans="1:18" ht="15.75" customHeight="1" x14ac:dyDescent="0.15">
      <c r="A122" s="62" t="s">
        <v>0</v>
      </c>
      <c r="B122" s="62" t="s">
        <v>2</v>
      </c>
      <c r="C122" s="63" t="s">
        <v>3</v>
      </c>
      <c r="D122" s="4" t="s">
        <v>14</v>
      </c>
      <c r="E122" s="64" t="s">
        <v>1</v>
      </c>
      <c r="F122" s="4" t="s">
        <v>14</v>
      </c>
      <c r="G122" s="66" t="s">
        <v>1</v>
      </c>
      <c r="H122" s="4" t="s">
        <v>14</v>
      </c>
      <c r="I122" s="62" t="s">
        <v>1</v>
      </c>
      <c r="J122" s="4" t="s">
        <v>14</v>
      </c>
      <c r="K122" s="62" t="s">
        <v>1</v>
      </c>
      <c r="L122" s="4" t="s">
        <v>14</v>
      </c>
      <c r="M122" s="62" t="s">
        <v>1</v>
      </c>
      <c r="N122" s="4" t="s">
        <v>14</v>
      </c>
      <c r="O122" s="62" t="s">
        <v>1</v>
      </c>
      <c r="P122" s="68" t="s">
        <v>4</v>
      </c>
      <c r="Q122" s="71" t="s">
        <v>5</v>
      </c>
      <c r="R122" s="68" t="s">
        <v>6</v>
      </c>
    </row>
    <row r="123" spans="1:18" ht="15" customHeight="1" x14ac:dyDescent="0.15">
      <c r="A123" s="62"/>
      <c r="B123" s="62"/>
      <c r="C123" s="63"/>
      <c r="D123" s="3" t="s">
        <v>7</v>
      </c>
      <c r="E123" s="65"/>
      <c r="F123" s="3" t="s">
        <v>7</v>
      </c>
      <c r="G123" s="62"/>
      <c r="H123" s="3" t="s">
        <v>7</v>
      </c>
      <c r="I123" s="67"/>
      <c r="J123" s="3" t="s">
        <v>7</v>
      </c>
      <c r="K123" s="62"/>
      <c r="L123" s="3" t="s">
        <v>7</v>
      </c>
      <c r="M123" s="67"/>
      <c r="N123" s="3" t="s">
        <v>7</v>
      </c>
      <c r="O123" s="62"/>
      <c r="P123" s="69"/>
      <c r="Q123" s="62"/>
      <c r="R123" s="70"/>
    </row>
    <row r="124" spans="1:18" ht="25.5" customHeight="1" x14ac:dyDescent="0.15">
      <c r="A124" s="36">
        <v>51</v>
      </c>
      <c r="B124" s="40"/>
      <c r="C124" s="60"/>
      <c r="D124" s="5" t="s">
        <v>12</v>
      </c>
      <c r="E124" s="36"/>
      <c r="F124" s="5" t="s">
        <v>13</v>
      </c>
      <c r="G124" s="36"/>
      <c r="H124" s="5" t="s">
        <v>8</v>
      </c>
      <c r="I124" s="36"/>
      <c r="J124" s="5" t="s">
        <v>9</v>
      </c>
      <c r="K124" s="36"/>
      <c r="L124" s="5" t="s">
        <v>10</v>
      </c>
      <c r="M124" s="36"/>
      <c r="N124" s="5" t="s">
        <v>11</v>
      </c>
      <c r="O124" s="36"/>
      <c r="P124" s="42" t="str">
        <f>IF(E124+G124+I124+K124+M124=0,"",D125*E124+F125*G124+H125*I124+J125*K124+L125*M124+N125*O124)</f>
        <v/>
      </c>
      <c r="Q124" s="38"/>
      <c r="R124" s="36"/>
    </row>
    <row r="125" spans="1:18" ht="25.5" customHeight="1" x14ac:dyDescent="0.15">
      <c r="A125" s="37"/>
      <c r="B125" s="41"/>
      <c r="C125" s="61"/>
      <c r="D125" s="6">
        <v>2000</v>
      </c>
      <c r="E125" s="37"/>
      <c r="F125" s="6">
        <v>3000</v>
      </c>
      <c r="G125" s="37"/>
      <c r="H125" s="6">
        <v>3000</v>
      </c>
      <c r="I125" s="37"/>
      <c r="J125" s="6">
        <v>3000</v>
      </c>
      <c r="K125" s="37"/>
      <c r="L125" s="6">
        <v>2000</v>
      </c>
      <c r="M125" s="37"/>
      <c r="N125" s="7">
        <v>2000</v>
      </c>
      <c r="O125" s="37"/>
      <c r="P125" s="43"/>
      <c r="Q125" s="39"/>
      <c r="R125" s="37"/>
    </row>
    <row r="126" spans="1:18" ht="25.5" customHeight="1" x14ac:dyDescent="0.15">
      <c r="A126" s="36">
        <v>52</v>
      </c>
      <c r="B126" s="40"/>
      <c r="C126" s="60"/>
      <c r="D126" s="5" t="s">
        <v>12</v>
      </c>
      <c r="E126" s="36"/>
      <c r="F126" s="5" t="s">
        <v>13</v>
      </c>
      <c r="G126" s="36"/>
      <c r="H126" s="5" t="s">
        <v>8</v>
      </c>
      <c r="I126" s="36"/>
      <c r="J126" s="5" t="s">
        <v>9</v>
      </c>
      <c r="K126" s="36"/>
      <c r="L126" s="5" t="s">
        <v>10</v>
      </c>
      <c r="M126" s="36"/>
      <c r="N126" s="5" t="s">
        <v>11</v>
      </c>
      <c r="O126" s="36"/>
      <c r="P126" s="42" t="str">
        <f>IF(E126+G126+I126+K126+M126=0,"",D127*E126+F127*G126+H127*I126+J127*K126+L127*M126+N127*O126)</f>
        <v/>
      </c>
      <c r="Q126" s="44"/>
      <c r="R126" s="36"/>
    </row>
    <row r="127" spans="1:18" ht="25.5" customHeight="1" x14ac:dyDescent="0.15">
      <c r="A127" s="37"/>
      <c r="B127" s="41"/>
      <c r="C127" s="61"/>
      <c r="D127" s="6">
        <v>2000</v>
      </c>
      <c r="E127" s="37"/>
      <c r="F127" s="6">
        <v>3000</v>
      </c>
      <c r="G127" s="37"/>
      <c r="H127" s="6">
        <v>3000</v>
      </c>
      <c r="I127" s="37"/>
      <c r="J127" s="6">
        <v>3000</v>
      </c>
      <c r="K127" s="37"/>
      <c r="L127" s="6">
        <v>2000</v>
      </c>
      <c r="M127" s="37"/>
      <c r="N127" s="7">
        <v>2000</v>
      </c>
      <c r="O127" s="37"/>
      <c r="P127" s="43"/>
      <c r="Q127" s="39"/>
      <c r="R127" s="37"/>
    </row>
    <row r="128" spans="1:18" ht="25.5" customHeight="1" x14ac:dyDescent="0.15">
      <c r="A128" s="36">
        <v>53</v>
      </c>
      <c r="B128" s="40"/>
      <c r="C128" s="60"/>
      <c r="D128" s="5" t="s">
        <v>12</v>
      </c>
      <c r="E128" s="36"/>
      <c r="F128" s="5" t="s">
        <v>13</v>
      </c>
      <c r="G128" s="36"/>
      <c r="H128" s="5" t="s">
        <v>8</v>
      </c>
      <c r="I128" s="36"/>
      <c r="J128" s="5" t="s">
        <v>9</v>
      </c>
      <c r="K128" s="36"/>
      <c r="L128" s="5" t="s">
        <v>10</v>
      </c>
      <c r="M128" s="36"/>
      <c r="N128" s="5" t="s">
        <v>11</v>
      </c>
      <c r="O128" s="36"/>
      <c r="P128" s="42" t="str">
        <f>IF(E128+G128+I128+K128+M128=0,"",D129*E128+F129*G128+H129*I128+J129*K128+L129*M128+N129*O128)</f>
        <v/>
      </c>
      <c r="Q128" s="44"/>
      <c r="R128" s="36"/>
    </row>
    <row r="129" spans="1:18" ht="25.5" customHeight="1" x14ac:dyDescent="0.15">
      <c r="A129" s="37"/>
      <c r="B129" s="41"/>
      <c r="C129" s="61"/>
      <c r="D129" s="6">
        <v>2000</v>
      </c>
      <c r="E129" s="37"/>
      <c r="F129" s="6">
        <v>3000</v>
      </c>
      <c r="G129" s="37"/>
      <c r="H129" s="6">
        <v>3000</v>
      </c>
      <c r="I129" s="37"/>
      <c r="J129" s="6">
        <v>3000</v>
      </c>
      <c r="K129" s="37"/>
      <c r="L129" s="6">
        <v>2000</v>
      </c>
      <c r="M129" s="37"/>
      <c r="N129" s="7">
        <v>2000</v>
      </c>
      <c r="O129" s="37"/>
      <c r="P129" s="43"/>
      <c r="Q129" s="39"/>
      <c r="R129" s="37"/>
    </row>
    <row r="130" spans="1:18" ht="25.5" customHeight="1" x14ac:dyDescent="0.15">
      <c r="A130" s="36">
        <v>54</v>
      </c>
      <c r="B130" s="40"/>
      <c r="C130" s="60"/>
      <c r="D130" s="5" t="s">
        <v>12</v>
      </c>
      <c r="E130" s="36"/>
      <c r="F130" s="5" t="s">
        <v>13</v>
      </c>
      <c r="G130" s="36"/>
      <c r="H130" s="5" t="s">
        <v>8</v>
      </c>
      <c r="I130" s="36"/>
      <c r="J130" s="5" t="s">
        <v>9</v>
      </c>
      <c r="K130" s="36"/>
      <c r="L130" s="5" t="s">
        <v>10</v>
      </c>
      <c r="M130" s="36"/>
      <c r="N130" s="5" t="s">
        <v>11</v>
      </c>
      <c r="O130" s="36"/>
      <c r="P130" s="42" t="str">
        <f>IF(E130+G130+I130+K130+M130=0,"",D131*E130+F131*G130+H131*I130+J131*K130+L131*M130+N131*O130)</f>
        <v/>
      </c>
      <c r="Q130" s="44"/>
      <c r="R130" s="36"/>
    </row>
    <row r="131" spans="1:18" ht="25.5" customHeight="1" x14ac:dyDescent="0.15">
      <c r="A131" s="37"/>
      <c r="B131" s="41"/>
      <c r="C131" s="61"/>
      <c r="D131" s="6">
        <v>2000</v>
      </c>
      <c r="E131" s="37"/>
      <c r="F131" s="6">
        <v>3000</v>
      </c>
      <c r="G131" s="37"/>
      <c r="H131" s="6">
        <v>3000</v>
      </c>
      <c r="I131" s="37"/>
      <c r="J131" s="6">
        <v>3000</v>
      </c>
      <c r="K131" s="37"/>
      <c r="L131" s="6">
        <v>2000</v>
      </c>
      <c r="M131" s="37"/>
      <c r="N131" s="7">
        <v>2000</v>
      </c>
      <c r="O131" s="37"/>
      <c r="P131" s="43"/>
      <c r="Q131" s="39"/>
      <c r="R131" s="37"/>
    </row>
    <row r="132" spans="1:18" ht="25.5" customHeight="1" x14ac:dyDescent="0.15">
      <c r="A132" s="36">
        <v>55</v>
      </c>
      <c r="B132" s="40"/>
      <c r="C132" s="60"/>
      <c r="D132" s="5" t="s">
        <v>12</v>
      </c>
      <c r="E132" s="36"/>
      <c r="F132" s="5" t="s">
        <v>13</v>
      </c>
      <c r="G132" s="36"/>
      <c r="H132" s="5" t="s">
        <v>8</v>
      </c>
      <c r="I132" s="36"/>
      <c r="J132" s="5" t="s">
        <v>9</v>
      </c>
      <c r="K132" s="36"/>
      <c r="L132" s="5" t="s">
        <v>10</v>
      </c>
      <c r="M132" s="36"/>
      <c r="N132" s="5" t="s">
        <v>11</v>
      </c>
      <c r="O132" s="36"/>
      <c r="P132" s="42" t="str">
        <f>IF(E132+G132+I132+K132+M132=0,"",D133*E132+F133*G132+H133*I132+J133*K132+L133*M132+N133*O132)</f>
        <v/>
      </c>
      <c r="Q132" s="38"/>
      <c r="R132" s="36"/>
    </row>
    <row r="133" spans="1:18" ht="25.5" customHeight="1" x14ac:dyDescent="0.15">
      <c r="A133" s="37"/>
      <c r="B133" s="41"/>
      <c r="C133" s="61"/>
      <c r="D133" s="6">
        <v>2000</v>
      </c>
      <c r="E133" s="37"/>
      <c r="F133" s="6">
        <v>3000</v>
      </c>
      <c r="G133" s="37"/>
      <c r="H133" s="6">
        <v>3000</v>
      </c>
      <c r="I133" s="37"/>
      <c r="J133" s="6">
        <v>3000</v>
      </c>
      <c r="K133" s="37"/>
      <c r="L133" s="6">
        <v>2000</v>
      </c>
      <c r="M133" s="37"/>
      <c r="N133" s="7">
        <v>2000</v>
      </c>
      <c r="O133" s="37"/>
      <c r="P133" s="43"/>
      <c r="Q133" s="39"/>
      <c r="R133" s="37"/>
    </row>
    <row r="134" spans="1:18" ht="25.5" customHeight="1" x14ac:dyDescent="0.15">
      <c r="A134" s="36">
        <v>56</v>
      </c>
      <c r="B134" s="40"/>
      <c r="C134" s="60"/>
      <c r="D134" s="5" t="s">
        <v>12</v>
      </c>
      <c r="E134" s="36"/>
      <c r="F134" s="5" t="s">
        <v>13</v>
      </c>
      <c r="G134" s="36"/>
      <c r="H134" s="5" t="s">
        <v>8</v>
      </c>
      <c r="I134" s="36"/>
      <c r="J134" s="5" t="s">
        <v>9</v>
      </c>
      <c r="K134" s="36"/>
      <c r="L134" s="5" t="s">
        <v>10</v>
      </c>
      <c r="M134" s="36"/>
      <c r="N134" s="5" t="s">
        <v>11</v>
      </c>
      <c r="O134" s="36"/>
      <c r="P134" s="42" t="str">
        <f>IF(E134+G134+I134+K134+M134=0,"",D135*E134+F135*G134+H135*I134+J135*K134+L135*M134+N135*O134)</f>
        <v/>
      </c>
      <c r="Q134" s="44"/>
      <c r="R134" s="36"/>
    </row>
    <row r="135" spans="1:18" ht="25.5" customHeight="1" x14ac:dyDescent="0.15">
      <c r="A135" s="37"/>
      <c r="B135" s="41"/>
      <c r="C135" s="61"/>
      <c r="D135" s="6">
        <v>2000</v>
      </c>
      <c r="E135" s="37"/>
      <c r="F135" s="6">
        <v>3000</v>
      </c>
      <c r="G135" s="37"/>
      <c r="H135" s="6">
        <v>3000</v>
      </c>
      <c r="I135" s="37"/>
      <c r="J135" s="6">
        <v>3000</v>
      </c>
      <c r="K135" s="37"/>
      <c r="L135" s="6">
        <v>2000</v>
      </c>
      <c r="M135" s="37"/>
      <c r="N135" s="7">
        <v>2000</v>
      </c>
      <c r="O135" s="37"/>
      <c r="P135" s="43"/>
      <c r="Q135" s="39"/>
      <c r="R135" s="37"/>
    </row>
    <row r="136" spans="1:18" ht="25.5" customHeight="1" x14ac:dyDescent="0.15">
      <c r="A136" s="36">
        <v>57</v>
      </c>
      <c r="B136" s="40"/>
      <c r="C136" s="60"/>
      <c r="D136" s="5" t="s">
        <v>12</v>
      </c>
      <c r="E136" s="36"/>
      <c r="F136" s="5" t="s">
        <v>13</v>
      </c>
      <c r="G136" s="36"/>
      <c r="H136" s="5" t="s">
        <v>8</v>
      </c>
      <c r="I136" s="36"/>
      <c r="J136" s="5" t="s">
        <v>9</v>
      </c>
      <c r="K136" s="36"/>
      <c r="L136" s="5" t="s">
        <v>10</v>
      </c>
      <c r="M136" s="36"/>
      <c r="N136" s="5" t="s">
        <v>11</v>
      </c>
      <c r="O136" s="36"/>
      <c r="P136" s="42" t="str">
        <f>IF(E136+G136+I136+K136+M136=0,"",D137*E136+F137*G136+H137*I136+J137*K136+L137*M136+N137*O136)</f>
        <v/>
      </c>
      <c r="Q136" s="38"/>
      <c r="R136" s="36"/>
    </row>
    <row r="137" spans="1:18" ht="25.5" customHeight="1" x14ac:dyDescent="0.15">
      <c r="A137" s="37"/>
      <c r="B137" s="41"/>
      <c r="C137" s="61"/>
      <c r="D137" s="6">
        <v>2000</v>
      </c>
      <c r="E137" s="37"/>
      <c r="F137" s="6">
        <v>3000</v>
      </c>
      <c r="G137" s="37"/>
      <c r="H137" s="6">
        <v>3000</v>
      </c>
      <c r="I137" s="37"/>
      <c r="J137" s="6">
        <v>3000</v>
      </c>
      <c r="K137" s="37"/>
      <c r="L137" s="6">
        <v>2000</v>
      </c>
      <c r="M137" s="37"/>
      <c r="N137" s="7">
        <v>2000</v>
      </c>
      <c r="O137" s="37"/>
      <c r="P137" s="43"/>
      <c r="Q137" s="39"/>
      <c r="R137" s="37"/>
    </row>
    <row r="138" spans="1:18" ht="25.5" customHeight="1" x14ac:dyDescent="0.15">
      <c r="A138" s="36">
        <v>58</v>
      </c>
      <c r="B138" s="40"/>
      <c r="C138" s="60"/>
      <c r="D138" s="5" t="s">
        <v>12</v>
      </c>
      <c r="E138" s="36"/>
      <c r="F138" s="5" t="s">
        <v>13</v>
      </c>
      <c r="G138" s="36"/>
      <c r="H138" s="5" t="s">
        <v>8</v>
      </c>
      <c r="I138" s="36"/>
      <c r="J138" s="5" t="s">
        <v>9</v>
      </c>
      <c r="K138" s="36"/>
      <c r="L138" s="5" t="s">
        <v>10</v>
      </c>
      <c r="M138" s="36"/>
      <c r="N138" s="5" t="s">
        <v>11</v>
      </c>
      <c r="O138" s="36"/>
      <c r="P138" s="42" t="str">
        <f>IF(E138+G138+I138+K138+M138=0,"",D139*E138+F139*G138+H139*I138+J139*K138+L139*M138+N139*O138)</f>
        <v/>
      </c>
      <c r="Q138" s="38"/>
      <c r="R138" s="36"/>
    </row>
    <row r="139" spans="1:18" ht="25.5" customHeight="1" x14ac:dyDescent="0.15">
      <c r="A139" s="37"/>
      <c r="B139" s="41"/>
      <c r="C139" s="61"/>
      <c r="D139" s="6">
        <v>2000</v>
      </c>
      <c r="E139" s="37"/>
      <c r="F139" s="6">
        <v>3000</v>
      </c>
      <c r="G139" s="37"/>
      <c r="H139" s="6">
        <v>3000</v>
      </c>
      <c r="I139" s="37"/>
      <c r="J139" s="6">
        <v>3000</v>
      </c>
      <c r="K139" s="37"/>
      <c r="L139" s="6">
        <v>2000</v>
      </c>
      <c r="M139" s="37"/>
      <c r="N139" s="7">
        <v>2000</v>
      </c>
      <c r="O139" s="37"/>
      <c r="P139" s="43"/>
      <c r="Q139" s="39"/>
      <c r="R139" s="37"/>
    </row>
    <row r="140" spans="1:18" ht="25.5" customHeight="1" x14ac:dyDescent="0.15">
      <c r="A140" s="36">
        <v>59</v>
      </c>
      <c r="B140" s="40"/>
      <c r="C140" s="60"/>
      <c r="D140" s="5" t="s">
        <v>12</v>
      </c>
      <c r="E140" s="36"/>
      <c r="F140" s="5" t="s">
        <v>13</v>
      </c>
      <c r="G140" s="36"/>
      <c r="H140" s="5" t="s">
        <v>8</v>
      </c>
      <c r="I140" s="36"/>
      <c r="J140" s="5" t="s">
        <v>9</v>
      </c>
      <c r="K140" s="36"/>
      <c r="L140" s="5" t="s">
        <v>10</v>
      </c>
      <c r="M140" s="36"/>
      <c r="N140" s="5" t="s">
        <v>11</v>
      </c>
      <c r="O140" s="36"/>
      <c r="P140" s="42" t="str">
        <f>IF(E140+G140+I140+K140+M140=0,"",D141*E140+F141*G140+H141*I140+J141*K140+L141*M140+N141*O140)</f>
        <v/>
      </c>
      <c r="Q140" s="44"/>
      <c r="R140" s="36"/>
    </row>
    <row r="141" spans="1:18" ht="25.5" customHeight="1" x14ac:dyDescent="0.15">
      <c r="A141" s="37"/>
      <c r="B141" s="41"/>
      <c r="C141" s="61"/>
      <c r="D141" s="6">
        <v>2000</v>
      </c>
      <c r="E141" s="37"/>
      <c r="F141" s="6">
        <v>3000</v>
      </c>
      <c r="G141" s="37"/>
      <c r="H141" s="6">
        <v>3000</v>
      </c>
      <c r="I141" s="37"/>
      <c r="J141" s="6">
        <v>3000</v>
      </c>
      <c r="K141" s="37"/>
      <c r="L141" s="6">
        <v>2000</v>
      </c>
      <c r="M141" s="37"/>
      <c r="N141" s="7">
        <v>2000</v>
      </c>
      <c r="O141" s="37"/>
      <c r="P141" s="43"/>
      <c r="Q141" s="39"/>
      <c r="R141" s="37"/>
    </row>
    <row r="142" spans="1:18" ht="25.5" customHeight="1" x14ac:dyDescent="0.15">
      <c r="A142" s="36">
        <v>60</v>
      </c>
      <c r="B142" s="40"/>
      <c r="C142" s="60"/>
      <c r="D142" s="5" t="s">
        <v>12</v>
      </c>
      <c r="E142" s="36"/>
      <c r="F142" s="5" t="s">
        <v>13</v>
      </c>
      <c r="G142" s="36"/>
      <c r="H142" s="5" t="s">
        <v>8</v>
      </c>
      <c r="I142" s="36"/>
      <c r="J142" s="5" t="s">
        <v>9</v>
      </c>
      <c r="K142" s="36"/>
      <c r="L142" s="5" t="s">
        <v>10</v>
      </c>
      <c r="M142" s="36"/>
      <c r="N142" s="5" t="s">
        <v>11</v>
      </c>
      <c r="O142" s="36"/>
      <c r="P142" s="42" t="str">
        <f>IF(E142+G142+I142+K142+M142=0,"",D143*E142+F143*G142+H143*I142+J143*K142+L143*M142+N143*O142)</f>
        <v/>
      </c>
      <c r="Q142" s="44"/>
      <c r="R142" s="36"/>
    </row>
    <row r="143" spans="1:18" ht="25.5" customHeight="1" thickBot="1" x14ac:dyDescent="0.2">
      <c r="A143" s="57"/>
      <c r="B143" s="59"/>
      <c r="C143" s="80"/>
      <c r="D143" s="25">
        <v>2000</v>
      </c>
      <c r="E143" s="57"/>
      <c r="F143" s="25">
        <v>3000</v>
      </c>
      <c r="G143" s="57"/>
      <c r="H143" s="25">
        <v>3000</v>
      </c>
      <c r="I143" s="57"/>
      <c r="J143" s="25">
        <v>3000</v>
      </c>
      <c r="K143" s="57"/>
      <c r="L143" s="25">
        <v>2000</v>
      </c>
      <c r="M143" s="57"/>
      <c r="N143" s="26">
        <v>2000</v>
      </c>
      <c r="O143" s="57"/>
      <c r="P143" s="56"/>
      <c r="Q143" s="58"/>
      <c r="R143" s="57"/>
    </row>
    <row r="144" spans="1:18" s="1" customFormat="1" ht="21" customHeight="1" thickTop="1" x14ac:dyDescent="0.15">
      <c r="B144" s="15"/>
      <c r="C144" s="16"/>
      <c r="D144" s="23" t="s">
        <v>12</v>
      </c>
      <c r="E144" s="20" t="str">
        <f>IF(SUM(E132:E143)=0,"",SUM(E132:E143))</f>
        <v/>
      </c>
      <c r="F144" s="23" t="s">
        <v>13</v>
      </c>
      <c r="G144" s="20" t="str">
        <f>IF(SUM(G132:G143)=0,"",SUM(G132:G143))</f>
        <v/>
      </c>
      <c r="H144" s="23" t="s">
        <v>8</v>
      </c>
      <c r="I144" s="20" t="str">
        <f>IF(SUM(I132:I143)=0,"",SUM(I132:I143))</f>
        <v/>
      </c>
      <c r="J144" s="23" t="s">
        <v>9</v>
      </c>
      <c r="K144" s="20" t="str">
        <f>IF(SUM(K132:K143)=0,"",SUM(K132:K143))</f>
        <v/>
      </c>
      <c r="L144" s="23" t="s">
        <v>10</v>
      </c>
      <c r="M144" s="20" t="str">
        <f>IF(SUM(M132:M143)=0,"",SUM(M132:M143))</f>
        <v/>
      </c>
      <c r="N144" s="23" t="s">
        <v>11</v>
      </c>
      <c r="O144" s="20" t="str">
        <f>IF(SUM(O132:O143)=0,"",SUM(O132:O143))</f>
        <v/>
      </c>
      <c r="P144" s="24" t="str">
        <f>IF(SUM(P132:P143)=0,"",SUM(P132:P143))</f>
        <v/>
      </c>
      <c r="Q144" s="27" t="str">
        <f>IF(SUM(P144)=SUM(R144),"現/未          0","現/未  "&amp;(P144-SUM(R144))/1000&amp;",000")</f>
        <v>現/未          0</v>
      </c>
      <c r="R144" s="28">
        <f>IF(SUMIF(R132:R143,"",P132:P143)=0,0,SUMIF(R132:R143,"",P132:P143))</f>
        <v>0</v>
      </c>
    </row>
    <row r="145" spans="1:18" s="1" customFormat="1" ht="21" customHeight="1" x14ac:dyDescent="0.15">
      <c r="A145" s="55" t="str">
        <f>A121</f>
        <v>2027年度分収集運搬手数料収入原簿内訳</v>
      </c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spans="1:18" ht="15.75" customHeight="1" x14ac:dyDescent="0.15">
      <c r="A146" s="62" t="s">
        <v>0</v>
      </c>
      <c r="B146" s="62" t="s">
        <v>2</v>
      </c>
      <c r="C146" s="63" t="s">
        <v>3</v>
      </c>
      <c r="D146" s="4" t="s">
        <v>14</v>
      </c>
      <c r="E146" s="64" t="s">
        <v>1</v>
      </c>
      <c r="F146" s="4" t="s">
        <v>14</v>
      </c>
      <c r="G146" s="66" t="s">
        <v>1</v>
      </c>
      <c r="H146" s="4" t="s">
        <v>14</v>
      </c>
      <c r="I146" s="62" t="s">
        <v>1</v>
      </c>
      <c r="J146" s="4" t="s">
        <v>14</v>
      </c>
      <c r="K146" s="62" t="s">
        <v>1</v>
      </c>
      <c r="L146" s="4" t="s">
        <v>14</v>
      </c>
      <c r="M146" s="62" t="s">
        <v>1</v>
      </c>
      <c r="N146" s="4" t="s">
        <v>14</v>
      </c>
      <c r="O146" s="62" t="s">
        <v>1</v>
      </c>
      <c r="P146" s="68" t="s">
        <v>4</v>
      </c>
      <c r="Q146" s="71" t="s">
        <v>5</v>
      </c>
      <c r="R146" s="68" t="s">
        <v>6</v>
      </c>
    </row>
    <row r="147" spans="1:18" ht="15" customHeight="1" x14ac:dyDescent="0.15">
      <c r="A147" s="62"/>
      <c r="B147" s="62"/>
      <c r="C147" s="63"/>
      <c r="D147" s="3" t="s">
        <v>7</v>
      </c>
      <c r="E147" s="65"/>
      <c r="F147" s="3" t="s">
        <v>7</v>
      </c>
      <c r="G147" s="62"/>
      <c r="H147" s="3" t="s">
        <v>7</v>
      </c>
      <c r="I147" s="67"/>
      <c r="J147" s="3" t="s">
        <v>7</v>
      </c>
      <c r="K147" s="62"/>
      <c r="L147" s="3" t="s">
        <v>7</v>
      </c>
      <c r="M147" s="67"/>
      <c r="N147" s="3" t="s">
        <v>7</v>
      </c>
      <c r="O147" s="62"/>
      <c r="P147" s="69"/>
      <c r="Q147" s="62"/>
      <c r="R147" s="70"/>
    </row>
    <row r="148" spans="1:18" ht="25.5" customHeight="1" x14ac:dyDescent="0.15">
      <c r="A148" s="36">
        <v>61</v>
      </c>
      <c r="B148" s="40"/>
      <c r="C148" s="60"/>
      <c r="D148" s="5" t="s">
        <v>12</v>
      </c>
      <c r="E148" s="36"/>
      <c r="F148" s="5" t="s">
        <v>13</v>
      </c>
      <c r="G148" s="36"/>
      <c r="H148" s="5" t="s">
        <v>8</v>
      </c>
      <c r="I148" s="36"/>
      <c r="J148" s="5" t="s">
        <v>9</v>
      </c>
      <c r="K148" s="36"/>
      <c r="L148" s="5" t="s">
        <v>10</v>
      </c>
      <c r="M148" s="36"/>
      <c r="N148" s="5" t="s">
        <v>11</v>
      </c>
      <c r="O148" s="36"/>
      <c r="P148" s="42" t="str">
        <f>IF(E148+G148+I148+K148+M148=0,"",D149*E148+F149*G148+H149*I148+J149*K148+L149*M148+N149*O148)</f>
        <v/>
      </c>
      <c r="Q148" s="38"/>
      <c r="R148" s="36"/>
    </row>
    <row r="149" spans="1:18" ht="25.5" customHeight="1" x14ac:dyDescent="0.15">
      <c r="A149" s="37"/>
      <c r="B149" s="41"/>
      <c r="C149" s="61"/>
      <c r="D149" s="6">
        <v>2000</v>
      </c>
      <c r="E149" s="37"/>
      <c r="F149" s="6">
        <v>3000</v>
      </c>
      <c r="G149" s="37"/>
      <c r="H149" s="6">
        <v>3000</v>
      </c>
      <c r="I149" s="37"/>
      <c r="J149" s="6">
        <v>3000</v>
      </c>
      <c r="K149" s="37"/>
      <c r="L149" s="6">
        <v>2000</v>
      </c>
      <c r="M149" s="37"/>
      <c r="N149" s="7">
        <v>2000</v>
      </c>
      <c r="O149" s="37"/>
      <c r="P149" s="43"/>
      <c r="Q149" s="39"/>
      <c r="R149" s="37"/>
    </row>
    <row r="150" spans="1:18" ht="25.5" customHeight="1" x14ac:dyDescent="0.15">
      <c r="A150" s="36">
        <v>62</v>
      </c>
      <c r="B150" s="40"/>
      <c r="C150" s="60"/>
      <c r="D150" s="5" t="s">
        <v>12</v>
      </c>
      <c r="E150" s="36"/>
      <c r="F150" s="5" t="s">
        <v>13</v>
      </c>
      <c r="G150" s="36"/>
      <c r="H150" s="5" t="s">
        <v>8</v>
      </c>
      <c r="I150" s="36"/>
      <c r="J150" s="5" t="s">
        <v>9</v>
      </c>
      <c r="K150" s="36"/>
      <c r="L150" s="5" t="s">
        <v>10</v>
      </c>
      <c r="M150" s="36"/>
      <c r="N150" s="5" t="s">
        <v>11</v>
      </c>
      <c r="O150" s="36"/>
      <c r="P150" s="42" t="str">
        <f>IF(E150+G150+I150+K150+M150=0,"",D151*E150+F151*G150+H151*I150+J151*K150+L151*M150+N151*O150)</f>
        <v/>
      </c>
      <c r="Q150" s="44"/>
      <c r="R150" s="36"/>
    </row>
    <row r="151" spans="1:18" ht="25.5" customHeight="1" x14ac:dyDescent="0.15">
      <c r="A151" s="37"/>
      <c r="B151" s="41"/>
      <c r="C151" s="61"/>
      <c r="D151" s="6">
        <v>2000</v>
      </c>
      <c r="E151" s="37"/>
      <c r="F151" s="6">
        <v>3000</v>
      </c>
      <c r="G151" s="37"/>
      <c r="H151" s="6">
        <v>3000</v>
      </c>
      <c r="I151" s="37"/>
      <c r="J151" s="6">
        <v>3000</v>
      </c>
      <c r="K151" s="37"/>
      <c r="L151" s="6">
        <v>2000</v>
      </c>
      <c r="M151" s="37"/>
      <c r="N151" s="7">
        <v>2000</v>
      </c>
      <c r="O151" s="37"/>
      <c r="P151" s="43"/>
      <c r="Q151" s="39"/>
      <c r="R151" s="37"/>
    </row>
    <row r="152" spans="1:18" ht="25.5" customHeight="1" x14ac:dyDescent="0.15">
      <c r="A152" s="36">
        <v>63</v>
      </c>
      <c r="B152" s="40"/>
      <c r="C152" s="60"/>
      <c r="D152" s="5" t="s">
        <v>12</v>
      </c>
      <c r="E152" s="36"/>
      <c r="F152" s="5" t="s">
        <v>13</v>
      </c>
      <c r="G152" s="36"/>
      <c r="H152" s="5" t="s">
        <v>8</v>
      </c>
      <c r="I152" s="36"/>
      <c r="J152" s="5" t="s">
        <v>9</v>
      </c>
      <c r="K152" s="36"/>
      <c r="L152" s="5" t="s">
        <v>10</v>
      </c>
      <c r="M152" s="36"/>
      <c r="N152" s="5" t="s">
        <v>11</v>
      </c>
      <c r="O152" s="36"/>
      <c r="P152" s="42" t="str">
        <f>IF(E152+G152+I152+K152+M152=0,"",D153*E152+F153*G152+H153*I152+J153*K152+L153*M152+N153*O152)</f>
        <v/>
      </c>
      <c r="Q152" s="44"/>
      <c r="R152" s="36"/>
    </row>
    <row r="153" spans="1:18" ht="25.5" customHeight="1" x14ac:dyDescent="0.15">
      <c r="A153" s="37"/>
      <c r="B153" s="41"/>
      <c r="C153" s="61"/>
      <c r="D153" s="6">
        <v>2000</v>
      </c>
      <c r="E153" s="37"/>
      <c r="F153" s="6">
        <v>3000</v>
      </c>
      <c r="G153" s="37"/>
      <c r="H153" s="6">
        <v>3000</v>
      </c>
      <c r="I153" s="37"/>
      <c r="J153" s="6">
        <v>3000</v>
      </c>
      <c r="K153" s="37"/>
      <c r="L153" s="6">
        <v>2000</v>
      </c>
      <c r="M153" s="37"/>
      <c r="N153" s="7">
        <v>2000</v>
      </c>
      <c r="O153" s="37"/>
      <c r="P153" s="43"/>
      <c r="Q153" s="39"/>
      <c r="R153" s="37"/>
    </row>
    <row r="154" spans="1:18" ht="25.5" customHeight="1" x14ac:dyDescent="0.15">
      <c r="A154" s="36">
        <v>64</v>
      </c>
      <c r="B154" s="40"/>
      <c r="C154" s="60"/>
      <c r="D154" s="5" t="s">
        <v>12</v>
      </c>
      <c r="E154" s="36"/>
      <c r="F154" s="5" t="s">
        <v>13</v>
      </c>
      <c r="G154" s="36"/>
      <c r="H154" s="5" t="s">
        <v>8</v>
      </c>
      <c r="I154" s="36"/>
      <c r="J154" s="5" t="s">
        <v>9</v>
      </c>
      <c r="K154" s="36"/>
      <c r="L154" s="5" t="s">
        <v>10</v>
      </c>
      <c r="M154" s="36"/>
      <c r="N154" s="5" t="s">
        <v>11</v>
      </c>
      <c r="O154" s="36"/>
      <c r="P154" s="42" t="str">
        <f>IF(E154+G154+I154+K154+M154=0,"",D155*E154+F155*G154+H155*I154+J155*K154+L155*M154+N155*O154)</f>
        <v/>
      </c>
      <c r="Q154" s="44"/>
      <c r="R154" s="36"/>
    </row>
    <row r="155" spans="1:18" ht="25.5" customHeight="1" x14ac:dyDescent="0.15">
      <c r="A155" s="37"/>
      <c r="B155" s="41"/>
      <c r="C155" s="61"/>
      <c r="D155" s="6">
        <v>2000</v>
      </c>
      <c r="E155" s="37"/>
      <c r="F155" s="6">
        <v>3000</v>
      </c>
      <c r="G155" s="37"/>
      <c r="H155" s="6">
        <v>3000</v>
      </c>
      <c r="I155" s="37"/>
      <c r="J155" s="6">
        <v>3000</v>
      </c>
      <c r="K155" s="37"/>
      <c r="L155" s="6">
        <v>2000</v>
      </c>
      <c r="M155" s="37"/>
      <c r="N155" s="7">
        <v>2000</v>
      </c>
      <c r="O155" s="37"/>
      <c r="P155" s="43"/>
      <c r="Q155" s="39"/>
      <c r="R155" s="37"/>
    </row>
    <row r="156" spans="1:18" ht="25.5" customHeight="1" x14ac:dyDescent="0.15">
      <c r="A156" s="36">
        <v>65</v>
      </c>
      <c r="B156" s="40"/>
      <c r="C156" s="60"/>
      <c r="D156" s="5" t="s">
        <v>12</v>
      </c>
      <c r="E156" s="36"/>
      <c r="F156" s="5" t="s">
        <v>13</v>
      </c>
      <c r="G156" s="36"/>
      <c r="H156" s="5" t="s">
        <v>8</v>
      </c>
      <c r="I156" s="36"/>
      <c r="J156" s="5" t="s">
        <v>9</v>
      </c>
      <c r="K156" s="36"/>
      <c r="L156" s="5" t="s">
        <v>10</v>
      </c>
      <c r="M156" s="36"/>
      <c r="N156" s="5" t="s">
        <v>11</v>
      </c>
      <c r="O156" s="36"/>
      <c r="P156" s="42" t="str">
        <f>IF(E156+G156+I156+K156+M156=0,"",D157*E156+F157*G156+H157*I156+J157*K156+L157*M156+N157*O156)</f>
        <v/>
      </c>
      <c r="Q156" s="38"/>
      <c r="R156" s="36"/>
    </row>
    <row r="157" spans="1:18" ht="25.5" customHeight="1" x14ac:dyDescent="0.15">
      <c r="A157" s="37"/>
      <c r="B157" s="41"/>
      <c r="C157" s="61"/>
      <c r="D157" s="6">
        <v>2000</v>
      </c>
      <c r="E157" s="37"/>
      <c r="F157" s="6">
        <v>3000</v>
      </c>
      <c r="G157" s="37"/>
      <c r="H157" s="6">
        <v>3000</v>
      </c>
      <c r="I157" s="37"/>
      <c r="J157" s="6">
        <v>3000</v>
      </c>
      <c r="K157" s="37"/>
      <c r="L157" s="6">
        <v>2000</v>
      </c>
      <c r="M157" s="37"/>
      <c r="N157" s="7">
        <v>2000</v>
      </c>
      <c r="O157" s="37"/>
      <c r="P157" s="43"/>
      <c r="Q157" s="39"/>
      <c r="R157" s="37"/>
    </row>
    <row r="158" spans="1:18" ht="25.5" customHeight="1" x14ac:dyDescent="0.15">
      <c r="A158" s="36">
        <v>66</v>
      </c>
      <c r="B158" s="40"/>
      <c r="C158" s="60"/>
      <c r="D158" s="5" t="s">
        <v>12</v>
      </c>
      <c r="E158" s="36"/>
      <c r="F158" s="5" t="s">
        <v>13</v>
      </c>
      <c r="G158" s="36"/>
      <c r="H158" s="5" t="s">
        <v>8</v>
      </c>
      <c r="I158" s="36"/>
      <c r="J158" s="5" t="s">
        <v>9</v>
      </c>
      <c r="K158" s="36"/>
      <c r="L158" s="5" t="s">
        <v>10</v>
      </c>
      <c r="M158" s="36"/>
      <c r="N158" s="5" t="s">
        <v>11</v>
      </c>
      <c r="O158" s="36"/>
      <c r="P158" s="42" t="str">
        <f>IF(E158+G158+I158+K158+M158=0,"",D159*E158+F159*G158+H159*I158+J159*K158+L159*M158+N159*O158)</f>
        <v/>
      </c>
      <c r="Q158" s="44"/>
      <c r="R158" s="36"/>
    </row>
    <row r="159" spans="1:18" ht="25.5" customHeight="1" x14ac:dyDescent="0.15">
      <c r="A159" s="37"/>
      <c r="B159" s="41"/>
      <c r="C159" s="61"/>
      <c r="D159" s="6">
        <v>2000</v>
      </c>
      <c r="E159" s="37"/>
      <c r="F159" s="6">
        <v>3000</v>
      </c>
      <c r="G159" s="37"/>
      <c r="H159" s="6">
        <v>3000</v>
      </c>
      <c r="I159" s="37"/>
      <c r="J159" s="6">
        <v>3000</v>
      </c>
      <c r="K159" s="37"/>
      <c r="L159" s="6">
        <v>2000</v>
      </c>
      <c r="M159" s="37"/>
      <c r="N159" s="7">
        <v>2000</v>
      </c>
      <c r="O159" s="37"/>
      <c r="P159" s="43"/>
      <c r="Q159" s="39"/>
      <c r="R159" s="37"/>
    </row>
    <row r="160" spans="1:18" ht="25.5" customHeight="1" x14ac:dyDescent="0.15">
      <c r="A160" s="36">
        <v>67</v>
      </c>
      <c r="B160" s="40"/>
      <c r="C160" s="60"/>
      <c r="D160" s="5" t="s">
        <v>12</v>
      </c>
      <c r="E160" s="36"/>
      <c r="F160" s="5" t="s">
        <v>13</v>
      </c>
      <c r="G160" s="36"/>
      <c r="H160" s="5" t="s">
        <v>8</v>
      </c>
      <c r="I160" s="36"/>
      <c r="J160" s="5" t="s">
        <v>9</v>
      </c>
      <c r="K160" s="36"/>
      <c r="L160" s="5" t="s">
        <v>10</v>
      </c>
      <c r="M160" s="36"/>
      <c r="N160" s="5" t="s">
        <v>11</v>
      </c>
      <c r="O160" s="36"/>
      <c r="P160" s="42" t="str">
        <f>IF(E160+G160+I160+K160+M160=0,"",D161*E160+F161*G160+H161*I160+J161*K160+L161*M160+N161*O160)</f>
        <v/>
      </c>
      <c r="Q160" s="38"/>
      <c r="R160" s="36"/>
    </row>
    <row r="161" spans="1:18" ht="25.5" customHeight="1" x14ac:dyDescent="0.15">
      <c r="A161" s="37"/>
      <c r="B161" s="41"/>
      <c r="C161" s="61"/>
      <c r="D161" s="6">
        <v>2000</v>
      </c>
      <c r="E161" s="37"/>
      <c r="F161" s="6">
        <v>3000</v>
      </c>
      <c r="G161" s="37"/>
      <c r="H161" s="6">
        <v>3000</v>
      </c>
      <c r="I161" s="37"/>
      <c r="J161" s="6">
        <v>3000</v>
      </c>
      <c r="K161" s="37"/>
      <c r="L161" s="6">
        <v>2000</v>
      </c>
      <c r="M161" s="37"/>
      <c r="N161" s="7">
        <v>2000</v>
      </c>
      <c r="O161" s="37"/>
      <c r="P161" s="43"/>
      <c r="Q161" s="39"/>
      <c r="R161" s="37"/>
    </row>
    <row r="162" spans="1:18" ht="25.5" customHeight="1" x14ac:dyDescent="0.15">
      <c r="A162" s="36">
        <v>68</v>
      </c>
      <c r="B162" s="40"/>
      <c r="C162" s="60"/>
      <c r="D162" s="5" t="s">
        <v>12</v>
      </c>
      <c r="E162" s="36"/>
      <c r="F162" s="5" t="s">
        <v>13</v>
      </c>
      <c r="G162" s="36"/>
      <c r="H162" s="5" t="s">
        <v>8</v>
      </c>
      <c r="I162" s="36"/>
      <c r="J162" s="5" t="s">
        <v>9</v>
      </c>
      <c r="K162" s="36"/>
      <c r="L162" s="5" t="s">
        <v>10</v>
      </c>
      <c r="M162" s="36"/>
      <c r="N162" s="5" t="s">
        <v>11</v>
      </c>
      <c r="O162" s="36"/>
      <c r="P162" s="42" t="str">
        <f>IF(E162+G162+I162+K162+M162=0,"",D163*E162+F163*G162+H163*I162+J163*K162+L163*M162+N163*O162)</f>
        <v/>
      </c>
      <c r="Q162" s="38"/>
      <c r="R162" s="36"/>
    </row>
    <row r="163" spans="1:18" ht="25.5" customHeight="1" x14ac:dyDescent="0.15">
      <c r="A163" s="37"/>
      <c r="B163" s="41"/>
      <c r="C163" s="61"/>
      <c r="D163" s="6">
        <v>2000</v>
      </c>
      <c r="E163" s="37"/>
      <c r="F163" s="6">
        <v>3000</v>
      </c>
      <c r="G163" s="37"/>
      <c r="H163" s="6">
        <v>3000</v>
      </c>
      <c r="I163" s="37"/>
      <c r="J163" s="6">
        <v>3000</v>
      </c>
      <c r="K163" s="37"/>
      <c r="L163" s="6">
        <v>2000</v>
      </c>
      <c r="M163" s="37"/>
      <c r="N163" s="7">
        <v>2000</v>
      </c>
      <c r="O163" s="37"/>
      <c r="P163" s="43"/>
      <c r="Q163" s="39"/>
      <c r="R163" s="37"/>
    </row>
    <row r="164" spans="1:18" ht="25.5" customHeight="1" x14ac:dyDescent="0.15">
      <c r="A164" s="36">
        <v>69</v>
      </c>
      <c r="B164" s="40"/>
      <c r="C164" s="60"/>
      <c r="D164" s="5" t="s">
        <v>12</v>
      </c>
      <c r="E164" s="36"/>
      <c r="F164" s="5" t="s">
        <v>13</v>
      </c>
      <c r="G164" s="36"/>
      <c r="H164" s="5" t="s">
        <v>8</v>
      </c>
      <c r="I164" s="36"/>
      <c r="J164" s="5" t="s">
        <v>9</v>
      </c>
      <c r="K164" s="36"/>
      <c r="L164" s="5" t="s">
        <v>10</v>
      </c>
      <c r="M164" s="36"/>
      <c r="N164" s="5" t="s">
        <v>11</v>
      </c>
      <c r="O164" s="36"/>
      <c r="P164" s="42" t="str">
        <f>IF(E164+G164+I164+K164+M164=0,"",D165*E164+F165*G164+H165*I164+J165*K164+L165*M164+N165*O164)</f>
        <v/>
      </c>
      <c r="Q164" s="44"/>
      <c r="R164" s="36"/>
    </row>
    <row r="165" spans="1:18" ht="25.5" customHeight="1" x14ac:dyDescent="0.15">
      <c r="A165" s="37"/>
      <c r="B165" s="41"/>
      <c r="C165" s="61"/>
      <c r="D165" s="6">
        <v>2000</v>
      </c>
      <c r="E165" s="37"/>
      <c r="F165" s="6">
        <v>3000</v>
      </c>
      <c r="G165" s="37"/>
      <c r="H165" s="6">
        <v>3000</v>
      </c>
      <c r="I165" s="37"/>
      <c r="J165" s="6">
        <v>3000</v>
      </c>
      <c r="K165" s="37"/>
      <c r="L165" s="6">
        <v>2000</v>
      </c>
      <c r="M165" s="37"/>
      <c r="N165" s="7">
        <v>2000</v>
      </c>
      <c r="O165" s="37"/>
      <c r="P165" s="43"/>
      <c r="Q165" s="39"/>
      <c r="R165" s="37"/>
    </row>
    <row r="166" spans="1:18" ht="25.5" customHeight="1" x14ac:dyDescent="0.15">
      <c r="A166" s="36">
        <v>70</v>
      </c>
      <c r="B166" s="40"/>
      <c r="C166" s="60"/>
      <c r="D166" s="5" t="s">
        <v>12</v>
      </c>
      <c r="E166" s="36"/>
      <c r="F166" s="5" t="s">
        <v>13</v>
      </c>
      <c r="G166" s="36"/>
      <c r="H166" s="5" t="s">
        <v>8</v>
      </c>
      <c r="I166" s="36"/>
      <c r="J166" s="5" t="s">
        <v>9</v>
      </c>
      <c r="K166" s="36"/>
      <c r="L166" s="5" t="s">
        <v>10</v>
      </c>
      <c r="M166" s="36"/>
      <c r="N166" s="5" t="s">
        <v>11</v>
      </c>
      <c r="O166" s="36"/>
      <c r="P166" s="42" t="str">
        <f>IF(E166+G166+I166+K166+M166=0,"",D167*E166+F167*G166+H167*I166+J167*K166+L167*M166+N167*O166)</f>
        <v/>
      </c>
      <c r="Q166" s="44"/>
      <c r="R166" s="36"/>
    </row>
    <row r="167" spans="1:18" ht="25.5" customHeight="1" thickBot="1" x14ac:dyDescent="0.2">
      <c r="A167" s="57"/>
      <c r="B167" s="59"/>
      <c r="C167" s="80"/>
      <c r="D167" s="25">
        <v>2000</v>
      </c>
      <c r="E167" s="57"/>
      <c r="F167" s="25">
        <v>3000</v>
      </c>
      <c r="G167" s="57"/>
      <c r="H167" s="25">
        <v>3000</v>
      </c>
      <c r="I167" s="57"/>
      <c r="J167" s="25">
        <v>3000</v>
      </c>
      <c r="K167" s="57"/>
      <c r="L167" s="25">
        <v>2000</v>
      </c>
      <c r="M167" s="57"/>
      <c r="N167" s="26">
        <v>2000</v>
      </c>
      <c r="O167" s="57"/>
      <c r="P167" s="56"/>
      <c r="Q167" s="58"/>
      <c r="R167" s="57"/>
    </row>
    <row r="168" spans="1:18" s="1" customFormat="1" ht="21" customHeight="1" thickTop="1" x14ac:dyDescent="0.15">
      <c r="A168" s="20"/>
      <c r="B168" s="21"/>
      <c r="C168" s="22"/>
      <c r="D168" s="23" t="s">
        <v>12</v>
      </c>
      <c r="E168" s="20" t="str">
        <f>IF(SUM(E160:E167)=0,"",SUM(E160:E167))</f>
        <v/>
      </c>
      <c r="F168" s="23" t="s">
        <v>13</v>
      </c>
      <c r="G168" s="20" t="str">
        <f>IF(SUM(G160:G167)=0,"",SUM(G160:G167))</f>
        <v/>
      </c>
      <c r="H168" s="23" t="s">
        <v>8</v>
      </c>
      <c r="I168" s="20" t="str">
        <f>IF(SUM(I160:I167)=0,"",SUM(I160:I167))</f>
        <v/>
      </c>
      <c r="J168" s="23" t="s">
        <v>9</v>
      </c>
      <c r="K168" s="20" t="str">
        <f>IF(SUM(K160:K167)=0,"",SUM(K160:K167))</f>
        <v/>
      </c>
      <c r="L168" s="23" t="s">
        <v>10</v>
      </c>
      <c r="M168" s="20" t="str">
        <f>IF(SUM(M160:M167)=0,"",SUM(M160:M167))</f>
        <v/>
      </c>
      <c r="N168" s="23" t="s">
        <v>11</v>
      </c>
      <c r="O168" s="20" t="str">
        <f>IF(SUM(O160:O167)=0,"",SUM(O160:O167))</f>
        <v/>
      </c>
      <c r="P168" s="24" t="str">
        <f>IF(SUM(P160:P167)=0,"",SUM(P160:P167))</f>
        <v/>
      </c>
      <c r="Q168" s="27" t="str">
        <f>IF(SUM(P168)=SUM(R168),"現/未          0","現/未  "&amp;(P168-SUM(R168))/1000&amp;",000")</f>
        <v>現/未          0</v>
      </c>
      <c r="R168" s="28">
        <f>IF(SUMIF(R160:R167,"",P160:P167)=0,0,SUMIF(R160:R167,"",P160:P167))</f>
        <v>0</v>
      </c>
    </row>
    <row r="169" spans="1:18" s="1" customFormat="1" ht="21" customHeight="1" x14ac:dyDescent="0.15">
      <c r="A169" s="55" t="str">
        <f>A145</f>
        <v>2027年度分収集運搬手数料収入原簿内訳</v>
      </c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spans="1:18" ht="15.75" customHeight="1" x14ac:dyDescent="0.15">
      <c r="A170" s="62" t="s">
        <v>0</v>
      </c>
      <c r="B170" s="62" t="s">
        <v>2</v>
      </c>
      <c r="C170" s="63" t="s">
        <v>3</v>
      </c>
      <c r="D170" s="4" t="s">
        <v>14</v>
      </c>
      <c r="E170" s="64" t="s">
        <v>1</v>
      </c>
      <c r="F170" s="4" t="s">
        <v>14</v>
      </c>
      <c r="G170" s="66" t="s">
        <v>1</v>
      </c>
      <c r="H170" s="4" t="s">
        <v>14</v>
      </c>
      <c r="I170" s="62" t="s">
        <v>1</v>
      </c>
      <c r="J170" s="4" t="s">
        <v>14</v>
      </c>
      <c r="K170" s="62" t="s">
        <v>1</v>
      </c>
      <c r="L170" s="4" t="s">
        <v>14</v>
      </c>
      <c r="M170" s="62" t="s">
        <v>1</v>
      </c>
      <c r="N170" s="4" t="s">
        <v>14</v>
      </c>
      <c r="O170" s="62" t="s">
        <v>1</v>
      </c>
      <c r="P170" s="68" t="s">
        <v>4</v>
      </c>
      <c r="Q170" s="71" t="s">
        <v>5</v>
      </c>
      <c r="R170" s="68" t="s">
        <v>6</v>
      </c>
    </row>
    <row r="171" spans="1:18" ht="15" customHeight="1" x14ac:dyDescent="0.15">
      <c r="A171" s="62"/>
      <c r="B171" s="62"/>
      <c r="C171" s="63"/>
      <c r="D171" s="3" t="s">
        <v>7</v>
      </c>
      <c r="E171" s="65"/>
      <c r="F171" s="3" t="s">
        <v>7</v>
      </c>
      <c r="G171" s="62"/>
      <c r="H171" s="3" t="s">
        <v>7</v>
      </c>
      <c r="I171" s="67"/>
      <c r="J171" s="3" t="s">
        <v>7</v>
      </c>
      <c r="K171" s="62"/>
      <c r="L171" s="3" t="s">
        <v>7</v>
      </c>
      <c r="M171" s="67"/>
      <c r="N171" s="3" t="s">
        <v>7</v>
      </c>
      <c r="O171" s="62"/>
      <c r="P171" s="69"/>
      <c r="Q171" s="62"/>
      <c r="R171" s="70"/>
    </row>
    <row r="172" spans="1:18" ht="25.5" customHeight="1" x14ac:dyDescent="0.15">
      <c r="A172" s="36">
        <v>71</v>
      </c>
      <c r="B172" s="40"/>
      <c r="C172" s="60"/>
      <c r="D172" s="5" t="s">
        <v>12</v>
      </c>
      <c r="E172" s="36"/>
      <c r="F172" s="5" t="s">
        <v>13</v>
      </c>
      <c r="G172" s="36"/>
      <c r="H172" s="5" t="s">
        <v>8</v>
      </c>
      <c r="I172" s="36"/>
      <c r="J172" s="5" t="s">
        <v>9</v>
      </c>
      <c r="K172" s="36"/>
      <c r="L172" s="5" t="s">
        <v>10</v>
      </c>
      <c r="M172" s="36"/>
      <c r="N172" s="5" t="s">
        <v>11</v>
      </c>
      <c r="O172" s="36"/>
      <c r="P172" s="42" t="str">
        <f>IF(E172+G172+I172+K172+M172=0,"",D173*E172+F173*G172+H173*I172+J173*K172+L173*M172+N173*O172)</f>
        <v/>
      </c>
      <c r="Q172" s="38"/>
      <c r="R172" s="36"/>
    </row>
    <row r="173" spans="1:18" ht="25.5" customHeight="1" x14ac:dyDescent="0.15">
      <c r="A173" s="37"/>
      <c r="B173" s="41"/>
      <c r="C173" s="61"/>
      <c r="D173" s="6">
        <v>2000</v>
      </c>
      <c r="E173" s="37"/>
      <c r="F173" s="6">
        <v>3000</v>
      </c>
      <c r="G173" s="37"/>
      <c r="H173" s="6">
        <v>3000</v>
      </c>
      <c r="I173" s="37"/>
      <c r="J173" s="6">
        <v>3000</v>
      </c>
      <c r="K173" s="37"/>
      <c r="L173" s="6">
        <v>2000</v>
      </c>
      <c r="M173" s="37"/>
      <c r="N173" s="7">
        <v>2000</v>
      </c>
      <c r="O173" s="37"/>
      <c r="P173" s="43"/>
      <c r="Q173" s="39"/>
      <c r="R173" s="37"/>
    </row>
    <row r="174" spans="1:18" ht="25.5" customHeight="1" x14ac:dyDescent="0.15">
      <c r="A174" s="36">
        <v>72</v>
      </c>
      <c r="B174" s="40"/>
      <c r="C174" s="60"/>
      <c r="D174" s="5" t="s">
        <v>12</v>
      </c>
      <c r="E174" s="36"/>
      <c r="F174" s="5" t="s">
        <v>13</v>
      </c>
      <c r="G174" s="36"/>
      <c r="H174" s="5" t="s">
        <v>8</v>
      </c>
      <c r="I174" s="36"/>
      <c r="J174" s="5" t="s">
        <v>9</v>
      </c>
      <c r="K174" s="36"/>
      <c r="L174" s="5" t="s">
        <v>10</v>
      </c>
      <c r="M174" s="36"/>
      <c r="N174" s="5" t="s">
        <v>11</v>
      </c>
      <c r="O174" s="36"/>
      <c r="P174" s="42" t="str">
        <f>IF(E174+G174+I174+K174+M174=0,"",D175*E174+F175*G174+H175*I174+J175*K174+L175*M174+N175*O174)</f>
        <v/>
      </c>
      <c r="Q174" s="44"/>
      <c r="R174" s="36"/>
    </row>
    <row r="175" spans="1:18" ht="25.5" customHeight="1" x14ac:dyDescent="0.15">
      <c r="A175" s="37"/>
      <c r="B175" s="41"/>
      <c r="C175" s="61"/>
      <c r="D175" s="6">
        <v>2000</v>
      </c>
      <c r="E175" s="37"/>
      <c r="F175" s="6">
        <v>3000</v>
      </c>
      <c r="G175" s="37"/>
      <c r="H175" s="6">
        <v>3000</v>
      </c>
      <c r="I175" s="37"/>
      <c r="J175" s="6">
        <v>3000</v>
      </c>
      <c r="K175" s="37"/>
      <c r="L175" s="6">
        <v>2000</v>
      </c>
      <c r="M175" s="37"/>
      <c r="N175" s="7">
        <v>2000</v>
      </c>
      <c r="O175" s="37"/>
      <c r="P175" s="43"/>
      <c r="Q175" s="39"/>
      <c r="R175" s="37"/>
    </row>
    <row r="176" spans="1:18" ht="25.5" customHeight="1" x14ac:dyDescent="0.15">
      <c r="A176" s="36">
        <v>73</v>
      </c>
      <c r="B176" s="40"/>
      <c r="C176" s="60"/>
      <c r="D176" s="5" t="s">
        <v>12</v>
      </c>
      <c r="E176" s="36"/>
      <c r="F176" s="5" t="s">
        <v>13</v>
      </c>
      <c r="G176" s="36"/>
      <c r="H176" s="5" t="s">
        <v>8</v>
      </c>
      <c r="I176" s="36"/>
      <c r="J176" s="5" t="s">
        <v>9</v>
      </c>
      <c r="K176" s="36"/>
      <c r="L176" s="5" t="s">
        <v>10</v>
      </c>
      <c r="M176" s="36"/>
      <c r="N176" s="5" t="s">
        <v>11</v>
      </c>
      <c r="O176" s="36"/>
      <c r="P176" s="42" t="str">
        <f>IF(E176+G176+I176+K176+M176=0,"",D177*E176+F177*G176+H177*I176+J177*K176+L177*M176+N177*O176)</f>
        <v/>
      </c>
      <c r="Q176" s="44"/>
      <c r="R176" s="36"/>
    </row>
    <row r="177" spans="1:18" ht="25.5" customHeight="1" x14ac:dyDescent="0.15">
      <c r="A177" s="37"/>
      <c r="B177" s="41"/>
      <c r="C177" s="61"/>
      <c r="D177" s="6">
        <v>2000</v>
      </c>
      <c r="E177" s="37"/>
      <c r="F177" s="6">
        <v>3000</v>
      </c>
      <c r="G177" s="37"/>
      <c r="H177" s="6">
        <v>3000</v>
      </c>
      <c r="I177" s="37"/>
      <c r="J177" s="6">
        <v>3000</v>
      </c>
      <c r="K177" s="37"/>
      <c r="L177" s="6">
        <v>2000</v>
      </c>
      <c r="M177" s="37"/>
      <c r="N177" s="7">
        <v>2000</v>
      </c>
      <c r="O177" s="37"/>
      <c r="P177" s="43"/>
      <c r="Q177" s="39"/>
      <c r="R177" s="37"/>
    </row>
    <row r="178" spans="1:18" ht="25.5" customHeight="1" x14ac:dyDescent="0.15">
      <c r="A178" s="36">
        <v>74</v>
      </c>
      <c r="B178" s="40"/>
      <c r="C178" s="60"/>
      <c r="D178" s="5" t="s">
        <v>12</v>
      </c>
      <c r="E178" s="36"/>
      <c r="F178" s="5" t="s">
        <v>13</v>
      </c>
      <c r="G178" s="36"/>
      <c r="H178" s="5" t="s">
        <v>8</v>
      </c>
      <c r="I178" s="36"/>
      <c r="J178" s="5" t="s">
        <v>9</v>
      </c>
      <c r="K178" s="36"/>
      <c r="L178" s="5" t="s">
        <v>10</v>
      </c>
      <c r="M178" s="36"/>
      <c r="N178" s="5" t="s">
        <v>11</v>
      </c>
      <c r="O178" s="36"/>
      <c r="P178" s="42" t="str">
        <f>IF(E178+G178+I178+K178+M178=0,"",D179*E178+F179*G178+H179*I178+J179*K178+L179*M178+N179*O178)</f>
        <v/>
      </c>
      <c r="Q178" s="44"/>
      <c r="R178" s="36"/>
    </row>
    <row r="179" spans="1:18" ht="25.5" customHeight="1" x14ac:dyDescent="0.15">
      <c r="A179" s="37"/>
      <c r="B179" s="41"/>
      <c r="C179" s="61"/>
      <c r="D179" s="6">
        <v>2000</v>
      </c>
      <c r="E179" s="37"/>
      <c r="F179" s="6">
        <v>3000</v>
      </c>
      <c r="G179" s="37"/>
      <c r="H179" s="6">
        <v>3000</v>
      </c>
      <c r="I179" s="37"/>
      <c r="J179" s="6">
        <v>3000</v>
      </c>
      <c r="K179" s="37"/>
      <c r="L179" s="6">
        <v>2000</v>
      </c>
      <c r="M179" s="37"/>
      <c r="N179" s="7">
        <v>2000</v>
      </c>
      <c r="O179" s="37"/>
      <c r="P179" s="43"/>
      <c r="Q179" s="39"/>
      <c r="R179" s="37"/>
    </row>
    <row r="180" spans="1:18" ht="25.5" customHeight="1" x14ac:dyDescent="0.15">
      <c r="A180" s="36">
        <v>75</v>
      </c>
      <c r="B180" s="40"/>
      <c r="C180" s="60"/>
      <c r="D180" s="5" t="s">
        <v>12</v>
      </c>
      <c r="E180" s="36"/>
      <c r="F180" s="5" t="s">
        <v>13</v>
      </c>
      <c r="G180" s="36"/>
      <c r="H180" s="5" t="s">
        <v>8</v>
      </c>
      <c r="I180" s="36"/>
      <c r="J180" s="5" t="s">
        <v>9</v>
      </c>
      <c r="K180" s="36"/>
      <c r="L180" s="5" t="s">
        <v>10</v>
      </c>
      <c r="M180" s="36"/>
      <c r="N180" s="5" t="s">
        <v>11</v>
      </c>
      <c r="O180" s="36"/>
      <c r="P180" s="42" t="str">
        <f>IF(E180+G180+I180+K180+M180=0,"",D181*E180+F181*G180+H181*I180+J181*K180+L181*M180+N181*O180)</f>
        <v/>
      </c>
      <c r="Q180" s="38"/>
      <c r="R180" s="36"/>
    </row>
    <row r="181" spans="1:18" ht="25.5" customHeight="1" x14ac:dyDescent="0.15">
      <c r="A181" s="37"/>
      <c r="B181" s="41"/>
      <c r="C181" s="61"/>
      <c r="D181" s="6">
        <v>2000</v>
      </c>
      <c r="E181" s="37"/>
      <c r="F181" s="6">
        <v>3000</v>
      </c>
      <c r="G181" s="37"/>
      <c r="H181" s="6">
        <v>3000</v>
      </c>
      <c r="I181" s="37"/>
      <c r="J181" s="6">
        <v>3000</v>
      </c>
      <c r="K181" s="37"/>
      <c r="L181" s="6">
        <v>2000</v>
      </c>
      <c r="M181" s="37"/>
      <c r="N181" s="7">
        <v>2000</v>
      </c>
      <c r="O181" s="37"/>
      <c r="P181" s="43"/>
      <c r="Q181" s="39"/>
      <c r="R181" s="37"/>
    </row>
    <row r="182" spans="1:18" ht="25.5" customHeight="1" x14ac:dyDescent="0.15">
      <c r="A182" s="36">
        <v>76</v>
      </c>
      <c r="B182" s="40"/>
      <c r="C182" s="60"/>
      <c r="D182" s="5" t="s">
        <v>12</v>
      </c>
      <c r="E182" s="36"/>
      <c r="F182" s="5" t="s">
        <v>13</v>
      </c>
      <c r="G182" s="36"/>
      <c r="H182" s="5" t="s">
        <v>8</v>
      </c>
      <c r="I182" s="36"/>
      <c r="J182" s="5" t="s">
        <v>9</v>
      </c>
      <c r="K182" s="36"/>
      <c r="L182" s="5" t="s">
        <v>10</v>
      </c>
      <c r="M182" s="36"/>
      <c r="N182" s="5" t="s">
        <v>11</v>
      </c>
      <c r="O182" s="36"/>
      <c r="P182" s="42" t="str">
        <f>IF(E182+G182+I182+K182+M182=0,"",D183*E182+F183*G182+H183*I182+J183*K182+L183*M182+N183*O182)</f>
        <v/>
      </c>
      <c r="Q182" s="44"/>
      <c r="R182" s="36"/>
    </row>
    <row r="183" spans="1:18" ht="25.5" customHeight="1" x14ac:dyDescent="0.15">
      <c r="A183" s="37"/>
      <c r="B183" s="41"/>
      <c r="C183" s="61"/>
      <c r="D183" s="6">
        <v>2000</v>
      </c>
      <c r="E183" s="37"/>
      <c r="F183" s="6">
        <v>3000</v>
      </c>
      <c r="G183" s="37"/>
      <c r="H183" s="6">
        <v>3000</v>
      </c>
      <c r="I183" s="37"/>
      <c r="J183" s="6">
        <v>3000</v>
      </c>
      <c r="K183" s="37"/>
      <c r="L183" s="6">
        <v>2000</v>
      </c>
      <c r="M183" s="37"/>
      <c r="N183" s="7">
        <v>2000</v>
      </c>
      <c r="O183" s="37"/>
      <c r="P183" s="43"/>
      <c r="Q183" s="39"/>
      <c r="R183" s="37"/>
    </row>
    <row r="184" spans="1:18" ht="25.5" customHeight="1" x14ac:dyDescent="0.15">
      <c r="A184" s="36">
        <v>77</v>
      </c>
      <c r="B184" s="40"/>
      <c r="C184" s="60"/>
      <c r="D184" s="5" t="s">
        <v>12</v>
      </c>
      <c r="E184" s="36"/>
      <c r="F184" s="5" t="s">
        <v>13</v>
      </c>
      <c r="G184" s="36"/>
      <c r="H184" s="5" t="s">
        <v>8</v>
      </c>
      <c r="I184" s="36"/>
      <c r="J184" s="5" t="s">
        <v>9</v>
      </c>
      <c r="K184" s="36"/>
      <c r="L184" s="5" t="s">
        <v>10</v>
      </c>
      <c r="M184" s="36"/>
      <c r="N184" s="5" t="s">
        <v>11</v>
      </c>
      <c r="O184" s="36"/>
      <c r="P184" s="42" t="str">
        <f>IF(E184+G184+I184+K184+M184=0,"",D185*E184+F185*G184+H185*I184+J185*K184+L185*M184+N185*O184)</f>
        <v/>
      </c>
      <c r="Q184" s="38"/>
      <c r="R184" s="36"/>
    </row>
    <row r="185" spans="1:18" ht="25.5" customHeight="1" x14ac:dyDescent="0.15">
      <c r="A185" s="37"/>
      <c r="B185" s="41"/>
      <c r="C185" s="61"/>
      <c r="D185" s="6">
        <v>2000</v>
      </c>
      <c r="E185" s="37"/>
      <c r="F185" s="6">
        <v>3000</v>
      </c>
      <c r="G185" s="37"/>
      <c r="H185" s="6">
        <v>3000</v>
      </c>
      <c r="I185" s="37"/>
      <c r="J185" s="6">
        <v>3000</v>
      </c>
      <c r="K185" s="37"/>
      <c r="L185" s="6">
        <v>2000</v>
      </c>
      <c r="M185" s="37"/>
      <c r="N185" s="7">
        <v>2000</v>
      </c>
      <c r="O185" s="37"/>
      <c r="P185" s="43"/>
      <c r="Q185" s="39"/>
      <c r="R185" s="37"/>
    </row>
    <row r="186" spans="1:18" ht="25.5" customHeight="1" x14ac:dyDescent="0.15">
      <c r="A186" s="36">
        <v>78</v>
      </c>
      <c r="B186" s="40"/>
      <c r="C186" s="60"/>
      <c r="D186" s="5" t="s">
        <v>12</v>
      </c>
      <c r="E186" s="36"/>
      <c r="F186" s="5" t="s">
        <v>13</v>
      </c>
      <c r="G186" s="36"/>
      <c r="H186" s="5" t="s">
        <v>8</v>
      </c>
      <c r="I186" s="36"/>
      <c r="J186" s="5" t="s">
        <v>9</v>
      </c>
      <c r="K186" s="36"/>
      <c r="L186" s="5" t="s">
        <v>10</v>
      </c>
      <c r="M186" s="36"/>
      <c r="N186" s="5" t="s">
        <v>11</v>
      </c>
      <c r="O186" s="36"/>
      <c r="P186" s="42" t="str">
        <f>IF(E186+G186+I186+K186+M186=0,"",D187*E186+F187*G186+H187*I186+J187*K186+L187*M186+N187*O186)</f>
        <v/>
      </c>
      <c r="Q186" s="38"/>
      <c r="R186" s="36"/>
    </row>
    <row r="187" spans="1:18" ht="25.5" customHeight="1" x14ac:dyDescent="0.15">
      <c r="A187" s="37"/>
      <c r="B187" s="41"/>
      <c r="C187" s="61"/>
      <c r="D187" s="6">
        <v>2000</v>
      </c>
      <c r="E187" s="37"/>
      <c r="F187" s="6">
        <v>3000</v>
      </c>
      <c r="G187" s="37"/>
      <c r="H187" s="6">
        <v>3000</v>
      </c>
      <c r="I187" s="37"/>
      <c r="J187" s="6">
        <v>3000</v>
      </c>
      <c r="K187" s="37"/>
      <c r="L187" s="6">
        <v>2000</v>
      </c>
      <c r="M187" s="37"/>
      <c r="N187" s="7">
        <v>2000</v>
      </c>
      <c r="O187" s="37"/>
      <c r="P187" s="43"/>
      <c r="Q187" s="39"/>
      <c r="R187" s="37"/>
    </row>
    <row r="188" spans="1:18" ht="25.5" customHeight="1" x14ac:dyDescent="0.15">
      <c r="A188" s="36">
        <v>79</v>
      </c>
      <c r="B188" s="40"/>
      <c r="C188" s="60"/>
      <c r="D188" s="5" t="s">
        <v>12</v>
      </c>
      <c r="E188" s="36"/>
      <c r="F188" s="5" t="s">
        <v>13</v>
      </c>
      <c r="G188" s="36"/>
      <c r="H188" s="5" t="s">
        <v>8</v>
      </c>
      <c r="I188" s="36"/>
      <c r="J188" s="5" t="s">
        <v>9</v>
      </c>
      <c r="K188" s="36"/>
      <c r="L188" s="5" t="s">
        <v>10</v>
      </c>
      <c r="M188" s="36"/>
      <c r="N188" s="5" t="s">
        <v>11</v>
      </c>
      <c r="O188" s="36"/>
      <c r="P188" s="42" t="str">
        <f>IF(E188+G188+I188+K188+M188=0,"",D189*E188+F189*G188+H189*I188+J189*K188+L189*M188+N189*O188)</f>
        <v/>
      </c>
      <c r="Q188" s="44"/>
      <c r="R188" s="36"/>
    </row>
    <row r="189" spans="1:18" ht="25.5" customHeight="1" x14ac:dyDescent="0.15">
      <c r="A189" s="37"/>
      <c r="B189" s="41"/>
      <c r="C189" s="61"/>
      <c r="D189" s="6">
        <v>2000</v>
      </c>
      <c r="E189" s="37"/>
      <c r="F189" s="6">
        <v>3000</v>
      </c>
      <c r="G189" s="37"/>
      <c r="H189" s="6">
        <v>3000</v>
      </c>
      <c r="I189" s="37"/>
      <c r="J189" s="6">
        <v>3000</v>
      </c>
      <c r="K189" s="37"/>
      <c r="L189" s="6">
        <v>2000</v>
      </c>
      <c r="M189" s="37"/>
      <c r="N189" s="7">
        <v>2000</v>
      </c>
      <c r="O189" s="37"/>
      <c r="P189" s="43"/>
      <c r="Q189" s="39"/>
      <c r="R189" s="37"/>
    </row>
    <row r="190" spans="1:18" ht="25.5" customHeight="1" x14ac:dyDescent="0.15">
      <c r="A190" s="36">
        <v>80</v>
      </c>
      <c r="B190" s="40"/>
      <c r="C190" s="60"/>
      <c r="D190" s="5" t="s">
        <v>12</v>
      </c>
      <c r="E190" s="36"/>
      <c r="F190" s="5" t="s">
        <v>13</v>
      </c>
      <c r="G190" s="36"/>
      <c r="H190" s="5" t="s">
        <v>8</v>
      </c>
      <c r="I190" s="36"/>
      <c r="J190" s="5" t="s">
        <v>9</v>
      </c>
      <c r="K190" s="36"/>
      <c r="L190" s="5" t="s">
        <v>10</v>
      </c>
      <c r="M190" s="36"/>
      <c r="N190" s="5" t="s">
        <v>11</v>
      </c>
      <c r="O190" s="36"/>
      <c r="P190" s="42" t="str">
        <f>IF(E190+G190+I190+K190+M190=0,"",D191*E190+F191*G190+H191*I190+J191*K190+L191*M190+N191*O190)</f>
        <v/>
      </c>
      <c r="Q190" s="44"/>
      <c r="R190" s="36"/>
    </row>
    <row r="191" spans="1:18" ht="25.5" customHeight="1" thickBot="1" x14ac:dyDescent="0.2">
      <c r="A191" s="57"/>
      <c r="B191" s="59"/>
      <c r="C191" s="80"/>
      <c r="D191" s="25">
        <v>2000</v>
      </c>
      <c r="E191" s="57"/>
      <c r="F191" s="25">
        <v>3000</v>
      </c>
      <c r="G191" s="57"/>
      <c r="H191" s="25">
        <v>3000</v>
      </c>
      <c r="I191" s="57"/>
      <c r="J191" s="25">
        <v>3000</v>
      </c>
      <c r="K191" s="57"/>
      <c r="L191" s="25">
        <v>2000</v>
      </c>
      <c r="M191" s="57"/>
      <c r="N191" s="26">
        <v>2000</v>
      </c>
      <c r="O191" s="57"/>
      <c r="P191" s="56"/>
      <c r="Q191" s="58"/>
      <c r="R191" s="57"/>
    </row>
    <row r="192" spans="1:18" s="1" customFormat="1" ht="21" customHeight="1" thickTop="1" x14ac:dyDescent="0.15">
      <c r="A192" s="20"/>
      <c r="B192" s="21"/>
      <c r="C192" s="22"/>
      <c r="D192" s="23" t="s">
        <v>12</v>
      </c>
      <c r="E192" s="20" t="str">
        <f>IF(SUM(E172:E191)=0,"",SUM(E172:E191))</f>
        <v/>
      </c>
      <c r="F192" s="23" t="s">
        <v>13</v>
      </c>
      <c r="G192" s="20" t="str">
        <f>IF(SUM(G188:G191)=0,"",SUM(G188:G191))</f>
        <v/>
      </c>
      <c r="H192" s="23" t="s">
        <v>8</v>
      </c>
      <c r="I192" s="20" t="str">
        <f>IF(SUM(I188:I191)=0,"",SUM(I188:I191))</f>
        <v/>
      </c>
      <c r="J192" s="23" t="s">
        <v>9</v>
      </c>
      <c r="K192" s="20" t="str">
        <f>IF(SUM(K188:K191)=0,"",SUM(K188:K191))</f>
        <v/>
      </c>
      <c r="L192" s="23" t="s">
        <v>10</v>
      </c>
      <c r="M192" s="20" t="str">
        <f>IF(SUM(M188:M191)=0,"",SUM(M188:M191))</f>
        <v/>
      </c>
      <c r="N192" s="23" t="s">
        <v>11</v>
      </c>
      <c r="O192" s="20" t="str">
        <f>IF(SUM(O172:O191)=0,"",SUM(O172:O191))</f>
        <v/>
      </c>
      <c r="P192" s="24" t="str">
        <f>IF(SUM(P188:P191)=0,"",SUM(P188:P191))</f>
        <v/>
      </c>
      <c r="Q192" s="27" t="str">
        <f>IF(SUM(P192)=SUM(R192),"現/未          0","現/未  "&amp;(P192-SUM(R192))/1000&amp;",000")</f>
        <v>現/未          0</v>
      </c>
      <c r="R192" s="28">
        <f>IF(SUMIF(R188:R191,"",P188:P191)=0,0,SUMIF(R188:R191,"",P188:P191))</f>
        <v>0</v>
      </c>
    </row>
    <row r="193" spans="1:20" s="1" customFormat="1" ht="21" customHeight="1" x14ac:dyDescent="0.15">
      <c r="A193" s="55" t="str">
        <f>A169</f>
        <v>2027年度分収集運搬手数料収入原簿内訳</v>
      </c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spans="1:20" ht="15.75" customHeight="1" x14ac:dyDescent="0.15">
      <c r="A194" s="62" t="s">
        <v>0</v>
      </c>
      <c r="B194" s="62" t="s">
        <v>2</v>
      </c>
      <c r="C194" s="63" t="s">
        <v>3</v>
      </c>
      <c r="D194" s="4" t="s">
        <v>14</v>
      </c>
      <c r="E194" s="64" t="s">
        <v>1</v>
      </c>
      <c r="F194" s="4" t="s">
        <v>14</v>
      </c>
      <c r="G194" s="66" t="s">
        <v>1</v>
      </c>
      <c r="H194" s="4" t="s">
        <v>14</v>
      </c>
      <c r="I194" s="62" t="s">
        <v>1</v>
      </c>
      <c r="J194" s="4" t="s">
        <v>14</v>
      </c>
      <c r="K194" s="62" t="s">
        <v>1</v>
      </c>
      <c r="L194" s="4" t="s">
        <v>14</v>
      </c>
      <c r="M194" s="62" t="s">
        <v>1</v>
      </c>
      <c r="N194" s="4" t="s">
        <v>14</v>
      </c>
      <c r="O194" s="62" t="s">
        <v>1</v>
      </c>
      <c r="P194" s="68" t="s">
        <v>4</v>
      </c>
      <c r="Q194" s="71" t="s">
        <v>5</v>
      </c>
      <c r="R194" s="68" t="s">
        <v>6</v>
      </c>
    </row>
    <row r="195" spans="1:20" ht="15" customHeight="1" x14ac:dyDescent="0.15">
      <c r="A195" s="62"/>
      <c r="B195" s="62"/>
      <c r="C195" s="63"/>
      <c r="D195" s="3" t="s">
        <v>7</v>
      </c>
      <c r="E195" s="65"/>
      <c r="F195" s="3" t="s">
        <v>7</v>
      </c>
      <c r="G195" s="62"/>
      <c r="H195" s="3" t="s">
        <v>7</v>
      </c>
      <c r="I195" s="67"/>
      <c r="J195" s="3" t="s">
        <v>7</v>
      </c>
      <c r="K195" s="62"/>
      <c r="L195" s="3" t="s">
        <v>7</v>
      </c>
      <c r="M195" s="67"/>
      <c r="N195" s="3" t="s">
        <v>7</v>
      </c>
      <c r="O195" s="62"/>
      <c r="P195" s="69"/>
      <c r="Q195" s="62"/>
      <c r="R195" s="70"/>
    </row>
    <row r="196" spans="1:20" ht="25.5" customHeight="1" x14ac:dyDescent="0.15">
      <c r="A196" s="36">
        <v>81</v>
      </c>
      <c r="B196" s="40"/>
      <c r="C196" s="60"/>
      <c r="D196" s="5" t="s">
        <v>12</v>
      </c>
      <c r="E196" s="36"/>
      <c r="F196" s="5" t="s">
        <v>13</v>
      </c>
      <c r="G196" s="36"/>
      <c r="H196" s="5" t="s">
        <v>8</v>
      </c>
      <c r="I196" s="36"/>
      <c r="J196" s="5" t="s">
        <v>9</v>
      </c>
      <c r="K196" s="36"/>
      <c r="L196" s="5" t="s">
        <v>10</v>
      </c>
      <c r="M196" s="36"/>
      <c r="N196" s="5" t="s">
        <v>11</v>
      </c>
      <c r="O196" s="36"/>
      <c r="P196" s="42" t="str">
        <f>IF(E196+G196+I196+K196+M196=0,"",D197*E196+F197*G196+H197*I196+J197*K196+L197*M196+N197*O196)</f>
        <v/>
      </c>
      <c r="Q196" s="38"/>
      <c r="R196" s="36"/>
    </row>
    <row r="197" spans="1:20" ht="25.5" customHeight="1" x14ac:dyDescent="0.15">
      <c r="A197" s="37"/>
      <c r="B197" s="41"/>
      <c r="C197" s="61"/>
      <c r="D197" s="6">
        <v>2000</v>
      </c>
      <c r="E197" s="37"/>
      <c r="F197" s="6">
        <v>3000</v>
      </c>
      <c r="G197" s="37"/>
      <c r="H197" s="6">
        <v>3000</v>
      </c>
      <c r="I197" s="37"/>
      <c r="J197" s="6">
        <v>3000</v>
      </c>
      <c r="K197" s="37"/>
      <c r="L197" s="6">
        <v>2000</v>
      </c>
      <c r="M197" s="37"/>
      <c r="N197" s="7">
        <v>2000</v>
      </c>
      <c r="O197" s="37"/>
      <c r="P197" s="43"/>
      <c r="Q197" s="39"/>
      <c r="R197" s="37"/>
    </row>
    <row r="198" spans="1:20" ht="25.5" customHeight="1" x14ac:dyDescent="0.15">
      <c r="A198" s="36">
        <v>82</v>
      </c>
      <c r="B198" s="40"/>
      <c r="C198" s="60"/>
      <c r="D198" s="5" t="s">
        <v>12</v>
      </c>
      <c r="E198" s="36"/>
      <c r="F198" s="5" t="s">
        <v>13</v>
      </c>
      <c r="G198" s="36"/>
      <c r="H198" s="5" t="s">
        <v>8</v>
      </c>
      <c r="I198" s="36"/>
      <c r="J198" s="5" t="s">
        <v>9</v>
      </c>
      <c r="K198" s="36"/>
      <c r="L198" s="5" t="s">
        <v>10</v>
      </c>
      <c r="M198" s="36"/>
      <c r="N198" s="5" t="s">
        <v>11</v>
      </c>
      <c r="O198" s="36"/>
      <c r="P198" s="42" t="str">
        <f>IF(E198+G198+I198+K198+M198=0,"",D199*E198+F199*G198+H199*I198+J199*K198+L199*M198+N199*O198)</f>
        <v/>
      </c>
      <c r="Q198" s="44"/>
      <c r="R198" s="36"/>
    </row>
    <row r="199" spans="1:20" ht="25.5" customHeight="1" x14ac:dyDescent="0.15">
      <c r="A199" s="37"/>
      <c r="B199" s="41"/>
      <c r="C199" s="61"/>
      <c r="D199" s="6">
        <v>2000</v>
      </c>
      <c r="E199" s="37"/>
      <c r="F199" s="6">
        <v>3000</v>
      </c>
      <c r="G199" s="37"/>
      <c r="H199" s="6">
        <v>3000</v>
      </c>
      <c r="I199" s="37"/>
      <c r="J199" s="6">
        <v>3000</v>
      </c>
      <c r="K199" s="37"/>
      <c r="L199" s="6">
        <v>2000</v>
      </c>
      <c r="M199" s="37"/>
      <c r="N199" s="7">
        <v>2000</v>
      </c>
      <c r="O199" s="37"/>
      <c r="P199" s="43"/>
      <c r="Q199" s="39"/>
      <c r="R199" s="37"/>
    </row>
    <row r="200" spans="1:20" ht="25.5" customHeight="1" x14ac:dyDescent="0.15">
      <c r="A200" s="36">
        <v>83</v>
      </c>
      <c r="B200" s="40"/>
      <c r="C200" s="60"/>
      <c r="D200" s="5" t="s">
        <v>12</v>
      </c>
      <c r="E200" s="36"/>
      <c r="F200" s="5" t="s">
        <v>13</v>
      </c>
      <c r="G200" s="36"/>
      <c r="H200" s="5" t="s">
        <v>8</v>
      </c>
      <c r="I200" s="36"/>
      <c r="J200" s="5" t="s">
        <v>9</v>
      </c>
      <c r="K200" s="36"/>
      <c r="L200" s="5" t="s">
        <v>10</v>
      </c>
      <c r="M200" s="36"/>
      <c r="N200" s="5" t="s">
        <v>11</v>
      </c>
      <c r="O200" s="36"/>
      <c r="P200" s="42" t="str">
        <f>IF(E200+G200+I200+K200+M200=0,"",D201*E200+F201*G200+H201*I200+J201*K200+L201*M200+N201*O200)</f>
        <v/>
      </c>
      <c r="Q200" s="44"/>
      <c r="R200" s="36"/>
    </row>
    <row r="201" spans="1:20" ht="25.5" customHeight="1" x14ac:dyDescent="0.15">
      <c r="A201" s="37"/>
      <c r="B201" s="41"/>
      <c r="C201" s="61"/>
      <c r="D201" s="6">
        <v>2000</v>
      </c>
      <c r="E201" s="37"/>
      <c r="F201" s="6">
        <v>3000</v>
      </c>
      <c r="G201" s="37"/>
      <c r="H201" s="6">
        <v>3000</v>
      </c>
      <c r="I201" s="37"/>
      <c r="J201" s="6">
        <v>3000</v>
      </c>
      <c r="K201" s="37"/>
      <c r="L201" s="6">
        <v>2000</v>
      </c>
      <c r="M201" s="37"/>
      <c r="N201" s="7">
        <v>2000</v>
      </c>
      <c r="O201" s="37"/>
      <c r="P201" s="43"/>
      <c r="Q201" s="39"/>
      <c r="R201" s="37"/>
    </row>
    <row r="202" spans="1:20" ht="25.5" customHeight="1" x14ac:dyDescent="0.15">
      <c r="A202" s="36">
        <v>84</v>
      </c>
      <c r="B202" s="40"/>
      <c r="C202" s="60"/>
      <c r="D202" s="5" t="s">
        <v>12</v>
      </c>
      <c r="E202" s="36"/>
      <c r="F202" s="5" t="s">
        <v>13</v>
      </c>
      <c r="G202" s="36"/>
      <c r="H202" s="5" t="s">
        <v>8</v>
      </c>
      <c r="I202" s="36"/>
      <c r="J202" s="5" t="s">
        <v>9</v>
      </c>
      <c r="K202" s="36"/>
      <c r="L202" s="5" t="s">
        <v>10</v>
      </c>
      <c r="M202" s="36"/>
      <c r="N202" s="5" t="s">
        <v>11</v>
      </c>
      <c r="O202" s="36"/>
      <c r="P202" s="42" t="str">
        <f>IF(E202+G202+I202+K202+M202=0,"",D203*E202+F203*G202+H203*I202+J203*K202+L203*M202+N203*O202)</f>
        <v/>
      </c>
      <c r="Q202" s="44"/>
      <c r="R202" s="36"/>
    </row>
    <row r="203" spans="1:20" ht="25.5" customHeight="1" x14ac:dyDescent="0.15">
      <c r="A203" s="37"/>
      <c r="B203" s="41"/>
      <c r="C203" s="61"/>
      <c r="D203" s="6">
        <v>2000</v>
      </c>
      <c r="E203" s="37"/>
      <c r="F203" s="6">
        <v>3000</v>
      </c>
      <c r="G203" s="37"/>
      <c r="H203" s="6">
        <v>3000</v>
      </c>
      <c r="I203" s="37"/>
      <c r="J203" s="6">
        <v>3000</v>
      </c>
      <c r="K203" s="37"/>
      <c r="L203" s="6">
        <v>2000</v>
      </c>
      <c r="M203" s="37"/>
      <c r="N203" s="7">
        <v>2000</v>
      </c>
      <c r="O203" s="37"/>
      <c r="P203" s="43"/>
      <c r="Q203" s="39"/>
      <c r="R203" s="37"/>
    </row>
    <row r="204" spans="1:20" ht="25.5" customHeight="1" x14ac:dyDescent="0.15">
      <c r="A204" s="36">
        <v>85</v>
      </c>
      <c r="B204" s="40"/>
      <c r="C204" s="60"/>
      <c r="D204" s="5" t="s">
        <v>12</v>
      </c>
      <c r="E204" s="36"/>
      <c r="F204" s="5" t="s">
        <v>13</v>
      </c>
      <c r="G204" s="36"/>
      <c r="H204" s="5" t="s">
        <v>8</v>
      </c>
      <c r="I204" s="36"/>
      <c r="J204" s="5" t="s">
        <v>9</v>
      </c>
      <c r="K204" s="36"/>
      <c r="L204" s="5" t="s">
        <v>10</v>
      </c>
      <c r="M204" s="36"/>
      <c r="N204" s="5" t="s">
        <v>11</v>
      </c>
      <c r="O204" s="36"/>
      <c r="P204" s="42" t="str">
        <f>IF(E204+G204+I204+K204+M204=0,"",D205*E204+F205*G204+H205*I204+J205*K204+L205*M204+N205*O204)</f>
        <v/>
      </c>
      <c r="Q204" s="38"/>
      <c r="R204" s="36"/>
    </row>
    <row r="205" spans="1:20" ht="25.5" customHeight="1" x14ac:dyDescent="0.15">
      <c r="A205" s="37"/>
      <c r="B205" s="41"/>
      <c r="C205" s="61"/>
      <c r="D205" s="6">
        <v>2000</v>
      </c>
      <c r="E205" s="37"/>
      <c r="F205" s="6">
        <v>3000</v>
      </c>
      <c r="G205" s="37"/>
      <c r="H205" s="6">
        <v>3000</v>
      </c>
      <c r="I205" s="37"/>
      <c r="J205" s="6">
        <v>3000</v>
      </c>
      <c r="K205" s="37"/>
      <c r="L205" s="6">
        <v>2000</v>
      </c>
      <c r="M205" s="37"/>
      <c r="N205" s="7">
        <v>2000</v>
      </c>
      <c r="O205" s="37"/>
      <c r="P205" s="43"/>
      <c r="Q205" s="39"/>
      <c r="R205" s="37"/>
    </row>
    <row r="206" spans="1:20" ht="25.5" customHeight="1" x14ac:dyDescent="0.15">
      <c r="A206" s="36">
        <v>86</v>
      </c>
      <c r="B206" s="40"/>
      <c r="C206" s="60"/>
      <c r="D206" s="5" t="s">
        <v>12</v>
      </c>
      <c r="E206" s="36"/>
      <c r="F206" s="5" t="s">
        <v>13</v>
      </c>
      <c r="G206" s="36"/>
      <c r="H206" s="5" t="s">
        <v>8</v>
      </c>
      <c r="I206" s="36"/>
      <c r="J206" s="5" t="s">
        <v>9</v>
      </c>
      <c r="K206" s="36"/>
      <c r="L206" s="5" t="s">
        <v>10</v>
      </c>
      <c r="M206" s="36"/>
      <c r="N206" s="5" t="s">
        <v>11</v>
      </c>
      <c r="O206" s="36"/>
      <c r="P206" s="42" t="str">
        <f>IF(E206+G206+I206+K206+M206=0,"",D207*E206+F207*G206+H207*I206+J207*K206+L207*M206+N207*O206)</f>
        <v/>
      </c>
      <c r="Q206" s="44"/>
      <c r="R206" s="36"/>
      <c r="T206" s="30"/>
    </row>
    <row r="207" spans="1:20" ht="25.5" customHeight="1" x14ac:dyDescent="0.15">
      <c r="A207" s="37"/>
      <c r="B207" s="41"/>
      <c r="C207" s="61"/>
      <c r="D207" s="6">
        <v>2000</v>
      </c>
      <c r="E207" s="37"/>
      <c r="F207" s="6">
        <v>3000</v>
      </c>
      <c r="G207" s="37"/>
      <c r="H207" s="6">
        <v>3000</v>
      </c>
      <c r="I207" s="37"/>
      <c r="J207" s="6">
        <v>3000</v>
      </c>
      <c r="K207" s="37"/>
      <c r="L207" s="6">
        <v>2000</v>
      </c>
      <c r="M207" s="37"/>
      <c r="N207" s="7">
        <v>2000</v>
      </c>
      <c r="O207" s="37"/>
      <c r="P207" s="43"/>
      <c r="Q207" s="39"/>
      <c r="R207" s="37"/>
    </row>
    <row r="208" spans="1:20" ht="25.5" customHeight="1" x14ac:dyDescent="0.15">
      <c r="A208" s="36">
        <v>87</v>
      </c>
      <c r="B208" s="40"/>
      <c r="C208" s="60"/>
      <c r="D208" s="5" t="s">
        <v>12</v>
      </c>
      <c r="E208" s="36"/>
      <c r="F208" s="5" t="s">
        <v>13</v>
      </c>
      <c r="G208" s="36"/>
      <c r="H208" s="5" t="s">
        <v>8</v>
      </c>
      <c r="I208" s="36"/>
      <c r="J208" s="5" t="s">
        <v>9</v>
      </c>
      <c r="K208" s="36"/>
      <c r="L208" s="5" t="s">
        <v>10</v>
      </c>
      <c r="M208" s="36"/>
      <c r="N208" s="5" t="s">
        <v>11</v>
      </c>
      <c r="O208" s="36"/>
      <c r="P208" s="42" t="str">
        <f>IF(E208+G208+I208+K208+M208=0,"",D209*E208+F209*G208+H209*I208+J209*K208+L209*M208+N209*O208)</f>
        <v/>
      </c>
      <c r="Q208" s="38"/>
      <c r="R208" s="36"/>
    </row>
    <row r="209" spans="1:18" ht="25.5" customHeight="1" x14ac:dyDescent="0.15">
      <c r="A209" s="37"/>
      <c r="B209" s="41"/>
      <c r="C209" s="61"/>
      <c r="D209" s="6">
        <v>2000</v>
      </c>
      <c r="E209" s="37"/>
      <c r="F209" s="6">
        <v>3000</v>
      </c>
      <c r="G209" s="37"/>
      <c r="H209" s="6">
        <v>3000</v>
      </c>
      <c r="I209" s="37"/>
      <c r="J209" s="6">
        <v>3000</v>
      </c>
      <c r="K209" s="37"/>
      <c r="L209" s="6">
        <v>2000</v>
      </c>
      <c r="M209" s="37"/>
      <c r="N209" s="7">
        <v>2000</v>
      </c>
      <c r="O209" s="37"/>
      <c r="P209" s="43"/>
      <c r="Q209" s="39"/>
      <c r="R209" s="37"/>
    </row>
    <row r="210" spans="1:18" ht="25.5" customHeight="1" x14ac:dyDescent="0.15">
      <c r="A210" s="36">
        <v>88</v>
      </c>
      <c r="B210" s="40"/>
      <c r="C210" s="60"/>
      <c r="D210" s="5" t="s">
        <v>12</v>
      </c>
      <c r="E210" s="36"/>
      <c r="F210" s="5" t="s">
        <v>13</v>
      </c>
      <c r="G210" s="36"/>
      <c r="H210" s="5" t="s">
        <v>8</v>
      </c>
      <c r="I210" s="36"/>
      <c r="J210" s="5" t="s">
        <v>9</v>
      </c>
      <c r="K210" s="36"/>
      <c r="L210" s="5" t="s">
        <v>10</v>
      </c>
      <c r="M210" s="36"/>
      <c r="N210" s="5" t="s">
        <v>11</v>
      </c>
      <c r="O210" s="36"/>
      <c r="P210" s="42" t="str">
        <f>IF(E210+G210+I210+K210+M210=0,"",D211*E210+F211*G210+H211*I210+J211*K210+L211*M210+N211*O210)</f>
        <v/>
      </c>
      <c r="Q210" s="38"/>
      <c r="R210" s="36"/>
    </row>
    <row r="211" spans="1:18" ht="25.5" customHeight="1" x14ac:dyDescent="0.15">
      <c r="A211" s="37"/>
      <c r="B211" s="41"/>
      <c r="C211" s="61"/>
      <c r="D211" s="6">
        <v>2000</v>
      </c>
      <c r="E211" s="37"/>
      <c r="F211" s="6">
        <v>3000</v>
      </c>
      <c r="G211" s="37"/>
      <c r="H211" s="6">
        <v>3000</v>
      </c>
      <c r="I211" s="37"/>
      <c r="J211" s="6">
        <v>3000</v>
      </c>
      <c r="K211" s="37"/>
      <c r="L211" s="6">
        <v>2000</v>
      </c>
      <c r="M211" s="37"/>
      <c r="N211" s="7">
        <v>2000</v>
      </c>
      <c r="O211" s="37"/>
      <c r="P211" s="43"/>
      <c r="Q211" s="39"/>
      <c r="R211" s="37"/>
    </row>
    <row r="212" spans="1:18" ht="25.5" customHeight="1" x14ac:dyDescent="0.15">
      <c r="A212" s="36">
        <v>89</v>
      </c>
      <c r="B212" s="40"/>
      <c r="C212" s="60"/>
      <c r="D212" s="5" t="s">
        <v>12</v>
      </c>
      <c r="E212" s="36"/>
      <c r="F212" s="5" t="s">
        <v>13</v>
      </c>
      <c r="G212" s="36"/>
      <c r="H212" s="5" t="s">
        <v>8</v>
      </c>
      <c r="I212" s="36"/>
      <c r="J212" s="5" t="s">
        <v>9</v>
      </c>
      <c r="K212" s="36"/>
      <c r="L212" s="5" t="s">
        <v>10</v>
      </c>
      <c r="M212" s="36"/>
      <c r="N212" s="5" t="s">
        <v>11</v>
      </c>
      <c r="O212" s="36"/>
      <c r="P212" s="42" t="str">
        <f>IF(E212+G212+I212+K212+M212=0,"",D213*E212+F213*G212+H213*I212+J213*K212+L213*M212+N213*O212)</f>
        <v/>
      </c>
      <c r="Q212" s="44"/>
      <c r="R212" s="36"/>
    </row>
    <row r="213" spans="1:18" ht="25.5" customHeight="1" x14ac:dyDescent="0.15">
      <c r="A213" s="37"/>
      <c r="B213" s="41"/>
      <c r="C213" s="61"/>
      <c r="D213" s="6">
        <v>2000</v>
      </c>
      <c r="E213" s="37"/>
      <c r="F213" s="6">
        <v>3000</v>
      </c>
      <c r="G213" s="37"/>
      <c r="H213" s="6">
        <v>3000</v>
      </c>
      <c r="I213" s="37"/>
      <c r="J213" s="6">
        <v>3000</v>
      </c>
      <c r="K213" s="37"/>
      <c r="L213" s="6">
        <v>2000</v>
      </c>
      <c r="M213" s="37"/>
      <c r="N213" s="7">
        <v>2000</v>
      </c>
      <c r="O213" s="37"/>
      <c r="P213" s="43"/>
      <c r="Q213" s="39"/>
      <c r="R213" s="37"/>
    </row>
    <row r="214" spans="1:18" ht="25.5" customHeight="1" x14ac:dyDescent="0.15">
      <c r="A214" s="36">
        <v>90</v>
      </c>
      <c r="B214" s="40"/>
      <c r="C214" s="60"/>
      <c r="D214" s="5" t="s">
        <v>12</v>
      </c>
      <c r="E214" s="36"/>
      <c r="F214" s="5" t="s">
        <v>13</v>
      </c>
      <c r="G214" s="36"/>
      <c r="H214" s="5" t="s">
        <v>8</v>
      </c>
      <c r="I214" s="36"/>
      <c r="J214" s="5" t="s">
        <v>9</v>
      </c>
      <c r="K214" s="36"/>
      <c r="L214" s="5" t="s">
        <v>10</v>
      </c>
      <c r="M214" s="36"/>
      <c r="N214" s="5" t="s">
        <v>11</v>
      </c>
      <c r="O214" s="36"/>
      <c r="P214" s="42" t="str">
        <f>IF(E214+G214+I214+K214+M214=0,"",D215*E214+F215*G214+H215*I214+J215*K214+L215*M214+N215*O214)</f>
        <v/>
      </c>
      <c r="Q214" s="44"/>
      <c r="R214" s="36"/>
    </row>
    <row r="215" spans="1:18" ht="25.5" customHeight="1" thickBot="1" x14ac:dyDescent="0.2">
      <c r="A215" s="57"/>
      <c r="B215" s="59"/>
      <c r="C215" s="80"/>
      <c r="D215" s="25">
        <v>2000</v>
      </c>
      <c r="E215" s="57"/>
      <c r="F215" s="25">
        <v>3000</v>
      </c>
      <c r="G215" s="57"/>
      <c r="H215" s="25">
        <v>3000</v>
      </c>
      <c r="I215" s="57"/>
      <c r="J215" s="25">
        <v>3000</v>
      </c>
      <c r="K215" s="57"/>
      <c r="L215" s="25">
        <v>2000</v>
      </c>
      <c r="M215" s="57"/>
      <c r="N215" s="26">
        <v>2000</v>
      </c>
      <c r="O215" s="57"/>
      <c r="P215" s="56"/>
      <c r="Q215" s="58"/>
      <c r="R215" s="57"/>
    </row>
    <row r="216" spans="1:18" s="1" customFormat="1" ht="21" customHeight="1" thickTop="1" x14ac:dyDescent="0.15">
      <c r="A216" s="20"/>
      <c r="B216" s="21"/>
      <c r="C216" s="22"/>
      <c r="D216" s="23" t="s">
        <v>12</v>
      </c>
      <c r="E216" s="20" t="str">
        <f>IF(SUM(E196:E215)=0,"",SUM(E196:E215))</f>
        <v/>
      </c>
      <c r="F216" s="23" t="s">
        <v>13</v>
      </c>
      <c r="G216" s="20" t="str">
        <f>IF(SUM(G212:G215)=0,"",SUM(G212:G215))</f>
        <v/>
      </c>
      <c r="H216" s="23" t="s">
        <v>8</v>
      </c>
      <c r="I216" s="20" t="str">
        <f>IF(SUM(I212:I215)=0,"",SUM(I212:I215))</f>
        <v/>
      </c>
      <c r="J216" s="23" t="s">
        <v>9</v>
      </c>
      <c r="K216" s="20" t="str">
        <f>IF(SUM(K212:K215)=0,"",SUM(K212:K215))</f>
        <v/>
      </c>
      <c r="L216" s="23" t="s">
        <v>10</v>
      </c>
      <c r="M216" s="20" t="str">
        <f>IF(SUM(M212:M215)=0,"",SUM(M212:M215))</f>
        <v/>
      </c>
      <c r="N216" s="23" t="s">
        <v>11</v>
      </c>
      <c r="O216" s="20" t="str">
        <f>IF(SUM(O196:O215)=0,"",SUM(O196:O215))</f>
        <v/>
      </c>
      <c r="P216" s="24" t="str">
        <f>IF(SUM(P212:P215)=0,"",SUM(P212:P215))</f>
        <v/>
      </c>
      <c r="Q216" s="27" t="str">
        <f>IF(SUM(P216)=SUM(R216),"現/未          0","現/未  "&amp;(P216-SUM(R216))/1000&amp;",000")</f>
        <v>現/未          0</v>
      </c>
      <c r="R216" s="28">
        <f>IF(SUMIF(R212:R215,"",P212:P215)=0,0,SUMIF(R212:R215,"",P212:P215))</f>
        <v>0</v>
      </c>
    </row>
    <row r="217" spans="1:18" s="1" customFormat="1" ht="21" customHeight="1" x14ac:dyDescent="0.15">
      <c r="A217" s="55" t="str">
        <f>A193</f>
        <v>2027年度分収集運搬手数料収入原簿内訳</v>
      </c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spans="1:18" ht="15.75" customHeight="1" x14ac:dyDescent="0.15">
      <c r="A218" s="62" t="s">
        <v>0</v>
      </c>
      <c r="B218" s="62" t="s">
        <v>2</v>
      </c>
      <c r="C218" s="63" t="s">
        <v>3</v>
      </c>
      <c r="D218" s="4" t="s">
        <v>14</v>
      </c>
      <c r="E218" s="64" t="s">
        <v>1</v>
      </c>
      <c r="F218" s="4" t="s">
        <v>14</v>
      </c>
      <c r="G218" s="66" t="s">
        <v>1</v>
      </c>
      <c r="H218" s="4" t="s">
        <v>14</v>
      </c>
      <c r="I218" s="62" t="s">
        <v>1</v>
      </c>
      <c r="J218" s="4" t="s">
        <v>14</v>
      </c>
      <c r="K218" s="62" t="s">
        <v>1</v>
      </c>
      <c r="L218" s="4" t="s">
        <v>14</v>
      </c>
      <c r="M218" s="62" t="s">
        <v>1</v>
      </c>
      <c r="N218" s="4" t="s">
        <v>14</v>
      </c>
      <c r="O218" s="62" t="s">
        <v>1</v>
      </c>
      <c r="P218" s="68" t="s">
        <v>4</v>
      </c>
      <c r="Q218" s="71" t="s">
        <v>5</v>
      </c>
      <c r="R218" s="68" t="s">
        <v>6</v>
      </c>
    </row>
    <row r="219" spans="1:18" ht="15" customHeight="1" x14ac:dyDescent="0.15">
      <c r="A219" s="62"/>
      <c r="B219" s="62"/>
      <c r="C219" s="63"/>
      <c r="D219" s="3" t="s">
        <v>7</v>
      </c>
      <c r="E219" s="65"/>
      <c r="F219" s="3" t="s">
        <v>7</v>
      </c>
      <c r="G219" s="62"/>
      <c r="H219" s="3" t="s">
        <v>7</v>
      </c>
      <c r="I219" s="67"/>
      <c r="J219" s="3" t="s">
        <v>7</v>
      </c>
      <c r="K219" s="62"/>
      <c r="L219" s="3" t="s">
        <v>7</v>
      </c>
      <c r="M219" s="67"/>
      <c r="N219" s="3" t="s">
        <v>7</v>
      </c>
      <c r="O219" s="62"/>
      <c r="P219" s="69"/>
      <c r="Q219" s="62"/>
      <c r="R219" s="70"/>
    </row>
    <row r="220" spans="1:18" ht="25.5" customHeight="1" x14ac:dyDescent="0.15">
      <c r="A220" s="36">
        <v>91</v>
      </c>
      <c r="B220" s="40"/>
      <c r="C220" s="60"/>
      <c r="D220" s="5" t="s">
        <v>12</v>
      </c>
      <c r="E220" s="36"/>
      <c r="F220" s="5" t="s">
        <v>13</v>
      </c>
      <c r="G220" s="36"/>
      <c r="H220" s="5" t="s">
        <v>8</v>
      </c>
      <c r="I220" s="36"/>
      <c r="J220" s="5" t="s">
        <v>9</v>
      </c>
      <c r="K220" s="36"/>
      <c r="L220" s="5" t="s">
        <v>10</v>
      </c>
      <c r="M220" s="36"/>
      <c r="N220" s="5" t="s">
        <v>11</v>
      </c>
      <c r="O220" s="36"/>
      <c r="P220" s="42" t="str">
        <f>IF(E220+G220+I220+K220+M220=0,"",D221*E220+F221*G220+H221*I220+J221*K220+L221*M220+N221*O220)</f>
        <v/>
      </c>
      <c r="Q220" s="38"/>
      <c r="R220" s="36"/>
    </row>
    <row r="221" spans="1:18" ht="25.5" customHeight="1" x14ac:dyDescent="0.15">
      <c r="A221" s="37"/>
      <c r="B221" s="41"/>
      <c r="C221" s="61"/>
      <c r="D221" s="6">
        <v>2000</v>
      </c>
      <c r="E221" s="37"/>
      <c r="F221" s="6">
        <v>3000</v>
      </c>
      <c r="G221" s="37"/>
      <c r="H221" s="6">
        <v>3000</v>
      </c>
      <c r="I221" s="37"/>
      <c r="J221" s="6">
        <v>3000</v>
      </c>
      <c r="K221" s="37"/>
      <c r="L221" s="6">
        <v>2000</v>
      </c>
      <c r="M221" s="37"/>
      <c r="N221" s="7">
        <v>2000</v>
      </c>
      <c r="O221" s="37"/>
      <c r="P221" s="43"/>
      <c r="Q221" s="39"/>
      <c r="R221" s="37"/>
    </row>
    <row r="222" spans="1:18" ht="25.5" customHeight="1" x14ac:dyDescent="0.15">
      <c r="A222" s="36">
        <v>92</v>
      </c>
      <c r="B222" s="40"/>
      <c r="C222" s="60"/>
      <c r="D222" s="5" t="s">
        <v>12</v>
      </c>
      <c r="E222" s="36"/>
      <c r="F222" s="5" t="s">
        <v>13</v>
      </c>
      <c r="G222" s="36"/>
      <c r="H222" s="5" t="s">
        <v>8</v>
      </c>
      <c r="I222" s="36"/>
      <c r="J222" s="5" t="s">
        <v>9</v>
      </c>
      <c r="K222" s="36"/>
      <c r="L222" s="5" t="s">
        <v>10</v>
      </c>
      <c r="M222" s="36"/>
      <c r="N222" s="5" t="s">
        <v>11</v>
      </c>
      <c r="O222" s="36"/>
      <c r="P222" s="42" t="str">
        <f>IF(E222+G222+I222+K222+M222=0,"",D223*E222+F223*G222+H223*I222+J223*K222+L223*M222+N223*O222)</f>
        <v/>
      </c>
      <c r="Q222" s="44"/>
      <c r="R222" s="36"/>
    </row>
    <row r="223" spans="1:18" ht="25.5" customHeight="1" x14ac:dyDescent="0.15">
      <c r="A223" s="37"/>
      <c r="B223" s="41"/>
      <c r="C223" s="61"/>
      <c r="D223" s="6">
        <v>2000</v>
      </c>
      <c r="E223" s="37"/>
      <c r="F223" s="6">
        <v>3000</v>
      </c>
      <c r="G223" s="37"/>
      <c r="H223" s="6">
        <v>3000</v>
      </c>
      <c r="I223" s="37"/>
      <c r="J223" s="6">
        <v>3000</v>
      </c>
      <c r="K223" s="37"/>
      <c r="L223" s="6">
        <v>2000</v>
      </c>
      <c r="M223" s="37"/>
      <c r="N223" s="7">
        <v>2000</v>
      </c>
      <c r="O223" s="37"/>
      <c r="P223" s="43"/>
      <c r="Q223" s="39"/>
      <c r="R223" s="37"/>
    </row>
    <row r="224" spans="1:18" ht="25.5" customHeight="1" x14ac:dyDescent="0.15">
      <c r="A224" s="36">
        <v>93</v>
      </c>
      <c r="B224" s="40"/>
      <c r="C224" s="60"/>
      <c r="D224" s="5" t="s">
        <v>12</v>
      </c>
      <c r="E224" s="36"/>
      <c r="F224" s="5" t="s">
        <v>13</v>
      </c>
      <c r="G224" s="36"/>
      <c r="H224" s="5" t="s">
        <v>8</v>
      </c>
      <c r="I224" s="36"/>
      <c r="J224" s="5" t="s">
        <v>9</v>
      </c>
      <c r="K224" s="36"/>
      <c r="L224" s="5" t="s">
        <v>10</v>
      </c>
      <c r="M224" s="36"/>
      <c r="N224" s="5" t="s">
        <v>11</v>
      </c>
      <c r="O224" s="36"/>
      <c r="P224" s="42" t="str">
        <f>IF(E224+G224+I224+K224+M224=0,"",D225*E224+F225*G224+H225*I224+J225*K224+L225*M224+N225*O224)</f>
        <v/>
      </c>
      <c r="Q224" s="44"/>
      <c r="R224" s="36"/>
    </row>
    <row r="225" spans="1:18" ht="25.5" customHeight="1" x14ac:dyDescent="0.15">
      <c r="A225" s="37"/>
      <c r="B225" s="41"/>
      <c r="C225" s="61"/>
      <c r="D225" s="6">
        <v>2000</v>
      </c>
      <c r="E225" s="37"/>
      <c r="F225" s="6">
        <v>3000</v>
      </c>
      <c r="G225" s="37"/>
      <c r="H225" s="6">
        <v>3000</v>
      </c>
      <c r="I225" s="37"/>
      <c r="J225" s="6">
        <v>3000</v>
      </c>
      <c r="K225" s="37"/>
      <c r="L225" s="6">
        <v>2000</v>
      </c>
      <c r="M225" s="37"/>
      <c r="N225" s="7">
        <v>2000</v>
      </c>
      <c r="O225" s="37"/>
      <c r="P225" s="43"/>
      <c r="Q225" s="39"/>
      <c r="R225" s="37"/>
    </row>
    <row r="226" spans="1:18" ht="25.5" customHeight="1" x14ac:dyDescent="0.15">
      <c r="A226" s="36">
        <v>94</v>
      </c>
      <c r="B226" s="40"/>
      <c r="C226" s="60"/>
      <c r="D226" s="5" t="s">
        <v>12</v>
      </c>
      <c r="E226" s="36"/>
      <c r="F226" s="5" t="s">
        <v>13</v>
      </c>
      <c r="G226" s="36"/>
      <c r="H226" s="5" t="s">
        <v>8</v>
      </c>
      <c r="I226" s="36"/>
      <c r="J226" s="5" t="s">
        <v>9</v>
      </c>
      <c r="K226" s="36"/>
      <c r="L226" s="5" t="s">
        <v>10</v>
      </c>
      <c r="M226" s="36"/>
      <c r="N226" s="5" t="s">
        <v>11</v>
      </c>
      <c r="O226" s="36"/>
      <c r="P226" s="42" t="str">
        <f>IF(E226+G226+I226+K226+M226=0,"",D227*E226+F227*G226+H227*I226+J227*K226+L227*M226+N227*O226)</f>
        <v/>
      </c>
      <c r="Q226" s="44"/>
      <c r="R226" s="36"/>
    </row>
    <row r="227" spans="1:18" ht="25.5" customHeight="1" x14ac:dyDescent="0.15">
      <c r="A227" s="37"/>
      <c r="B227" s="41"/>
      <c r="C227" s="61"/>
      <c r="D227" s="6">
        <v>2000</v>
      </c>
      <c r="E227" s="37"/>
      <c r="F227" s="6">
        <v>3000</v>
      </c>
      <c r="G227" s="37"/>
      <c r="H227" s="6">
        <v>3000</v>
      </c>
      <c r="I227" s="37"/>
      <c r="J227" s="6">
        <v>3000</v>
      </c>
      <c r="K227" s="37"/>
      <c r="L227" s="6">
        <v>2000</v>
      </c>
      <c r="M227" s="37"/>
      <c r="N227" s="7">
        <v>2000</v>
      </c>
      <c r="O227" s="37"/>
      <c r="P227" s="43"/>
      <c r="Q227" s="39"/>
      <c r="R227" s="37"/>
    </row>
    <row r="228" spans="1:18" ht="25.5" customHeight="1" x14ac:dyDescent="0.15">
      <c r="A228" s="36">
        <v>95</v>
      </c>
      <c r="B228" s="40"/>
      <c r="C228" s="60"/>
      <c r="D228" s="5" t="s">
        <v>12</v>
      </c>
      <c r="E228" s="36"/>
      <c r="F228" s="5" t="s">
        <v>13</v>
      </c>
      <c r="G228" s="36"/>
      <c r="H228" s="5" t="s">
        <v>8</v>
      </c>
      <c r="I228" s="36"/>
      <c r="J228" s="5" t="s">
        <v>9</v>
      </c>
      <c r="K228" s="36"/>
      <c r="L228" s="5" t="s">
        <v>10</v>
      </c>
      <c r="M228" s="36"/>
      <c r="N228" s="5" t="s">
        <v>11</v>
      </c>
      <c r="O228" s="36"/>
      <c r="P228" s="42" t="str">
        <f>IF(E228+G228+I228+K228+M228=0,"",D229*E228+F229*G228+H229*I228+J229*K228+L229*M228+N229*O228)</f>
        <v/>
      </c>
      <c r="Q228" s="38"/>
      <c r="R228" s="36"/>
    </row>
    <row r="229" spans="1:18" ht="25.5" customHeight="1" x14ac:dyDescent="0.15">
      <c r="A229" s="37"/>
      <c r="B229" s="41"/>
      <c r="C229" s="61"/>
      <c r="D229" s="6">
        <v>2000</v>
      </c>
      <c r="E229" s="37"/>
      <c r="F229" s="6">
        <v>3000</v>
      </c>
      <c r="G229" s="37"/>
      <c r="H229" s="6">
        <v>3000</v>
      </c>
      <c r="I229" s="37"/>
      <c r="J229" s="6">
        <v>3000</v>
      </c>
      <c r="K229" s="37"/>
      <c r="L229" s="6">
        <v>2000</v>
      </c>
      <c r="M229" s="37"/>
      <c r="N229" s="7">
        <v>2000</v>
      </c>
      <c r="O229" s="37"/>
      <c r="P229" s="43"/>
      <c r="Q229" s="39"/>
      <c r="R229" s="37"/>
    </row>
    <row r="230" spans="1:18" ht="25.5" customHeight="1" x14ac:dyDescent="0.15">
      <c r="A230" s="36">
        <v>96</v>
      </c>
      <c r="B230" s="40"/>
      <c r="C230" s="60"/>
      <c r="D230" s="5" t="s">
        <v>12</v>
      </c>
      <c r="E230" s="36"/>
      <c r="F230" s="5" t="s">
        <v>13</v>
      </c>
      <c r="G230" s="36"/>
      <c r="H230" s="5" t="s">
        <v>8</v>
      </c>
      <c r="I230" s="36"/>
      <c r="J230" s="5" t="s">
        <v>9</v>
      </c>
      <c r="K230" s="36"/>
      <c r="L230" s="5" t="s">
        <v>10</v>
      </c>
      <c r="M230" s="36"/>
      <c r="N230" s="5" t="s">
        <v>11</v>
      </c>
      <c r="O230" s="36"/>
      <c r="P230" s="42" t="str">
        <f>IF(E230+G230+I230+K230+M230=0,"",D231*E230+F231*G230+H231*I230+J231*K230+L231*M230+N231*O230)</f>
        <v/>
      </c>
      <c r="Q230" s="44"/>
      <c r="R230" s="36"/>
    </row>
    <row r="231" spans="1:18" ht="25.5" customHeight="1" x14ac:dyDescent="0.15">
      <c r="A231" s="37"/>
      <c r="B231" s="41"/>
      <c r="C231" s="61"/>
      <c r="D231" s="6">
        <v>2000</v>
      </c>
      <c r="E231" s="37"/>
      <c r="F231" s="6">
        <v>3000</v>
      </c>
      <c r="G231" s="37"/>
      <c r="H231" s="6">
        <v>3000</v>
      </c>
      <c r="I231" s="37"/>
      <c r="J231" s="6">
        <v>3000</v>
      </c>
      <c r="K231" s="37"/>
      <c r="L231" s="6">
        <v>2000</v>
      </c>
      <c r="M231" s="37"/>
      <c r="N231" s="7">
        <v>2000</v>
      </c>
      <c r="O231" s="37"/>
      <c r="P231" s="43"/>
      <c r="Q231" s="39"/>
      <c r="R231" s="37"/>
    </row>
    <row r="232" spans="1:18" ht="25.5" customHeight="1" x14ac:dyDescent="0.15">
      <c r="A232" s="36">
        <v>97</v>
      </c>
      <c r="B232" s="40"/>
      <c r="C232" s="60"/>
      <c r="D232" s="5" t="s">
        <v>12</v>
      </c>
      <c r="E232" s="36"/>
      <c r="F232" s="5" t="s">
        <v>13</v>
      </c>
      <c r="G232" s="36"/>
      <c r="H232" s="5" t="s">
        <v>8</v>
      </c>
      <c r="I232" s="36"/>
      <c r="J232" s="5" t="s">
        <v>9</v>
      </c>
      <c r="K232" s="36"/>
      <c r="L232" s="5" t="s">
        <v>10</v>
      </c>
      <c r="M232" s="36"/>
      <c r="N232" s="5" t="s">
        <v>11</v>
      </c>
      <c r="O232" s="36"/>
      <c r="P232" s="42" t="str">
        <f>IF(E232+G232+I232+K232+M232=0,"",D233*E232+F233*G232+H233*I232+J233*K232+L233*M232+N233*O232)</f>
        <v/>
      </c>
      <c r="Q232" s="38"/>
      <c r="R232" s="36"/>
    </row>
    <row r="233" spans="1:18" ht="25.5" customHeight="1" x14ac:dyDescent="0.15">
      <c r="A233" s="37"/>
      <c r="B233" s="41"/>
      <c r="C233" s="61"/>
      <c r="D233" s="6">
        <v>2000</v>
      </c>
      <c r="E233" s="37"/>
      <c r="F233" s="6">
        <v>3000</v>
      </c>
      <c r="G233" s="37"/>
      <c r="H233" s="6">
        <v>3000</v>
      </c>
      <c r="I233" s="37"/>
      <c r="J233" s="6">
        <v>3000</v>
      </c>
      <c r="K233" s="37"/>
      <c r="L233" s="6">
        <v>2000</v>
      </c>
      <c r="M233" s="37"/>
      <c r="N233" s="7">
        <v>2000</v>
      </c>
      <c r="O233" s="37"/>
      <c r="P233" s="43"/>
      <c r="Q233" s="39"/>
      <c r="R233" s="37"/>
    </row>
    <row r="234" spans="1:18" ht="25.5" customHeight="1" x14ac:dyDescent="0.15">
      <c r="A234" s="36">
        <v>98</v>
      </c>
      <c r="B234" s="40"/>
      <c r="C234" s="60"/>
      <c r="D234" s="5" t="s">
        <v>12</v>
      </c>
      <c r="E234" s="36"/>
      <c r="F234" s="5" t="s">
        <v>13</v>
      </c>
      <c r="G234" s="36"/>
      <c r="H234" s="5" t="s">
        <v>8</v>
      </c>
      <c r="I234" s="36"/>
      <c r="J234" s="5" t="s">
        <v>9</v>
      </c>
      <c r="K234" s="36"/>
      <c r="L234" s="5" t="s">
        <v>10</v>
      </c>
      <c r="M234" s="36"/>
      <c r="N234" s="5" t="s">
        <v>11</v>
      </c>
      <c r="O234" s="36"/>
      <c r="P234" s="42" t="str">
        <f>IF(E234+G234+I234+K234+M234=0,"",D235*E234+F235*G234+H235*I234+J235*K234+L235*M234+N235*O234)</f>
        <v/>
      </c>
      <c r="Q234" s="38"/>
      <c r="R234" s="36"/>
    </row>
    <row r="235" spans="1:18" ht="25.5" customHeight="1" x14ac:dyDescent="0.15">
      <c r="A235" s="37"/>
      <c r="B235" s="41"/>
      <c r="C235" s="61"/>
      <c r="D235" s="6">
        <v>2000</v>
      </c>
      <c r="E235" s="37"/>
      <c r="F235" s="6">
        <v>3000</v>
      </c>
      <c r="G235" s="37"/>
      <c r="H235" s="6">
        <v>3000</v>
      </c>
      <c r="I235" s="37"/>
      <c r="J235" s="6">
        <v>3000</v>
      </c>
      <c r="K235" s="37"/>
      <c r="L235" s="6">
        <v>2000</v>
      </c>
      <c r="M235" s="37"/>
      <c r="N235" s="7">
        <v>2000</v>
      </c>
      <c r="O235" s="37"/>
      <c r="P235" s="43"/>
      <c r="Q235" s="39"/>
      <c r="R235" s="37"/>
    </row>
    <row r="236" spans="1:18" ht="25.5" customHeight="1" x14ac:dyDescent="0.15">
      <c r="A236" s="36">
        <v>99</v>
      </c>
      <c r="B236" s="40"/>
      <c r="C236" s="60"/>
      <c r="D236" s="5" t="s">
        <v>12</v>
      </c>
      <c r="E236" s="36"/>
      <c r="F236" s="5" t="s">
        <v>13</v>
      </c>
      <c r="G236" s="36"/>
      <c r="H236" s="5" t="s">
        <v>8</v>
      </c>
      <c r="I236" s="36"/>
      <c r="J236" s="5" t="s">
        <v>9</v>
      </c>
      <c r="K236" s="36"/>
      <c r="L236" s="5" t="s">
        <v>10</v>
      </c>
      <c r="M236" s="36"/>
      <c r="N236" s="5" t="s">
        <v>11</v>
      </c>
      <c r="O236" s="36"/>
      <c r="P236" s="42" t="str">
        <f>IF(E236+G236+I236+K236+M236=0,"",D237*E236+F237*G236+H237*I236+J237*K236+L237*M236+N237*O236)</f>
        <v/>
      </c>
      <c r="Q236" s="44"/>
      <c r="R236" s="36"/>
    </row>
    <row r="237" spans="1:18" ht="25.5" customHeight="1" x14ac:dyDescent="0.15">
      <c r="A237" s="37"/>
      <c r="B237" s="41"/>
      <c r="C237" s="61"/>
      <c r="D237" s="6">
        <v>2000</v>
      </c>
      <c r="E237" s="37"/>
      <c r="F237" s="6">
        <v>3000</v>
      </c>
      <c r="G237" s="37"/>
      <c r="H237" s="6">
        <v>3000</v>
      </c>
      <c r="I237" s="37"/>
      <c r="J237" s="6">
        <v>3000</v>
      </c>
      <c r="K237" s="37"/>
      <c r="L237" s="6">
        <v>2000</v>
      </c>
      <c r="M237" s="37"/>
      <c r="N237" s="7">
        <v>2000</v>
      </c>
      <c r="O237" s="37"/>
      <c r="P237" s="43"/>
      <c r="Q237" s="39"/>
      <c r="R237" s="37"/>
    </row>
    <row r="238" spans="1:18" ht="25.5" customHeight="1" x14ac:dyDescent="0.15">
      <c r="A238" s="36">
        <v>100</v>
      </c>
      <c r="B238" s="40"/>
      <c r="C238" s="60"/>
      <c r="D238" s="5" t="s">
        <v>12</v>
      </c>
      <c r="E238" s="36"/>
      <c r="F238" s="5" t="s">
        <v>13</v>
      </c>
      <c r="G238" s="36"/>
      <c r="H238" s="5" t="s">
        <v>8</v>
      </c>
      <c r="I238" s="36"/>
      <c r="J238" s="5" t="s">
        <v>9</v>
      </c>
      <c r="K238" s="36"/>
      <c r="L238" s="5" t="s">
        <v>10</v>
      </c>
      <c r="M238" s="36"/>
      <c r="N238" s="5" t="s">
        <v>11</v>
      </c>
      <c r="O238" s="36"/>
      <c r="P238" s="42" t="str">
        <f>IF(E238+G238+I238+K238+M238=0,"",D239*E238+F239*G238+H239*I238+J239*K238+L239*M238+N239*O238)</f>
        <v/>
      </c>
      <c r="Q238" s="44"/>
      <c r="R238" s="36"/>
    </row>
    <row r="239" spans="1:18" ht="25.5" customHeight="1" thickBot="1" x14ac:dyDescent="0.2">
      <c r="A239" s="57"/>
      <c r="B239" s="59"/>
      <c r="C239" s="80"/>
      <c r="D239" s="25">
        <v>2000</v>
      </c>
      <c r="E239" s="57"/>
      <c r="F239" s="25">
        <v>3000</v>
      </c>
      <c r="G239" s="57"/>
      <c r="H239" s="25">
        <v>3000</v>
      </c>
      <c r="I239" s="57"/>
      <c r="J239" s="25">
        <v>3000</v>
      </c>
      <c r="K239" s="57"/>
      <c r="L239" s="25">
        <v>2000</v>
      </c>
      <c r="M239" s="57"/>
      <c r="N239" s="26">
        <v>2000</v>
      </c>
      <c r="O239" s="57"/>
      <c r="P239" s="56"/>
      <c r="Q239" s="58"/>
      <c r="R239" s="57"/>
    </row>
    <row r="240" spans="1:18" s="1" customFormat="1" ht="21" customHeight="1" thickTop="1" x14ac:dyDescent="0.15">
      <c r="A240" s="20"/>
      <c r="B240" s="21"/>
      <c r="C240" s="22"/>
      <c r="D240" s="23" t="s">
        <v>12</v>
      </c>
      <c r="E240" s="20" t="str">
        <f>IF(SUM(E220:E239)=0,"",SUM(E220:E239))</f>
        <v/>
      </c>
      <c r="F240" s="23" t="s">
        <v>13</v>
      </c>
      <c r="G240" s="20" t="str">
        <f>IF(SUM(G232:G239)=0,"",SUM(G232:G239))</f>
        <v/>
      </c>
      <c r="H240" s="23" t="s">
        <v>8</v>
      </c>
      <c r="I240" s="20" t="str">
        <f>IF(SUM(I232:I239)=0,"",SUM(I232:I239))</f>
        <v/>
      </c>
      <c r="J240" s="23" t="s">
        <v>9</v>
      </c>
      <c r="K240" s="20" t="str">
        <f>IF(SUM(K232:K239)=0,"",SUM(K232:K239))</f>
        <v/>
      </c>
      <c r="L240" s="23" t="s">
        <v>10</v>
      </c>
      <c r="M240" s="20" t="str">
        <f>IF(SUM(M232:M239)=0,"",SUM(M232:M239))</f>
        <v/>
      </c>
      <c r="N240" s="23" t="s">
        <v>11</v>
      </c>
      <c r="O240" s="20" t="str">
        <f>IF(SUM(O232:O239)=0,"",SUM(O232:O239))</f>
        <v/>
      </c>
      <c r="P240" s="24" t="str">
        <f>IF(SUM(P232:P239)=0,"",SUM(P232:P239))</f>
        <v/>
      </c>
      <c r="Q240" s="27" t="str">
        <f>IF(SUM(P240)=SUM(R240),"現/未          0","現/未  "&amp;(P240-SUM(R240))/1000&amp;",000")</f>
        <v>現/未          0</v>
      </c>
      <c r="R240" s="28">
        <f>IF(SUMIF(R232:R239,"",P232:P239)=0,0,SUMIF(R232:R239,"",P232:P239))</f>
        <v>0</v>
      </c>
    </row>
    <row r="241" spans="1:18" s="1" customFormat="1" ht="21" customHeight="1" x14ac:dyDescent="0.15">
      <c r="A241" s="55" t="str">
        <f>A217</f>
        <v>2027年度分収集運搬手数料収入原簿内訳</v>
      </c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</row>
    <row r="242" spans="1:18" ht="15.75" customHeight="1" x14ac:dyDescent="0.15">
      <c r="A242" s="62" t="s">
        <v>0</v>
      </c>
      <c r="B242" s="62" t="s">
        <v>2</v>
      </c>
      <c r="C242" s="63" t="s">
        <v>3</v>
      </c>
      <c r="D242" s="4" t="s">
        <v>14</v>
      </c>
      <c r="E242" s="64" t="s">
        <v>1</v>
      </c>
      <c r="F242" s="4" t="s">
        <v>14</v>
      </c>
      <c r="G242" s="66" t="s">
        <v>1</v>
      </c>
      <c r="H242" s="4" t="s">
        <v>14</v>
      </c>
      <c r="I242" s="62" t="s">
        <v>1</v>
      </c>
      <c r="J242" s="4" t="s">
        <v>14</v>
      </c>
      <c r="K242" s="62" t="s">
        <v>1</v>
      </c>
      <c r="L242" s="4" t="s">
        <v>14</v>
      </c>
      <c r="M242" s="62" t="s">
        <v>1</v>
      </c>
      <c r="N242" s="4" t="s">
        <v>14</v>
      </c>
      <c r="O242" s="62" t="s">
        <v>1</v>
      </c>
      <c r="P242" s="68" t="s">
        <v>4</v>
      </c>
      <c r="Q242" s="71" t="s">
        <v>5</v>
      </c>
      <c r="R242" s="68" t="s">
        <v>6</v>
      </c>
    </row>
    <row r="243" spans="1:18" ht="15" customHeight="1" x14ac:dyDescent="0.15">
      <c r="A243" s="62"/>
      <c r="B243" s="62"/>
      <c r="C243" s="63"/>
      <c r="D243" s="3" t="s">
        <v>7</v>
      </c>
      <c r="E243" s="65"/>
      <c r="F243" s="3" t="s">
        <v>7</v>
      </c>
      <c r="G243" s="62"/>
      <c r="H243" s="3" t="s">
        <v>7</v>
      </c>
      <c r="I243" s="67"/>
      <c r="J243" s="3" t="s">
        <v>7</v>
      </c>
      <c r="K243" s="62"/>
      <c r="L243" s="3" t="s">
        <v>7</v>
      </c>
      <c r="M243" s="67"/>
      <c r="N243" s="3" t="s">
        <v>7</v>
      </c>
      <c r="O243" s="62"/>
      <c r="P243" s="69"/>
      <c r="Q243" s="62"/>
      <c r="R243" s="70"/>
    </row>
    <row r="244" spans="1:18" ht="25.5" customHeight="1" x14ac:dyDescent="0.15">
      <c r="A244" s="36">
        <v>101</v>
      </c>
      <c r="B244" s="40"/>
      <c r="C244" s="60"/>
      <c r="D244" s="5" t="s">
        <v>12</v>
      </c>
      <c r="E244" s="36"/>
      <c r="F244" s="5" t="s">
        <v>13</v>
      </c>
      <c r="G244" s="36"/>
      <c r="H244" s="5" t="s">
        <v>8</v>
      </c>
      <c r="I244" s="36"/>
      <c r="J244" s="5" t="s">
        <v>9</v>
      </c>
      <c r="K244" s="36"/>
      <c r="L244" s="5" t="s">
        <v>10</v>
      </c>
      <c r="M244" s="36"/>
      <c r="N244" s="5" t="s">
        <v>11</v>
      </c>
      <c r="O244" s="36"/>
      <c r="P244" s="42" t="str">
        <f>IF(E244+G244+I244+K244+M244=0,"",D245*E244+F245*G244+H245*I244+J245*K244+L245*M244+N245*O244)</f>
        <v/>
      </c>
      <c r="Q244" s="38"/>
      <c r="R244" s="36"/>
    </row>
    <row r="245" spans="1:18" ht="25.5" customHeight="1" x14ac:dyDescent="0.15">
      <c r="A245" s="37"/>
      <c r="B245" s="41"/>
      <c r="C245" s="61"/>
      <c r="D245" s="6">
        <v>2000</v>
      </c>
      <c r="E245" s="37"/>
      <c r="F245" s="6">
        <v>3000</v>
      </c>
      <c r="G245" s="37"/>
      <c r="H245" s="6">
        <v>3000</v>
      </c>
      <c r="I245" s="37"/>
      <c r="J245" s="6">
        <v>3000</v>
      </c>
      <c r="K245" s="37"/>
      <c r="L245" s="6">
        <v>2000</v>
      </c>
      <c r="M245" s="37"/>
      <c r="N245" s="7">
        <v>2000</v>
      </c>
      <c r="O245" s="37"/>
      <c r="P245" s="43"/>
      <c r="Q245" s="39"/>
      <c r="R245" s="37"/>
    </row>
    <row r="246" spans="1:18" ht="25.5" customHeight="1" x14ac:dyDescent="0.15">
      <c r="A246" s="36">
        <v>102</v>
      </c>
      <c r="B246" s="40"/>
      <c r="C246" s="60"/>
      <c r="D246" s="5" t="s">
        <v>12</v>
      </c>
      <c r="E246" s="36"/>
      <c r="F246" s="5" t="s">
        <v>13</v>
      </c>
      <c r="G246" s="36"/>
      <c r="H246" s="5" t="s">
        <v>8</v>
      </c>
      <c r="I246" s="36"/>
      <c r="J246" s="5" t="s">
        <v>9</v>
      </c>
      <c r="K246" s="36"/>
      <c r="L246" s="5" t="s">
        <v>10</v>
      </c>
      <c r="M246" s="36"/>
      <c r="N246" s="5" t="s">
        <v>11</v>
      </c>
      <c r="O246" s="36"/>
      <c r="P246" s="42" t="str">
        <f>IF(E246+G246+I246+K246+M246=0,"",D247*E246+F247*G246+H247*I246+J247*K246+L247*M246+N247*O246)</f>
        <v/>
      </c>
      <c r="Q246" s="44"/>
      <c r="R246" s="36"/>
    </row>
    <row r="247" spans="1:18" ht="25.5" customHeight="1" x14ac:dyDescent="0.15">
      <c r="A247" s="37"/>
      <c r="B247" s="41"/>
      <c r="C247" s="61"/>
      <c r="D247" s="6">
        <v>2000</v>
      </c>
      <c r="E247" s="37"/>
      <c r="F247" s="6">
        <v>3000</v>
      </c>
      <c r="G247" s="37"/>
      <c r="H247" s="6">
        <v>3000</v>
      </c>
      <c r="I247" s="37"/>
      <c r="J247" s="6">
        <v>3000</v>
      </c>
      <c r="K247" s="37"/>
      <c r="L247" s="6">
        <v>2000</v>
      </c>
      <c r="M247" s="37"/>
      <c r="N247" s="7">
        <v>2000</v>
      </c>
      <c r="O247" s="37"/>
      <c r="P247" s="43"/>
      <c r="Q247" s="39"/>
      <c r="R247" s="37"/>
    </row>
    <row r="248" spans="1:18" ht="25.5" customHeight="1" x14ac:dyDescent="0.15">
      <c r="A248" s="36">
        <v>103</v>
      </c>
      <c r="B248" s="40"/>
      <c r="C248" s="60"/>
      <c r="D248" s="5" t="s">
        <v>12</v>
      </c>
      <c r="E248" s="36"/>
      <c r="F248" s="5" t="s">
        <v>13</v>
      </c>
      <c r="G248" s="36"/>
      <c r="H248" s="5" t="s">
        <v>8</v>
      </c>
      <c r="I248" s="36"/>
      <c r="J248" s="5" t="s">
        <v>9</v>
      </c>
      <c r="K248" s="36"/>
      <c r="L248" s="5" t="s">
        <v>10</v>
      </c>
      <c r="M248" s="36"/>
      <c r="N248" s="5" t="s">
        <v>11</v>
      </c>
      <c r="O248" s="36"/>
      <c r="P248" s="42" t="str">
        <f>IF(E248+G248+I248+K248+M248=0,"",D249*E248+F249*G248+H249*I248+J249*K248+L249*M248+N249*O248)</f>
        <v/>
      </c>
      <c r="Q248" s="44"/>
      <c r="R248" s="36"/>
    </row>
    <row r="249" spans="1:18" ht="25.5" customHeight="1" x14ac:dyDescent="0.15">
      <c r="A249" s="37"/>
      <c r="B249" s="41"/>
      <c r="C249" s="61"/>
      <c r="D249" s="6">
        <v>2000</v>
      </c>
      <c r="E249" s="37"/>
      <c r="F249" s="6">
        <v>3000</v>
      </c>
      <c r="G249" s="37"/>
      <c r="H249" s="6">
        <v>3000</v>
      </c>
      <c r="I249" s="37"/>
      <c r="J249" s="6">
        <v>3000</v>
      </c>
      <c r="K249" s="37"/>
      <c r="L249" s="6">
        <v>2000</v>
      </c>
      <c r="M249" s="37"/>
      <c r="N249" s="7">
        <v>2000</v>
      </c>
      <c r="O249" s="37"/>
      <c r="P249" s="43"/>
      <c r="Q249" s="39"/>
      <c r="R249" s="37"/>
    </row>
    <row r="250" spans="1:18" ht="25.5" customHeight="1" x14ac:dyDescent="0.15">
      <c r="A250" s="36">
        <v>104</v>
      </c>
      <c r="B250" s="40"/>
      <c r="C250" s="60"/>
      <c r="D250" s="5" t="s">
        <v>12</v>
      </c>
      <c r="E250" s="36"/>
      <c r="F250" s="5" t="s">
        <v>13</v>
      </c>
      <c r="G250" s="36"/>
      <c r="H250" s="5" t="s">
        <v>8</v>
      </c>
      <c r="I250" s="36"/>
      <c r="J250" s="5" t="s">
        <v>9</v>
      </c>
      <c r="K250" s="36"/>
      <c r="L250" s="5" t="s">
        <v>10</v>
      </c>
      <c r="M250" s="36"/>
      <c r="N250" s="5" t="s">
        <v>11</v>
      </c>
      <c r="O250" s="36"/>
      <c r="P250" s="42" t="str">
        <f>IF(E250+G250+I250+K250+M250=0,"",D251*E250+F251*G250+H251*I250+J251*K250+L251*M250+N251*O250)</f>
        <v/>
      </c>
      <c r="Q250" s="44"/>
      <c r="R250" s="36"/>
    </row>
    <row r="251" spans="1:18" ht="25.5" customHeight="1" x14ac:dyDescent="0.15">
      <c r="A251" s="37"/>
      <c r="B251" s="41"/>
      <c r="C251" s="61"/>
      <c r="D251" s="6">
        <v>2000</v>
      </c>
      <c r="E251" s="37"/>
      <c r="F251" s="6">
        <v>3000</v>
      </c>
      <c r="G251" s="37"/>
      <c r="H251" s="6">
        <v>3000</v>
      </c>
      <c r="I251" s="37"/>
      <c r="J251" s="6">
        <v>3000</v>
      </c>
      <c r="K251" s="37"/>
      <c r="L251" s="6">
        <v>2000</v>
      </c>
      <c r="M251" s="37"/>
      <c r="N251" s="7">
        <v>2000</v>
      </c>
      <c r="O251" s="37"/>
      <c r="P251" s="43"/>
      <c r="Q251" s="39"/>
      <c r="R251" s="37"/>
    </row>
    <row r="252" spans="1:18" ht="25.5" customHeight="1" x14ac:dyDescent="0.15">
      <c r="A252" s="36">
        <v>105</v>
      </c>
      <c r="B252" s="40"/>
      <c r="C252" s="60"/>
      <c r="D252" s="5" t="s">
        <v>12</v>
      </c>
      <c r="E252" s="36"/>
      <c r="F252" s="5" t="s">
        <v>13</v>
      </c>
      <c r="G252" s="36"/>
      <c r="H252" s="5" t="s">
        <v>8</v>
      </c>
      <c r="I252" s="36"/>
      <c r="J252" s="5" t="s">
        <v>9</v>
      </c>
      <c r="K252" s="36"/>
      <c r="L252" s="5" t="s">
        <v>10</v>
      </c>
      <c r="M252" s="36"/>
      <c r="N252" s="5" t="s">
        <v>11</v>
      </c>
      <c r="O252" s="36"/>
      <c r="P252" s="42" t="str">
        <f>IF(E252+G252+I252+K252+M252=0,"",D253*E252+F253*G252+H253*I252+J253*K252+L253*M252+N253*O252)</f>
        <v/>
      </c>
      <c r="Q252" s="38"/>
      <c r="R252" s="36"/>
    </row>
    <row r="253" spans="1:18" ht="25.5" customHeight="1" x14ac:dyDescent="0.15">
      <c r="A253" s="37"/>
      <c r="B253" s="41"/>
      <c r="C253" s="61"/>
      <c r="D253" s="6">
        <v>2000</v>
      </c>
      <c r="E253" s="37"/>
      <c r="F253" s="6">
        <v>3000</v>
      </c>
      <c r="G253" s="37"/>
      <c r="H253" s="6">
        <v>3000</v>
      </c>
      <c r="I253" s="37"/>
      <c r="J253" s="6">
        <v>3000</v>
      </c>
      <c r="K253" s="37"/>
      <c r="L253" s="6">
        <v>2000</v>
      </c>
      <c r="M253" s="37"/>
      <c r="N253" s="7">
        <v>2000</v>
      </c>
      <c r="O253" s="37"/>
      <c r="P253" s="43"/>
      <c r="Q253" s="39"/>
      <c r="R253" s="37"/>
    </row>
    <row r="254" spans="1:18" ht="25.5" customHeight="1" x14ac:dyDescent="0.15">
      <c r="A254" s="36">
        <v>106</v>
      </c>
      <c r="B254" s="40"/>
      <c r="C254" s="60"/>
      <c r="D254" s="5" t="s">
        <v>12</v>
      </c>
      <c r="E254" s="36"/>
      <c r="F254" s="5" t="s">
        <v>13</v>
      </c>
      <c r="G254" s="36"/>
      <c r="H254" s="5" t="s">
        <v>8</v>
      </c>
      <c r="I254" s="36"/>
      <c r="J254" s="5" t="s">
        <v>9</v>
      </c>
      <c r="K254" s="36"/>
      <c r="L254" s="5" t="s">
        <v>10</v>
      </c>
      <c r="M254" s="36"/>
      <c r="N254" s="5" t="s">
        <v>11</v>
      </c>
      <c r="O254" s="36"/>
      <c r="P254" s="42" t="str">
        <f>IF(E254+G254+I254+K254+M254=0,"",D255*E254+F255*G254+H255*I254+J255*K254+L255*M254+N255*O254)</f>
        <v/>
      </c>
      <c r="Q254" s="44"/>
      <c r="R254" s="36"/>
    </row>
    <row r="255" spans="1:18" ht="25.5" customHeight="1" x14ac:dyDescent="0.15">
      <c r="A255" s="37"/>
      <c r="B255" s="41"/>
      <c r="C255" s="61"/>
      <c r="D255" s="6">
        <v>2000</v>
      </c>
      <c r="E255" s="37"/>
      <c r="F255" s="6">
        <v>3000</v>
      </c>
      <c r="G255" s="37"/>
      <c r="H255" s="6">
        <v>3000</v>
      </c>
      <c r="I255" s="37"/>
      <c r="J255" s="6">
        <v>3000</v>
      </c>
      <c r="K255" s="37"/>
      <c r="L255" s="6">
        <v>2000</v>
      </c>
      <c r="M255" s="37"/>
      <c r="N255" s="7">
        <v>2000</v>
      </c>
      <c r="O255" s="37"/>
      <c r="P255" s="43"/>
      <c r="Q255" s="39"/>
      <c r="R255" s="37"/>
    </row>
    <row r="256" spans="1:18" ht="25.5" customHeight="1" x14ac:dyDescent="0.15">
      <c r="A256" s="36">
        <v>107</v>
      </c>
      <c r="B256" s="40"/>
      <c r="C256" s="60"/>
      <c r="D256" s="5" t="s">
        <v>12</v>
      </c>
      <c r="E256" s="36"/>
      <c r="F256" s="5" t="s">
        <v>13</v>
      </c>
      <c r="G256" s="36"/>
      <c r="H256" s="5" t="s">
        <v>8</v>
      </c>
      <c r="I256" s="36"/>
      <c r="J256" s="5" t="s">
        <v>9</v>
      </c>
      <c r="K256" s="36"/>
      <c r="L256" s="5" t="s">
        <v>10</v>
      </c>
      <c r="M256" s="36"/>
      <c r="N256" s="5" t="s">
        <v>11</v>
      </c>
      <c r="O256" s="36"/>
      <c r="P256" s="42" t="str">
        <f>IF(E256+G256+I256+K256+M256=0,"",D257*E256+F257*G256+H257*I256+J257*K256+L257*M256+N257*O256)</f>
        <v/>
      </c>
      <c r="Q256" s="38"/>
      <c r="R256" s="36"/>
    </row>
    <row r="257" spans="1:18" ht="25.5" customHeight="1" x14ac:dyDescent="0.15">
      <c r="A257" s="37"/>
      <c r="B257" s="41"/>
      <c r="C257" s="61"/>
      <c r="D257" s="6">
        <v>2000</v>
      </c>
      <c r="E257" s="37"/>
      <c r="F257" s="6">
        <v>3000</v>
      </c>
      <c r="G257" s="37"/>
      <c r="H257" s="6">
        <v>3000</v>
      </c>
      <c r="I257" s="37"/>
      <c r="J257" s="6">
        <v>3000</v>
      </c>
      <c r="K257" s="37"/>
      <c r="L257" s="6">
        <v>2000</v>
      </c>
      <c r="M257" s="37"/>
      <c r="N257" s="7">
        <v>2000</v>
      </c>
      <c r="O257" s="37"/>
      <c r="P257" s="43"/>
      <c r="Q257" s="39"/>
      <c r="R257" s="37"/>
    </row>
    <row r="258" spans="1:18" ht="25.5" customHeight="1" x14ac:dyDescent="0.15">
      <c r="A258" s="36">
        <v>108</v>
      </c>
      <c r="B258" s="40"/>
      <c r="C258" s="60"/>
      <c r="D258" s="5" t="s">
        <v>12</v>
      </c>
      <c r="E258" s="36"/>
      <c r="F258" s="5" t="s">
        <v>13</v>
      </c>
      <c r="G258" s="36"/>
      <c r="H258" s="5" t="s">
        <v>8</v>
      </c>
      <c r="I258" s="36"/>
      <c r="J258" s="5" t="s">
        <v>9</v>
      </c>
      <c r="K258" s="36"/>
      <c r="L258" s="5" t="s">
        <v>10</v>
      </c>
      <c r="M258" s="36"/>
      <c r="N258" s="5" t="s">
        <v>11</v>
      </c>
      <c r="O258" s="36"/>
      <c r="P258" s="42" t="str">
        <f>IF(E258+G258+I258+K258+M258=0,"",D259*E258+F259*G258+H259*I258+J259*K258+L259*M258+N259*O258)</f>
        <v/>
      </c>
      <c r="Q258" s="38"/>
      <c r="R258" s="36"/>
    </row>
    <row r="259" spans="1:18" ht="25.5" customHeight="1" x14ac:dyDescent="0.15">
      <c r="A259" s="37"/>
      <c r="B259" s="41"/>
      <c r="C259" s="61"/>
      <c r="D259" s="6">
        <v>2000</v>
      </c>
      <c r="E259" s="37"/>
      <c r="F259" s="6">
        <v>3000</v>
      </c>
      <c r="G259" s="37"/>
      <c r="H259" s="6">
        <v>3000</v>
      </c>
      <c r="I259" s="37"/>
      <c r="J259" s="6">
        <v>3000</v>
      </c>
      <c r="K259" s="37"/>
      <c r="L259" s="6">
        <v>2000</v>
      </c>
      <c r="M259" s="37"/>
      <c r="N259" s="7">
        <v>2000</v>
      </c>
      <c r="O259" s="37"/>
      <c r="P259" s="43"/>
      <c r="Q259" s="39"/>
      <c r="R259" s="37"/>
    </row>
    <row r="260" spans="1:18" ht="25.5" customHeight="1" x14ac:dyDescent="0.15">
      <c r="A260" s="36">
        <v>109</v>
      </c>
      <c r="B260" s="40"/>
      <c r="C260" s="60"/>
      <c r="D260" s="5" t="s">
        <v>12</v>
      </c>
      <c r="E260" s="36"/>
      <c r="F260" s="5" t="s">
        <v>13</v>
      </c>
      <c r="G260" s="36"/>
      <c r="H260" s="5" t="s">
        <v>8</v>
      </c>
      <c r="I260" s="36"/>
      <c r="J260" s="5" t="s">
        <v>9</v>
      </c>
      <c r="K260" s="36"/>
      <c r="L260" s="5" t="s">
        <v>10</v>
      </c>
      <c r="M260" s="36"/>
      <c r="N260" s="5" t="s">
        <v>11</v>
      </c>
      <c r="O260" s="36"/>
      <c r="P260" s="42" t="str">
        <f>IF(E260+G260+I260+K260+M260=0,"",D261*E260+F261*G260+H261*I260+J261*K260+L261*M260+N261*O260)</f>
        <v/>
      </c>
      <c r="Q260" s="44"/>
      <c r="R260" s="36"/>
    </row>
    <row r="261" spans="1:18" ht="25.5" customHeight="1" x14ac:dyDescent="0.15">
      <c r="A261" s="37"/>
      <c r="B261" s="41"/>
      <c r="C261" s="61"/>
      <c r="D261" s="6">
        <v>2000</v>
      </c>
      <c r="E261" s="37"/>
      <c r="F261" s="6">
        <v>3000</v>
      </c>
      <c r="G261" s="37"/>
      <c r="H261" s="6">
        <v>3000</v>
      </c>
      <c r="I261" s="37"/>
      <c r="J261" s="6">
        <v>3000</v>
      </c>
      <c r="K261" s="37"/>
      <c r="L261" s="6">
        <v>2000</v>
      </c>
      <c r="M261" s="37"/>
      <c r="N261" s="7">
        <v>2000</v>
      </c>
      <c r="O261" s="37"/>
      <c r="P261" s="43"/>
      <c r="Q261" s="39"/>
      <c r="R261" s="37"/>
    </row>
    <row r="262" spans="1:18" ht="25.5" customHeight="1" x14ac:dyDescent="0.15">
      <c r="A262" s="36">
        <v>110</v>
      </c>
      <c r="B262" s="40"/>
      <c r="C262" s="60"/>
      <c r="D262" s="5" t="s">
        <v>12</v>
      </c>
      <c r="E262" s="36"/>
      <c r="F262" s="5" t="s">
        <v>13</v>
      </c>
      <c r="G262" s="36"/>
      <c r="H262" s="5" t="s">
        <v>8</v>
      </c>
      <c r="I262" s="36"/>
      <c r="J262" s="5" t="s">
        <v>9</v>
      </c>
      <c r="K262" s="36"/>
      <c r="L262" s="5" t="s">
        <v>10</v>
      </c>
      <c r="M262" s="36"/>
      <c r="N262" s="5" t="s">
        <v>11</v>
      </c>
      <c r="O262" s="36"/>
      <c r="P262" s="42" t="str">
        <f>IF(E262+G262+I262+K262+M262=0,"",D263*E262+F263*G262+H263*I262+J263*K262+L263*M262+N263*O262)</f>
        <v/>
      </c>
      <c r="Q262" s="44"/>
      <c r="R262" s="36"/>
    </row>
    <row r="263" spans="1:18" ht="25.5" customHeight="1" thickBot="1" x14ac:dyDescent="0.2">
      <c r="A263" s="57"/>
      <c r="B263" s="59"/>
      <c r="C263" s="80"/>
      <c r="D263" s="25">
        <v>2000</v>
      </c>
      <c r="E263" s="57"/>
      <c r="F263" s="25">
        <v>3000</v>
      </c>
      <c r="G263" s="57"/>
      <c r="H263" s="25">
        <v>3000</v>
      </c>
      <c r="I263" s="57"/>
      <c r="J263" s="25">
        <v>3000</v>
      </c>
      <c r="K263" s="57"/>
      <c r="L263" s="25">
        <v>2000</v>
      </c>
      <c r="M263" s="57"/>
      <c r="N263" s="26">
        <v>2000</v>
      </c>
      <c r="O263" s="57"/>
      <c r="P263" s="56"/>
      <c r="Q263" s="58"/>
      <c r="R263" s="57"/>
    </row>
    <row r="264" spans="1:18" s="1" customFormat="1" ht="21" customHeight="1" thickTop="1" x14ac:dyDescent="0.15">
      <c r="A264" s="20"/>
      <c r="B264" s="21"/>
      <c r="C264" s="22"/>
      <c r="D264" s="23" t="s">
        <v>12</v>
      </c>
      <c r="E264" s="20" t="str">
        <f>IF(SUM(E244:E263)=0,"",SUM(E244:E263))</f>
        <v/>
      </c>
      <c r="F264" s="23" t="s">
        <v>13</v>
      </c>
      <c r="G264" s="20" t="str">
        <f>IF(SUM(G244:G263)=0,"",SUM(G244:G263))</f>
        <v/>
      </c>
      <c r="H264" s="23" t="s">
        <v>8</v>
      </c>
      <c r="I264" s="20" t="str">
        <f>IF(SUM(I244:I263)=0,"",SUM(I244:I263))</f>
        <v/>
      </c>
      <c r="J264" s="23" t="s">
        <v>9</v>
      </c>
      <c r="K264" s="20" t="str">
        <f>IF(SUM(K244:K263)=0,"",SUM(K244:K263))</f>
        <v/>
      </c>
      <c r="L264" s="23" t="s">
        <v>10</v>
      </c>
      <c r="M264" s="20" t="str">
        <f>IF(SUM(M244:M263)=0,"",SUM(M244:M263))</f>
        <v/>
      </c>
      <c r="N264" s="23" t="s">
        <v>11</v>
      </c>
      <c r="O264" s="20" t="str">
        <f>IF(SUM(O244:O263)=0,"",SUM(O244:O263))</f>
        <v/>
      </c>
      <c r="P264" s="24" t="str">
        <f>IF(SUM(P244:P263)=0,"",SUM(P244:P263))</f>
        <v/>
      </c>
      <c r="Q264" s="27" t="str">
        <f>IF(SUM(P264)=SUM(R264),"現/未          0","現/未  "&amp;(P264-SUM(R264))/1000&amp;",000")</f>
        <v>現/未          0</v>
      </c>
      <c r="R264" s="28">
        <f>IF(SUMIF(R244:R263,"",P244:P263)=0,0,SUMIF(R244:R263,"",P244:P263))</f>
        <v>0</v>
      </c>
    </row>
    <row r="265" spans="1:18" s="1" customFormat="1" ht="21" customHeight="1" x14ac:dyDescent="0.15">
      <c r="A265" s="55" t="str">
        <f>A241</f>
        <v>2027年度分収集運搬手数料収入原簿内訳</v>
      </c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</row>
    <row r="266" spans="1:18" ht="15.75" customHeight="1" x14ac:dyDescent="0.15">
      <c r="A266" s="62" t="s">
        <v>0</v>
      </c>
      <c r="B266" s="62" t="s">
        <v>2</v>
      </c>
      <c r="C266" s="63" t="s">
        <v>3</v>
      </c>
      <c r="D266" s="4" t="s">
        <v>14</v>
      </c>
      <c r="E266" s="64" t="s">
        <v>1</v>
      </c>
      <c r="F266" s="4" t="s">
        <v>14</v>
      </c>
      <c r="G266" s="66" t="s">
        <v>1</v>
      </c>
      <c r="H266" s="4" t="s">
        <v>14</v>
      </c>
      <c r="I266" s="62" t="s">
        <v>1</v>
      </c>
      <c r="J266" s="4" t="s">
        <v>14</v>
      </c>
      <c r="K266" s="62" t="s">
        <v>1</v>
      </c>
      <c r="L266" s="4" t="s">
        <v>14</v>
      </c>
      <c r="M266" s="62" t="s">
        <v>1</v>
      </c>
      <c r="N266" s="4" t="s">
        <v>14</v>
      </c>
      <c r="O266" s="62" t="s">
        <v>1</v>
      </c>
      <c r="P266" s="68" t="s">
        <v>4</v>
      </c>
      <c r="Q266" s="71" t="s">
        <v>5</v>
      </c>
      <c r="R266" s="68" t="s">
        <v>6</v>
      </c>
    </row>
    <row r="267" spans="1:18" ht="15" customHeight="1" x14ac:dyDescent="0.15">
      <c r="A267" s="62"/>
      <c r="B267" s="62"/>
      <c r="C267" s="63"/>
      <c r="D267" s="3" t="s">
        <v>7</v>
      </c>
      <c r="E267" s="65"/>
      <c r="F267" s="3" t="s">
        <v>7</v>
      </c>
      <c r="G267" s="62"/>
      <c r="H267" s="3" t="s">
        <v>7</v>
      </c>
      <c r="I267" s="67"/>
      <c r="J267" s="3" t="s">
        <v>7</v>
      </c>
      <c r="K267" s="62"/>
      <c r="L267" s="3" t="s">
        <v>7</v>
      </c>
      <c r="M267" s="67"/>
      <c r="N267" s="3" t="s">
        <v>7</v>
      </c>
      <c r="O267" s="62"/>
      <c r="P267" s="69"/>
      <c r="Q267" s="62"/>
      <c r="R267" s="70"/>
    </row>
    <row r="268" spans="1:18" ht="25.5" customHeight="1" x14ac:dyDescent="0.15">
      <c r="A268" s="36">
        <v>111</v>
      </c>
      <c r="B268" s="40"/>
      <c r="C268" s="60"/>
      <c r="D268" s="5" t="s">
        <v>12</v>
      </c>
      <c r="E268" s="36"/>
      <c r="F268" s="5" t="s">
        <v>13</v>
      </c>
      <c r="G268" s="36"/>
      <c r="H268" s="5" t="s">
        <v>8</v>
      </c>
      <c r="I268" s="36"/>
      <c r="J268" s="5" t="s">
        <v>9</v>
      </c>
      <c r="K268" s="36"/>
      <c r="L268" s="5" t="s">
        <v>10</v>
      </c>
      <c r="M268" s="36"/>
      <c r="N268" s="5" t="s">
        <v>11</v>
      </c>
      <c r="O268" s="36"/>
      <c r="P268" s="42" t="str">
        <f>IF(E268+G268+I268+K268+M268=0,"",D269*E268+F269*G268+H269*I268+J269*K268+L269*M268+N269*O268)</f>
        <v/>
      </c>
      <c r="Q268" s="38"/>
      <c r="R268" s="36"/>
    </row>
    <row r="269" spans="1:18" ht="25.5" customHeight="1" x14ac:dyDescent="0.15">
      <c r="A269" s="37"/>
      <c r="B269" s="41"/>
      <c r="C269" s="61"/>
      <c r="D269" s="6">
        <v>2000</v>
      </c>
      <c r="E269" s="37"/>
      <c r="F269" s="6">
        <v>3000</v>
      </c>
      <c r="G269" s="37"/>
      <c r="H269" s="6">
        <v>3000</v>
      </c>
      <c r="I269" s="37"/>
      <c r="J269" s="6">
        <v>3000</v>
      </c>
      <c r="K269" s="37"/>
      <c r="L269" s="6">
        <v>2000</v>
      </c>
      <c r="M269" s="37"/>
      <c r="N269" s="7">
        <v>2000</v>
      </c>
      <c r="O269" s="37"/>
      <c r="P269" s="43"/>
      <c r="Q269" s="39"/>
      <c r="R269" s="37"/>
    </row>
    <row r="270" spans="1:18" ht="25.5" customHeight="1" x14ac:dyDescent="0.15">
      <c r="A270" s="36">
        <v>112</v>
      </c>
      <c r="B270" s="40"/>
      <c r="C270" s="60"/>
      <c r="D270" s="5" t="s">
        <v>12</v>
      </c>
      <c r="E270" s="36"/>
      <c r="F270" s="5" t="s">
        <v>13</v>
      </c>
      <c r="G270" s="36"/>
      <c r="H270" s="5" t="s">
        <v>8</v>
      </c>
      <c r="I270" s="36"/>
      <c r="J270" s="5" t="s">
        <v>9</v>
      </c>
      <c r="K270" s="36"/>
      <c r="L270" s="5" t="s">
        <v>10</v>
      </c>
      <c r="M270" s="36"/>
      <c r="N270" s="5" t="s">
        <v>11</v>
      </c>
      <c r="O270" s="36"/>
      <c r="P270" s="42" t="str">
        <f>IF(E270+G270+I270+K270+M270=0,"",D271*E270+F271*G270+H271*I270+J271*K270+L271*M270+N271*O270)</f>
        <v/>
      </c>
      <c r="Q270" s="44"/>
      <c r="R270" s="36"/>
    </row>
    <row r="271" spans="1:18" ht="25.5" customHeight="1" x14ac:dyDescent="0.15">
      <c r="A271" s="37"/>
      <c r="B271" s="41"/>
      <c r="C271" s="61"/>
      <c r="D271" s="6">
        <v>2000</v>
      </c>
      <c r="E271" s="37"/>
      <c r="F271" s="6">
        <v>3000</v>
      </c>
      <c r="G271" s="37"/>
      <c r="H271" s="6">
        <v>3000</v>
      </c>
      <c r="I271" s="37"/>
      <c r="J271" s="6">
        <v>3000</v>
      </c>
      <c r="K271" s="37"/>
      <c r="L271" s="6">
        <v>2000</v>
      </c>
      <c r="M271" s="37"/>
      <c r="N271" s="7">
        <v>2000</v>
      </c>
      <c r="O271" s="37"/>
      <c r="P271" s="43"/>
      <c r="Q271" s="39"/>
      <c r="R271" s="37"/>
    </row>
    <row r="272" spans="1:18" ht="25.5" customHeight="1" x14ac:dyDescent="0.15">
      <c r="A272" s="36">
        <v>113</v>
      </c>
      <c r="B272" s="40"/>
      <c r="C272" s="60"/>
      <c r="D272" s="5" t="s">
        <v>12</v>
      </c>
      <c r="E272" s="36"/>
      <c r="F272" s="5" t="s">
        <v>13</v>
      </c>
      <c r="G272" s="36"/>
      <c r="H272" s="5" t="s">
        <v>8</v>
      </c>
      <c r="I272" s="36"/>
      <c r="J272" s="5" t="s">
        <v>9</v>
      </c>
      <c r="K272" s="36"/>
      <c r="L272" s="5" t="s">
        <v>10</v>
      </c>
      <c r="M272" s="36"/>
      <c r="N272" s="5" t="s">
        <v>11</v>
      </c>
      <c r="O272" s="36"/>
      <c r="P272" s="42" t="str">
        <f>IF(E272+G272+I272+K272+M272=0,"",D273*E272+F273*G272+H273*I272+J273*K272+L273*M272+N273*O272)</f>
        <v/>
      </c>
      <c r="Q272" s="44"/>
      <c r="R272" s="36"/>
    </row>
    <row r="273" spans="1:18" ht="25.5" customHeight="1" x14ac:dyDescent="0.15">
      <c r="A273" s="37"/>
      <c r="B273" s="41"/>
      <c r="C273" s="61"/>
      <c r="D273" s="6">
        <v>2000</v>
      </c>
      <c r="E273" s="37"/>
      <c r="F273" s="6">
        <v>3000</v>
      </c>
      <c r="G273" s="37"/>
      <c r="H273" s="6">
        <v>3000</v>
      </c>
      <c r="I273" s="37"/>
      <c r="J273" s="6">
        <v>3000</v>
      </c>
      <c r="K273" s="37"/>
      <c r="L273" s="6">
        <v>2000</v>
      </c>
      <c r="M273" s="37"/>
      <c r="N273" s="7">
        <v>2000</v>
      </c>
      <c r="O273" s="37"/>
      <c r="P273" s="43"/>
      <c r="Q273" s="39"/>
      <c r="R273" s="37"/>
    </row>
    <row r="274" spans="1:18" ht="25.5" customHeight="1" x14ac:dyDescent="0.15">
      <c r="A274" s="36">
        <v>114</v>
      </c>
      <c r="B274" s="40"/>
      <c r="C274" s="60"/>
      <c r="D274" s="5" t="s">
        <v>12</v>
      </c>
      <c r="E274" s="36"/>
      <c r="F274" s="5" t="s">
        <v>13</v>
      </c>
      <c r="G274" s="36"/>
      <c r="H274" s="5" t="s">
        <v>8</v>
      </c>
      <c r="I274" s="36"/>
      <c r="J274" s="5" t="s">
        <v>9</v>
      </c>
      <c r="K274" s="36"/>
      <c r="L274" s="5" t="s">
        <v>10</v>
      </c>
      <c r="M274" s="36"/>
      <c r="N274" s="5" t="s">
        <v>11</v>
      </c>
      <c r="O274" s="36"/>
      <c r="P274" s="42" t="str">
        <f>IF(E274+G274+I274+K274+M274=0,"",D275*E274+F275*G274+H275*I274+J275*K274+L275*M274+N275*O274)</f>
        <v/>
      </c>
      <c r="Q274" s="44"/>
      <c r="R274" s="36"/>
    </row>
    <row r="275" spans="1:18" ht="25.5" customHeight="1" x14ac:dyDescent="0.15">
      <c r="A275" s="37"/>
      <c r="B275" s="41"/>
      <c r="C275" s="61"/>
      <c r="D275" s="6">
        <v>2000</v>
      </c>
      <c r="E275" s="37"/>
      <c r="F275" s="6">
        <v>3000</v>
      </c>
      <c r="G275" s="37"/>
      <c r="H275" s="6">
        <v>3000</v>
      </c>
      <c r="I275" s="37"/>
      <c r="J275" s="6">
        <v>3000</v>
      </c>
      <c r="K275" s="37"/>
      <c r="L275" s="6">
        <v>2000</v>
      </c>
      <c r="M275" s="37"/>
      <c r="N275" s="7">
        <v>2000</v>
      </c>
      <c r="O275" s="37"/>
      <c r="P275" s="43"/>
      <c r="Q275" s="39"/>
      <c r="R275" s="37"/>
    </row>
    <row r="276" spans="1:18" ht="25.5" customHeight="1" x14ac:dyDescent="0.15">
      <c r="A276" s="36">
        <v>115</v>
      </c>
      <c r="B276" s="40"/>
      <c r="C276" s="60"/>
      <c r="D276" s="5" t="s">
        <v>12</v>
      </c>
      <c r="E276" s="36"/>
      <c r="F276" s="5" t="s">
        <v>13</v>
      </c>
      <c r="G276" s="36"/>
      <c r="H276" s="5" t="s">
        <v>8</v>
      </c>
      <c r="I276" s="36"/>
      <c r="J276" s="5" t="s">
        <v>9</v>
      </c>
      <c r="K276" s="36"/>
      <c r="L276" s="5" t="s">
        <v>10</v>
      </c>
      <c r="M276" s="36"/>
      <c r="N276" s="5" t="s">
        <v>11</v>
      </c>
      <c r="O276" s="36"/>
      <c r="P276" s="42" t="str">
        <f>IF(E276+G276+I276+K276+M276=0,"",D277*E276+F277*G276+H277*I276+J277*K276+L277*M276+N277*O276)</f>
        <v/>
      </c>
      <c r="Q276" s="38"/>
      <c r="R276" s="36"/>
    </row>
    <row r="277" spans="1:18" ht="25.5" customHeight="1" x14ac:dyDescent="0.15">
      <c r="A277" s="37"/>
      <c r="B277" s="41"/>
      <c r="C277" s="61"/>
      <c r="D277" s="6">
        <v>2000</v>
      </c>
      <c r="E277" s="37"/>
      <c r="F277" s="6">
        <v>3000</v>
      </c>
      <c r="G277" s="37"/>
      <c r="H277" s="6">
        <v>3000</v>
      </c>
      <c r="I277" s="37"/>
      <c r="J277" s="6">
        <v>3000</v>
      </c>
      <c r="K277" s="37"/>
      <c r="L277" s="6">
        <v>2000</v>
      </c>
      <c r="M277" s="37"/>
      <c r="N277" s="7">
        <v>2000</v>
      </c>
      <c r="O277" s="37"/>
      <c r="P277" s="43"/>
      <c r="Q277" s="39"/>
      <c r="R277" s="37"/>
    </row>
    <row r="278" spans="1:18" ht="25.5" customHeight="1" x14ac:dyDescent="0.15">
      <c r="A278" s="36">
        <v>116</v>
      </c>
      <c r="B278" s="40"/>
      <c r="C278" s="60"/>
      <c r="D278" s="5" t="s">
        <v>12</v>
      </c>
      <c r="E278" s="36"/>
      <c r="F278" s="5" t="s">
        <v>13</v>
      </c>
      <c r="G278" s="36"/>
      <c r="H278" s="5" t="s">
        <v>8</v>
      </c>
      <c r="I278" s="36"/>
      <c r="J278" s="5" t="s">
        <v>9</v>
      </c>
      <c r="K278" s="36"/>
      <c r="L278" s="5" t="s">
        <v>10</v>
      </c>
      <c r="M278" s="36"/>
      <c r="N278" s="5" t="s">
        <v>11</v>
      </c>
      <c r="O278" s="36"/>
      <c r="P278" s="42" t="str">
        <f>IF(E278+G278+I278+K278+M278=0,"",D279*E278+F279*G278+H279*I278+J279*K278+L279*M278+N279*O278)</f>
        <v/>
      </c>
      <c r="Q278" s="44"/>
      <c r="R278" s="36"/>
    </row>
    <row r="279" spans="1:18" ht="25.5" customHeight="1" x14ac:dyDescent="0.15">
      <c r="A279" s="37"/>
      <c r="B279" s="41"/>
      <c r="C279" s="61"/>
      <c r="D279" s="6">
        <v>2000</v>
      </c>
      <c r="E279" s="37"/>
      <c r="F279" s="6">
        <v>3000</v>
      </c>
      <c r="G279" s="37"/>
      <c r="H279" s="6">
        <v>3000</v>
      </c>
      <c r="I279" s="37"/>
      <c r="J279" s="6">
        <v>3000</v>
      </c>
      <c r="K279" s="37"/>
      <c r="L279" s="6">
        <v>2000</v>
      </c>
      <c r="M279" s="37"/>
      <c r="N279" s="7">
        <v>2000</v>
      </c>
      <c r="O279" s="37"/>
      <c r="P279" s="43"/>
      <c r="Q279" s="39"/>
      <c r="R279" s="37"/>
    </row>
    <row r="280" spans="1:18" ht="25.5" customHeight="1" x14ac:dyDescent="0.15">
      <c r="A280" s="36">
        <v>117</v>
      </c>
      <c r="B280" s="40"/>
      <c r="C280" s="60"/>
      <c r="D280" s="5" t="s">
        <v>12</v>
      </c>
      <c r="E280" s="36"/>
      <c r="F280" s="5" t="s">
        <v>13</v>
      </c>
      <c r="G280" s="36"/>
      <c r="H280" s="5" t="s">
        <v>8</v>
      </c>
      <c r="I280" s="36"/>
      <c r="J280" s="5" t="s">
        <v>9</v>
      </c>
      <c r="K280" s="36"/>
      <c r="L280" s="5" t="s">
        <v>10</v>
      </c>
      <c r="M280" s="36"/>
      <c r="N280" s="5" t="s">
        <v>11</v>
      </c>
      <c r="O280" s="36"/>
      <c r="P280" s="42" t="str">
        <f>IF(E280+G280+I280+K280+M280=0,"",D281*E280+F281*G280+H281*I280+J281*K280+L281*M280+N281*O280)</f>
        <v/>
      </c>
      <c r="Q280" s="38"/>
      <c r="R280" s="36"/>
    </row>
    <row r="281" spans="1:18" ht="25.5" customHeight="1" x14ac:dyDescent="0.15">
      <c r="A281" s="37"/>
      <c r="B281" s="41"/>
      <c r="C281" s="61"/>
      <c r="D281" s="6">
        <v>2000</v>
      </c>
      <c r="E281" s="37"/>
      <c r="F281" s="6">
        <v>3000</v>
      </c>
      <c r="G281" s="37"/>
      <c r="H281" s="6">
        <v>3000</v>
      </c>
      <c r="I281" s="37"/>
      <c r="J281" s="6">
        <v>3000</v>
      </c>
      <c r="K281" s="37"/>
      <c r="L281" s="6">
        <v>2000</v>
      </c>
      <c r="M281" s="37"/>
      <c r="N281" s="7">
        <v>2000</v>
      </c>
      <c r="O281" s="37"/>
      <c r="P281" s="43"/>
      <c r="Q281" s="39"/>
      <c r="R281" s="37"/>
    </row>
    <row r="282" spans="1:18" ht="25.5" customHeight="1" x14ac:dyDescent="0.15">
      <c r="A282" s="36">
        <v>118</v>
      </c>
      <c r="B282" s="40"/>
      <c r="C282" s="60"/>
      <c r="D282" s="5" t="s">
        <v>12</v>
      </c>
      <c r="E282" s="36"/>
      <c r="F282" s="5" t="s">
        <v>13</v>
      </c>
      <c r="G282" s="36"/>
      <c r="H282" s="5" t="s">
        <v>8</v>
      </c>
      <c r="I282" s="36"/>
      <c r="J282" s="5" t="s">
        <v>9</v>
      </c>
      <c r="K282" s="36"/>
      <c r="L282" s="5" t="s">
        <v>10</v>
      </c>
      <c r="M282" s="36"/>
      <c r="N282" s="5" t="s">
        <v>11</v>
      </c>
      <c r="O282" s="36"/>
      <c r="P282" s="42" t="str">
        <f>IF(E282+G282+I282+K282+M282=0,"",D283*E282+F283*G282+H283*I282+J283*K282+L283*M282+N283*O282)</f>
        <v/>
      </c>
      <c r="Q282" s="38"/>
      <c r="R282" s="36"/>
    </row>
    <row r="283" spans="1:18" ht="25.5" customHeight="1" x14ac:dyDescent="0.15">
      <c r="A283" s="37"/>
      <c r="B283" s="41"/>
      <c r="C283" s="61"/>
      <c r="D283" s="6">
        <v>2000</v>
      </c>
      <c r="E283" s="37"/>
      <c r="F283" s="6">
        <v>3000</v>
      </c>
      <c r="G283" s="37"/>
      <c r="H283" s="6">
        <v>3000</v>
      </c>
      <c r="I283" s="37"/>
      <c r="J283" s="6">
        <v>3000</v>
      </c>
      <c r="K283" s="37"/>
      <c r="L283" s="6">
        <v>2000</v>
      </c>
      <c r="M283" s="37"/>
      <c r="N283" s="7">
        <v>2000</v>
      </c>
      <c r="O283" s="37"/>
      <c r="P283" s="43"/>
      <c r="Q283" s="39"/>
      <c r="R283" s="37"/>
    </row>
    <row r="284" spans="1:18" ht="25.5" customHeight="1" x14ac:dyDescent="0.15">
      <c r="A284" s="36">
        <v>119</v>
      </c>
      <c r="B284" s="40"/>
      <c r="C284" s="60"/>
      <c r="D284" s="5" t="s">
        <v>12</v>
      </c>
      <c r="E284" s="36"/>
      <c r="F284" s="5" t="s">
        <v>13</v>
      </c>
      <c r="G284" s="36"/>
      <c r="H284" s="5" t="s">
        <v>8</v>
      </c>
      <c r="I284" s="36"/>
      <c r="J284" s="5" t="s">
        <v>9</v>
      </c>
      <c r="K284" s="36"/>
      <c r="L284" s="5" t="s">
        <v>10</v>
      </c>
      <c r="M284" s="36"/>
      <c r="N284" s="5" t="s">
        <v>11</v>
      </c>
      <c r="O284" s="36"/>
      <c r="P284" s="42" t="str">
        <f>IF(E284+G284+I284+K284+M284=0,"",D285*E284+F285*G284+H285*I284+J285*K284+L285*M284+N285*O284)</f>
        <v/>
      </c>
      <c r="Q284" s="44"/>
      <c r="R284" s="36"/>
    </row>
    <row r="285" spans="1:18" ht="25.5" customHeight="1" x14ac:dyDescent="0.15">
      <c r="A285" s="37"/>
      <c r="B285" s="41"/>
      <c r="C285" s="61"/>
      <c r="D285" s="6">
        <v>2000</v>
      </c>
      <c r="E285" s="37"/>
      <c r="F285" s="6">
        <v>3000</v>
      </c>
      <c r="G285" s="37"/>
      <c r="H285" s="6">
        <v>3000</v>
      </c>
      <c r="I285" s="37"/>
      <c r="J285" s="6">
        <v>3000</v>
      </c>
      <c r="K285" s="37"/>
      <c r="L285" s="6">
        <v>2000</v>
      </c>
      <c r="M285" s="37"/>
      <c r="N285" s="7">
        <v>2000</v>
      </c>
      <c r="O285" s="37"/>
      <c r="P285" s="43"/>
      <c r="Q285" s="39"/>
      <c r="R285" s="37"/>
    </row>
    <row r="286" spans="1:18" ht="25.5" customHeight="1" x14ac:dyDescent="0.15">
      <c r="A286" s="36">
        <v>120</v>
      </c>
      <c r="B286" s="40"/>
      <c r="C286" s="60"/>
      <c r="D286" s="5" t="s">
        <v>12</v>
      </c>
      <c r="E286" s="36"/>
      <c r="F286" s="5" t="s">
        <v>13</v>
      </c>
      <c r="G286" s="36"/>
      <c r="H286" s="5" t="s">
        <v>8</v>
      </c>
      <c r="I286" s="36"/>
      <c r="J286" s="5" t="s">
        <v>9</v>
      </c>
      <c r="K286" s="36"/>
      <c r="L286" s="5" t="s">
        <v>10</v>
      </c>
      <c r="M286" s="36"/>
      <c r="N286" s="5" t="s">
        <v>11</v>
      </c>
      <c r="O286" s="36"/>
      <c r="P286" s="42" t="str">
        <f>IF(E286+G286+I286+K286+M286=0,"",D287*E286+F287*G286+H287*I286+J287*K286+L287*M286+N287*O286)</f>
        <v/>
      </c>
      <c r="Q286" s="44"/>
      <c r="R286" s="36"/>
    </row>
    <row r="287" spans="1:18" ht="25.5" customHeight="1" thickBot="1" x14ac:dyDescent="0.2">
      <c r="A287" s="37"/>
      <c r="B287" s="59"/>
      <c r="C287" s="80"/>
      <c r="D287" s="25">
        <v>2000</v>
      </c>
      <c r="E287" s="57"/>
      <c r="F287" s="25">
        <v>3000</v>
      </c>
      <c r="G287" s="57"/>
      <c r="H287" s="25">
        <v>3000</v>
      </c>
      <c r="I287" s="57"/>
      <c r="J287" s="25">
        <v>3000</v>
      </c>
      <c r="K287" s="57"/>
      <c r="L287" s="25">
        <v>2000</v>
      </c>
      <c r="M287" s="57"/>
      <c r="N287" s="26">
        <v>2000</v>
      </c>
      <c r="O287" s="57"/>
      <c r="P287" s="56"/>
      <c r="Q287" s="58"/>
      <c r="R287" s="57"/>
    </row>
    <row r="288" spans="1:18" s="1" customFormat="1" ht="21" customHeight="1" thickTop="1" x14ac:dyDescent="0.15">
      <c r="A288" s="20"/>
      <c r="B288" s="21"/>
      <c r="C288" s="22"/>
      <c r="D288" s="23" t="s">
        <v>12</v>
      </c>
      <c r="E288" s="20" t="str">
        <f>IF(SUM(E268:E287)=0,"",SUM(E268:E287))</f>
        <v/>
      </c>
      <c r="F288" s="23" t="s">
        <v>13</v>
      </c>
      <c r="G288" s="20" t="str">
        <f>IF(SUM(G268:G287)=0,"",SUM(G268:G287))</f>
        <v/>
      </c>
      <c r="H288" s="23" t="s">
        <v>8</v>
      </c>
      <c r="I288" s="20" t="str">
        <f>IF(SUM(I268:I287)=0,"",SUM(I268:I287))</f>
        <v/>
      </c>
      <c r="J288" s="23" t="s">
        <v>9</v>
      </c>
      <c r="K288" s="20" t="str">
        <f>IF(SUM(K268:K287)=0,"",SUM(K268:K287))</f>
        <v/>
      </c>
      <c r="L288" s="23" t="s">
        <v>10</v>
      </c>
      <c r="M288" s="20" t="str">
        <f>IF(SUM(M268:M287)=0,"",SUM(M268:M287))</f>
        <v/>
      </c>
      <c r="N288" s="23" t="s">
        <v>11</v>
      </c>
      <c r="O288" s="20" t="str">
        <f>IF(SUM(O268:O287)=0,"",SUM(O268:O287))</f>
        <v/>
      </c>
      <c r="P288" s="24" t="str">
        <f>IF(SUM(P268:P287)=0,"",SUM(P268:P287))</f>
        <v/>
      </c>
      <c r="Q288" s="27" t="str">
        <f>IF(SUM(P288)=SUM(R288),"現/未          0","現/未  "&amp;(P288-SUM(R288))/1000&amp;",000")</f>
        <v>現/未          0</v>
      </c>
      <c r="R288" s="28">
        <f>IF(SUMIF(R268:R287,"",P268:P287)=0,0,SUMIF(R268:R287,"",P268:P287))</f>
        <v>0</v>
      </c>
    </row>
    <row r="289" spans="1:18" ht="27" customHeight="1" x14ac:dyDescent="0.15">
      <c r="A289" s="1"/>
      <c r="B289" s="15"/>
      <c r="C289" s="16"/>
      <c r="D289" s="18"/>
      <c r="E289" s="1"/>
      <c r="F289" s="18"/>
      <c r="G289" s="1"/>
      <c r="H289" s="18"/>
      <c r="I289" s="1"/>
      <c r="J289" s="18"/>
      <c r="K289" s="1"/>
      <c r="L289" s="18"/>
      <c r="M289" s="1"/>
      <c r="N289" s="19"/>
      <c r="O289" s="1"/>
      <c r="P289" s="31"/>
      <c r="Q289" s="1"/>
    </row>
    <row r="290" spans="1:18" ht="27" customHeight="1" x14ac:dyDescent="0.15">
      <c r="A290" s="72"/>
      <c r="B290" s="74"/>
      <c r="C290" s="75"/>
      <c r="D290" s="17"/>
      <c r="E290" s="72"/>
      <c r="F290" s="17"/>
      <c r="G290" s="72"/>
      <c r="H290" s="17"/>
      <c r="I290" s="72"/>
      <c r="J290" s="17"/>
      <c r="K290" s="72"/>
      <c r="L290" s="17"/>
      <c r="M290" s="72"/>
      <c r="N290" s="17"/>
      <c r="O290" s="72"/>
      <c r="P290" s="73"/>
      <c r="Q290" s="76"/>
      <c r="R290" s="72"/>
    </row>
    <row r="291" spans="1:18" ht="27" customHeight="1" x14ac:dyDescent="0.15">
      <c r="A291" s="72"/>
      <c r="B291" s="74"/>
      <c r="C291" s="75"/>
      <c r="D291" s="18"/>
      <c r="E291" s="72"/>
      <c r="F291" s="18"/>
      <c r="G291" s="72"/>
      <c r="H291" s="18"/>
      <c r="I291" s="72"/>
      <c r="J291" s="18"/>
      <c r="K291" s="72"/>
      <c r="L291" s="18"/>
      <c r="M291" s="72"/>
      <c r="N291" s="19"/>
      <c r="O291" s="72"/>
      <c r="P291" s="73"/>
      <c r="Q291" s="72"/>
      <c r="R291" s="72"/>
    </row>
    <row r="292" spans="1:18" ht="27" customHeight="1" x14ac:dyDescent="0.15">
      <c r="A292" s="72"/>
      <c r="B292" s="74"/>
      <c r="C292" s="75"/>
      <c r="D292" s="17"/>
      <c r="E292" s="72"/>
      <c r="F292" s="17"/>
      <c r="G292" s="72"/>
      <c r="H292" s="17"/>
      <c r="I292" s="72"/>
      <c r="J292" s="17"/>
      <c r="K292" s="72"/>
      <c r="L292" s="17"/>
      <c r="M292" s="72"/>
      <c r="N292" s="17"/>
      <c r="O292" s="72"/>
      <c r="P292" s="73"/>
      <c r="Q292" s="72"/>
      <c r="R292" s="72"/>
    </row>
    <row r="293" spans="1:18" ht="27" customHeight="1" x14ac:dyDescent="0.15">
      <c r="A293" s="72"/>
      <c r="B293" s="74"/>
      <c r="C293" s="75"/>
      <c r="D293" s="18"/>
      <c r="E293" s="72"/>
      <c r="F293" s="18"/>
      <c r="G293" s="72"/>
      <c r="H293" s="18"/>
      <c r="I293" s="72"/>
      <c r="J293" s="18"/>
      <c r="K293" s="72"/>
      <c r="L293" s="18"/>
      <c r="M293" s="72"/>
      <c r="N293" s="19"/>
      <c r="O293" s="72"/>
      <c r="P293" s="73"/>
      <c r="Q293" s="72"/>
      <c r="R293" s="72"/>
    </row>
    <row r="294" spans="1:18" ht="27" customHeight="1" x14ac:dyDescent="0.15">
      <c r="A294" s="72"/>
      <c r="B294" s="74"/>
      <c r="C294" s="75"/>
      <c r="D294" s="17"/>
      <c r="E294" s="72"/>
      <c r="F294" s="17"/>
      <c r="G294" s="72"/>
      <c r="H294" s="17"/>
      <c r="I294" s="72"/>
      <c r="J294" s="17"/>
      <c r="K294" s="72"/>
      <c r="L294" s="17"/>
      <c r="M294" s="72"/>
      <c r="N294" s="17"/>
      <c r="O294" s="72"/>
      <c r="P294" s="73"/>
      <c r="Q294" s="72"/>
      <c r="R294" s="72"/>
    </row>
    <row r="295" spans="1:18" ht="27" customHeight="1" x14ac:dyDescent="0.15">
      <c r="A295" s="72"/>
      <c r="B295" s="74"/>
      <c r="C295" s="75"/>
      <c r="D295" s="18"/>
      <c r="E295" s="72"/>
      <c r="F295" s="18"/>
      <c r="G295" s="72"/>
      <c r="H295" s="18"/>
      <c r="I295" s="72"/>
      <c r="J295" s="18"/>
      <c r="K295" s="72"/>
      <c r="L295" s="18"/>
      <c r="M295" s="72"/>
      <c r="N295" s="19"/>
      <c r="O295" s="72"/>
      <c r="P295" s="73"/>
      <c r="Q295" s="72"/>
      <c r="R295" s="72"/>
    </row>
    <row r="296" spans="1:18" ht="27" customHeight="1" x14ac:dyDescent="0.15">
      <c r="A296" s="72"/>
      <c r="B296" s="74"/>
      <c r="C296" s="75"/>
      <c r="D296" s="17"/>
      <c r="E296" s="72"/>
      <c r="F296" s="17"/>
      <c r="G296" s="72"/>
      <c r="H296" s="17"/>
      <c r="I296" s="72"/>
      <c r="J296" s="17"/>
      <c r="K296" s="72"/>
      <c r="L296" s="17"/>
      <c r="M296" s="72"/>
      <c r="N296" s="17"/>
      <c r="O296" s="72"/>
      <c r="P296" s="73"/>
      <c r="Q296" s="76"/>
      <c r="R296" s="72"/>
    </row>
    <row r="297" spans="1:18" ht="27" customHeight="1" x14ac:dyDescent="0.15">
      <c r="A297" s="72"/>
      <c r="B297" s="74"/>
      <c r="C297" s="75"/>
      <c r="D297" s="18"/>
      <c r="E297" s="72"/>
      <c r="F297" s="18"/>
      <c r="G297" s="72"/>
      <c r="H297" s="18"/>
      <c r="I297" s="72"/>
      <c r="J297" s="18"/>
      <c r="K297" s="72"/>
      <c r="L297" s="18"/>
      <c r="M297" s="72"/>
      <c r="N297" s="19"/>
      <c r="O297" s="72"/>
      <c r="P297" s="73"/>
      <c r="Q297" s="72"/>
      <c r="R297" s="72"/>
    </row>
    <row r="298" spans="1:18" ht="27" customHeight="1" x14ac:dyDescent="0.15">
      <c r="A298" s="72"/>
      <c r="B298" s="74"/>
      <c r="C298" s="75"/>
      <c r="D298" s="17"/>
      <c r="E298" s="72"/>
      <c r="F298" s="17"/>
      <c r="G298" s="72"/>
      <c r="H298" s="17"/>
      <c r="I298" s="72"/>
      <c r="J298" s="17"/>
      <c r="K298" s="72"/>
      <c r="L298" s="17"/>
      <c r="M298" s="72"/>
      <c r="N298" s="17"/>
      <c r="O298" s="72"/>
      <c r="P298" s="73"/>
      <c r="Q298" s="76"/>
      <c r="R298" s="72"/>
    </row>
    <row r="299" spans="1:18" ht="27" customHeight="1" x14ac:dyDescent="0.15">
      <c r="A299" s="72"/>
      <c r="B299" s="74"/>
      <c r="C299" s="75"/>
      <c r="D299" s="18"/>
      <c r="E299" s="72"/>
      <c r="F299" s="18"/>
      <c r="G299" s="72"/>
      <c r="H299" s="18"/>
      <c r="I299" s="72"/>
      <c r="J299" s="18"/>
      <c r="K299" s="72"/>
      <c r="L299" s="18"/>
      <c r="M299" s="72"/>
      <c r="N299" s="19"/>
      <c r="O299" s="72"/>
      <c r="P299" s="73"/>
      <c r="Q299" s="72"/>
      <c r="R299" s="72"/>
    </row>
    <row r="300" spans="1:18" s="1" customFormat="1" ht="21" customHeight="1" x14ac:dyDescent="0.1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</row>
    <row r="301" spans="1:18" ht="15.75" customHeight="1" x14ac:dyDescent="0.15">
      <c r="A301" s="78"/>
      <c r="B301" s="78"/>
      <c r="C301" s="78"/>
      <c r="D301" s="20"/>
      <c r="E301" s="79"/>
      <c r="F301" s="20"/>
      <c r="G301" s="79"/>
      <c r="H301" s="20"/>
      <c r="I301" s="78"/>
      <c r="J301" s="20"/>
      <c r="K301" s="78"/>
      <c r="L301" s="20"/>
      <c r="M301" s="78"/>
      <c r="N301" s="20"/>
      <c r="O301" s="78"/>
      <c r="P301" s="77"/>
      <c r="Q301" s="77"/>
      <c r="R301" s="77"/>
    </row>
    <row r="302" spans="1:18" ht="15" customHeight="1" x14ac:dyDescent="0.15">
      <c r="A302" s="78"/>
      <c r="B302" s="78"/>
      <c r="C302" s="78"/>
      <c r="D302" s="20"/>
      <c r="E302" s="78"/>
      <c r="F302" s="20"/>
      <c r="G302" s="78"/>
      <c r="H302" s="20"/>
      <c r="I302" s="78"/>
      <c r="J302" s="20"/>
      <c r="K302" s="78"/>
      <c r="L302" s="20"/>
      <c r="M302" s="78"/>
      <c r="N302" s="20"/>
      <c r="O302" s="78"/>
      <c r="P302" s="77"/>
      <c r="Q302" s="78"/>
      <c r="R302" s="78"/>
    </row>
    <row r="303" spans="1:18" ht="27" customHeight="1" x14ac:dyDescent="0.15">
      <c r="A303" s="72"/>
      <c r="B303" s="74"/>
      <c r="C303" s="75"/>
      <c r="D303" s="17"/>
      <c r="E303" s="72"/>
      <c r="F303" s="17"/>
      <c r="G303" s="72"/>
      <c r="H303" s="17"/>
      <c r="I303" s="72"/>
      <c r="J303" s="17"/>
      <c r="K303" s="72"/>
      <c r="L303" s="17"/>
      <c r="M303" s="72"/>
      <c r="N303" s="17"/>
      <c r="O303" s="72"/>
      <c r="P303" s="73"/>
      <c r="Q303" s="72"/>
      <c r="R303" s="72"/>
    </row>
    <row r="304" spans="1:18" ht="27" customHeight="1" x14ac:dyDescent="0.15">
      <c r="A304" s="72"/>
      <c r="B304" s="74"/>
      <c r="C304" s="75"/>
      <c r="D304" s="18"/>
      <c r="E304" s="72"/>
      <c r="F304" s="18"/>
      <c r="G304" s="72"/>
      <c r="H304" s="18"/>
      <c r="I304" s="72"/>
      <c r="J304" s="18"/>
      <c r="K304" s="72"/>
      <c r="L304" s="18"/>
      <c r="M304" s="72"/>
      <c r="N304" s="19"/>
      <c r="O304" s="72"/>
      <c r="P304" s="73"/>
      <c r="Q304" s="72"/>
      <c r="R304" s="72"/>
    </row>
    <row r="305" spans="1:18" ht="27" customHeight="1" x14ac:dyDescent="0.15">
      <c r="A305" s="72"/>
      <c r="B305" s="74"/>
      <c r="C305" s="75"/>
      <c r="D305" s="17"/>
      <c r="E305" s="72"/>
      <c r="F305" s="17"/>
      <c r="G305" s="72"/>
      <c r="H305" s="17"/>
      <c r="I305" s="72"/>
      <c r="J305" s="17"/>
      <c r="K305" s="72"/>
      <c r="L305" s="17"/>
      <c r="M305" s="72"/>
      <c r="N305" s="17"/>
      <c r="O305" s="72"/>
      <c r="P305" s="73"/>
      <c r="Q305" s="76"/>
      <c r="R305" s="72"/>
    </row>
    <row r="306" spans="1:18" ht="27" customHeight="1" x14ac:dyDescent="0.15">
      <c r="A306" s="72"/>
      <c r="B306" s="74"/>
      <c r="C306" s="75"/>
      <c r="D306" s="18"/>
      <c r="E306" s="72"/>
      <c r="F306" s="18"/>
      <c r="G306" s="72"/>
      <c r="H306" s="18"/>
      <c r="I306" s="72"/>
      <c r="J306" s="18"/>
      <c r="K306" s="72"/>
      <c r="L306" s="18"/>
      <c r="M306" s="72"/>
      <c r="N306" s="19"/>
      <c r="O306" s="72"/>
      <c r="P306" s="73"/>
      <c r="Q306" s="72"/>
      <c r="R306" s="72"/>
    </row>
    <row r="307" spans="1:18" ht="27" customHeight="1" x14ac:dyDescent="0.15">
      <c r="A307" s="72"/>
      <c r="B307" s="74"/>
      <c r="C307" s="75"/>
      <c r="D307" s="17"/>
      <c r="E307" s="72"/>
      <c r="F307" s="17"/>
      <c r="G307" s="72"/>
      <c r="H307" s="17"/>
      <c r="I307" s="72"/>
      <c r="J307" s="17"/>
      <c r="K307" s="72"/>
      <c r="L307" s="17"/>
      <c r="M307" s="72"/>
      <c r="N307" s="17"/>
      <c r="O307" s="72"/>
      <c r="P307" s="73"/>
      <c r="Q307" s="76"/>
      <c r="R307" s="72"/>
    </row>
    <row r="308" spans="1:18" ht="27" customHeight="1" x14ac:dyDescent="0.15">
      <c r="A308" s="72"/>
      <c r="B308" s="74"/>
      <c r="C308" s="75"/>
      <c r="D308" s="18"/>
      <c r="E308" s="72"/>
      <c r="F308" s="18"/>
      <c r="G308" s="72"/>
      <c r="H308" s="18"/>
      <c r="I308" s="72"/>
      <c r="J308" s="18"/>
      <c r="K308" s="72"/>
      <c r="L308" s="18"/>
      <c r="M308" s="72"/>
      <c r="N308" s="19"/>
      <c r="O308" s="72"/>
      <c r="P308" s="73"/>
      <c r="Q308" s="72"/>
      <c r="R308" s="72"/>
    </row>
    <row r="309" spans="1:18" ht="27" customHeight="1" x14ac:dyDescent="0.15">
      <c r="A309" s="72"/>
      <c r="B309" s="74"/>
      <c r="C309" s="75"/>
      <c r="D309" s="17"/>
      <c r="E309" s="72"/>
      <c r="F309" s="17"/>
      <c r="G309" s="72"/>
      <c r="H309" s="17"/>
      <c r="I309" s="72"/>
      <c r="J309" s="17"/>
      <c r="K309" s="72"/>
      <c r="L309" s="17"/>
      <c r="M309" s="72"/>
      <c r="N309" s="17"/>
      <c r="O309" s="72"/>
      <c r="P309" s="73"/>
      <c r="Q309" s="76"/>
      <c r="R309" s="72"/>
    </row>
    <row r="310" spans="1:18" ht="27" customHeight="1" x14ac:dyDescent="0.15">
      <c r="A310" s="72"/>
      <c r="B310" s="74"/>
      <c r="C310" s="75"/>
      <c r="D310" s="18"/>
      <c r="E310" s="72"/>
      <c r="F310" s="18"/>
      <c r="G310" s="72"/>
      <c r="H310" s="18"/>
      <c r="I310" s="72"/>
      <c r="J310" s="18"/>
      <c r="K310" s="72"/>
      <c r="L310" s="18"/>
      <c r="M310" s="72"/>
      <c r="N310" s="19"/>
      <c r="O310" s="72"/>
      <c r="P310" s="73"/>
      <c r="Q310" s="72"/>
      <c r="R310" s="72"/>
    </row>
    <row r="311" spans="1:18" ht="27" customHeight="1" x14ac:dyDescent="0.15">
      <c r="A311" s="72"/>
      <c r="B311" s="74"/>
      <c r="C311" s="75"/>
      <c r="D311" s="17"/>
      <c r="E311" s="72"/>
      <c r="F311" s="17"/>
      <c r="G311" s="72"/>
      <c r="H311" s="17"/>
      <c r="I311" s="72"/>
      <c r="J311" s="17"/>
      <c r="K311" s="72"/>
      <c r="L311" s="17"/>
      <c r="M311" s="72"/>
      <c r="N311" s="17"/>
      <c r="O311" s="72"/>
      <c r="P311" s="73"/>
      <c r="Q311" s="72"/>
      <c r="R311" s="72"/>
    </row>
    <row r="312" spans="1:18" ht="27" customHeight="1" x14ac:dyDescent="0.15">
      <c r="A312" s="72"/>
      <c r="B312" s="74"/>
      <c r="C312" s="75"/>
      <c r="D312" s="18"/>
      <c r="E312" s="72"/>
      <c r="F312" s="18"/>
      <c r="G312" s="72"/>
      <c r="H312" s="18"/>
      <c r="I312" s="72"/>
      <c r="J312" s="18"/>
      <c r="K312" s="72"/>
      <c r="L312" s="18"/>
      <c r="M312" s="72"/>
      <c r="N312" s="19"/>
      <c r="O312" s="72"/>
      <c r="P312" s="73"/>
      <c r="Q312" s="72"/>
      <c r="R312" s="72"/>
    </row>
    <row r="313" spans="1:18" ht="27" customHeight="1" x14ac:dyDescent="0.15">
      <c r="A313" s="72"/>
      <c r="B313" s="74"/>
      <c r="C313" s="75"/>
      <c r="D313" s="17"/>
      <c r="E313" s="72"/>
      <c r="F313" s="17"/>
      <c r="G313" s="72"/>
      <c r="H313" s="17"/>
      <c r="I313" s="72"/>
      <c r="J313" s="17"/>
      <c r="K313" s="72"/>
      <c r="L313" s="17"/>
      <c r="M313" s="72"/>
      <c r="N313" s="17"/>
      <c r="O313" s="72"/>
      <c r="P313" s="73"/>
      <c r="Q313" s="76"/>
      <c r="R313" s="72"/>
    </row>
    <row r="314" spans="1:18" ht="27" customHeight="1" x14ac:dyDescent="0.15">
      <c r="A314" s="72"/>
      <c r="B314" s="74"/>
      <c r="C314" s="75"/>
      <c r="D314" s="18"/>
      <c r="E314" s="72"/>
      <c r="F314" s="18"/>
      <c r="G314" s="72"/>
      <c r="H314" s="18"/>
      <c r="I314" s="72"/>
      <c r="J314" s="18"/>
      <c r="K314" s="72"/>
      <c r="L314" s="18"/>
      <c r="M314" s="72"/>
      <c r="N314" s="19"/>
      <c r="O314" s="72"/>
      <c r="P314" s="73"/>
      <c r="Q314" s="72"/>
      <c r="R314" s="72"/>
    </row>
    <row r="315" spans="1:18" ht="27" customHeight="1" x14ac:dyDescent="0.15">
      <c r="A315" s="72"/>
      <c r="B315" s="74"/>
      <c r="C315" s="75"/>
      <c r="D315" s="17"/>
      <c r="E315" s="72"/>
      <c r="F315" s="17"/>
      <c r="G315" s="72"/>
      <c r="H315" s="17"/>
      <c r="I315" s="72"/>
      <c r="J315" s="17"/>
      <c r="K315" s="72"/>
      <c r="L315" s="17"/>
      <c r="M315" s="72"/>
      <c r="N315" s="17"/>
      <c r="O315" s="72"/>
      <c r="P315" s="73"/>
      <c r="Q315" s="72"/>
      <c r="R315" s="72"/>
    </row>
    <row r="316" spans="1:18" ht="27" customHeight="1" x14ac:dyDescent="0.15">
      <c r="A316" s="72"/>
      <c r="B316" s="74"/>
      <c r="C316" s="75"/>
      <c r="D316" s="18"/>
      <c r="E316" s="72"/>
      <c r="F316" s="18"/>
      <c r="G316" s="72"/>
      <c r="H316" s="18"/>
      <c r="I316" s="72"/>
      <c r="J316" s="18"/>
      <c r="K316" s="72"/>
      <c r="L316" s="18"/>
      <c r="M316" s="72"/>
      <c r="N316" s="19"/>
      <c r="O316" s="72"/>
      <c r="P316" s="73"/>
      <c r="Q316" s="72"/>
      <c r="R316" s="72"/>
    </row>
    <row r="317" spans="1:18" ht="27" customHeight="1" x14ac:dyDescent="0.15">
      <c r="A317" s="72"/>
      <c r="B317" s="74"/>
      <c r="C317" s="75"/>
      <c r="D317" s="17"/>
      <c r="E317" s="72"/>
      <c r="F317" s="17"/>
      <c r="G317" s="72"/>
      <c r="H317" s="17"/>
      <c r="I317" s="72"/>
      <c r="J317" s="17"/>
      <c r="K317" s="72"/>
      <c r="L317" s="17"/>
      <c r="M317" s="72"/>
      <c r="N317" s="17"/>
      <c r="O317" s="72"/>
      <c r="P317" s="73"/>
      <c r="Q317" s="72"/>
      <c r="R317" s="72"/>
    </row>
    <row r="318" spans="1:18" ht="27" customHeight="1" x14ac:dyDescent="0.15">
      <c r="A318" s="72"/>
      <c r="B318" s="74"/>
      <c r="C318" s="75"/>
      <c r="D318" s="18"/>
      <c r="E318" s="72"/>
      <c r="F318" s="18"/>
      <c r="G318" s="72"/>
      <c r="H318" s="18"/>
      <c r="I318" s="72"/>
      <c r="J318" s="18"/>
      <c r="K318" s="72"/>
      <c r="L318" s="18"/>
      <c r="M318" s="72"/>
      <c r="N318" s="19"/>
      <c r="O318" s="72"/>
      <c r="P318" s="73"/>
      <c r="Q318" s="72"/>
      <c r="R318" s="72"/>
    </row>
    <row r="319" spans="1:18" ht="27" customHeight="1" x14ac:dyDescent="0.15">
      <c r="A319" s="72"/>
      <c r="B319" s="74"/>
      <c r="C319" s="75"/>
      <c r="D319" s="17"/>
      <c r="E319" s="72"/>
      <c r="F319" s="17"/>
      <c r="G319" s="72"/>
      <c r="H319" s="17"/>
      <c r="I319" s="72"/>
      <c r="J319" s="17"/>
      <c r="K319" s="72"/>
      <c r="L319" s="17"/>
      <c r="M319" s="72"/>
      <c r="N319" s="17"/>
      <c r="O319" s="72"/>
      <c r="P319" s="73"/>
      <c r="Q319" s="76"/>
      <c r="R319" s="72"/>
    </row>
    <row r="320" spans="1:18" ht="27" customHeight="1" x14ac:dyDescent="0.15">
      <c r="A320" s="72"/>
      <c r="B320" s="74"/>
      <c r="C320" s="75"/>
      <c r="D320" s="18"/>
      <c r="E320" s="72"/>
      <c r="F320" s="18"/>
      <c r="G320" s="72"/>
      <c r="H320" s="18"/>
      <c r="I320" s="72"/>
      <c r="J320" s="18"/>
      <c r="K320" s="72"/>
      <c r="L320" s="18"/>
      <c r="M320" s="72"/>
      <c r="N320" s="19"/>
      <c r="O320" s="72"/>
      <c r="P320" s="73"/>
      <c r="Q320" s="72"/>
      <c r="R320" s="72"/>
    </row>
    <row r="321" spans="1:18" ht="27" customHeight="1" x14ac:dyDescent="0.15">
      <c r="A321" s="72"/>
      <c r="B321" s="74"/>
      <c r="C321" s="75"/>
      <c r="D321" s="17"/>
      <c r="E321" s="72"/>
      <c r="F321" s="17"/>
      <c r="G321" s="72"/>
      <c r="H321" s="17"/>
      <c r="I321" s="72"/>
      <c r="J321" s="17"/>
      <c r="K321" s="72"/>
      <c r="L321" s="17"/>
      <c r="M321" s="72"/>
      <c r="N321" s="17"/>
      <c r="O321" s="72"/>
      <c r="P321" s="73"/>
      <c r="Q321" s="76"/>
      <c r="R321" s="72"/>
    </row>
    <row r="322" spans="1:18" ht="27" customHeight="1" x14ac:dyDescent="0.15">
      <c r="A322" s="72"/>
      <c r="B322" s="74"/>
      <c r="C322" s="75"/>
      <c r="D322" s="18"/>
      <c r="E322" s="72"/>
      <c r="F322" s="18"/>
      <c r="G322" s="72"/>
      <c r="H322" s="18"/>
      <c r="I322" s="72"/>
      <c r="J322" s="18"/>
      <c r="K322" s="72"/>
      <c r="L322" s="18"/>
      <c r="M322" s="72"/>
      <c r="N322" s="19"/>
      <c r="O322" s="72"/>
      <c r="P322" s="73"/>
      <c r="Q322" s="72"/>
      <c r="R322" s="72"/>
    </row>
    <row r="323" spans="1:18" s="1" customFormat="1" ht="21" customHeight="1" x14ac:dyDescent="0.1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</row>
    <row r="324" spans="1:18" ht="15.75" customHeight="1" x14ac:dyDescent="0.15">
      <c r="A324" s="78"/>
      <c r="B324" s="78"/>
      <c r="C324" s="78"/>
      <c r="D324" s="20"/>
      <c r="E324" s="79"/>
      <c r="F324" s="20"/>
      <c r="G324" s="79"/>
      <c r="H324" s="20"/>
      <c r="I324" s="78"/>
      <c r="J324" s="20"/>
      <c r="K324" s="78"/>
      <c r="L324" s="20"/>
      <c r="M324" s="78"/>
      <c r="N324" s="20"/>
      <c r="O324" s="78"/>
      <c r="P324" s="77"/>
      <c r="Q324" s="77"/>
      <c r="R324" s="77"/>
    </row>
    <row r="325" spans="1:18" ht="15" customHeight="1" x14ac:dyDescent="0.15">
      <c r="A325" s="78"/>
      <c r="B325" s="78"/>
      <c r="C325" s="78"/>
      <c r="D325" s="20"/>
      <c r="E325" s="78"/>
      <c r="F325" s="20"/>
      <c r="G325" s="78"/>
      <c r="H325" s="20"/>
      <c r="I325" s="78"/>
      <c r="J325" s="20"/>
      <c r="K325" s="78"/>
      <c r="L325" s="20"/>
      <c r="M325" s="78"/>
      <c r="N325" s="20"/>
      <c r="O325" s="78"/>
      <c r="P325" s="77"/>
      <c r="Q325" s="78"/>
      <c r="R325" s="78"/>
    </row>
    <row r="326" spans="1:18" ht="27" customHeight="1" x14ac:dyDescent="0.15">
      <c r="A326" s="72"/>
      <c r="B326" s="74"/>
      <c r="C326" s="75"/>
      <c r="D326" s="17"/>
      <c r="E326" s="72"/>
      <c r="F326" s="17"/>
      <c r="G326" s="72"/>
      <c r="H326" s="17"/>
      <c r="I326" s="72"/>
      <c r="J326" s="17"/>
      <c r="K326" s="72"/>
      <c r="L326" s="17"/>
      <c r="M326" s="72"/>
      <c r="N326" s="17"/>
      <c r="O326" s="72"/>
      <c r="P326" s="73"/>
      <c r="Q326" s="72"/>
      <c r="R326" s="72"/>
    </row>
    <row r="327" spans="1:18" ht="27" customHeight="1" x14ac:dyDescent="0.15">
      <c r="A327" s="72"/>
      <c r="B327" s="74"/>
      <c r="C327" s="75"/>
      <c r="D327" s="18"/>
      <c r="E327" s="72"/>
      <c r="F327" s="18"/>
      <c r="G327" s="72"/>
      <c r="H327" s="18"/>
      <c r="I327" s="72"/>
      <c r="J327" s="18"/>
      <c r="K327" s="72"/>
      <c r="L327" s="18"/>
      <c r="M327" s="72"/>
      <c r="N327" s="19"/>
      <c r="O327" s="72"/>
      <c r="P327" s="73"/>
      <c r="Q327" s="72"/>
      <c r="R327" s="72"/>
    </row>
    <row r="328" spans="1:18" ht="27" customHeight="1" x14ac:dyDescent="0.15">
      <c r="A328" s="72"/>
      <c r="B328" s="74"/>
      <c r="C328" s="75"/>
      <c r="D328" s="17"/>
      <c r="E328" s="72"/>
      <c r="F328" s="17"/>
      <c r="G328" s="72"/>
      <c r="H328" s="17"/>
      <c r="I328" s="72"/>
      <c r="J328" s="17"/>
      <c r="K328" s="72"/>
      <c r="L328" s="17"/>
      <c r="M328" s="72"/>
      <c r="N328" s="17"/>
      <c r="O328" s="72"/>
      <c r="P328" s="73"/>
      <c r="Q328" s="76"/>
      <c r="R328" s="72"/>
    </row>
    <row r="329" spans="1:18" ht="27" customHeight="1" x14ac:dyDescent="0.15">
      <c r="A329" s="72"/>
      <c r="B329" s="74"/>
      <c r="C329" s="75"/>
      <c r="D329" s="18"/>
      <c r="E329" s="72"/>
      <c r="F329" s="18"/>
      <c r="G329" s="72"/>
      <c r="H329" s="18"/>
      <c r="I329" s="72"/>
      <c r="J329" s="18"/>
      <c r="K329" s="72"/>
      <c r="L329" s="18"/>
      <c r="M329" s="72"/>
      <c r="N329" s="19"/>
      <c r="O329" s="72"/>
      <c r="P329" s="73"/>
      <c r="Q329" s="72"/>
      <c r="R329" s="72"/>
    </row>
    <row r="330" spans="1:18" ht="27" customHeight="1" x14ac:dyDescent="0.15">
      <c r="A330" s="72"/>
      <c r="B330" s="74"/>
      <c r="C330" s="75"/>
      <c r="D330" s="17"/>
      <c r="E330" s="72"/>
      <c r="F330" s="17"/>
      <c r="G330" s="72"/>
      <c r="H330" s="17"/>
      <c r="I330" s="72"/>
      <c r="J330" s="17"/>
      <c r="K330" s="72"/>
      <c r="L330" s="17"/>
      <c r="M330" s="72"/>
      <c r="N330" s="17"/>
      <c r="O330" s="72"/>
      <c r="P330" s="73"/>
      <c r="Q330" s="76"/>
      <c r="R330" s="72"/>
    </row>
    <row r="331" spans="1:18" ht="27" customHeight="1" x14ac:dyDescent="0.15">
      <c r="A331" s="72"/>
      <c r="B331" s="74"/>
      <c r="C331" s="75"/>
      <c r="D331" s="18"/>
      <c r="E331" s="72"/>
      <c r="F331" s="18"/>
      <c r="G331" s="72"/>
      <c r="H331" s="18"/>
      <c r="I331" s="72"/>
      <c r="J331" s="18"/>
      <c r="K331" s="72"/>
      <c r="L331" s="18"/>
      <c r="M331" s="72"/>
      <c r="N331" s="19"/>
      <c r="O331" s="72"/>
      <c r="P331" s="73"/>
      <c r="Q331" s="72"/>
      <c r="R331" s="72"/>
    </row>
    <row r="332" spans="1:18" ht="27" customHeight="1" x14ac:dyDescent="0.15">
      <c r="A332" s="72"/>
      <c r="B332" s="74"/>
      <c r="C332" s="75"/>
      <c r="D332" s="17"/>
      <c r="E332" s="72"/>
      <c r="F332" s="17"/>
      <c r="G332" s="72"/>
      <c r="H332" s="17"/>
      <c r="I332" s="72"/>
      <c r="J332" s="17"/>
      <c r="K332" s="72"/>
      <c r="L332" s="17"/>
      <c r="M332" s="72"/>
      <c r="N332" s="17"/>
      <c r="O332" s="72"/>
      <c r="P332" s="73"/>
      <c r="Q332" s="76"/>
      <c r="R332" s="72"/>
    </row>
    <row r="333" spans="1:18" ht="27" customHeight="1" x14ac:dyDescent="0.15">
      <c r="A333" s="72"/>
      <c r="B333" s="74"/>
      <c r="C333" s="75"/>
      <c r="D333" s="18"/>
      <c r="E333" s="72"/>
      <c r="F333" s="18"/>
      <c r="G333" s="72"/>
      <c r="H333" s="18"/>
      <c r="I333" s="72"/>
      <c r="J333" s="18"/>
      <c r="K333" s="72"/>
      <c r="L333" s="18"/>
      <c r="M333" s="72"/>
      <c r="N333" s="19"/>
      <c r="O333" s="72"/>
      <c r="P333" s="73"/>
      <c r="Q333" s="72"/>
      <c r="R333" s="72"/>
    </row>
    <row r="334" spans="1:18" ht="27" customHeight="1" x14ac:dyDescent="0.15">
      <c r="A334" s="72"/>
      <c r="B334" s="74"/>
      <c r="C334" s="75"/>
      <c r="D334" s="17"/>
      <c r="E334" s="72"/>
      <c r="F334" s="17"/>
      <c r="G334" s="72"/>
      <c r="H334" s="17"/>
      <c r="I334" s="72"/>
      <c r="J334" s="17"/>
      <c r="K334" s="72"/>
      <c r="L334" s="17"/>
      <c r="M334" s="72"/>
      <c r="N334" s="17"/>
      <c r="O334" s="72"/>
      <c r="P334" s="73"/>
      <c r="Q334" s="72"/>
      <c r="R334" s="72"/>
    </row>
    <row r="335" spans="1:18" ht="27" customHeight="1" x14ac:dyDescent="0.15">
      <c r="A335" s="72"/>
      <c r="B335" s="74"/>
      <c r="C335" s="75"/>
      <c r="D335" s="18"/>
      <c r="E335" s="72"/>
      <c r="F335" s="18"/>
      <c r="G335" s="72"/>
      <c r="H335" s="18"/>
      <c r="I335" s="72"/>
      <c r="J335" s="18"/>
      <c r="K335" s="72"/>
      <c r="L335" s="18"/>
      <c r="M335" s="72"/>
      <c r="N335" s="19"/>
      <c r="O335" s="72"/>
      <c r="P335" s="73"/>
      <c r="Q335" s="72"/>
      <c r="R335" s="72"/>
    </row>
    <row r="336" spans="1:18" ht="27" customHeight="1" x14ac:dyDescent="0.15">
      <c r="A336" s="72"/>
      <c r="B336" s="74"/>
      <c r="C336" s="75"/>
      <c r="D336" s="17"/>
      <c r="E336" s="72"/>
      <c r="F336" s="17"/>
      <c r="G336" s="72"/>
      <c r="H336" s="17"/>
      <c r="I336" s="72"/>
      <c r="J336" s="17"/>
      <c r="K336" s="72"/>
      <c r="L336" s="17"/>
      <c r="M336" s="72"/>
      <c r="N336" s="17"/>
      <c r="O336" s="72"/>
      <c r="P336" s="73"/>
      <c r="Q336" s="76"/>
      <c r="R336" s="72"/>
    </row>
    <row r="337" spans="1:18" ht="27" customHeight="1" x14ac:dyDescent="0.15">
      <c r="A337" s="72"/>
      <c r="B337" s="74"/>
      <c r="C337" s="75"/>
      <c r="D337" s="18"/>
      <c r="E337" s="72"/>
      <c r="F337" s="18"/>
      <c r="G337" s="72"/>
      <c r="H337" s="18"/>
      <c r="I337" s="72"/>
      <c r="J337" s="18"/>
      <c r="K337" s="72"/>
      <c r="L337" s="18"/>
      <c r="M337" s="72"/>
      <c r="N337" s="19"/>
      <c r="O337" s="72"/>
      <c r="P337" s="73"/>
      <c r="Q337" s="72"/>
      <c r="R337" s="72"/>
    </row>
    <row r="338" spans="1:18" ht="27" customHeight="1" x14ac:dyDescent="0.15">
      <c r="A338" s="72"/>
      <c r="B338" s="74"/>
      <c r="C338" s="75"/>
      <c r="D338" s="17"/>
      <c r="E338" s="72"/>
      <c r="F338" s="17"/>
      <c r="G338" s="72"/>
      <c r="H338" s="17"/>
      <c r="I338" s="72"/>
      <c r="J338" s="17"/>
      <c r="K338" s="72"/>
      <c r="L338" s="17"/>
      <c r="M338" s="72"/>
      <c r="N338" s="17"/>
      <c r="O338" s="72"/>
      <c r="P338" s="73"/>
      <c r="Q338" s="72"/>
      <c r="R338" s="72"/>
    </row>
    <row r="339" spans="1:18" ht="27" customHeight="1" x14ac:dyDescent="0.15">
      <c r="A339" s="72"/>
      <c r="B339" s="74"/>
      <c r="C339" s="75"/>
      <c r="D339" s="18"/>
      <c r="E339" s="72"/>
      <c r="F339" s="18"/>
      <c r="G339" s="72"/>
      <c r="H339" s="18"/>
      <c r="I339" s="72"/>
      <c r="J339" s="18"/>
      <c r="K339" s="72"/>
      <c r="L339" s="18"/>
      <c r="M339" s="72"/>
      <c r="N339" s="19"/>
      <c r="O339" s="72"/>
      <c r="P339" s="73"/>
      <c r="Q339" s="72"/>
      <c r="R339" s="72"/>
    </row>
    <row r="340" spans="1:18" ht="27" customHeight="1" x14ac:dyDescent="0.15">
      <c r="A340" s="72"/>
      <c r="B340" s="74"/>
      <c r="C340" s="75"/>
      <c r="D340" s="17"/>
      <c r="E340" s="72"/>
      <c r="F340" s="17"/>
      <c r="G340" s="72"/>
      <c r="H340" s="17"/>
      <c r="I340" s="72"/>
      <c r="J340" s="17"/>
      <c r="K340" s="72"/>
      <c r="L340" s="17"/>
      <c r="M340" s="72"/>
      <c r="N340" s="17"/>
      <c r="O340" s="72"/>
      <c r="P340" s="73"/>
      <c r="Q340" s="72"/>
      <c r="R340" s="72"/>
    </row>
    <row r="341" spans="1:18" ht="27" customHeight="1" x14ac:dyDescent="0.15">
      <c r="A341" s="72"/>
      <c r="B341" s="74"/>
      <c r="C341" s="75"/>
      <c r="D341" s="18"/>
      <c r="E341" s="72"/>
      <c r="F341" s="18"/>
      <c r="G341" s="72"/>
      <c r="H341" s="18"/>
      <c r="I341" s="72"/>
      <c r="J341" s="18"/>
      <c r="K341" s="72"/>
      <c r="L341" s="18"/>
      <c r="M341" s="72"/>
      <c r="N341" s="19"/>
      <c r="O341" s="72"/>
      <c r="P341" s="73"/>
      <c r="Q341" s="72"/>
      <c r="R341" s="72"/>
    </row>
    <row r="342" spans="1:18" ht="27" customHeight="1" x14ac:dyDescent="0.15">
      <c r="A342" s="72"/>
      <c r="B342" s="74"/>
      <c r="C342" s="75"/>
      <c r="D342" s="17"/>
      <c r="E342" s="72"/>
      <c r="F342" s="17"/>
      <c r="G342" s="72"/>
      <c r="H342" s="17"/>
      <c r="I342" s="72"/>
      <c r="J342" s="17"/>
      <c r="K342" s="72"/>
      <c r="L342" s="17"/>
      <c r="M342" s="72"/>
      <c r="N342" s="17"/>
      <c r="O342" s="72"/>
      <c r="P342" s="73"/>
      <c r="Q342" s="76"/>
      <c r="R342" s="72"/>
    </row>
    <row r="343" spans="1:18" ht="27" customHeight="1" x14ac:dyDescent="0.15">
      <c r="A343" s="72"/>
      <c r="B343" s="74"/>
      <c r="C343" s="75"/>
      <c r="D343" s="18"/>
      <c r="E343" s="72"/>
      <c r="F343" s="18"/>
      <c r="G343" s="72"/>
      <c r="H343" s="18"/>
      <c r="I343" s="72"/>
      <c r="J343" s="18"/>
      <c r="K343" s="72"/>
      <c r="L343" s="18"/>
      <c r="M343" s="72"/>
      <c r="N343" s="19"/>
      <c r="O343" s="72"/>
      <c r="P343" s="73"/>
      <c r="Q343" s="72"/>
      <c r="R343" s="72"/>
    </row>
    <row r="344" spans="1:18" ht="27" customHeight="1" x14ac:dyDescent="0.15">
      <c r="A344" s="72"/>
      <c r="B344" s="74"/>
      <c r="C344" s="75"/>
      <c r="D344" s="17"/>
      <c r="E344" s="72"/>
      <c r="F344" s="17"/>
      <c r="G344" s="72"/>
      <c r="H344" s="17"/>
      <c r="I344" s="72"/>
      <c r="J344" s="17"/>
      <c r="K344" s="72"/>
      <c r="L344" s="17"/>
      <c r="M344" s="72"/>
      <c r="N344" s="17"/>
      <c r="O344" s="72"/>
      <c r="P344" s="73"/>
      <c r="Q344" s="76"/>
      <c r="R344" s="72"/>
    </row>
    <row r="345" spans="1:18" ht="27" customHeight="1" x14ac:dyDescent="0.15">
      <c r="A345" s="72"/>
      <c r="B345" s="74"/>
      <c r="C345" s="75"/>
      <c r="D345" s="18"/>
      <c r="E345" s="72"/>
      <c r="F345" s="18"/>
      <c r="G345" s="72"/>
      <c r="H345" s="18"/>
      <c r="I345" s="72"/>
      <c r="J345" s="18"/>
      <c r="K345" s="72"/>
      <c r="L345" s="18"/>
      <c r="M345" s="72"/>
      <c r="N345" s="19"/>
      <c r="O345" s="72"/>
      <c r="P345" s="73"/>
      <c r="Q345" s="72"/>
      <c r="R345" s="72"/>
    </row>
    <row r="346" spans="1:18" s="1" customFormat="1" ht="21" customHeight="1" x14ac:dyDescent="0.1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</row>
    <row r="347" spans="1:18" ht="15.75" customHeight="1" x14ac:dyDescent="0.15">
      <c r="A347" s="78"/>
      <c r="B347" s="78"/>
      <c r="C347" s="78"/>
      <c r="D347" s="20"/>
      <c r="E347" s="79"/>
      <c r="F347" s="20"/>
      <c r="G347" s="79"/>
      <c r="H347" s="20"/>
      <c r="I347" s="78"/>
      <c r="J347" s="20"/>
      <c r="K347" s="78"/>
      <c r="L347" s="20"/>
      <c r="M347" s="78"/>
      <c r="N347" s="20"/>
      <c r="O347" s="78"/>
      <c r="P347" s="77"/>
      <c r="Q347" s="77"/>
      <c r="R347" s="77"/>
    </row>
    <row r="348" spans="1:18" ht="15" customHeight="1" x14ac:dyDescent="0.15">
      <c r="A348" s="78"/>
      <c r="B348" s="78"/>
      <c r="C348" s="78"/>
      <c r="D348" s="20"/>
      <c r="E348" s="78"/>
      <c r="F348" s="20"/>
      <c r="G348" s="78"/>
      <c r="H348" s="20"/>
      <c r="I348" s="78"/>
      <c r="J348" s="20"/>
      <c r="K348" s="78"/>
      <c r="L348" s="20"/>
      <c r="M348" s="78"/>
      <c r="N348" s="20"/>
      <c r="O348" s="78"/>
      <c r="P348" s="77"/>
      <c r="Q348" s="78"/>
      <c r="R348" s="78"/>
    </row>
    <row r="349" spans="1:18" ht="27" customHeight="1" x14ac:dyDescent="0.15">
      <c r="A349" s="72"/>
      <c r="B349" s="74"/>
      <c r="C349" s="75"/>
      <c r="D349" s="17"/>
      <c r="E349" s="72"/>
      <c r="F349" s="17"/>
      <c r="G349" s="72"/>
      <c r="H349" s="17"/>
      <c r="I349" s="72"/>
      <c r="J349" s="17"/>
      <c r="K349" s="72"/>
      <c r="L349" s="17"/>
      <c r="M349" s="72"/>
      <c r="N349" s="17"/>
      <c r="O349" s="72"/>
      <c r="P349" s="73"/>
      <c r="Q349" s="72"/>
      <c r="R349" s="72"/>
    </row>
    <row r="350" spans="1:18" ht="27" customHeight="1" x14ac:dyDescent="0.15">
      <c r="A350" s="72"/>
      <c r="B350" s="74"/>
      <c r="C350" s="75"/>
      <c r="D350" s="18"/>
      <c r="E350" s="72"/>
      <c r="F350" s="18"/>
      <c r="G350" s="72"/>
      <c r="H350" s="18"/>
      <c r="I350" s="72"/>
      <c r="J350" s="18"/>
      <c r="K350" s="72"/>
      <c r="L350" s="18"/>
      <c r="M350" s="72"/>
      <c r="N350" s="19"/>
      <c r="O350" s="72"/>
      <c r="P350" s="73"/>
      <c r="Q350" s="72"/>
      <c r="R350" s="72"/>
    </row>
    <row r="351" spans="1:18" ht="27" customHeight="1" x14ac:dyDescent="0.15">
      <c r="A351" s="72"/>
      <c r="B351" s="74"/>
      <c r="C351" s="75"/>
      <c r="D351" s="17"/>
      <c r="E351" s="72"/>
      <c r="F351" s="17"/>
      <c r="G351" s="72"/>
      <c r="H351" s="17"/>
      <c r="I351" s="72"/>
      <c r="J351" s="17"/>
      <c r="K351" s="72"/>
      <c r="L351" s="17"/>
      <c r="M351" s="72"/>
      <c r="N351" s="17"/>
      <c r="O351" s="72"/>
      <c r="P351" s="73"/>
      <c r="Q351" s="76"/>
      <c r="R351" s="72"/>
    </row>
    <row r="352" spans="1:18" ht="27" customHeight="1" x14ac:dyDescent="0.15">
      <c r="A352" s="72"/>
      <c r="B352" s="74"/>
      <c r="C352" s="75"/>
      <c r="D352" s="18"/>
      <c r="E352" s="72"/>
      <c r="F352" s="18"/>
      <c r="G352" s="72"/>
      <c r="H352" s="18"/>
      <c r="I352" s="72"/>
      <c r="J352" s="18"/>
      <c r="K352" s="72"/>
      <c r="L352" s="18"/>
      <c r="M352" s="72"/>
      <c r="N352" s="19"/>
      <c r="O352" s="72"/>
      <c r="P352" s="73"/>
      <c r="Q352" s="72"/>
      <c r="R352" s="72"/>
    </row>
    <row r="353" spans="1:18" ht="27" customHeight="1" x14ac:dyDescent="0.15">
      <c r="A353" s="72"/>
      <c r="B353" s="74"/>
      <c r="C353" s="75"/>
      <c r="D353" s="17"/>
      <c r="E353" s="72"/>
      <c r="F353" s="17"/>
      <c r="G353" s="72"/>
      <c r="H353" s="17"/>
      <c r="I353" s="72"/>
      <c r="J353" s="17"/>
      <c r="K353" s="72"/>
      <c r="L353" s="17"/>
      <c r="M353" s="72"/>
      <c r="N353" s="17"/>
      <c r="O353" s="72"/>
      <c r="P353" s="73"/>
      <c r="Q353" s="76"/>
      <c r="R353" s="72"/>
    </row>
    <row r="354" spans="1:18" ht="27" customHeight="1" x14ac:dyDescent="0.15">
      <c r="A354" s="72"/>
      <c r="B354" s="74"/>
      <c r="C354" s="75"/>
      <c r="D354" s="18"/>
      <c r="E354" s="72"/>
      <c r="F354" s="18"/>
      <c r="G354" s="72"/>
      <c r="H354" s="18"/>
      <c r="I354" s="72"/>
      <c r="J354" s="18"/>
      <c r="K354" s="72"/>
      <c r="L354" s="18"/>
      <c r="M354" s="72"/>
      <c r="N354" s="19"/>
      <c r="O354" s="72"/>
      <c r="P354" s="73"/>
      <c r="Q354" s="72"/>
      <c r="R354" s="72"/>
    </row>
    <row r="355" spans="1:18" ht="27" customHeight="1" x14ac:dyDescent="0.15">
      <c r="A355" s="72"/>
      <c r="B355" s="74"/>
      <c r="C355" s="75"/>
      <c r="D355" s="17"/>
      <c r="E355" s="72"/>
      <c r="F355" s="17"/>
      <c r="G355" s="72"/>
      <c r="H355" s="17"/>
      <c r="I355" s="72"/>
      <c r="J355" s="17"/>
      <c r="K355" s="72"/>
      <c r="L355" s="17"/>
      <c r="M355" s="72"/>
      <c r="N355" s="17"/>
      <c r="O355" s="72"/>
      <c r="P355" s="73"/>
      <c r="Q355" s="76"/>
      <c r="R355" s="72"/>
    </row>
    <row r="356" spans="1:18" ht="27" customHeight="1" x14ac:dyDescent="0.15">
      <c r="A356" s="72"/>
      <c r="B356" s="74"/>
      <c r="C356" s="75"/>
      <c r="D356" s="18"/>
      <c r="E356" s="72"/>
      <c r="F356" s="18"/>
      <c r="G356" s="72"/>
      <c r="H356" s="18"/>
      <c r="I356" s="72"/>
      <c r="J356" s="18"/>
      <c r="K356" s="72"/>
      <c r="L356" s="18"/>
      <c r="M356" s="72"/>
      <c r="N356" s="19"/>
      <c r="O356" s="72"/>
      <c r="P356" s="73"/>
      <c r="Q356" s="72"/>
      <c r="R356" s="72"/>
    </row>
    <row r="357" spans="1:18" ht="27" customHeight="1" x14ac:dyDescent="0.15">
      <c r="A357" s="72"/>
      <c r="B357" s="74"/>
      <c r="C357" s="75"/>
      <c r="D357" s="17"/>
      <c r="E357" s="72"/>
      <c r="F357" s="17"/>
      <c r="G357" s="72"/>
      <c r="H357" s="17"/>
      <c r="I357" s="72"/>
      <c r="J357" s="17"/>
      <c r="K357" s="72"/>
      <c r="L357" s="17"/>
      <c r="M357" s="72"/>
      <c r="N357" s="17"/>
      <c r="O357" s="72"/>
      <c r="P357" s="73"/>
      <c r="Q357" s="72"/>
      <c r="R357" s="72"/>
    </row>
    <row r="358" spans="1:18" ht="27" customHeight="1" x14ac:dyDescent="0.15">
      <c r="A358" s="72"/>
      <c r="B358" s="74"/>
      <c r="C358" s="75"/>
      <c r="D358" s="18"/>
      <c r="E358" s="72"/>
      <c r="F358" s="18"/>
      <c r="G358" s="72"/>
      <c r="H358" s="18"/>
      <c r="I358" s="72"/>
      <c r="J358" s="18"/>
      <c r="K358" s="72"/>
      <c r="L358" s="18"/>
      <c r="M358" s="72"/>
      <c r="N358" s="19"/>
      <c r="O358" s="72"/>
      <c r="P358" s="73"/>
      <c r="Q358" s="72"/>
      <c r="R358" s="72"/>
    </row>
    <row r="359" spans="1:18" ht="27" customHeight="1" x14ac:dyDescent="0.15">
      <c r="A359" s="72"/>
      <c r="B359" s="74"/>
      <c r="C359" s="75"/>
      <c r="D359" s="17"/>
      <c r="E359" s="72"/>
      <c r="F359" s="17"/>
      <c r="G359" s="72"/>
      <c r="H359" s="17"/>
      <c r="I359" s="72"/>
      <c r="J359" s="17"/>
      <c r="K359" s="72"/>
      <c r="L359" s="17"/>
      <c r="M359" s="72"/>
      <c r="N359" s="17"/>
      <c r="O359" s="72"/>
      <c r="P359" s="73"/>
      <c r="Q359" s="76"/>
      <c r="R359" s="72"/>
    </row>
    <row r="360" spans="1:18" ht="27" customHeight="1" x14ac:dyDescent="0.15">
      <c r="A360" s="72"/>
      <c r="B360" s="74"/>
      <c r="C360" s="75"/>
      <c r="D360" s="18"/>
      <c r="E360" s="72"/>
      <c r="F360" s="18"/>
      <c r="G360" s="72"/>
      <c r="H360" s="18"/>
      <c r="I360" s="72"/>
      <c r="J360" s="18"/>
      <c r="K360" s="72"/>
      <c r="L360" s="18"/>
      <c r="M360" s="72"/>
      <c r="N360" s="19"/>
      <c r="O360" s="72"/>
      <c r="P360" s="73"/>
      <c r="Q360" s="72"/>
      <c r="R360" s="72"/>
    </row>
    <row r="361" spans="1:18" ht="27" customHeight="1" x14ac:dyDescent="0.15">
      <c r="A361" s="72"/>
      <c r="B361" s="74"/>
      <c r="C361" s="75"/>
      <c r="D361" s="17"/>
      <c r="E361" s="72"/>
      <c r="F361" s="17"/>
      <c r="G361" s="72"/>
      <c r="H361" s="17"/>
      <c r="I361" s="72"/>
      <c r="J361" s="17"/>
      <c r="K361" s="72"/>
      <c r="L361" s="17"/>
      <c r="M361" s="72"/>
      <c r="N361" s="17"/>
      <c r="O361" s="72"/>
      <c r="P361" s="73"/>
      <c r="Q361" s="72"/>
      <c r="R361" s="72"/>
    </row>
    <row r="362" spans="1:18" ht="27" customHeight="1" x14ac:dyDescent="0.15">
      <c r="A362" s="72"/>
      <c r="B362" s="74"/>
      <c r="C362" s="75"/>
      <c r="D362" s="18"/>
      <c r="E362" s="72"/>
      <c r="F362" s="18"/>
      <c r="G362" s="72"/>
      <c r="H362" s="18"/>
      <c r="I362" s="72"/>
      <c r="J362" s="18"/>
      <c r="K362" s="72"/>
      <c r="L362" s="18"/>
      <c r="M362" s="72"/>
      <c r="N362" s="19"/>
      <c r="O362" s="72"/>
      <c r="P362" s="73"/>
      <c r="Q362" s="72"/>
      <c r="R362" s="72"/>
    </row>
    <row r="363" spans="1:18" ht="27" customHeight="1" x14ac:dyDescent="0.15">
      <c r="A363" s="72"/>
      <c r="B363" s="74"/>
      <c r="C363" s="75"/>
      <c r="D363" s="17"/>
      <c r="E363" s="72"/>
      <c r="F363" s="17"/>
      <c r="G363" s="72"/>
      <c r="H363" s="17"/>
      <c r="I363" s="72"/>
      <c r="J363" s="17"/>
      <c r="K363" s="72"/>
      <c r="L363" s="17"/>
      <c r="M363" s="72"/>
      <c r="N363" s="17"/>
      <c r="O363" s="72"/>
      <c r="P363" s="73"/>
      <c r="Q363" s="72"/>
      <c r="R363" s="72"/>
    </row>
    <row r="364" spans="1:18" ht="27" customHeight="1" x14ac:dyDescent="0.15">
      <c r="A364" s="72"/>
      <c r="B364" s="74"/>
      <c r="C364" s="75"/>
      <c r="D364" s="18"/>
      <c r="E364" s="72"/>
      <c r="F364" s="18"/>
      <c r="G364" s="72"/>
      <c r="H364" s="18"/>
      <c r="I364" s="72"/>
      <c r="J364" s="18"/>
      <c r="K364" s="72"/>
      <c r="L364" s="18"/>
      <c r="M364" s="72"/>
      <c r="N364" s="19"/>
      <c r="O364" s="72"/>
      <c r="P364" s="73"/>
      <c r="Q364" s="72"/>
      <c r="R364" s="72"/>
    </row>
    <row r="365" spans="1:18" ht="27" customHeight="1" x14ac:dyDescent="0.15">
      <c r="A365" s="72"/>
      <c r="B365" s="74"/>
      <c r="C365" s="75"/>
      <c r="D365" s="17"/>
      <c r="E365" s="72"/>
      <c r="F365" s="17"/>
      <c r="G365" s="72"/>
      <c r="H365" s="17"/>
      <c r="I365" s="72"/>
      <c r="J365" s="17"/>
      <c r="K365" s="72"/>
      <c r="L365" s="17"/>
      <c r="M365" s="72"/>
      <c r="N365" s="17"/>
      <c r="O365" s="72"/>
      <c r="P365" s="73"/>
      <c r="Q365" s="76"/>
      <c r="R365" s="72"/>
    </row>
    <row r="366" spans="1:18" ht="27" customHeight="1" x14ac:dyDescent="0.15">
      <c r="A366" s="72"/>
      <c r="B366" s="74"/>
      <c r="C366" s="75"/>
      <c r="D366" s="18"/>
      <c r="E366" s="72"/>
      <c r="F366" s="18"/>
      <c r="G366" s="72"/>
      <c r="H366" s="18"/>
      <c r="I366" s="72"/>
      <c r="J366" s="18"/>
      <c r="K366" s="72"/>
      <c r="L366" s="18"/>
      <c r="M366" s="72"/>
      <c r="N366" s="19"/>
      <c r="O366" s="72"/>
      <c r="P366" s="73"/>
      <c r="Q366" s="72"/>
      <c r="R366" s="72"/>
    </row>
    <row r="367" spans="1:18" ht="27" customHeight="1" x14ac:dyDescent="0.15">
      <c r="A367" s="72"/>
      <c r="B367" s="74"/>
      <c r="C367" s="75"/>
      <c r="D367" s="17"/>
      <c r="E367" s="72"/>
      <c r="F367" s="17"/>
      <c r="G367" s="72"/>
      <c r="H367" s="17"/>
      <c r="I367" s="72"/>
      <c r="J367" s="17"/>
      <c r="K367" s="72"/>
      <c r="L367" s="17"/>
      <c r="M367" s="72"/>
      <c r="N367" s="17"/>
      <c r="O367" s="72"/>
      <c r="P367" s="73"/>
      <c r="Q367" s="76"/>
      <c r="R367" s="72"/>
    </row>
    <row r="368" spans="1:18" ht="27" customHeight="1" x14ac:dyDescent="0.15">
      <c r="A368" s="72"/>
      <c r="B368" s="74"/>
      <c r="C368" s="75"/>
      <c r="D368" s="18"/>
      <c r="E368" s="72"/>
      <c r="F368" s="18"/>
      <c r="G368" s="72"/>
      <c r="H368" s="18"/>
      <c r="I368" s="72"/>
      <c r="J368" s="18"/>
      <c r="K368" s="72"/>
      <c r="L368" s="18"/>
      <c r="M368" s="72"/>
      <c r="N368" s="19"/>
      <c r="O368" s="72"/>
      <c r="P368" s="73"/>
      <c r="Q368" s="72"/>
      <c r="R368" s="72"/>
    </row>
    <row r="369" spans="1:18" s="1" customFormat="1" ht="21" customHeight="1" x14ac:dyDescent="0.1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</row>
    <row r="370" spans="1:18" ht="15.75" customHeight="1" x14ac:dyDescent="0.15">
      <c r="A370" s="78"/>
      <c r="B370" s="78"/>
      <c r="C370" s="78"/>
      <c r="D370" s="20"/>
      <c r="E370" s="79"/>
      <c r="F370" s="20"/>
      <c r="G370" s="79"/>
      <c r="H370" s="20"/>
      <c r="I370" s="78"/>
      <c r="J370" s="20"/>
      <c r="K370" s="78"/>
      <c r="L370" s="20"/>
      <c r="M370" s="78"/>
      <c r="N370" s="20"/>
      <c r="O370" s="78"/>
      <c r="P370" s="77"/>
      <c r="Q370" s="77"/>
      <c r="R370" s="77"/>
    </row>
    <row r="371" spans="1:18" ht="15" customHeight="1" x14ac:dyDescent="0.15">
      <c r="A371" s="78"/>
      <c r="B371" s="78"/>
      <c r="C371" s="78"/>
      <c r="D371" s="20"/>
      <c r="E371" s="78"/>
      <c r="F371" s="20"/>
      <c r="G371" s="78"/>
      <c r="H371" s="20"/>
      <c r="I371" s="78"/>
      <c r="J371" s="20"/>
      <c r="K371" s="78"/>
      <c r="L371" s="20"/>
      <c r="M371" s="78"/>
      <c r="N371" s="20"/>
      <c r="O371" s="78"/>
      <c r="P371" s="77"/>
      <c r="Q371" s="78"/>
      <c r="R371" s="78"/>
    </row>
    <row r="372" spans="1:18" ht="27" customHeight="1" x14ac:dyDescent="0.15">
      <c r="A372" s="72"/>
      <c r="B372" s="74"/>
      <c r="C372" s="75"/>
      <c r="D372" s="17"/>
      <c r="E372" s="72"/>
      <c r="F372" s="17"/>
      <c r="G372" s="72"/>
      <c r="H372" s="17"/>
      <c r="I372" s="72"/>
      <c r="J372" s="17"/>
      <c r="K372" s="72"/>
      <c r="L372" s="17"/>
      <c r="M372" s="72"/>
      <c r="N372" s="17"/>
      <c r="O372" s="72"/>
      <c r="P372" s="73"/>
      <c r="Q372" s="72"/>
      <c r="R372" s="72"/>
    </row>
    <row r="373" spans="1:18" ht="27" customHeight="1" x14ac:dyDescent="0.15">
      <c r="A373" s="72"/>
      <c r="B373" s="74"/>
      <c r="C373" s="75"/>
      <c r="D373" s="18"/>
      <c r="E373" s="72"/>
      <c r="F373" s="18"/>
      <c r="G373" s="72"/>
      <c r="H373" s="18"/>
      <c r="I373" s="72"/>
      <c r="J373" s="18"/>
      <c r="K373" s="72"/>
      <c r="L373" s="18"/>
      <c r="M373" s="72"/>
      <c r="N373" s="19"/>
      <c r="O373" s="72"/>
      <c r="P373" s="73"/>
      <c r="Q373" s="72"/>
      <c r="R373" s="72"/>
    </row>
    <row r="374" spans="1:18" ht="27" customHeight="1" x14ac:dyDescent="0.15">
      <c r="A374" s="72"/>
      <c r="B374" s="74"/>
      <c r="C374" s="75"/>
      <c r="D374" s="17"/>
      <c r="E374" s="72"/>
      <c r="F374" s="17"/>
      <c r="G374" s="72"/>
      <c r="H374" s="17"/>
      <c r="I374" s="72"/>
      <c r="J374" s="17"/>
      <c r="K374" s="72"/>
      <c r="L374" s="17"/>
      <c r="M374" s="72"/>
      <c r="N374" s="17"/>
      <c r="O374" s="72"/>
      <c r="P374" s="73"/>
      <c r="Q374" s="76"/>
      <c r="R374" s="72"/>
    </row>
    <row r="375" spans="1:18" ht="27" customHeight="1" x14ac:dyDescent="0.15">
      <c r="A375" s="72"/>
      <c r="B375" s="74"/>
      <c r="C375" s="75"/>
      <c r="D375" s="18"/>
      <c r="E375" s="72"/>
      <c r="F375" s="18"/>
      <c r="G375" s="72"/>
      <c r="H375" s="18"/>
      <c r="I375" s="72"/>
      <c r="J375" s="18"/>
      <c r="K375" s="72"/>
      <c r="L375" s="18"/>
      <c r="M375" s="72"/>
      <c r="N375" s="19"/>
      <c r="O375" s="72"/>
      <c r="P375" s="73"/>
      <c r="Q375" s="72"/>
      <c r="R375" s="72"/>
    </row>
    <row r="376" spans="1:18" ht="27" customHeight="1" x14ac:dyDescent="0.15">
      <c r="A376" s="72"/>
      <c r="B376" s="74"/>
      <c r="C376" s="75"/>
      <c r="D376" s="17"/>
      <c r="E376" s="72"/>
      <c r="F376" s="17"/>
      <c r="G376" s="72"/>
      <c r="H376" s="17"/>
      <c r="I376" s="72"/>
      <c r="J376" s="17"/>
      <c r="K376" s="72"/>
      <c r="L376" s="17"/>
      <c r="M376" s="72"/>
      <c r="N376" s="17"/>
      <c r="O376" s="72"/>
      <c r="P376" s="73"/>
      <c r="Q376" s="76"/>
      <c r="R376" s="72"/>
    </row>
    <row r="377" spans="1:18" ht="27" customHeight="1" x14ac:dyDescent="0.15">
      <c r="A377" s="72"/>
      <c r="B377" s="74"/>
      <c r="C377" s="75"/>
      <c r="D377" s="18"/>
      <c r="E377" s="72"/>
      <c r="F377" s="18"/>
      <c r="G377" s="72"/>
      <c r="H377" s="18"/>
      <c r="I377" s="72"/>
      <c r="J377" s="18"/>
      <c r="K377" s="72"/>
      <c r="L377" s="18"/>
      <c r="M377" s="72"/>
      <c r="N377" s="19"/>
      <c r="O377" s="72"/>
      <c r="P377" s="73"/>
      <c r="Q377" s="72"/>
      <c r="R377" s="72"/>
    </row>
    <row r="378" spans="1:18" ht="27" customHeight="1" x14ac:dyDescent="0.15">
      <c r="A378" s="72"/>
      <c r="B378" s="74"/>
      <c r="C378" s="75"/>
      <c r="D378" s="17"/>
      <c r="E378" s="72"/>
      <c r="F378" s="17"/>
      <c r="G378" s="72"/>
      <c r="H378" s="17"/>
      <c r="I378" s="72"/>
      <c r="J378" s="17"/>
      <c r="K378" s="72"/>
      <c r="L378" s="17"/>
      <c r="M378" s="72"/>
      <c r="N378" s="17"/>
      <c r="O378" s="72"/>
      <c r="P378" s="73"/>
      <c r="Q378" s="76"/>
      <c r="R378" s="72"/>
    </row>
    <row r="379" spans="1:18" ht="27" customHeight="1" x14ac:dyDescent="0.15">
      <c r="A379" s="72"/>
      <c r="B379" s="74"/>
      <c r="C379" s="75"/>
      <c r="D379" s="18"/>
      <c r="E379" s="72"/>
      <c r="F379" s="18"/>
      <c r="G379" s="72"/>
      <c r="H379" s="18"/>
      <c r="I379" s="72"/>
      <c r="J379" s="18"/>
      <c r="K379" s="72"/>
      <c r="L379" s="18"/>
      <c r="M379" s="72"/>
      <c r="N379" s="19"/>
      <c r="O379" s="72"/>
      <c r="P379" s="73"/>
      <c r="Q379" s="72"/>
      <c r="R379" s="72"/>
    </row>
    <row r="380" spans="1:18" ht="27" customHeight="1" x14ac:dyDescent="0.15">
      <c r="A380" s="72"/>
      <c r="B380" s="74"/>
      <c r="C380" s="75"/>
      <c r="D380" s="17"/>
      <c r="E380" s="72"/>
      <c r="F380" s="17"/>
      <c r="G380" s="72"/>
      <c r="H380" s="17"/>
      <c r="I380" s="72"/>
      <c r="J380" s="17"/>
      <c r="K380" s="72"/>
      <c r="L380" s="17"/>
      <c r="M380" s="72"/>
      <c r="N380" s="17"/>
      <c r="O380" s="72"/>
      <c r="P380" s="73"/>
      <c r="Q380" s="72"/>
      <c r="R380" s="72"/>
    </row>
    <row r="381" spans="1:18" ht="27" customHeight="1" x14ac:dyDescent="0.15">
      <c r="A381" s="72"/>
      <c r="B381" s="74"/>
      <c r="C381" s="75"/>
      <c r="D381" s="18"/>
      <c r="E381" s="72"/>
      <c r="F381" s="18"/>
      <c r="G381" s="72"/>
      <c r="H381" s="18"/>
      <c r="I381" s="72"/>
      <c r="J381" s="18"/>
      <c r="K381" s="72"/>
      <c r="L381" s="18"/>
      <c r="M381" s="72"/>
      <c r="N381" s="19"/>
      <c r="O381" s="72"/>
      <c r="P381" s="73"/>
      <c r="Q381" s="72"/>
      <c r="R381" s="72"/>
    </row>
    <row r="382" spans="1:18" ht="27" customHeight="1" x14ac:dyDescent="0.15">
      <c r="A382" s="72"/>
      <c r="B382" s="74"/>
      <c r="C382" s="75"/>
      <c r="D382" s="17"/>
      <c r="E382" s="72"/>
      <c r="F382" s="17"/>
      <c r="G382" s="72"/>
      <c r="H382" s="17"/>
      <c r="I382" s="72"/>
      <c r="J382" s="17"/>
      <c r="K382" s="72"/>
      <c r="L382" s="17"/>
      <c r="M382" s="72"/>
      <c r="N382" s="17"/>
      <c r="O382" s="72"/>
      <c r="P382" s="73"/>
      <c r="Q382" s="76"/>
      <c r="R382" s="72"/>
    </row>
    <row r="383" spans="1:18" ht="27" customHeight="1" x14ac:dyDescent="0.15">
      <c r="A383" s="72"/>
      <c r="B383" s="74"/>
      <c r="C383" s="75"/>
      <c r="D383" s="18"/>
      <c r="E383" s="72"/>
      <c r="F383" s="18"/>
      <c r="G383" s="72"/>
      <c r="H383" s="18"/>
      <c r="I383" s="72"/>
      <c r="J383" s="18"/>
      <c r="K383" s="72"/>
      <c r="L383" s="18"/>
      <c r="M383" s="72"/>
      <c r="N383" s="19"/>
      <c r="O383" s="72"/>
      <c r="P383" s="73"/>
      <c r="Q383" s="72"/>
      <c r="R383" s="72"/>
    </row>
    <row r="384" spans="1:18" ht="27" customHeight="1" x14ac:dyDescent="0.15">
      <c r="A384" s="72"/>
      <c r="B384" s="74"/>
      <c r="C384" s="75"/>
      <c r="D384" s="17"/>
      <c r="E384" s="72"/>
      <c r="F384" s="17"/>
      <c r="G384" s="72"/>
      <c r="H384" s="17"/>
      <c r="I384" s="72"/>
      <c r="J384" s="17"/>
      <c r="K384" s="72"/>
      <c r="L384" s="17"/>
      <c r="M384" s="72"/>
      <c r="N384" s="17"/>
      <c r="O384" s="72"/>
      <c r="P384" s="73"/>
      <c r="Q384" s="72"/>
      <c r="R384" s="72"/>
    </row>
    <row r="385" spans="1:18" ht="27" customHeight="1" x14ac:dyDescent="0.15">
      <c r="A385" s="72"/>
      <c r="B385" s="74"/>
      <c r="C385" s="75"/>
      <c r="D385" s="18"/>
      <c r="E385" s="72"/>
      <c r="F385" s="18"/>
      <c r="G385" s="72"/>
      <c r="H385" s="18"/>
      <c r="I385" s="72"/>
      <c r="J385" s="18"/>
      <c r="K385" s="72"/>
      <c r="L385" s="18"/>
      <c r="M385" s="72"/>
      <c r="N385" s="19"/>
      <c r="O385" s="72"/>
      <c r="P385" s="73"/>
      <c r="Q385" s="72"/>
      <c r="R385" s="72"/>
    </row>
    <row r="386" spans="1:18" ht="27" customHeight="1" x14ac:dyDescent="0.15">
      <c r="A386" s="72"/>
      <c r="B386" s="74"/>
      <c r="C386" s="75"/>
      <c r="D386" s="17"/>
      <c r="E386" s="72"/>
      <c r="F386" s="17"/>
      <c r="G386" s="72"/>
      <c r="H386" s="17"/>
      <c r="I386" s="72"/>
      <c r="J386" s="17"/>
      <c r="K386" s="72"/>
      <c r="L386" s="17"/>
      <c r="M386" s="72"/>
      <c r="N386" s="17"/>
      <c r="O386" s="72"/>
      <c r="P386" s="73"/>
      <c r="Q386" s="72"/>
      <c r="R386" s="72"/>
    </row>
    <row r="387" spans="1:18" ht="27" customHeight="1" x14ac:dyDescent="0.15">
      <c r="A387" s="72"/>
      <c r="B387" s="74"/>
      <c r="C387" s="75"/>
      <c r="D387" s="18"/>
      <c r="E387" s="72"/>
      <c r="F387" s="18"/>
      <c r="G387" s="72"/>
      <c r="H387" s="18"/>
      <c r="I387" s="72"/>
      <c r="J387" s="18"/>
      <c r="K387" s="72"/>
      <c r="L387" s="18"/>
      <c r="M387" s="72"/>
      <c r="N387" s="19"/>
      <c r="O387" s="72"/>
      <c r="P387" s="73"/>
      <c r="Q387" s="72"/>
      <c r="R387" s="72"/>
    </row>
    <row r="388" spans="1:18" ht="27" customHeight="1" x14ac:dyDescent="0.15">
      <c r="A388" s="72"/>
      <c r="B388" s="74"/>
      <c r="C388" s="75"/>
      <c r="D388" s="17"/>
      <c r="E388" s="72"/>
      <c r="F388" s="17"/>
      <c r="G388" s="72"/>
      <c r="H388" s="17"/>
      <c r="I388" s="72"/>
      <c r="J388" s="17"/>
      <c r="K388" s="72"/>
      <c r="L388" s="17"/>
      <c r="M388" s="72"/>
      <c r="N388" s="17"/>
      <c r="O388" s="72"/>
      <c r="P388" s="73"/>
      <c r="Q388" s="76"/>
      <c r="R388" s="72"/>
    </row>
    <row r="389" spans="1:18" ht="27" customHeight="1" x14ac:dyDescent="0.15">
      <c r="A389" s="72"/>
      <c r="B389" s="74"/>
      <c r="C389" s="75"/>
      <c r="D389" s="18"/>
      <c r="E389" s="72"/>
      <c r="F389" s="18"/>
      <c r="G389" s="72"/>
      <c r="H389" s="18"/>
      <c r="I389" s="72"/>
      <c r="J389" s="18"/>
      <c r="K389" s="72"/>
      <c r="L389" s="18"/>
      <c r="M389" s="72"/>
      <c r="N389" s="19"/>
      <c r="O389" s="72"/>
      <c r="P389" s="73"/>
      <c r="Q389" s="72"/>
      <c r="R389" s="72"/>
    </row>
    <row r="390" spans="1:18" ht="27" customHeight="1" x14ac:dyDescent="0.15">
      <c r="A390" s="72"/>
      <c r="B390" s="74"/>
      <c r="C390" s="75"/>
      <c r="D390" s="17"/>
      <c r="E390" s="72"/>
      <c r="F390" s="17"/>
      <c r="G390" s="72"/>
      <c r="H390" s="17"/>
      <c r="I390" s="72"/>
      <c r="J390" s="17"/>
      <c r="K390" s="72"/>
      <c r="L390" s="17"/>
      <c r="M390" s="72"/>
      <c r="N390" s="17"/>
      <c r="O390" s="72"/>
      <c r="P390" s="73"/>
      <c r="Q390" s="76"/>
      <c r="R390" s="72"/>
    </row>
    <row r="391" spans="1:18" ht="27" customHeight="1" x14ac:dyDescent="0.15">
      <c r="A391" s="72"/>
      <c r="B391" s="74"/>
      <c r="C391" s="75"/>
      <c r="D391" s="18"/>
      <c r="E391" s="72"/>
      <c r="F391" s="18"/>
      <c r="G391" s="72"/>
      <c r="H391" s="18"/>
      <c r="I391" s="72"/>
      <c r="J391" s="18"/>
      <c r="K391" s="72"/>
      <c r="L391" s="18"/>
      <c r="M391" s="72"/>
      <c r="N391" s="19"/>
      <c r="O391" s="72"/>
      <c r="P391" s="73"/>
      <c r="Q391" s="72"/>
      <c r="R391" s="72"/>
    </row>
    <row r="392" spans="1:18" s="1" customFormat="1" ht="21" customHeight="1" x14ac:dyDescent="0.1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</row>
    <row r="393" spans="1:18" ht="15.75" customHeight="1" x14ac:dyDescent="0.15">
      <c r="A393" s="78"/>
      <c r="B393" s="78"/>
      <c r="C393" s="78"/>
      <c r="D393" s="20"/>
      <c r="E393" s="79"/>
      <c r="F393" s="20"/>
      <c r="G393" s="79"/>
      <c r="H393" s="20"/>
      <c r="I393" s="78"/>
      <c r="J393" s="20"/>
      <c r="K393" s="78"/>
      <c r="L393" s="20"/>
      <c r="M393" s="78"/>
      <c r="N393" s="20"/>
      <c r="O393" s="78"/>
      <c r="P393" s="77"/>
      <c r="Q393" s="77"/>
      <c r="R393" s="77"/>
    </row>
    <row r="394" spans="1:18" ht="15" customHeight="1" x14ac:dyDescent="0.15">
      <c r="A394" s="78"/>
      <c r="B394" s="78"/>
      <c r="C394" s="78"/>
      <c r="D394" s="20"/>
      <c r="E394" s="78"/>
      <c r="F394" s="20"/>
      <c r="G394" s="78"/>
      <c r="H394" s="20"/>
      <c r="I394" s="78"/>
      <c r="J394" s="20"/>
      <c r="K394" s="78"/>
      <c r="L394" s="20"/>
      <c r="M394" s="78"/>
      <c r="N394" s="20"/>
      <c r="O394" s="78"/>
      <c r="P394" s="77"/>
      <c r="Q394" s="78"/>
      <c r="R394" s="78"/>
    </row>
    <row r="395" spans="1:18" ht="27" customHeight="1" x14ac:dyDescent="0.15">
      <c r="A395" s="72"/>
      <c r="B395" s="74"/>
      <c r="C395" s="75"/>
      <c r="D395" s="17"/>
      <c r="E395" s="72"/>
      <c r="F395" s="17"/>
      <c r="G395" s="72"/>
      <c r="H395" s="17"/>
      <c r="I395" s="72"/>
      <c r="J395" s="17"/>
      <c r="K395" s="72"/>
      <c r="L395" s="17"/>
      <c r="M395" s="72"/>
      <c r="N395" s="17"/>
      <c r="O395" s="72"/>
      <c r="P395" s="73"/>
      <c r="Q395" s="72"/>
      <c r="R395" s="72"/>
    </row>
    <row r="396" spans="1:18" ht="27" customHeight="1" x14ac:dyDescent="0.15">
      <c r="A396" s="72"/>
      <c r="B396" s="74"/>
      <c r="C396" s="75"/>
      <c r="D396" s="18"/>
      <c r="E396" s="72"/>
      <c r="F396" s="18"/>
      <c r="G396" s="72"/>
      <c r="H396" s="18"/>
      <c r="I396" s="72"/>
      <c r="J396" s="18"/>
      <c r="K396" s="72"/>
      <c r="L396" s="18"/>
      <c r="M396" s="72"/>
      <c r="N396" s="19"/>
      <c r="O396" s="72"/>
      <c r="P396" s="73"/>
      <c r="Q396" s="72"/>
      <c r="R396" s="72"/>
    </row>
    <row r="397" spans="1:18" ht="27" customHeight="1" x14ac:dyDescent="0.15">
      <c r="A397" s="72"/>
      <c r="B397" s="74"/>
      <c r="C397" s="75"/>
      <c r="D397" s="17"/>
      <c r="E397" s="72"/>
      <c r="F397" s="17"/>
      <c r="G397" s="72"/>
      <c r="H397" s="17"/>
      <c r="I397" s="72"/>
      <c r="J397" s="17"/>
      <c r="K397" s="72"/>
      <c r="L397" s="17"/>
      <c r="M397" s="72"/>
      <c r="N397" s="17"/>
      <c r="O397" s="72"/>
      <c r="P397" s="73"/>
      <c r="Q397" s="76"/>
      <c r="R397" s="72"/>
    </row>
    <row r="398" spans="1:18" ht="27" customHeight="1" x14ac:dyDescent="0.15">
      <c r="A398" s="72"/>
      <c r="B398" s="74"/>
      <c r="C398" s="75"/>
      <c r="D398" s="18"/>
      <c r="E398" s="72"/>
      <c r="F398" s="18"/>
      <c r="G398" s="72"/>
      <c r="H398" s="18"/>
      <c r="I398" s="72"/>
      <c r="J398" s="18"/>
      <c r="K398" s="72"/>
      <c r="L398" s="18"/>
      <c r="M398" s="72"/>
      <c r="N398" s="19"/>
      <c r="O398" s="72"/>
      <c r="P398" s="73"/>
      <c r="Q398" s="72"/>
      <c r="R398" s="72"/>
    </row>
    <row r="399" spans="1:18" ht="27" customHeight="1" x14ac:dyDescent="0.15">
      <c r="A399" s="72"/>
      <c r="B399" s="74"/>
      <c r="C399" s="75"/>
      <c r="D399" s="17"/>
      <c r="E399" s="72"/>
      <c r="F399" s="17"/>
      <c r="G399" s="72"/>
      <c r="H399" s="17"/>
      <c r="I399" s="72"/>
      <c r="J399" s="17"/>
      <c r="K399" s="72"/>
      <c r="L399" s="17"/>
      <c r="M399" s="72"/>
      <c r="N399" s="17"/>
      <c r="O399" s="72"/>
      <c r="P399" s="73"/>
      <c r="Q399" s="76"/>
      <c r="R399" s="72"/>
    </row>
    <row r="400" spans="1:18" ht="27" customHeight="1" x14ac:dyDescent="0.15">
      <c r="A400" s="72"/>
      <c r="B400" s="74"/>
      <c r="C400" s="75"/>
      <c r="D400" s="18"/>
      <c r="E400" s="72"/>
      <c r="F400" s="18"/>
      <c r="G400" s="72"/>
      <c r="H400" s="18"/>
      <c r="I400" s="72"/>
      <c r="J400" s="18"/>
      <c r="K400" s="72"/>
      <c r="L400" s="18"/>
      <c r="M400" s="72"/>
      <c r="N400" s="19"/>
      <c r="O400" s="72"/>
      <c r="P400" s="73"/>
      <c r="Q400" s="72"/>
      <c r="R400" s="72"/>
    </row>
    <row r="401" spans="1:18" ht="27" customHeight="1" x14ac:dyDescent="0.15">
      <c r="A401" s="72"/>
      <c r="B401" s="74"/>
      <c r="C401" s="75"/>
      <c r="D401" s="17"/>
      <c r="E401" s="72"/>
      <c r="F401" s="17"/>
      <c r="G401" s="72"/>
      <c r="H401" s="17"/>
      <c r="I401" s="72"/>
      <c r="J401" s="17"/>
      <c r="K401" s="72"/>
      <c r="L401" s="17"/>
      <c r="M401" s="72"/>
      <c r="N401" s="17"/>
      <c r="O401" s="72"/>
      <c r="P401" s="73"/>
      <c r="Q401" s="76"/>
      <c r="R401" s="72"/>
    </row>
    <row r="402" spans="1:18" ht="27" customHeight="1" x14ac:dyDescent="0.15">
      <c r="A402" s="72"/>
      <c r="B402" s="74"/>
      <c r="C402" s="75"/>
      <c r="D402" s="18"/>
      <c r="E402" s="72"/>
      <c r="F402" s="18"/>
      <c r="G402" s="72"/>
      <c r="H402" s="18"/>
      <c r="I402" s="72"/>
      <c r="J402" s="18"/>
      <c r="K402" s="72"/>
      <c r="L402" s="18"/>
      <c r="M402" s="72"/>
      <c r="N402" s="19"/>
      <c r="O402" s="72"/>
      <c r="P402" s="73"/>
      <c r="Q402" s="72"/>
      <c r="R402" s="72"/>
    </row>
    <row r="403" spans="1:18" ht="27" customHeight="1" x14ac:dyDescent="0.15">
      <c r="A403" s="72"/>
      <c r="B403" s="74"/>
      <c r="C403" s="75"/>
      <c r="D403" s="17"/>
      <c r="E403" s="72"/>
      <c r="F403" s="17"/>
      <c r="G403" s="72"/>
      <c r="H403" s="17"/>
      <c r="I403" s="72"/>
      <c r="J403" s="17"/>
      <c r="K403" s="72"/>
      <c r="L403" s="17"/>
      <c r="M403" s="72"/>
      <c r="N403" s="17"/>
      <c r="O403" s="72"/>
      <c r="P403" s="73"/>
      <c r="Q403" s="72"/>
      <c r="R403" s="72"/>
    </row>
    <row r="404" spans="1:18" ht="27" customHeight="1" x14ac:dyDescent="0.15">
      <c r="A404" s="72"/>
      <c r="B404" s="74"/>
      <c r="C404" s="75"/>
      <c r="D404" s="18"/>
      <c r="E404" s="72"/>
      <c r="F404" s="18"/>
      <c r="G404" s="72"/>
      <c r="H404" s="18"/>
      <c r="I404" s="72"/>
      <c r="J404" s="18"/>
      <c r="K404" s="72"/>
      <c r="L404" s="18"/>
      <c r="M404" s="72"/>
      <c r="N404" s="19"/>
      <c r="O404" s="72"/>
      <c r="P404" s="73"/>
      <c r="Q404" s="72"/>
      <c r="R404" s="72"/>
    </row>
    <row r="405" spans="1:18" ht="27" customHeight="1" x14ac:dyDescent="0.15">
      <c r="A405" s="72"/>
      <c r="B405" s="74"/>
      <c r="C405" s="75"/>
      <c r="D405" s="17"/>
      <c r="E405" s="72"/>
      <c r="F405" s="17"/>
      <c r="G405" s="72"/>
      <c r="H405" s="17"/>
      <c r="I405" s="72"/>
      <c r="J405" s="17"/>
      <c r="K405" s="72"/>
      <c r="L405" s="17"/>
      <c r="M405" s="72"/>
      <c r="N405" s="17"/>
      <c r="O405" s="72"/>
      <c r="P405" s="73"/>
      <c r="Q405" s="76"/>
      <c r="R405" s="72"/>
    </row>
    <row r="406" spans="1:18" ht="27" customHeight="1" x14ac:dyDescent="0.15">
      <c r="A406" s="72"/>
      <c r="B406" s="74"/>
      <c r="C406" s="75"/>
      <c r="D406" s="18"/>
      <c r="E406" s="72"/>
      <c r="F406" s="18"/>
      <c r="G406" s="72"/>
      <c r="H406" s="18"/>
      <c r="I406" s="72"/>
      <c r="J406" s="18"/>
      <c r="K406" s="72"/>
      <c r="L406" s="18"/>
      <c r="M406" s="72"/>
      <c r="N406" s="19"/>
      <c r="O406" s="72"/>
      <c r="P406" s="73"/>
      <c r="Q406" s="72"/>
      <c r="R406" s="72"/>
    </row>
    <row r="407" spans="1:18" ht="27" customHeight="1" x14ac:dyDescent="0.15">
      <c r="A407" s="72"/>
      <c r="B407" s="74"/>
      <c r="C407" s="75"/>
      <c r="D407" s="17"/>
      <c r="E407" s="72"/>
      <c r="F407" s="17"/>
      <c r="G407" s="72"/>
      <c r="H407" s="17"/>
      <c r="I407" s="72"/>
      <c r="J407" s="17"/>
      <c r="K407" s="72"/>
      <c r="L407" s="17"/>
      <c r="M407" s="72"/>
      <c r="N407" s="17"/>
      <c r="O407" s="72"/>
      <c r="P407" s="73"/>
      <c r="Q407" s="72"/>
      <c r="R407" s="72"/>
    </row>
    <row r="408" spans="1:18" ht="27" customHeight="1" x14ac:dyDescent="0.15">
      <c r="A408" s="72"/>
      <c r="B408" s="74"/>
      <c r="C408" s="75"/>
      <c r="D408" s="18"/>
      <c r="E408" s="72"/>
      <c r="F408" s="18"/>
      <c r="G408" s="72"/>
      <c r="H408" s="18"/>
      <c r="I408" s="72"/>
      <c r="J408" s="18"/>
      <c r="K408" s="72"/>
      <c r="L408" s="18"/>
      <c r="M408" s="72"/>
      <c r="N408" s="19"/>
      <c r="O408" s="72"/>
      <c r="P408" s="73"/>
      <c r="Q408" s="72"/>
      <c r="R408" s="72"/>
    </row>
    <row r="409" spans="1:18" ht="27" customHeight="1" x14ac:dyDescent="0.15">
      <c r="A409" s="72"/>
      <c r="B409" s="74"/>
      <c r="C409" s="75"/>
      <c r="D409" s="17"/>
      <c r="E409" s="72"/>
      <c r="F409" s="17"/>
      <c r="G409" s="72"/>
      <c r="H409" s="17"/>
      <c r="I409" s="72"/>
      <c r="J409" s="17"/>
      <c r="K409" s="72"/>
      <c r="L409" s="17"/>
      <c r="M409" s="72"/>
      <c r="N409" s="17"/>
      <c r="O409" s="72"/>
      <c r="P409" s="73"/>
      <c r="Q409" s="72"/>
      <c r="R409" s="72"/>
    </row>
    <row r="410" spans="1:18" ht="27" customHeight="1" x14ac:dyDescent="0.15">
      <c r="A410" s="72"/>
      <c r="B410" s="74"/>
      <c r="C410" s="75"/>
      <c r="D410" s="18"/>
      <c r="E410" s="72"/>
      <c r="F410" s="18"/>
      <c r="G410" s="72"/>
      <c r="H410" s="18"/>
      <c r="I410" s="72"/>
      <c r="J410" s="18"/>
      <c r="K410" s="72"/>
      <c r="L410" s="18"/>
      <c r="M410" s="72"/>
      <c r="N410" s="19"/>
      <c r="O410" s="72"/>
      <c r="P410" s="73"/>
      <c r="Q410" s="72"/>
      <c r="R410" s="72"/>
    </row>
    <row r="411" spans="1:18" ht="27" customHeight="1" x14ac:dyDescent="0.15">
      <c r="A411" s="72"/>
      <c r="B411" s="74"/>
      <c r="C411" s="75"/>
      <c r="D411" s="17"/>
      <c r="E411" s="72"/>
      <c r="F411" s="17"/>
      <c r="G411" s="72"/>
      <c r="H411" s="17"/>
      <c r="I411" s="72"/>
      <c r="J411" s="17"/>
      <c r="K411" s="72"/>
      <c r="L411" s="17"/>
      <c r="M411" s="72"/>
      <c r="N411" s="17"/>
      <c r="O411" s="72"/>
      <c r="P411" s="73"/>
      <c r="Q411" s="76"/>
      <c r="R411" s="72"/>
    </row>
    <row r="412" spans="1:18" ht="27" customHeight="1" x14ac:dyDescent="0.15">
      <c r="A412" s="72"/>
      <c r="B412" s="74"/>
      <c r="C412" s="75"/>
      <c r="D412" s="18"/>
      <c r="E412" s="72"/>
      <c r="F412" s="18"/>
      <c r="G412" s="72"/>
      <c r="H412" s="18"/>
      <c r="I412" s="72"/>
      <c r="J412" s="18"/>
      <c r="K412" s="72"/>
      <c r="L412" s="18"/>
      <c r="M412" s="72"/>
      <c r="N412" s="19"/>
      <c r="O412" s="72"/>
      <c r="P412" s="73"/>
      <c r="Q412" s="72"/>
      <c r="R412" s="72"/>
    </row>
    <row r="413" spans="1:18" ht="27" customHeight="1" x14ac:dyDescent="0.15">
      <c r="A413" s="72"/>
      <c r="B413" s="74"/>
      <c r="C413" s="75"/>
      <c r="D413" s="17"/>
      <c r="E413" s="72"/>
      <c r="F413" s="17"/>
      <c r="G413" s="72"/>
      <c r="H413" s="17"/>
      <c r="I413" s="72"/>
      <c r="J413" s="17"/>
      <c r="K413" s="72"/>
      <c r="L413" s="17"/>
      <c r="M413" s="72"/>
      <c r="N413" s="17"/>
      <c r="O413" s="72"/>
      <c r="P413" s="73"/>
      <c r="Q413" s="76"/>
      <c r="R413" s="72"/>
    </row>
    <row r="414" spans="1:18" ht="27" customHeight="1" x14ac:dyDescent="0.15">
      <c r="A414" s="72"/>
      <c r="B414" s="74"/>
      <c r="C414" s="75"/>
      <c r="D414" s="18"/>
      <c r="E414" s="72"/>
      <c r="F414" s="18"/>
      <c r="G414" s="72"/>
      <c r="H414" s="18"/>
      <c r="I414" s="72"/>
      <c r="J414" s="18"/>
      <c r="K414" s="72"/>
      <c r="L414" s="18"/>
      <c r="M414" s="72"/>
      <c r="N414" s="19"/>
      <c r="O414" s="72"/>
      <c r="P414" s="73"/>
      <c r="Q414" s="72"/>
      <c r="R414" s="72"/>
    </row>
    <row r="415" spans="1:18" s="1" customFormat="1" ht="21" customHeight="1" x14ac:dyDescent="0.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</row>
    <row r="416" spans="1:18" ht="15.75" customHeight="1" x14ac:dyDescent="0.15">
      <c r="A416" s="78"/>
      <c r="B416" s="78"/>
      <c r="C416" s="78"/>
      <c r="D416" s="20"/>
      <c r="E416" s="79"/>
      <c r="F416" s="20"/>
      <c r="G416" s="79"/>
      <c r="H416" s="20"/>
      <c r="I416" s="78"/>
      <c r="J416" s="20"/>
      <c r="K416" s="78"/>
      <c r="L416" s="20"/>
      <c r="M416" s="78"/>
      <c r="N416" s="20"/>
      <c r="O416" s="78"/>
      <c r="P416" s="77"/>
      <c r="Q416" s="77"/>
      <c r="R416" s="77"/>
    </row>
    <row r="417" spans="1:18" ht="15" customHeight="1" x14ac:dyDescent="0.15">
      <c r="A417" s="78"/>
      <c r="B417" s="78"/>
      <c r="C417" s="78"/>
      <c r="D417" s="20"/>
      <c r="E417" s="78"/>
      <c r="F417" s="20"/>
      <c r="G417" s="78"/>
      <c r="H417" s="20"/>
      <c r="I417" s="78"/>
      <c r="J417" s="20"/>
      <c r="K417" s="78"/>
      <c r="L417" s="20"/>
      <c r="M417" s="78"/>
      <c r="N417" s="20"/>
      <c r="O417" s="78"/>
      <c r="P417" s="77"/>
      <c r="Q417" s="78"/>
      <c r="R417" s="78"/>
    </row>
    <row r="418" spans="1:18" ht="27" customHeight="1" x14ac:dyDescent="0.15">
      <c r="A418" s="72"/>
      <c r="B418" s="74"/>
      <c r="C418" s="75"/>
      <c r="D418" s="17"/>
      <c r="E418" s="72"/>
      <c r="F418" s="17"/>
      <c r="G418" s="72"/>
      <c r="H418" s="17"/>
      <c r="I418" s="72"/>
      <c r="J418" s="17"/>
      <c r="K418" s="72"/>
      <c r="L418" s="17"/>
      <c r="M418" s="72"/>
      <c r="N418" s="17"/>
      <c r="O418" s="72"/>
      <c r="P418" s="73"/>
      <c r="Q418" s="72"/>
      <c r="R418" s="72"/>
    </row>
    <row r="419" spans="1:18" ht="27" customHeight="1" x14ac:dyDescent="0.15">
      <c r="A419" s="72"/>
      <c r="B419" s="74"/>
      <c r="C419" s="75"/>
      <c r="D419" s="18"/>
      <c r="E419" s="72"/>
      <c r="F419" s="18"/>
      <c r="G419" s="72"/>
      <c r="H419" s="18"/>
      <c r="I419" s="72"/>
      <c r="J419" s="18"/>
      <c r="K419" s="72"/>
      <c r="L419" s="18"/>
      <c r="M419" s="72"/>
      <c r="N419" s="19"/>
      <c r="O419" s="72"/>
      <c r="P419" s="73"/>
      <c r="Q419" s="72"/>
      <c r="R419" s="72"/>
    </row>
    <row r="420" spans="1:18" ht="27" customHeight="1" x14ac:dyDescent="0.15">
      <c r="A420" s="72"/>
      <c r="B420" s="74"/>
      <c r="C420" s="75"/>
      <c r="D420" s="17"/>
      <c r="E420" s="72"/>
      <c r="F420" s="17"/>
      <c r="G420" s="72"/>
      <c r="H420" s="17"/>
      <c r="I420" s="72"/>
      <c r="J420" s="17"/>
      <c r="K420" s="72"/>
      <c r="L420" s="17"/>
      <c r="M420" s="72"/>
      <c r="N420" s="17"/>
      <c r="O420" s="72"/>
      <c r="P420" s="73"/>
      <c r="Q420" s="76"/>
      <c r="R420" s="72"/>
    </row>
    <row r="421" spans="1:18" ht="27" customHeight="1" x14ac:dyDescent="0.15">
      <c r="A421" s="72"/>
      <c r="B421" s="74"/>
      <c r="C421" s="75"/>
      <c r="D421" s="18"/>
      <c r="E421" s="72"/>
      <c r="F421" s="18"/>
      <c r="G421" s="72"/>
      <c r="H421" s="18"/>
      <c r="I421" s="72"/>
      <c r="J421" s="18"/>
      <c r="K421" s="72"/>
      <c r="L421" s="18"/>
      <c r="M421" s="72"/>
      <c r="N421" s="19"/>
      <c r="O421" s="72"/>
      <c r="P421" s="73"/>
      <c r="Q421" s="72"/>
      <c r="R421" s="72"/>
    </row>
    <row r="422" spans="1:18" ht="27" customHeight="1" x14ac:dyDescent="0.15">
      <c r="A422" s="72"/>
      <c r="B422" s="74"/>
      <c r="C422" s="75"/>
      <c r="D422" s="17"/>
      <c r="E422" s="72"/>
      <c r="F422" s="17"/>
      <c r="G422" s="72"/>
      <c r="H422" s="17"/>
      <c r="I422" s="72"/>
      <c r="J422" s="17"/>
      <c r="K422" s="72"/>
      <c r="L422" s="17"/>
      <c r="M422" s="72"/>
      <c r="N422" s="17"/>
      <c r="O422" s="72"/>
      <c r="P422" s="73"/>
      <c r="Q422" s="76"/>
      <c r="R422" s="72"/>
    </row>
    <row r="423" spans="1:18" ht="27" customHeight="1" x14ac:dyDescent="0.15">
      <c r="A423" s="72"/>
      <c r="B423" s="74"/>
      <c r="C423" s="75"/>
      <c r="D423" s="18"/>
      <c r="E423" s="72"/>
      <c r="F423" s="18"/>
      <c r="G423" s="72"/>
      <c r="H423" s="18"/>
      <c r="I423" s="72"/>
      <c r="J423" s="18"/>
      <c r="K423" s="72"/>
      <c r="L423" s="18"/>
      <c r="M423" s="72"/>
      <c r="N423" s="19"/>
      <c r="O423" s="72"/>
      <c r="P423" s="73"/>
      <c r="Q423" s="72"/>
      <c r="R423" s="72"/>
    </row>
    <row r="424" spans="1:18" ht="27" customHeight="1" x14ac:dyDescent="0.15">
      <c r="A424" s="72"/>
      <c r="B424" s="74"/>
      <c r="C424" s="75"/>
      <c r="D424" s="17"/>
      <c r="E424" s="72"/>
      <c r="F424" s="17"/>
      <c r="G424" s="72"/>
      <c r="H424" s="17"/>
      <c r="I424" s="72"/>
      <c r="J424" s="17"/>
      <c r="K424" s="72"/>
      <c r="L424" s="17"/>
      <c r="M424" s="72"/>
      <c r="N424" s="17"/>
      <c r="O424" s="72"/>
      <c r="P424" s="73"/>
      <c r="Q424" s="76"/>
      <c r="R424" s="72"/>
    </row>
    <row r="425" spans="1:18" ht="27" customHeight="1" x14ac:dyDescent="0.15">
      <c r="A425" s="72"/>
      <c r="B425" s="74"/>
      <c r="C425" s="75"/>
      <c r="D425" s="18"/>
      <c r="E425" s="72"/>
      <c r="F425" s="18"/>
      <c r="G425" s="72"/>
      <c r="H425" s="18"/>
      <c r="I425" s="72"/>
      <c r="J425" s="18"/>
      <c r="K425" s="72"/>
      <c r="L425" s="18"/>
      <c r="M425" s="72"/>
      <c r="N425" s="19"/>
      <c r="O425" s="72"/>
      <c r="P425" s="73"/>
      <c r="Q425" s="72"/>
      <c r="R425" s="72"/>
    </row>
    <row r="426" spans="1:18" ht="27" customHeight="1" x14ac:dyDescent="0.15">
      <c r="A426" s="72"/>
      <c r="B426" s="74"/>
      <c r="C426" s="75"/>
      <c r="D426" s="17"/>
      <c r="E426" s="72"/>
      <c r="F426" s="17"/>
      <c r="G426" s="72"/>
      <c r="H426" s="17"/>
      <c r="I426" s="72"/>
      <c r="J426" s="17"/>
      <c r="K426" s="72"/>
      <c r="L426" s="17"/>
      <c r="M426" s="72"/>
      <c r="N426" s="17"/>
      <c r="O426" s="72"/>
      <c r="P426" s="73"/>
      <c r="Q426" s="72"/>
      <c r="R426" s="72"/>
    </row>
    <row r="427" spans="1:18" ht="27" customHeight="1" x14ac:dyDescent="0.15">
      <c r="A427" s="72"/>
      <c r="B427" s="74"/>
      <c r="C427" s="75"/>
      <c r="D427" s="18"/>
      <c r="E427" s="72"/>
      <c r="F427" s="18"/>
      <c r="G427" s="72"/>
      <c r="H427" s="18"/>
      <c r="I427" s="72"/>
      <c r="J427" s="18"/>
      <c r="K427" s="72"/>
      <c r="L427" s="18"/>
      <c r="M427" s="72"/>
      <c r="N427" s="19"/>
      <c r="O427" s="72"/>
      <c r="P427" s="73"/>
      <c r="Q427" s="72"/>
      <c r="R427" s="72"/>
    </row>
    <row r="428" spans="1:18" ht="27" customHeight="1" x14ac:dyDescent="0.15">
      <c r="A428" s="72"/>
      <c r="B428" s="74"/>
      <c r="C428" s="75"/>
      <c r="D428" s="17"/>
      <c r="E428" s="72"/>
      <c r="F428" s="17"/>
      <c r="G428" s="72"/>
      <c r="H428" s="17"/>
      <c r="I428" s="72"/>
      <c r="J428" s="17"/>
      <c r="K428" s="72"/>
      <c r="L428" s="17"/>
      <c r="M428" s="72"/>
      <c r="N428" s="17"/>
      <c r="O428" s="72"/>
      <c r="P428" s="73"/>
      <c r="Q428" s="76"/>
      <c r="R428" s="72"/>
    </row>
    <row r="429" spans="1:18" ht="27" customHeight="1" x14ac:dyDescent="0.15">
      <c r="A429" s="72"/>
      <c r="B429" s="74"/>
      <c r="C429" s="75"/>
      <c r="D429" s="18"/>
      <c r="E429" s="72"/>
      <c r="F429" s="18"/>
      <c r="G429" s="72"/>
      <c r="H429" s="18"/>
      <c r="I429" s="72"/>
      <c r="J429" s="18"/>
      <c r="K429" s="72"/>
      <c r="L429" s="18"/>
      <c r="M429" s="72"/>
      <c r="N429" s="19"/>
      <c r="O429" s="72"/>
      <c r="P429" s="73"/>
      <c r="Q429" s="72"/>
      <c r="R429" s="72"/>
    </row>
    <row r="430" spans="1:18" ht="27" customHeight="1" x14ac:dyDescent="0.15">
      <c r="A430" s="72"/>
      <c r="B430" s="74"/>
      <c r="C430" s="75"/>
      <c r="D430" s="17"/>
      <c r="E430" s="72"/>
      <c r="F430" s="17"/>
      <c r="G430" s="72"/>
      <c r="H430" s="17"/>
      <c r="I430" s="72"/>
      <c r="J430" s="17"/>
      <c r="K430" s="72"/>
      <c r="L430" s="17"/>
      <c r="M430" s="72"/>
      <c r="N430" s="17"/>
      <c r="O430" s="72"/>
      <c r="P430" s="73"/>
      <c r="Q430" s="72"/>
      <c r="R430" s="72"/>
    </row>
    <row r="431" spans="1:18" ht="27" customHeight="1" x14ac:dyDescent="0.15">
      <c r="A431" s="72"/>
      <c r="B431" s="74"/>
      <c r="C431" s="75"/>
      <c r="D431" s="18"/>
      <c r="E431" s="72"/>
      <c r="F431" s="18"/>
      <c r="G431" s="72"/>
      <c r="H431" s="18"/>
      <c r="I431" s="72"/>
      <c r="J431" s="18"/>
      <c r="K431" s="72"/>
      <c r="L431" s="18"/>
      <c r="M431" s="72"/>
      <c r="N431" s="19"/>
      <c r="O431" s="72"/>
      <c r="P431" s="73"/>
      <c r="Q431" s="72"/>
      <c r="R431" s="72"/>
    </row>
    <row r="432" spans="1:18" ht="27" customHeight="1" x14ac:dyDescent="0.15">
      <c r="A432" s="72"/>
      <c r="B432" s="74"/>
      <c r="C432" s="75"/>
      <c r="D432" s="17"/>
      <c r="E432" s="72"/>
      <c r="F432" s="17"/>
      <c r="G432" s="72"/>
      <c r="H432" s="17"/>
      <c r="I432" s="72"/>
      <c r="J432" s="17"/>
      <c r="K432" s="72"/>
      <c r="L432" s="17"/>
      <c r="M432" s="72"/>
      <c r="N432" s="17"/>
      <c r="O432" s="72"/>
      <c r="P432" s="73"/>
      <c r="Q432" s="72"/>
      <c r="R432" s="72"/>
    </row>
    <row r="433" spans="1:18" ht="27" customHeight="1" x14ac:dyDescent="0.15">
      <c r="A433" s="72"/>
      <c r="B433" s="74"/>
      <c r="C433" s="75"/>
      <c r="D433" s="18"/>
      <c r="E433" s="72"/>
      <c r="F433" s="18"/>
      <c r="G433" s="72"/>
      <c r="H433" s="18"/>
      <c r="I433" s="72"/>
      <c r="J433" s="18"/>
      <c r="K433" s="72"/>
      <c r="L433" s="18"/>
      <c r="M433" s="72"/>
      <c r="N433" s="19"/>
      <c r="O433" s="72"/>
      <c r="P433" s="73"/>
      <c r="Q433" s="72"/>
      <c r="R433" s="72"/>
    </row>
    <row r="434" spans="1:18" ht="27" customHeight="1" x14ac:dyDescent="0.15">
      <c r="A434" s="72"/>
      <c r="B434" s="74"/>
      <c r="C434" s="75"/>
      <c r="D434" s="17"/>
      <c r="E434" s="72"/>
      <c r="F434" s="17"/>
      <c r="G434" s="72"/>
      <c r="H434" s="17"/>
      <c r="I434" s="72"/>
      <c r="J434" s="17"/>
      <c r="K434" s="72"/>
      <c r="L434" s="17"/>
      <c r="M434" s="72"/>
      <c r="N434" s="17"/>
      <c r="O434" s="72"/>
      <c r="P434" s="73"/>
      <c r="Q434" s="76"/>
      <c r="R434" s="72"/>
    </row>
    <row r="435" spans="1:18" ht="27" customHeight="1" x14ac:dyDescent="0.15">
      <c r="A435" s="72"/>
      <c r="B435" s="74"/>
      <c r="C435" s="75"/>
      <c r="D435" s="18"/>
      <c r="E435" s="72"/>
      <c r="F435" s="18"/>
      <c r="G435" s="72"/>
      <c r="H435" s="18"/>
      <c r="I435" s="72"/>
      <c r="J435" s="18"/>
      <c r="K435" s="72"/>
      <c r="L435" s="18"/>
      <c r="M435" s="72"/>
      <c r="N435" s="19"/>
      <c r="O435" s="72"/>
      <c r="P435" s="73"/>
      <c r="Q435" s="72"/>
      <c r="R435" s="72"/>
    </row>
    <row r="436" spans="1:18" ht="27" customHeight="1" x14ac:dyDescent="0.15">
      <c r="A436" s="72"/>
      <c r="B436" s="74"/>
      <c r="C436" s="75"/>
      <c r="D436" s="17"/>
      <c r="E436" s="72"/>
      <c r="F436" s="17"/>
      <c r="G436" s="72"/>
      <c r="H436" s="17"/>
      <c r="I436" s="72"/>
      <c r="J436" s="17"/>
      <c r="K436" s="72"/>
      <c r="L436" s="17"/>
      <c r="M436" s="72"/>
      <c r="N436" s="17"/>
      <c r="O436" s="72"/>
      <c r="P436" s="73"/>
      <c r="Q436" s="76"/>
      <c r="R436" s="72"/>
    </row>
    <row r="437" spans="1:18" ht="27" customHeight="1" x14ac:dyDescent="0.15">
      <c r="A437" s="72"/>
      <c r="B437" s="74"/>
      <c r="C437" s="75"/>
      <c r="D437" s="18"/>
      <c r="E437" s="72"/>
      <c r="F437" s="18"/>
      <c r="G437" s="72"/>
      <c r="H437" s="18"/>
      <c r="I437" s="72"/>
      <c r="J437" s="18"/>
      <c r="K437" s="72"/>
      <c r="L437" s="18"/>
      <c r="M437" s="72"/>
      <c r="N437" s="19"/>
      <c r="O437" s="72"/>
      <c r="P437" s="73"/>
      <c r="Q437" s="72"/>
      <c r="R437" s="72"/>
    </row>
    <row r="438" spans="1:18" s="1" customFormat="1" ht="21" customHeight="1" x14ac:dyDescent="0.1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</row>
    <row r="439" spans="1:18" ht="15.75" customHeight="1" x14ac:dyDescent="0.15">
      <c r="A439" s="78"/>
      <c r="B439" s="78"/>
      <c r="C439" s="78"/>
      <c r="D439" s="20"/>
      <c r="E439" s="79"/>
      <c r="F439" s="20"/>
      <c r="G439" s="79"/>
      <c r="H439" s="20"/>
      <c r="I439" s="78"/>
      <c r="J439" s="20"/>
      <c r="K439" s="78"/>
      <c r="L439" s="20"/>
      <c r="M439" s="78"/>
      <c r="N439" s="20"/>
      <c r="O439" s="78"/>
      <c r="P439" s="77"/>
      <c r="Q439" s="77"/>
      <c r="R439" s="77"/>
    </row>
    <row r="440" spans="1:18" ht="15" customHeight="1" x14ac:dyDescent="0.15">
      <c r="A440" s="78"/>
      <c r="B440" s="78"/>
      <c r="C440" s="78"/>
      <c r="D440" s="20"/>
      <c r="E440" s="78"/>
      <c r="F440" s="20"/>
      <c r="G440" s="78"/>
      <c r="H440" s="20"/>
      <c r="I440" s="78"/>
      <c r="J440" s="20"/>
      <c r="K440" s="78"/>
      <c r="L440" s="20"/>
      <c r="M440" s="78"/>
      <c r="N440" s="20"/>
      <c r="O440" s="78"/>
      <c r="P440" s="77"/>
      <c r="Q440" s="78"/>
      <c r="R440" s="78"/>
    </row>
    <row r="441" spans="1:18" ht="27" customHeight="1" x14ac:dyDescent="0.15">
      <c r="A441" s="72"/>
      <c r="B441" s="74"/>
      <c r="C441" s="75"/>
      <c r="D441" s="17"/>
      <c r="E441" s="72"/>
      <c r="F441" s="17"/>
      <c r="G441" s="72"/>
      <c r="H441" s="17"/>
      <c r="I441" s="72"/>
      <c r="J441" s="17"/>
      <c r="K441" s="72"/>
      <c r="L441" s="17"/>
      <c r="M441" s="72"/>
      <c r="N441" s="17"/>
      <c r="O441" s="72"/>
      <c r="P441" s="73"/>
      <c r="Q441" s="72"/>
      <c r="R441" s="72"/>
    </row>
    <row r="442" spans="1:18" ht="27" customHeight="1" x14ac:dyDescent="0.15">
      <c r="A442" s="72"/>
      <c r="B442" s="74"/>
      <c r="C442" s="75"/>
      <c r="D442" s="18"/>
      <c r="E442" s="72"/>
      <c r="F442" s="18"/>
      <c r="G442" s="72"/>
      <c r="H442" s="18"/>
      <c r="I442" s="72"/>
      <c r="J442" s="18"/>
      <c r="K442" s="72"/>
      <c r="L442" s="18"/>
      <c r="M442" s="72"/>
      <c r="N442" s="19"/>
      <c r="O442" s="72"/>
      <c r="P442" s="73"/>
      <c r="Q442" s="72"/>
      <c r="R442" s="72"/>
    </row>
    <row r="443" spans="1:18" ht="27" customHeight="1" x14ac:dyDescent="0.15">
      <c r="A443" s="72"/>
      <c r="B443" s="74"/>
      <c r="C443" s="75"/>
      <c r="D443" s="17"/>
      <c r="E443" s="72"/>
      <c r="F443" s="17"/>
      <c r="G443" s="72"/>
      <c r="H443" s="17"/>
      <c r="I443" s="72"/>
      <c r="J443" s="17"/>
      <c r="K443" s="72"/>
      <c r="L443" s="17"/>
      <c r="M443" s="72"/>
      <c r="N443" s="17"/>
      <c r="O443" s="72"/>
      <c r="P443" s="73"/>
      <c r="Q443" s="76"/>
      <c r="R443" s="72"/>
    </row>
    <row r="444" spans="1:18" ht="27" customHeight="1" x14ac:dyDescent="0.15">
      <c r="A444" s="72"/>
      <c r="B444" s="74"/>
      <c r="C444" s="75"/>
      <c r="D444" s="18"/>
      <c r="E444" s="72"/>
      <c r="F444" s="18"/>
      <c r="G444" s="72"/>
      <c r="H444" s="18"/>
      <c r="I444" s="72"/>
      <c r="J444" s="18"/>
      <c r="K444" s="72"/>
      <c r="L444" s="18"/>
      <c r="M444" s="72"/>
      <c r="N444" s="19"/>
      <c r="O444" s="72"/>
      <c r="P444" s="73"/>
      <c r="Q444" s="72"/>
      <c r="R444" s="72"/>
    </row>
    <row r="445" spans="1:18" ht="27" customHeight="1" x14ac:dyDescent="0.15">
      <c r="A445" s="72"/>
      <c r="B445" s="74"/>
      <c r="C445" s="75"/>
      <c r="D445" s="17"/>
      <c r="E445" s="72"/>
      <c r="F445" s="17"/>
      <c r="G445" s="72"/>
      <c r="H445" s="17"/>
      <c r="I445" s="72"/>
      <c r="J445" s="17"/>
      <c r="K445" s="72"/>
      <c r="L445" s="17"/>
      <c r="M445" s="72"/>
      <c r="N445" s="17"/>
      <c r="O445" s="72"/>
      <c r="P445" s="73"/>
      <c r="Q445" s="76"/>
      <c r="R445" s="72"/>
    </row>
    <row r="446" spans="1:18" ht="27" customHeight="1" x14ac:dyDescent="0.15">
      <c r="A446" s="72"/>
      <c r="B446" s="74"/>
      <c r="C446" s="75"/>
      <c r="D446" s="18"/>
      <c r="E446" s="72"/>
      <c r="F446" s="18"/>
      <c r="G446" s="72"/>
      <c r="H446" s="18"/>
      <c r="I446" s="72"/>
      <c r="J446" s="18"/>
      <c r="K446" s="72"/>
      <c r="L446" s="18"/>
      <c r="M446" s="72"/>
      <c r="N446" s="19"/>
      <c r="O446" s="72"/>
      <c r="P446" s="73"/>
      <c r="Q446" s="72"/>
      <c r="R446" s="72"/>
    </row>
    <row r="447" spans="1:18" ht="27" customHeight="1" x14ac:dyDescent="0.15">
      <c r="A447" s="72"/>
      <c r="B447" s="74"/>
      <c r="C447" s="75"/>
      <c r="D447" s="17"/>
      <c r="E447" s="72"/>
      <c r="F447" s="17"/>
      <c r="G447" s="72"/>
      <c r="H447" s="17"/>
      <c r="I447" s="72"/>
      <c r="J447" s="17"/>
      <c r="K447" s="72"/>
      <c r="L447" s="17"/>
      <c r="M447" s="72"/>
      <c r="N447" s="17"/>
      <c r="O447" s="72"/>
      <c r="P447" s="73"/>
      <c r="Q447" s="76"/>
      <c r="R447" s="72"/>
    </row>
    <row r="448" spans="1:18" ht="27" customHeight="1" x14ac:dyDescent="0.15">
      <c r="A448" s="72"/>
      <c r="B448" s="74"/>
      <c r="C448" s="75"/>
      <c r="D448" s="18"/>
      <c r="E448" s="72"/>
      <c r="F448" s="18"/>
      <c r="G448" s="72"/>
      <c r="H448" s="18"/>
      <c r="I448" s="72"/>
      <c r="J448" s="18"/>
      <c r="K448" s="72"/>
      <c r="L448" s="18"/>
      <c r="M448" s="72"/>
      <c r="N448" s="19"/>
      <c r="O448" s="72"/>
      <c r="P448" s="73"/>
      <c r="Q448" s="72"/>
      <c r="R448" s="72"/>
    </row>
    <row r="449" spans="1:18" ht="27" customHeight="1" x14ac:dyDescent="0.15">
      <c r="A449" s="72"/>
      <c r="B449" s="74"/>
      <c r="C449" s="75"/>
      <c r="D449" s="17"/>
      <c r="E449" s="72"/>
      <c r="F449" s="17"/>
      <c r="G449" s="72"/>
      <c r="H449" s="17"/>
      <c r="I449" s="72"/>
      <c r="J449" s="17"/>
      <c r="K449" s="72"/>
      <c r="L449" s="17"/>
      <c r="M449" s="72"/>
      <c r="N449" s="17"/>
      <c r="O449" s="72"/>
      <c r="P449" s="73"/>
      <c r="Q449" s="72"/>
      <c r="R449" s="72"/>
    </row>
    <row r="450" spans="1:18" ht="27" customHeight="1" x14ac:dyDescent="0.15">
      <c r="A450" s="72"/>
      <c r="B450" s="74"/>
      <c r="C450" s="75"/>
      <c r="D450" s="18"/>
      <c r="E450" s="72"/>
      <c r="F450" s="18"/>
      <c r="G450" s="72"/>
      <c r="H450" s="18"/>
      <c r="I450" s="72"/>
      <c r="J450" s="18"/>
      <c r="K450" s="72"/>
      <c r="L450" s="18"/>
      <c r="M450" s="72"/>
      <c r="N450" s="19"/>
      <c r="O450" s="72"/>
      <c r="P450" s="73"/>
      <c r="Q450" s="72"/>
      <c r="R450" s="72"/>
    </row>
    <row r="451" spans="1:18" ht="27" customHeight="1" x14ac:dyDescent="0.15">
      <c r="A451" s="72"/>
      <c r="B451" s="74"/>
      <c r="C451" s="75"/>
      <c r="D451" s="17"/>
      <c r="E451" s="72"/>
      <c r="F451" s="17"/>
      <c r="G451" s="72"/>
      <c r="H451" s="17"/>
      <c r="I451" s="72"/>
      <c r="J451" s="17"/>
      <c r="K451" s="72"/>
      <c r="L451" s="17"/>
      <c r="M451" s="72"/>
      <c r="N451" s="17"/>
      <c r="O451" s="72"/>
      <c r="P451" s="73"/>
      <c r="Q451" s="76"/>
      <c r="R451" s="72"/>
    </row>
    <row r="452" spans="1:18" ht="27" customHeight="1" x14ac:dyDescent="0.15">
      <c r="A452" s="72"/>
      <c r="B452" s="74"/>
      <c r="C452" s="75"/>
      <c r="D452" s="18"/>
      <c r="E452" s="72"/>
      <c r="F452" s="18"/>
      <c r="G452" s="72"/>
      <c r="H452" s="18"/>
      <c r="I452" s="72"/>
      <c r="J452" s="18"/>
      <c r="K452" s="72"/>
      <c r="L452" s="18"/>
      <c r="M452" s="72"/>
      <c r="N452" s="19"/>
      <c r="O452" s="72"/>
      <c r="P452" s="73"/>
      <c r="Q452" s="72"/>
      <c r="R452" s="72"/>
    </row>
    <row r="453" spans="1:18" ht="27" customHeight="1" x14ac:dyDescent="0.15">
      <c r="A453" s="72"/>
      <c r="B453" s="74"/>
      <c r="C453" s="75"/>
      <c r="D453" s="17"/>
      <c r="E453" s="72"/>
      <c r="F453" s="17"/>
      <c r="G453" s="72"/>
      <c r="H453" s="17"/>
      <c r="I453" s="72"/>
      <c r="J453" s="17"/>
      <c r="K453" s="72"/>
      <c r="L453" s="17"/>
      <c r="M453" s="72"/>
      <c r="N453" s="17"/>
      <c r="O453" s="72"/>
      <c r="P453" s="73"/>
      <c r="Q453" s="72"/>
      <c r="R453" s="72"/>
    </row>
    <row r="454" spans="1:18" ht="27" customHeight="1" x14ac:dyDescent="0.15">
      <c r="A454" s="72"/>
      <c r="B454" s="74"/>
      <c r="C454" s="75"/>
      <c r="D454" s="18"/>
      <c r="E454" s="72"/>
      <c r="F454" s="18"/>
      <c r="G454" s="72"/>
      <c r="H454" s="18"/>
      <c r="I454" s="72"/>
      <c r="J454" s="18"/>
      <c r="K454" s="72"/>
      <c r="L454" s="18"/>
      <c r="M454" s="72"/>
      <c r="N454" s="19"/>
      <c r="O454" s="72"/>
      <c r="P454" s="73"/>
      <c r="Q454" s="72"/>
      <c r="R454" s="72"/>
    </row>
    <row r="455" spans="1:18" ht="27" customHeight="1" x14ac:dyDescent="0.15">
      <c r="A455" s="72"/>
      <c r="B455" s="74"/>
      <c r="C455" s="75"/>
      <c r="D455" s="17"/>
      <c r="E455" s="72"/>
      <c r="F455" s="17"/>
      <c r="G455" s="72"/>
      <c r="H455" s="17"/>
      <c r="I455" s="72"/>
      <c r="J455" s="17"/>
      <c r="K455" s="72"/>
      <c r="L455" s="17"/>
      <c r="M455" s="72"/>
      <c r="N455" s="17"/>
      <c r="O455" s="72"/>
      <c r="P455" s="73"/>
      <c r="Q455" s="72"/>
      <c r="R455" s="72"/>
    </row>
    <row r="456" spans="1:18" ht="27" customHeight="1" x14ac:dyDescent="0.15">
      <c r="A456" s="72"/>
      <c r="B456" s="74"/>
      <c r="C456" s="75"/>
      <c r="D456" s="18"/>
      <c r="E456" s="72"/>
      <c r="F456" s="18"/>
      <c r="G456" s="72"/>
      <c r="H456" s="18"/>
      <c r="I456" s="72"/>
      <c r="J456" s="18"/>
      <c r="K456" s="72"/>
      <c r="L456" s="18"/>
      <c r="M456" s="72"/>
      <c r="N456" s="19"/>
      <c r="O456" s="72"/>
      <c r="P456" s="73"/>
      <c r="Q456" s="72"/>
      <c r="R456" s="72"/>
    </row>
    <row r="457" spans="1:18" ht="27" customHeight="1" x14ac:dyDescent="0.15">
      <c r="A457" s="72"/>
      <c r="B457" s="74"/>
      <c r="C457" s="75"/>
      <c r="D457" s="17"/>
      <c r="E457" s="72"/>
      <c r="F457" s="17"/>
      <c r="G457" s="72"/>
      <c r="H457" s="17"/>
      <c r="I457" s="72"/>
      <c r="J457" s="17"/>
      <c r="K457" s="72"/>
      <c r="L457" s="17"/>
      <c r="M457" s="72"/>
      <c r="N457" s="17"/>
      <c r="O457" s="72"/>
      <c r="P457" s="73"/>
      <c r="Q457" s="76"/>
      <c r="R457" s="72"/>
    </row>
    <row r="458" spans="1:18" ht="27" customHeight="1" x14ac:dyDescent="0.15">
      <c r="A458" s="72"/>
      <c r="B458" s="74"/>
      <c r="C458" s="75"/>
      <c r="D458" s="18"/>
      <c r="E458" s="72"/>
      <c r="F458" s="18"/>
      <c r="G458" s="72"/>
      <c r="H458" s="18"/>
      <c r="I458" s="72"/>
      <c r="J458" s="18"/>
      <c r="K458" s="72"/>
      <c r="L458" s="18"/>
      <c r="M458" s="72"/>
      <c r="N458" s="19"/>
      <c r="O458" s="72"/>
      <c r="P458" s="73"/>
      <c r="Q458" s="72"/>
      <c r="R458" s="72"/>
    </row>
    <row r="459" spans="1:18" ht="27" customHeight="1" x14ac:dyDescent="0.15">
      <c r="A459" s="72"/>
      <c r="B459" s="74"/>
      <c r="C459" s="75"/>
      <c r="D459" s="17"/>
      <c r="E459" s="72"/>
      <c r="F459" s="17"/>
      <c r="G459" s="72"/>
      <c r="H459" s="17"/>
      <c r="I459" s="72"/>
      <c r="J459" s="17"/>
      <c r="K459" s="72"/>
      <c r="L459" s="17"/>
      <c r="M459" s="72"/>
      <c r="N459" s="17"/>
      <c r="O459" s="72"/>
      <c r="P459" s="73"/>
      <c r="Q459" s="76"/>
      <c r="R459" s="72"/>
    </row>
    <row r="460" spans="1:18" ht="27" customHeight="1" x14ac:dyDescent="0.15">
      <c r="A460" s="72"/>
      <c r="B460" s="74"/>
      <c r="C460" s="75"/>
      <c r="D460" s="18"/>
      <c r="E460" s="72"/>
      <c r="F460" s="18"/>
      <c r="G460" s="72"/>
      <c r="H460" s="18"/>
      <c r="I460" s="72"/>
      <c r="J460" s="18"/>
      <c r="K460" s="72"/>
      <c r="L460" s="18"/>
      <c r="M460" s="72"/>
      <c r="N460" s="19"/>
      <c r="O460" s="72"/>
      <c r="P460" s="73"/>
      <c r="Q460" s="72"/>
      <c r="R460" s="72"/>
    </row>
    <row r="461" spans="1:18" s="1" customFormat="1" ht="21" customHeight="1" x14ac:dyDescent="0.1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</row>
    <row r="462" spans="1:18" ht="15.75" customHeight="1" x14ac:dyDescent="0.15">
      <c r="A462" s="78"/>
      <c r="B462" s="78"/>
      <c r="C462" s="78"/>
      <c r="D462" s="20"/>
      <c r="E462" s="79"/>
      <c r="F462" s="20"/>
      <c r="G462" s="79"/>
      <c r="H462" s="20"/>
      <c r="I462" s="78"/>
      <c r="J462" s="20"/>
      <c r="K462" s="78"/>
      <c r="L462" s="20"/>
      <c r="M462" s="78"/>
      <c r="N462" s="20"/>
      <c r="O462" s="78"/>
      <c r="P462" s="77"/>
      <c r="Q462" s="77"/>
      <c r="R462" s="77"/>
    </row>
    <row r="463" spans="1:18" ht="15" customHeight="1" x14ac:dyDescent="0.15">
      <c r="A463" s="78"/>
      <c r="B463" s="78"/>
      <c r="C463" s="78"/>
      <c r="D463" s="20"/>
      <c r="E463" s="78"/>
      <c r="F463" s="20"/>
      <c r="G463" s="78"/>
      <c r="H463" s="20"/>
      <c r="I463" s="78"/>
      <c r="J463" s="20"/>
      <c r="K463" s="78"/>
      <c r="L463" s="20"/>
      <c r="M463" s="78"/>
      <c r="N463" s="20"/>
      <c r="O463" s="78"/>
      <c r="P463" s="77"/>
      <c r="Q463" s="78"/>
      <c r="R463" s="78"/>
    </row>
    <row r="464" spans="1:18" ht="27" customHeight="1" x14ac:dyDescent="0.15">
      <c r="A464" s="72"/>
      <c r="B464" s="74"/>
      <c r="C464" s="75"/>
      <c r="D464" s="17"/>
      <c r="E464" s="72"/>
      <c r="F464" s="17"/>
      <c r="G464" s="72"/>
      <c r="H464" s="17"/>
      <c r="I464" s="72"/>
      <c r="J464" s="17"/>
      <c r="K464" s="72"/>
      <c r="L464" s="17"/>
      <c r="M464" s="72"/>
      <c r="N464" s="17"/>
      <c r="O464" s="72"/>
      <c r="P464" s="73"/>
      <c r="Q464" s="72"/>
      <c r="R464" s="72"/>
    </row>
    <row r="465" spans="1:18" ht="27" customHeight="1" x14ac:dyDescent="0.15">
      <c r="A465" s="72"/>
      <c r="B465" s="74"/>
      <c r="C465" s="75"/>
      <c r="D465" s="18"/>
      <c r="E465" s="72"/>
      <c r="F465" s="18"/>
      <c r="G465" s="72"/>
      <c r="H465" s="18"/>
      <c r="I465" s="72"/>
      <c r="J465" s="18"/>
      <c r="K465" s="72"/>
      <c r="L465" s="18"/>
      <c r="M465" s="72"/>
      <c r="N465" s="19"/>
      <c r="O465" s="72"/>
      <c r="P465" s="73"/>
      <c r="Q465" s="72"/>
      <c r="R465" s="72"/>
    </row>
    <row r="466" spans="1:18" ht="27" customHeight="1" x14ac:dyDescent="0.15">
      <c r="A466" s="72"/>
      <c r="B466" s="74"/>
      <c r="C466" s="75"/>
      <c r="D466" s="17"/>
      <c r="E466" s="72"/>
      <c r="F466" s="17"/>
      <c r="G466" s="72"/>
      <c r="H466" s="17"/>
      <c r="I466" s="72"/>
      <c r="J466" s="17"/>
      <c r="K466" s="72"/>
      <c r="L466" s="17"/>
      <c r="M466" s="72"/>
      <c r="N466" s="17"/>
      <c r="O466" s="72"/>
      <c r="P466" s="73"/>
      <c r="Q466" s="76"/>
      <c r="R466" s="72"/>
    </row>
    <row r="467" spans="1:18" ht="27" customHeight="1" x14ac:dyDescent="0.15">
      <c r="A467" s="72"/>
      <c r="B467" s="74"/>
      <c r="C467" s="75"/>
      <c r="D467" s="18"/>
      <c r="E467" s="72"/>
      <c r="F467" s="18"/>
      <c r="G467" s="72"/>
      <c r="H467" s="18"/>
      <c r="I467" s="72"/>
      <c r="J467" s="18"/>
      <c r="K467" s="72"/>
      <c r="L467" s="18"/>
      <c r="M467" s="72"/>
      <c r="N467" s="19"/>
      <c r="O467" s="72"/>
      <c r="P467" s="73"/>
      <c r="Q467" s="72"/>
      <c r="R467" s="72"/>
    </row>
    <row r="468" spans="1:18" ht="27" customHeight="1" x14ac:dyDescent="0.15">
      <c r="A468" s="72"/>
      <c r="B468" s="74"/>
      <c r="C468" s="75"/>
      <c r="D468" s="17"/>
      <c r="E468" s="72"/>
      <c r="F468" s="17"/>
      <c r="G468" s="72"/>
      <c r="H468" s="17"/>
      <c r="I468" s="72"/>
      <c r="J468" s="17"/>
      <c r="K468" s="72"/>
      <c r="L468" s="17"/>
      <c r="M468" s="72"/>
      <c r="N468" s="17"/>
      <c r="O468" s="72"/>
      <c r="P468" s="73"/>
      <c r="Q468" s="76"/>
      <c r="R468" s="72"/>
    </row>
    <row r="469" spans="1:18" ht="27" customHeight="1" x14ac:dyDescent="0.15">
      <c r="A469" s="72"/>
      <c r="B469" s="74"/>
      <c r="C469" s="75"/>
      <c r="D469" s="18"/>
      <c r="E469" s="72"/>
      <c r="F469" s="18"/>
      <c r="G469" s="72"/>
      <c r="H469" s="18"/>
      <c r="I469" s="72"/>
      <c r="J469" s="18"/>
      <c r="K469" s="72"/>
      <c r="L469" s="18"/>
      <c r="M469" s="72"/>
      <c r="N469" s="19"/>
      <c r="O469" s="72"/>
      <c r="P469" s="73"/>
      <c r="Q469" s="72"/>
      <c r="R469" s="72"/>
    </row>
    <row r="470" spans="1:18" ht="27" customHeight="1" x14ac:dyDescent="0.15">
      <c r="A470" s="72"/>
      <c r="B470" s="74"/>
      <c r="C470" s="75"/>
      <c r="D470" s="17"/>
      <c r="E470" s="72"/>
      <c r="F470" s="17"/>
      <c r="G470" s="72"/>
      <c r="H470" s="17"/>
      <c r="I470" s="72"/>
      <c r="J470" s="17"/>
      <c r="K470" s="72"/>
      <c r="L470" s="17"/>
      <c r="M470" s="72"/>
      <c r="N470" s="17"/>
      <c r="O470" s="72"/>
      <c r="P470" s="73"/>
      <c r="Q470" s="76"/>
      <c r="R470" s="72"/>
    </row>
    <row r="471" spans="1:18" ht="27" customHeight="1" x14ac:dyDescent="0.15">
      <c r="A471" s="72"/>
      <c r="B471" s="74"/>
      <c r="C471" s="75"/>
      <c r="D471" s="18"/>
      <c r="E471" s="72"/>
      <c r="F471" s="18"/>
      <c r="G471" s="72"/>
      <c r="H471" s="18"/>
      <c r="I471" s="72"/>
      <c r="J471" s="18"/>
      <c r="K471" s="72"/>
      <c r="L471" s="18"/>
      <c r="M471" s="72"/>
      <c r="N471" s="19"/>
      <c r="O471" s="72"/>
      <c r="P471" s="73"/>
      <c r="Q471" s="72"/>
      <c r="R471" s="72"/>
    </row>
    <row r="472" spans="1:18" ht="27" customHeight="1" x14ac:dyDescent="0.15">
      <c r="A472" s="72"/>
      <c r="B472" s="74"/>
      <c r="C472" s="75"/>
      <c r="D472" s="17"/>
      <c r="E472" s="72"/>
      <c r="F472" s="17"/>
      <c r="G472" s="72"/>
      <c r="H472" s="17"/>
      <c r="I472" s="72"/>
      <c r="J472" s="17"/>
      <c r="K472" s="72"/>
      <c r="L472" s="17"/>
      <c r="M472" s="72"/>
      <c r="N472" s="17"/>
      <c r="O472" s="72"/>
      <c r="P472" s="73"/>
      <c r="Q472" s="72"/>
      <c r="R472" s="72"/>
    </row>
    <row r="473" spans="1:18" ht="27" customHeight="1" x14ac:dyDescent="0.15">
      <c r="A473" s="72"/>
      <c r="B473" s="74"/>
      <c r="C473" s="75"/>
      <c r="D473" s="18"/>
      <c r="E473" s="72"/>
      <c r="F473" s="18"/>
      <c r="G473" s="72"/>
      <c r="H473" s="18"/>
      <c r="I473" s="72"/>
      <c r="J473" s="18"/>
      <c r="K473" s="72"/>
      <c r="L473" s="18"/>
      <c r="M473" s="72"/>
      <c r="N473" s="19"/>
      <c r="O473" s="72"/>
      <c r="P473" s="73"/>
      <c r="Q473" s="72"/>
      <c r="R473" s="72"/>
    </row>
    <row r="474" spans="1:18" ht="27" customHeight="1" x14ac:dyDescent="0.15">
      <c r="A474" s="72"/>
      <c r="B474" s="74"/>
      <c r="C474" s="75"/>
      <c r="D474" s="17"/>
      <c r="E474" s="72"/>
      <c r="F474" s="17"/>
      <c r="G474" s="72"/>
      <c r="H474" s="17"/>
      <c r="I474" s="72"/>
      <c r="J474" s="17"/>
      <c r="K474" s="72"/>
      <c r="L474" s="17"/>
      <c r="M474" s="72"/>
      <c r="N474" s="17"/>
      <c r="O474" s="72"/>
      <c r="P474" s="73"/>
      <c r="Q474" s="76"/>
      <c r="R474" s="72"/>
    </row>
    <row r="475" spans="1:18" ht="27" customHeight="1" x14ac:dyDescent="0.15">
      <c r="A475" s="72"/>
      <c r="B475" s="74"/>
      <c r="C475" s="75"/>
      <c r="D475" s="18"/>
      <c r="E475" s="72"/>
      <c r="F475" s="18"/>
      <c r="G475" s="72"/>
      <c r="H475" s="18"/>
      <c r="I475" s="72"/>
      <c r="J475" s="18"/>
      <c r="K475" s="72"/>
      <c r="L475" s="18"/>
      <c r="M475" s="72"/>
      <c r="N475" s="19"/>
      <c r="O475" s="72"/>
      <c r="P475" s="73"/>
      <c r="Q475" s="72"/>
      <c r="R475" s="72"/>
    </row>
    <row r="476" spans="1:18" ht="27" customHeight="1" x14ac:dyDescent="0.15">
      <c r="A476" s="72"/>
      <c r="B476" s="74"/>
      <c r="C476" s="75"/>
      <c r="D476" s="17"/>
      <c r="E476" s="72"/>
      <c r="F476" s="17"/>
      <c r="G476" s="72"/>
      <c r="H476" s="17"/>
      <c r="I476" s="72"/>
      <c r="J476" s="17"/>
      <c r="K476" s="72"/>
      <c r="L476" s="17"/>
      <c r="M476" s="72"/>
      <c r="N476" s="17"/>
      <c r="O476" s="72"/>
      <c r="P476" s="73"/>
      <c r="Q476" s="72"/>
      <c r="R476" s="72"/>
    </row>
    <row r="477" spans="1:18" ht="27" customHeight="1" x14ac:dyDescent="0.15">
      <c r="A477" s="72"/>
      <c r="B477" s="74"/>
      <c r="C477" s="75"/>
      <c r="D477" s="18"/>
      <c r="E477" s="72"/>
      <c r="F477" s="18"/>
      <c r="G477" s="72"/>
      <c r="H477" s="18"/>
      <c r="I477" s="72"/>
      <c r="J477" s="18"/>
      <c r="K477" s="72"/>
      <c r="L477" s="18"/>
      <c r="M477" s="72"/>
      <c r="N477" s="19"/>
      <c r="O477" s="72"/>
      <c r="P477" s="73"/>
      <c r="Q477" s="72"/>
      <c r="R477" s="72"/>
    </row>
    <row r="478" spans="1:18" ht="27" customHeight="1" x14ac:dyDescent="0.15">
      <c r="A478" s="72"/>
      <c r="B478" s="74"/>
      <c r="C478" s="75"/>
      <c r="D478" s="17"/>
      <c r="E478" s="72"/>
      <c r="F478" s="17"/>
      <c r="G478" s="72"/>
      <c r="H478" s="17"/>
      <c r="I478" s="72"/>
      <c r="J478" s="17"/>
      <c r="K478" s="72"/>
      <c r="L478" s="17"/>
      <c r="M478" s="72"/>
      <c r="N478" s="17"/>
      <c r="O478" s="72"/>
      <c r="P478" s="73"/>
      <c r="Q478" s="72"/>
      <c r="R478" s="72"/>
    </row>
    <row r="479" spans="1:18" ht="27" customHeight="1" x14ac:dyDescent="0.15">
      <c r="A479" s="72"/>
      <c r="B479" s="74"/>
      <c r="C479" s="75"/>
      <c r="D479" s="18"/>
      <c r="E479" s="72"/>
      <c r="F479" s="18"/>
      <c r="G479" s="72"/>
      <c r="H479" s="18"/>
      <c r="I479" s="72"/>
      <c r="J479" s="18"/>
      <c r="K479" s="72"/>
      <c r="L479" s="18"/>
      <c r="M479" s="72"/>
      <c r="N479" s="19"/>
      <c r="O479" s="72"/>
      <c r="P479" s="73"/>
      <c r="Q479" s="72"/>
      <c r="R479" s="72"/>
    </row>
    <row r="480" spans="1:18" ht="27" customHeight="1" x14ac:dyDescent="0.15">
      <c r="A480" s="72"/>
      <c r="B480" s="74"/>
      <c r="C480" s="75"/>
      <c r="D480" s="17"/>
      <c r="E480" s="72"/>
      <c r="F480" s="17"/>
      <c r="G480" s="72"/>
      <c r="H480" s="17"/>
      <c r="I480" s="72"/>
      <c r="J480" s="17"/>
      <c r="K480" s="72"/>
      <c r="L480" s="17"/>
      <c r="M480" s="72"/>
      <c r="N480" s="17"/>
      <c r="O480" s="72"/>
      <c r="P480" s="73"/>
      <c r="Q480" s="76"/>
      <c r="R480" s="72"/>
    </row>
    <row r="481" spans="1:18" ht="27" customHeight="1" x14ac:dyDescent="0.15">
      <c r="A481" s="72"/>
      <c r="B481" s="74"/>
      <c r="C481" s="75"/>
      <c r="D481" s="18"/>
      <c r="E481" s="72"/>
      <c r="F481" s="18"/>
      <c r="G481" s="72"/>
      <c r="H481" s="18"/>
      <c r="I481" s="72"/>
      <c r="J481" s="18"/>
      <c r="K481" s="72"/>
      <c r="L481" s="18"/>
      <c r="M481" s="72"/>
      <c r="N481" s="19"/>
      <c r="O481" s="72"/>
      <c r="P481" s="73"/>
      <c r="Q481" s="72"/>
      <c r="R481" s="72"/>
    </row>
    <row r="482" spans="1:18" ht="27" customHeight="1" x14ac:dyDescent="0.15">
      <c r="A482" s="72"/>
      <c r="B482" s="74"/>
      <c r="C482" s="75"/>
      <c r="D482" s="17"/>
      <c r="E482" s="72"/>
      <c r="F482" s="17"/>
      <c r="G482" s="72"/>
      <c r="H482" s="17"/>
      <c r="I482" s="72"/>
      <c r="J482" s="17"/>
      <c r="K482" s="72"/>
      <c r="L482" s="17"/>
      <c r="M482" s="72"/>
      <c r="N482" s="17"/>
      <c r="O482" s="72"/>
      <c r="P482" s="73"/>
      <c r="Q482" s="76"/>
      <c r="R482" s="72"/>
    </row>
    <row r="483" spans="1:18" ht="27" customHeight="1" x14ac:dyDescent="0.15">
      <c r="A483" s="72"/>
      <c r="B483" s="74"/>
      <c r="C483" s="75"/>
      <c r="D483" s="18"/>
      <c r="E483" s="72"/>
      <c r="F483" s="18"/>
      <c r="G483" s="72"/>
      <c r="H483" s="18"/>
      <c r="I483" s="72"/>
      <c r="J483" s="18"/>
      <c r="K483" s="72"/>
      <c r="L483" s="18"/>
      <c r="M483" s="72"/>
      <c r="N483" s="19"/>
      <c r="O483" s="72"/>
      <c r="P483" s="73"/>
      <c r="Q483" s="72"/>
      <c r="R483" s="72"/>
    </row>
    <row r="484" spans="1:18" s="1" customFormat="1" ht="21" customHeight="1" x14ac:dyDescent="0.1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</row>
    <row r="485" spans="1:18" ht="15.75" customHeight="1" x14ac:dyDescent="0.15">
      <c r="A485" s="78"/>
      <c r="B485" s="78"/>
      <c r="C485" s="78"/>
      <c r="D485" s="20"/>
      <c r="E485" s="79"/>
      <c r="F485" s="20"/>
      <c r="G485" s="79"/>
      <c r="H485" s="20"/>
      <c r="I485" s="78"/>
      <c r="J485" s="20"/>
      <c r="K485" s="78"/>
      <c r="L485" s="20"/>
      <c r="M485" s="78"/>
      <c r="N485" s="20"/>
      <c r="O485" s="78"/>
      <c r="P485" s="77"/>
      <c r="Q485" s="77"/>
      <c r="R485" s="77"/>
    </row>
    <row r="486" spans="1:18" ht="15" customHeight="1" x14ac:dyDescent="0.15">
      <c r="A486" s="78"/>
      <c r="B486" s="78"/>
      <c r="C486" s="78"/>
      <c r="D486" s="20"/>
      <c r="E486" s="78"/>
      <c r="F486" s="20"/>
      <c r="G486" s="78"/>
      <c r="H486" s="20"/>
      <c r="I486" s="78"/>
      <c r="J486" s="20"/>
      <c r="K486" s="78"/>
      <c r="L486" s="20"/>
      <c r="M486" s="78"/>
      <c r="N486" s="20"/>
      <c r="O486" s="78"/>
      <c r="P486" s="77"/>
      <c r="Q486" s="78"/>
      <c r="R486" s="78"/>
    </row>
    <row r="487" spans="1:18" ht="27" customHeight="1" x14ac:dyDescent="0.15">
      <c r="A487" s="72"/>
      <c r="B487" s="74"/>
      <c r="C487" s="75"/>
      <c r="D487" s="17"/>
      <c r="E487" s="72"/>
      <c r="F487" s="17"/>
      <c r="G487" s="72"/>
      <c r="H487" s="17"/>
      <c r="I487" s="72"/>
      <c r="J487" s="17"/>
      <c r="K487" s="72"/>
      <c r="L487" s="17"/>
      <c r="M487" s="72"/>
      <c r="N487" s="17"/>
      <c r="O487" s="72"/>
      <c r="P487" s="73"/>
      <c r="Q487" s="72"/>
      <c r="R487" s="72"/>
    </row>
    <row r="488" spans="1:18" ht="27" customHeight="1" x14ac:dyDescent="0.15">
      <c r="A488" s="72"/>
      <c r="B488" s="74"/>
      <c r="C488" s="75"/>
      <c r="D488" s="18"/>
      <c r="E488" s="72"/>
      <c r="F488" s="18"/>
      <c r="G488" s="72"/>
      <c r="H488" s="18"/>
      <c r="I488" s="72"/>
      <c r="J488" s="18"/>
      <c r="K488" s="72"/>
      <c r="L488" s="18"/>
      <c r="M488" s="72"/>
      <c r="N488" s="19"/>
      <c r="O488" s="72"/>
      <c r="P488" s="73"/>
      <c r="Q488" s="72"/>
      <c r="R488" s="72"/>
    </row>
    <row r="489" spans="1:18" ht="27" customHeight="1" x14ac:dyDescent="0.15">
      <c r="A489" s="72"/>
      <c r="B489" s="74"/>
      <c r="C489" s="75"/>
      <c r="D489" s="17"/>
      <c r="E489" s="72"/>
      <c r="F489" s="17"/>
      <c r="G489" s="72"/>
      <c r="H489" s="17"/>
      <c r="I489" s="72"/>
      <c r="J489" s="17"/>
      <c r="K489" s="72"/>
      <c r="L489" s="17"/>
      <c r="M489" s="72"/>
      <c r="N489" s="17"/>
      <c r="O489" s="72"/>
      <c r="P489" s="73"/>
      <c r="Q489" s="76"/>
      <c r="R489" s="72"/>
    </row>
    <row r="490" spans="1:18" ht="27" customHeight="1" x14ac:dyDescent="0.15">
      <c r="A490" s="72"/>
      <c r="B490" s="74"/>
      <c r="C490" s="75"/>
      <c r="D490" s="18"/>
      <c r="E490" s="72"/>
      <c r="F490" s="18"/>
      <c r="G490" s="72"/>
      <c r="H490" s="18"/>
      <c r="I490" s="72"/>
      <c r="J490" s="18"/>
      <c r="K490" s="72"/>
      <c r="L490" s="18"/>
      <c r="M490" s="72"/>
      <c r="N490" s="19"/>
      <c r="O490" s="72"/>
      <c r="P490" s="73"/>
      <c r="Q490" s="72"/>
      <c r="R490" s="72"/>
    </row>
    <row r="491" spans="1:18" ht="27" customHeight="1" x14ac:dyDescent="0.15">
      <c r="A491" s="72"/>
      <c r="B491" s="74"/>
      <c r="C491" s="75"/>
      <c r="D491" s="17"/>
      <c r="E491" s="72"/>
      <c r="F491" s="17"/>
      <c r="G491" s="72"/>
      <c r="H491" s="17"/>
      <c r="I491" s="72"/>
      <c r="J491" s="17"/>
      <c r="K491" s="72"/>
      <c r="L491" s="17"/>
      <c r="M491" s="72"/>
      <c r="N491" s="17"/>
      <c r="O491" s="72"/>
      <c r="P491" s="73"/>
      <c r="Q491" s="76"/>
      <c r="R491" s="72"/>
    </row>
    <row r="492" spans="1:18" ht="27" customHeight="1" x14ac:dyDescent="0.15">
      <c r="A492" s="72"/>
      <c r="B492" s="74"/>
      <c r="C492" s="75"/>
      <c r="D492" s="18"/>
      <c r="E492" s="72"/>
      <c r="F492" s="18"/>
      <c r="G492" s="72"/>
      <c r="H492" s="18"/>
      <c r="I492" s="72"/>
      <c r="J492" s="18"/>
      <c r="K492" s="72"/>
      <c r="L492" s="18"/>
      <c r="M492" s="72"/>
      <c r="N492" s="19"/>
      <c r="O492" s="72"/>
      <c r="P492" s="73"/>
      <c r="Q492" s="72"/>
      <c r="R492" s="72"/>
    </row>
    <row r="493" spans="1:18" ht="27" customHeight="1" x14ac:dyDescent="0.15">
      <c r="A493" s="72"/>
      <c r="B493" s="74"/>
      <c r="C493" s="75"/>
      <c r="D493" s="17"/>
      <c r="E493" s="72"/>
      <c r="F493" s="17"/>
      <c r="G493" s="72"/>
      <c r="H493" s="17"/>
      <c r="I493" s="72"/>
      <c r="J493" s="17"/>
      <c r="K493" s="72"/>
      <c r="L493" s="17"/>
      <c r="M493" s="72"/>
      <c r="N493" s="17"/>
      <c r="O493" s="72"/>
      <c r="P493" s="73"/>
      <c r="Q493" s="76"/>
      <c r="R493" s="72"/>
    </row>
    <row r="494" spans="1:18" ht="27" customHeight="1" x14ac:dyDescent="0.15">
      <c r="A494" s="72"/>
      <c r="B494" s="74"/>
      <c r="C494" s="75"/>
      <c r="D494" s="18"/>
      <c r="E494" s="72"/>
      <c r="F494" s="18"/>
      <c r="G494" s="72"/>
      <c r="H494" s="18"/>
      <c r="I494" s="72"/>
      <c r="J494" s="18"/>
      <c r="K494" s="72"/>
      <c r="L494" s="18"/>
      <c r="M494" s="72"/>
      <c r="N494" s="19"/>
      <c r="O494" s="72"/>
      <c r="P494" s="73"/>
      <c r="Q494" s="72"/>
      <c r="R494" s="72"/>
    </row>
    <row r="495" spans="1:18" ht="27" customHeight="1" x14ac:dyDescent="0.15">
      <c r="A495" s="72"/>
      <c r="B495" s="74"/>
      <c r="C495" s="75"/>
      <c r="D495" s="17"/>
      <c r="E495" s="72"/>
      <c r="F495" s="17"/>
      <c r="G495" s="72"/>
      <c r="H495" s="17"/>
      <c r="I495" s="72"/>
      <c r="J495" s="17"/>
      <c r="K495" s="72"/>
      <c r="L495" s="17"/>
      <c r="M495" s="72"/>
      <c r="N495" s="17"/>
      <c r="O495" s="72"/>
      <c r="P495" s="73"/>
      <c r="Q495" s="72"/>
      <c r="R495" s="72"/>
    </row>
    <row r="496" spans="1:18" ht="27" customHeight="1" x14ac:dyDescent="0.15">
      <c r="A496" s="72"/>
      <c r="B496" s="74"/>
      <c r="C496" s="75"/>
      <c r="D496" s="18"/>
      <c r="E496" s="72"/>
      <c r="F496" s="18"/>
      <c r="G496" s="72"/>
      <c r="H496" s="18"/>
      <c r="I496" s="72"/>
      <c r="J496" s="18"/>
      <c r="K496" s="72"/>
      <c r="L496" s="18"/>
      <c r="M496" s="72"/>
      <c r="N496" s="19"/>
      <c r="O496" s="72"/>
      <c r="P496" s="73"/>
      <c r="Q496" s="72"/>
      <c r="R496" s="72"/>
    </row>
    <row r="497" spans="1:18" ht="27" customHeight="1" x14ac:dyDescent="0.15">
      <c r="A497" s="72"/>
      <c r="B497" s="74"/>
      <c r="C497" s="75"/>
      <c r="D497" s="17"/>
      <c r="E497" s="72"/>
      <c r="F497" s="17"/>
      <c r="G497" s="72"/>
      <c r="H497" s="17"/>
      <c r="I497" s="72"/>
      <c r="J497" s="17"/>
      <c r="K497" s="72"/>
      <c r="L497" s="17"/>
      <c r="M497" s="72"/>
      <c r="N497" s="17"/>
      <c r="O497" s="72"/>
      <c r="P497" s="73"/>
      <c r="Q497" s="76"/>
      <c r="R497" s="72"/>
    </row>
    <row r="498" spans="1:18" ht="27" customHeight="1" x14ac:dyDescent="0.15">
      <c r="A498" s="72"/>
      <c r="B498" s="74"/>
      <c r="C498" s="75"/>
      <c r="D498" s="18"/>
      <c r="E498" s="72"/>
      <c r="F498" s="18"/>
      <c r="G498" s="72"/>
      <c r="H498" s="18"/>
      <c r="I498" s="72"/>
      <c r="J498" s="18"/>
      <c r="K498" s="72"/>
      <c r="L498" s="18"/>
      <c r="M498" s="72"/>
      <c r="N498" s="19"/>
      <c r="O498" s="72"/>
      <c r="P498" s="73"/>
      <c r="Q498" s="72"/>
      <c r="R498" s="72"/>
    </row>
    <row r="499" spans="1:18" ht="27" customHeight="1" x14ac:dyDescent="0.15">
      <c r="A499" s="72"/>
      <c r="B499" s="74"/>
      <c r="C499" s="75"/>
      <c r="D499" s="17"/>
      <c r="E499" s="72"/>
      <c r="F499" s="17"/>
      <c r="G499" s="72"/>
      <c r="H499" s="17"/>
      <c r="I499" s="72"/>
      <c r="J499" s="17"/>
      <c r="K499" s="72"/>
      <c r="L499" s="17"/>
      <c r="M499" s="72"/>
      <c r="N499" s="17"/>
      <c r="O499" s="72"/>
      <c r="P499" s="73"/>
      <c r="Q499" s="72"/>
      <c r="R499" s="72"/>
    </row>
    <row r="500" spans="1:18" ht="27" customHeight="1" x14ac:dyDescent="0.15">
      <c r="A500" s="72"/>
      <c r="B500" s="74"/>
      <c r="C500" s="75"/>
      <c r="D500" s="18"/>
      <c r="E500" s="72"/>
      <c r="F500" s="18"/>
      <c r="G500" s="72"/>
      <c r="H500" s="18"/>
      <c r="I500" s="72"/>
      <c r="J500" s="18"/>
      <c r="K500" s="72"/>
      <c r="L500" s="18"/>
      <c r="M500" s="72"/>
      <c r="N500" s="19"/>
      <c r="O500" s="72"/>
      <c r="P500" s="73"/>
      <c r="Q500" s="72"/>
      <c r="R500" s="72"/>
    </row>
    <row r="501" spans="1:18" ht="27" customHeight="1" x14ac:dyDescent="0.15">
      <c r="A501" s="72"/>
      <c r="B501" s="74"/>
      <c r="C501" s="75"/>
      <c r="D501" s="17"/>
      <c r="E501" s="72"/>
      <c r="F501" s="17"/>
      <c r="G501" s="72"/>
      <c r="H501" s="17"/>
      <c r="I501" s="72"/>
      <c r="J501" s="17"/>
      <c r="K501" s="72"/>
      <c r="L501" s="17"/>
      <c r="M501" s="72"/>
      <c r="N501" s="17"/>
      <c r="O501" s="72"/>
      <c r="P501" s="73"/>
      <c r="Q501" s="72"/>
      <c r="R501" s="72"/>
    </row>
    <row r="502" spans="1:18" ht="27" customHeight="1" x14ac:dyDescent="0.15">
      <c r="A502" s="72"/>
      <c r="B502" s="74"/>
      <c r="C502" s="75"/>
      <c r="D502" s="18"/>
      <c r="E502" s="72"/>
      <c r="F502" s="18"/>
      <c r="G502" s="72"/>
      <c r="H502" s="18"/>
      <c r="I502" s="72"/>
      <c r="J502" s="18"/>
      <c r="K502" s="72"/>
      <c r="L502" s="18"/>
      <c r="M502" s="72"/>
      <c r="N502" s="19"/>
      <c r="O502" s="72"/>
      <c r="P502" s="73"/>
      <c r="Q502" s="72"/>
      <c r="R502" s="72"/>
    </row>
    <row r="503" spans="1:18" ht="27" customHeight="1" x14ac:dyDescent="0.15">
      <c r="A503" s="72"/>
      <c r="B503" s="74"/>
      <c r="C503" s="75"/>
      <c r="D503" s="17"/>
      <c r="E503" s="72"/>
      <c r="F503" s="17"/>
      <c r="G503" s="72"/>
      <c r="H503" s="17"/>
      <c r="I503" s="72"/>
      <c r="J503" s="17"/>
      <c r="K503" s="72"/>
      <c r="L503" s="17"/>
      <c r="M503" s="72"/>
      <c r="N503" s="17"/>
      <c r="O503" s="72"/>
      <c r="P503" s="73"/>
      <c r="Q503" s="76"/>
      <c r="R503" s="72"/>
    </row>
    <row r="504" spans="1:18" ht="27" customHeight="1" x14ac:dyDescent="0.15">
      <c r="A504" s="72"/>
      <c r="B504" s="74"/>
      <c r="C504" s="75"/>
      <c r="D504" s="18"/>
      <c r="E504" s="72"/>
      <c r="F504" s="18"/>
      <c r="G504" s="72"/>
      <c r="H504" s="18"/>
      <c r="I504" s="72"/>
      <c r="J504" s="18"/>
      <c r="K504" s="72"/>
      <c r="L504" s="18"/>
      <c r="M504" s="72"/>
      <c r="N504" s="19"/>
      <c r="O504" s="72"/>
      <c r="P504" s="73"/>
      <c r="Q504" s="72"/>
      <c r="R504" s="72"/>
    </row>
    <row r="505" spans="1:18" ht="27" customHeight="1" x14ac:dyDescent="0.15">
      <c r="A505" s="72"/>
      <c r="B505" s="74"/>
      <c r="C505" s="75"/>
      <c r="D505" s="17"/>
      <c r="E505" s="72"/>
      <c r="F505" s="17"/>
      <c r="G505" s="72"/>
      <c r="H505" s="17"/>
      <c r="I505" s="72"/>
      <c r="J505" s="17"/>
      <c r="K505" s="72"/>
      <c r="L505" s="17"/>
      <c r="M505" s="72"/>
      <c r="N505" s="17"/>
      <c r="O505" s="72"/>
      <c r="P505" s="73"/>
      <c r="Q505" s="76"/>
      <c r="R505" s="72"/>
    </row>
    <row r="506" spans="1:18" ht="27" customHeight="1" x14ac:dyDescent="0.15">
      <c r="A506" s="72"/>
      <c r="B506" s="74"/>
      <c r="C506" s="75"/>
      <c r="D506" s="18"/>
      <c r="E506" s="72"/>
      <c r="F506" s="18"/>
      <c r="G506" s="72"/>
      <c r="H506" s="18"/>
      <c r="I506" s="72"/>
      <c r="J506" s="18"/>
      <c r="K506" s="72"/>
      <c r="L506" s="18"/>
      <c r="M506" s="72"/>
      <c r="N506" s="19"/>
      <c r="O506" s="72"/>
      <c r="P506" s="73"/>
      <c r="Q506" s="72"/>
      <c r="R506" s="72"/>
    </row>
    <row r="507" spans="1:18" s="1" customFormat="1" ht="21" customHeight="1" x14ac:dyDescent="0.1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</row>
    <row r="508" spans="1:18" ht="15.75" customHeight="1" x14ac:dyDescent="0.15">
      <c r="A508" s="78"/>
      <c r="B508" s="78"/>
      <c r="C508" s="78"/>
      <c r="D508" s="20"/>
      <c r="E508" s="79"/>
      <c r="F508" s="20"/>
      <c r="G508" s="79"/>
      <c r="H508" s="20"/>
      <c r="I508" s="78"/>
      <c r="J508" s="20"/>
      <c r="K508" s="78"/>
      <c r="L508" s="20"/>
      <c r="M508" s="78"/>
      <c r="N508" s="20"/>
      <c r="O508" s="78"/>
      <c r="P508" s="77"/>
      <c r="Q508" s="77"/>
      <c r="R508" s="77"/>
    </row>
    <row r="509" spans="1:18" ht="15" customHeight="1" x14ac:dyDescent="0.15">
      <c r="A509" s="78"/>
      <c r="B509" s="78"/>
      <c r="C509" s="78"/>
      <c r="D509" s="20"/>
      <c r="E509" s="78"/>
      <c r="F509" s="20"/>
      <c r="G509" s="78"/>
      <c r="H509" s="20"/>
      <c r="I509" s="78"/>
      <c r="J509" s="20"/>
      <c r="K509" s="78"/>
      <c r="L509" s="20"/>
      <c r="M509" s="78"/>
      <c r="N509" s="20"/>
      <c r="O509" s="78"/>
      <c r="P509" s="77"/>
      <c r="Q509" s="78"/>
      <c r="R509" s="78"/>
    </row>
    <row r="510" spans="1:18" ht="27" customHeight="1" x14ac:dyDescent="0.15">
      <c r="A510" s="72"/>
      <c r="B510" s="74"/>
      <c r="C510" s="75"/>
      <c r="D510" s="17"/>
      <c r="E510" s="72"/>
      <c r="F510" s="17"/>
      <c r="G510" s="72"/>
      <c r="H510" s="17"/>
      <c r="I510" s="72"/>
      <c r="J510" s="17"/>
      <c r="K510" s="72"/>
      <c r="L510" s="17"/>
      <c r="M510" s="72"/>
      <c r="N510" s="17"/>
      <c r="O510" s="72"/>
      <c r="P510" s="73"/>
      <c r="Q510" s="72"/>
      <c r="R510" s="72"/>
    </row>
    <row r="511" spans="1:18" ht="27" customHeight="1" x14ac:dyDescent="0.15">
      <c r="A511" s="72"/>
      <c r="B511" s="74"/>
      <c r="C511" s="75"/>
      <c r="D511" s="18"/>
      <c r="E511" s="72"/>
      <c r="F511" s="18"/>
      <c r="G511" s="72"/>
      <c r="H511" s="18"/>
      <c r="I511" s="72"/>
      <c r="J511" s="18"/>
      <c r="K511" s="72"/>
      <c r="L511" s="18"/>
      <c r="M511" s="72"/>
      <c r="N511" s="19"/>
      <c r="O511" s="72"/>
      <c r="P511" s="73"/>
      <c r="Q511" s="72"/>
      <c r="R511" s="72"/>
    </row>
    <row r="512" spans="1:18" ht="27" customHeight="1" x14ac:dyDescent="0.15">
      <c r="A512" s="72"/>
      <c r="B512" s="74"/>
      <c r="C512" s="75"/>
      <c r="D512" s="17"/>
      <c r="E512" s="72"/>
      <c r="F512" s="17"/>
      <c r="G512" s="72"/>
      <c r="H512" s="17"/>
      <c r="I512" s="72"/>
      <c r="J512" s="17"/>
      <c r="K512" s="72"/>
      <c r="L512" s="17"/>
      <c r="M512" s="72"/>
      <c r="N512" s="17"/>
      <c r="O512" s="72"/>
      <c r="P512" s="73"/>
      <c r="Q512" s="76"/>
      <c r="R512" s="72"/>
    </row>
    <row r="513" spans="1:18" ht="27" customHeight="1" x14ac:dyDescent="0.15">
      <c r="A513" s="72"/>
      <c r="B513" s="74"/>
      <c r="C513" s="75"/>
      <c r="D513" s="18"/>
      <c r="E513" s="72"/>
      <c r="F513" s="18"/>
      <c r="G513" s="72"/>
      <c r="H513" s="18"/>
      <c r="I513" s="72"/>
      <c r="J513" s="18"/>
      <c r="K513" s="72"/>
      <c r="L513" s="18"/>
      <c r="M513" s="72"/>
      <c r="N513" s="19"/>
      <c r="O513" s="72"/>
      <c r="P513" s="73"/>
      <c r="Q513" s="72"/>
      <c r="R513" s="72"/>
    </row>
    <row r="514" spans="1:18" ht="27" customHeight="1" x14ac:dyDescent="0.15">
      <c r="A514" s="72"/>
      <c r="B514" s="74"/>
      <c r="C514" s="75"/>
      <c r="D514" s="17"/>
      <c r="E514" s="72"/>
      <c r="F514" s="17"/>
      <c r="G514" s="72"/>
      <c r="H514" s="17"/>
      <c r="I514" s="72"/>
      <c r="J514" s="17"/>
      <c r="K514" s="72"/>
      <c r="L514" s="17"/>
      <c r="M514" s="72"/>
      <c r="N514" s="17"/>
      <c r="O514" s="72"/>
      <c r="P514" s="73"/>
      <c r="Q514" s="76"/>
      <c r="R514" s="72"/>
    </row>
    <row r="515" spans="1:18" ht="27" customHeight="1" x14ac:dyDescent="0.15">
      <c r="A515" s="72"/>
      <c r="B515" s="74"/>
      <c r="C515" s="75"/>
      <c r="D515" s="18"/>
      <c r="E515" s="72"/>
      <c r="F515" s="18"/>
      <c r="G515" s="72"/>
      <c r="H515" s="18"/>
      <c r="I515" s="72"/>
      <c r="J515" s="18"/>
      <c r="K515" s="72"/>
      <c r="L515" s="18"/>
      <c r="M515" s="72"/>
      <c r="N515" s="19"/>
      <c r="O515" s="72"/>
      <c r="P515" s="73"/>
      <c r="Q515" s="72"/>
      <c r="R515" s="72"/>
    </row>
    <row r="516" spans="1:18" ht="27" customHeight="1" x14ac:dyDescent="0.15">
      <c r="A516" s="72"/>
      <c r="B516" s="74"/>
      <c r="C516" s="75"/>
      <c r="D516" s="17"/>
      <c r="E516" s="72"/>
      <c r="F516" s="17"/>
      <c r="G516" s="72"/>
      <c r="H516" s="17"/>
      <c r="I516" s="72"/>
      <c r="J516" s="17"/>
      <c r="K516" s="72"/>
      <c r="L516" s="17"/>
      <c r="M516" s="72"/>
      <c r="N516" s="17"/>
      <c r="O516" s="72"/>
      <c r="P516" s="73"/>
      <c r="Q516" s="76"/>
      <c r="R516" s="72"/>
    </row>
    <row r="517" spans="1:18" ht="27" customHeight="1" x14ac:dyDescent="0.15">
      <c r="A517" s="72"/>
      <c r="B517" s="74"/>
      <c r="C517" s="75"/>
      <c r="D517" s="18"/>
      <c r="E517" s="72"/>
      <c r="F517" s="18"/>
      <c r="G517" s="72"/>
      <c r="H517" s="18"/>
      <c r="I517" s="72"/>
      <c r="J517" s="18"/>
      <c r="K517" s="72"/>
      <c r="L517" s="18"/>
      <c r="M517" s="72"/>
      <c r="N517" s="19"/>
      <c r="O517" s="72"/>
      <c r="P517" s="73"/>
      <c r="Q517" s="72"/>
      <c r="R517" s="72"/>
    </row>
    <row r="518" spans="1:18" ht="27" customHeight="1" x14ac:dyDescent="0.15">
      <c r="A518" s="72"/>
      <c r="B518" s="74"/>
      <c r="C518" s="75"/>
      <c r="D518" s="17"/>
      <c r="E518" s="72"/>
      <c r="F518" s="17"/>
      <c r="G518" s="72"/>
      <c r="H518" s="17"/>
      <c r="I518" s="72"/>
      <c r="J518" s="17"/>
      <c r="K518" s="72"/>
      <c r="L518" s="17"/>
      <c r="M518" s="72"/>
      <c r="N518" s="17"/>
      <c r="O518" s="72"/>
      <c r="P518" s="73"/>
      <c r="Q518" s="76"/>
      <c r="R518" s="72"/>
    </row>
    <row r="519" spans="1:18" ht="27" customHeight="1" x14ac:dyDescent="0.15">
      <c r="A519" s="72"/>
      <c r="B519" s="74"/>
      <c r="C519" s="75"/>
      <c r="D519" s="18"/>
      <c r="E519" s="72"/>
      <c r="F519" s="18"/>
      <c r="G519" s="72"/>
      <c r="H519" s="18"/>
      <c r="I519" s="72"/>
      <c r="J519" s="18"/>
      <c r="K519" s="72"/>
      <c r="L519" s="18"/>
      <c r="M519" s="72"/>
      <c r="N519" s="19"/>
      <c r="O519" s="72"/>
      <c r="P519" s="73"/>
      <c r="Q519" s="72"/>
      <c r="R519" s="72"/>
    </row>
    <row r="520" spans="1:18" ht="27" customHeight="1" x14ac:dyDescent="0.15">
      <c r="A520" s="72"/>
      <c r="B520" s="74"/>
      <c r="C520" s="75"/>
      <c r="D520" s="17"/>
      <c r="E520" s="72"/>
      <c r="F520" s="17"/>
      <c r="G520" s="72"/>
      <c r="H520" s="17"/>
      <c r="I520" s="72"/>
      <c r="J520" s="17"/>
      <c r="K520" s="72"/>
      <c r="L520" s="17"/>
      <c r="M520" s="72"/>
      <c r="N520" s="17"/>
      <c r="O520" s="72"/>
      <c r="P520" s="73"/>
      <c r="Q520" s="72"/>
      <c r="R520" s="72"/>
    </row>
    <row r="521" spans="1:18" ht="27" customHeight="1" x14ac:dyDescent="0.15">
      <c r="A521" s="72"/>
      <c r="B521" s="74"/>
      <c r="C521" s="75"/>
      <c r="D521" s="18"/>
      <c r="E521" s="72"/>
      <c r="F521" s="18"/>
      <c r="G521" s="72"/>
      <c r="H521" s="18"/>
      <c r="I521" s="72"/>
      <c r="J521" s="18"/>
      <c r="K521" s="72"/>
      <c r="L521" s="18"/>
      <c r="M521" s="72"/>
      <c r="N521" s="19"/>
      <c r="O521" s="72"/>
      <c r="P521" s="73"/>
      <c r="Q521" s="72"/>
      <c r="R521" s="72"/>
    </row>
    <row r="522" spans="1:18" ht="27" customHeight="1" x14ac:dyDescent="0.15">
      <c r="A522" s="72"/>
      <c r="B522" s="74"/>
      <c r="C522" s="75"/>
      <c r="D522" s="17"/>
      <c r="E522" s="72"/>
      <c r="F522" s="17"/>
      <c r="G522" s="72"/>
      <c r="H522" s="17"/>
      <c r="I522" s="72"/>
      <c r="J522" s="17"/>
      <c r="K522" s="72"/>
      <c r="L522" s="17"/>
      <c r="M522" s="72"/>
      <c r="N522" s="17"/>
      <c r="O522" s="72"/>
      <c r="P522" s="73"/>
      <c r="Q522" s="72"/>
      <c r="R522" s="72"/>
    </row>
    <row r="523" spans="1:18" ht="27" customHeight="1" x14ac:dyDescent="0.15">
      <c r="A523" s="72"/>
      <c r="B523" s="74"/>
      <c r="C523" s="75"/>
      <c r="D523" s="18"/>
      <c r="E523" s="72"/>
      <c r="F523" s="18"/>
      <c r="G523" s="72"/>
      <c r="H523" s="18"/>
      <c r="I523" s="72"/>
      <c r="J523" s="18"/>
      <c r="K523" s="72"/>
      <c r="L523" s="18"/>
      <c r="M523" s="72"/>
      <c r="N523" s="19"/>
      <c r="O523" s="72"/>
      <c r="P523" s="73"/>
      <c r="Q523" s="72"/>
      <c r="R523" s="72"/>
    </row>
    <row r="524" spans="1:18" ht="27" customHeight="1" x14ac:dyDescent="0.15">
      <c r="A524" s="72"/>
      <c r="B524" s="74"/>
      <c r="C524" s="75"/>
      <c r="D524" s="17"/>
      <c r="E524" s="72"/>
      <c r="F524" s="17"/>
      <c r="G524" s="72"/>
      <c r="H524" s="17"/>
      <c r="I524" s="72"/>
      <c r="J524" s="17"/>
      <c r="K524" s="72"/>
      <c r="L524" s="17"/>
      <c r="M524" s="72"/>
      <c r="N524" s="17"/>
      <c r="O524" s="72"/>
      <c r="P524" s="73"/>
      <c r="Q524" s="72"/>
      <c r="R524" s="72"/>
    </row>
    <row r="525" spans="1:18" ht="27" customHeight="1" x14ac:dyDescent="0.15">
      <c r="A525" s="72"/>
      <c r="B525" s="74"/>
      <c r="C525" s="75"/>
      <c r="D525" s="18"/>
      <c r="E525" s="72"/>
      <c r="F525" s="18"/>
      <c r="G525" s="72"/>
      <c r="H525" s="18"/>
      <c r="I525" s="72"/>
      <c r="J525" s="18"/>
      <c r="K525" s="72"/>
      <c r="L525" s="18"/>
      <c r="M525" s="72"/>
      <c r="N525" s="19"/>
      <c r="O525" s="72"/>
      <c r="P525" s="73"/>
      <c r="Q525" s="72"/>
      <c r="R525" s="72"/>
    </row>
    <row r="526" spans="1:18" ht="27" customHeight="1" x14ac:dyDescent="0.15">
      <c r="A526" s="72"/>
      <c r="B526" s="74"/>
      <c r="C526" s="75"/>
      <c r="D526" s="17"/>
      <c r="E526" s="72"/>
      <c r="F526" s="17"/>
      <c r="G526" s="72"/>
      <c r="H526" s="17"/>
      <c r="I526" s="72"/>
      <c r="J526" s="17"/>
      <c r="K526" s="72"/>
      <c r="L526" s="17"/>
      <c r="M526" s="72"/>
      <c r="N526" s="17"/>
      <c r="O526" s="72"/>
      <c r="P526" s="73"/>
      <c r="Q526" s="72"/>
      <c r="R526" s="72"/>
    </row>
    <row r="527" spans="1:18" ht="27" customHeight="1" x14ac:dyDescent="0.15">
      <c r="A527" s="72"/>
      <c r="B527" s="74"/>
      <c r="C527" s="75"/>
      <c r="D527" s="18"/>
      <c r="E527" s="72"/>
      <c r="F527" s="18"/>
      <c r="G527" s="72"/>
      <c r="H527" s="18"/>
      <c r="I527" s="72"/>
      <c r="J527" s="18"/>
      <c r="K527" s="72"/>
      <c r="L527" s="18"/>
      <c r="M527" s="72"/>
      <c r="N527" s="19"/>
      <c r="O527" s="72"/>
      <c r="P527" s="73"/>
      <c r="Q527" s="72"/>
      <c r="R527" s="72"/>
    </row>
    <row r="528" spans="1:18" ht="27" customHeight="1" x14ac:dyDescent="0.15">
      <c r="A528" s="72"/>
      <c r="B528" s="74"/>
      <c r="C528" s="75"/>
      <c r="D528" s="17"/>
      <c r="E528" s="72"/>
      <c r="F528" s="17"/>
      <c r="G528" s="72"/>
      <c r="H528" s="17"/>
      <c r="I528" s="72"/>
      <c r="J528" s="17"/>
      <c r="K528" s="72"/>
      <c r="L528" s="17"/>
      <c r="M528" s="72"/>
      <c r="N528" s="17"/>
      <c r="O528" s="72"/>
      <c r="P528" s="73"/>
      <c r="Q528" s="72"/>
      <c r="R528" s="72"/>
    </row>
    <row r="529" spans="1:18" ht="27" customHeight="1" x14ac:dyDescent="0.15">
      <c r="A529" s="72"/>
      <c r="B529" s="74"/>
      <c r="C529" s="75"/>
      <c r="D529" s="18"/>
      <c r="E529" s="72"/>
      <c r="F529" s="18"/>
      <c r="G529" s="72"/>
      <c r="H529" s="18"/>
      <c r="I529" s="72"/>
      <c r="J529" s="18"/>
      <c r="K529" s="72"/>
      <c r="L529" s="18"/>
      <c r="M529" s="72"/>
      <c r="N529" s="19"/>
      <c r="O529" s="72"/>
      <c r="P529" s="73"/>
      <c r="Q529" s="72"/>
      <c r="R529" s="72"/>
    </row>
    <row r="530" spans="1:18" s="1" customFormat="1" ht="21" customHeight="1" x14ac:dyDescent="0.1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</row>
    <row r="531" spans="1:18" ht="15.75" customHeight="1" x14ac:dyDescent="0.15">
      <c r="A531" s="78"/>
      <c r="B531" s="78"/>
      <c r="C531" s="78"/>
      <c r="D531" s="20"/>
      <c r="E531" s="79"/>
      <c r="F531" s="20"/>
      <c r="G531" s="79"/>
      <c r="H531" s="20"/>
      <c r="I531" s="78"/>
      <c r="J531" s="20"/>
      <c r="K531" s="78"/>
      <c r="L531" s="20"/>
      <c r="M531" s="78"/>
      <c r="N531" s="20"/>
      <c r="O531" s="78"/>
      <c r="P531" s="77"/>
      <c r="Q531" s="77"/>
      <c r="R531" s="77"/>
    </row>
    <row r="532" spans="1:18" ht="15" customHeight="1" x14ac:dyDescent="0.15">
      <c r="A532" s="78"/>
      <c r="B532" s="78"/>
      <c r="C532" s="78"/>
      <c r="D532" s="20"/>
      <c r="E532" s="78"/>
      <c r="F532" s="20"/>
      <c r="G532" s="78"/>
      <c r="H532" s="20"/>
      <c r="I532" s="78"/>
      <c r="J532" s="20"/>
      <c r="K532" s="78"/>
      <c r="L532" s="20"/>
      <c r="M532" s="78"/>
      <c r="N532" s="20"/>
      <c r="O532" s="78"/>
      <c r="P532" s="77"/>
      <c r="Q532" s="78"/>
      <c r="R532" s="78"/>
    </row>
    <row r="533" spans="1:18" ht="27" customHeight="1" x14ac:dyDescent="0.15">
      <c r="A533" s="72"/>
      <c r="B533" s="74"/>
      <c r="C533" s="75"/>
      <c r="D533" s="17"/>
      <c r="E533" s="72"/>
      <c r="F533" s="17"/>
      <c r="G533" s="72"/>
      <c r="H533" s="17"/>
      <c r="I533" s="72"/>
      <c r="J533" s="17"/>
      <c r="K533" s="72"/>
      <c r="L533" s="17"/>
      <c r="M533" s="72"/>
      <c r="N533" s="17"/>
      <c r="O533" s="72"/>
      <c r="P533" s="73"/>
      <c r="Q533" s="72"/>
      <c r="R533" s="72"/>
    </row>
    <row r="534" spans="1:18" ht="27" customHeight="1" x14ac:dyDescent="0.15">
      <c r="A534" s="72"/>
      <c r="B534" s="74"/>
      <c r="C534" s="75"/>
      <c r="D534" s="18"/>
      <c r="E534" s="72"/>
      <c r="F534" s="18"/>
      <c r="G534" s="72"/>
      <c r="H534" s="18"/>
      <c r="I534" s="72"/>
      <c r="J534" s="18"/>
      <c r="K534" s="72"/>
      <c r="L534" s="18"/>
      <c r="M534" s="72"/>
      <c r="N534" s="19"/>
      <c r="O534" s="72"/>
      <c r="P534" s="73"/>
      <c r="Q534" s="72"/>
      <c r="R534" s="72"/>
    </row>
    <row r="535" spans="1:18" ht="27" customHeight="1" x14ac:dyDescent="0.15">
      <c r="A535" s="72"/>
      <c r="B535" s="74"/>
      <c r="C535" s="75"/>
      <c r="D535" s="17"/>
      <c r="E535" s="72"/>
      <c r="F535" s="17"/>
      <c r="G535" s="72"/>
      <c r="H535" s="17"/>
      <c r="I535" s="72"/>
      <c r="J535" s="17"/>
      <c r="K535" s="72"/>
      <c r="L535" s="17"/>
      <c r="M535" s="72"/>
      <c r="N535" s="17"/>
      <c r="O535" s="72"/>
      <c r="P535" s="73"/>
      <c r="Q535" s="76"/>
      <c r="R535" s="72"/>
    </row>
    <row r="536" spans="1:18" ht="27" customHeight="1" x14ac:dyDescent="0.15">
      <c r="A536" s="72"/>
      <c r="B536" s="74"/>
      <c r="C536" s="75"/>
      <c r="D536" s="18"/>
      <c r="E536" s="72"/>
      <c r="F536" s="18"/>
      <c r="G536" s="72"/>
      <c r="H536" s="18"/>
      <c r="I536" s="72"/>
      <c r="J536" s="18"/>
      <c r="K536" s="72"/>
      <c r="L536" s="18"/>
      <c r="M536" s="72"/>
      <c r="N536" s="19"/>
      <c r="O536" s="72"/>
      <c r="P536" s="73"/>
      <c r="Q536" s="72"/>
      <c r="R536" s="72"/>
    </row>
    <row r="537" spans="1:18" ht="27" customHeight="1" x14ac:dyDescent="0.15">
      <c r="A537" s="72"/>
      <c r="B537" s="74"/>
      <c r="C537" s="75"/>
      <c r="D537" s="17"/>
      <c r="E537" s="72"/>
      <c r="F537" s="17"/>
      <c r="G537" s="72"/>
      <c r="H537" s="17"/>
      <c r="I537" s="72"/>
      <c r="J537" s="17"/>
      <c r="K537" s="72"/>
      <c r="L537" s="17"/>
      <c r="M537" s="72"/>
      <c r="N537" s="17"/>
      <c r="O537" s="72"/>
      <c r="P537" s="73"/>
      <c r="Q537" s="76"/>
      <c r="R537" s="72"/>
    </row>
    <row r="538" spans="1:18" ht="27" customHeight="1" x14ac:dyDescent="0.15">
      <c r="A538" s="72"/>
      <c r="B538" s="74"/>
      <c r="C538" s="75"/>
      <c r="D538" s="18"/>
      <c r="E538" s="72"/>
      <c r="F538" s="18"/>
      <c r="G538" s="72"/>
      <c r="H538" s="18"/>
      <c r="I538" s="72"/>
      <c r="J538" s="18"/>
      <c r="K538" s="72"/>
      <c r="L538" s="18"/>
      <c r="M538" s="72"/>
      <c r="N538" s="19"/>
      <c r="O538" s="72"/>
      <c r="P538" s="73"/>
      <c r="Q538" s="72"/>
      <c r="R538" s="72"/>
    </row>
    <row r="539" spans="1:18" ht="27" customHeight="1" x14ac:dyDescent="0.15">
      <c r="A539" s="72"/>
      <c r="B539" s="74"/>
      <c r="C539" s="75"/>
      <c r="D539" s="17"/>
      <c r="E539" s="72"/>
      <c r="F539" s="17"/>
      <c r="G539" s="72"/>
      <c r="H539" s="17"/>
      <c r="I539" s="72"/>
      <c r="J539" s="17"/>
      <c r="K539" s="72"/>
      <c r="L539" s="17"/>
      <c r="M539" s="72"/>
      <c r="N539" s="17"/>
      <c r="O539" s="72"/>
      <c r="P539" s="73"/>
      <c r="Q539" s="76"/>
      <c r="R539" s="72"/>
    </row>
    <row r="540" spans="1:18" ht="27" customHeight="1" x14ac:dyDescent="0.15">
      <c r="A540" s="72"/>
      <c r="B540" s="74"/>
      <c r="C540" s="75"/>
      <c r="D540" s="18"/>
      <c r="E540" s="72"/>
      <c r="F540" s="18"/>
      <c r="G540" s="72"/>
      <c r="H540" s="18"/>
      <c r="I540" s="72"/>
      <c r="J540" s="18"/>
      <c r="K540" s="72"/>
      <c r="L540" s="18"/>
      <c r="M540" s="72"/>
      <c r="N540" s="19"/>
      <c r="O540" s="72"/>
      <c r="P540" s="73"/>
      <c r="Q540" s="72"/>
      <c r="R540" s="72"/>
    </row>
    <row r="541" spans="1:18" ht="27" customHeight="1" x14ac:dyDescent="0.15">
      <c r="A541" s="72"/>
      <c r="B541" s="74"/>
      <c r="C541" s="75"/>
      <c r="D541" s="17"/>
      <c r="E541" s="72"/>
      <c r="F541" s="17"/>
      <c r="G541" s="72"/>
      <c r="H541" s="17"/>
      <c r="I541" s="72"/>
      <c r="J541" s="17"/>
      <c r="K541" s="72"/>
      <c r="L541" s="17"/>
      <c r="M541" s="72"/>
      <c r="N541" s="17"/>
      <c r="O541" s="72"/>
      <c r="P541" s="73"/>
      <c r="Q541" s="76"/>
      <c r="R541" s="72"/>
    </row>
    <row r="542" spans="1:18" ht="27" customHeight="1" x14ac:dyDescent="0.15">
      <c r="A542" s="72"/>
      <c r="B542" s="74"/>
      <c r="C542" s="75"/>
      <c r="D542" s="18"/>
      <c r="E542" s="72"/>
      <c r="F542" s="18"/>
      <c r="G542" s="72"/>
      <c r="H542" s="18"/>
      <c r="I542" s="72"/>
      <c r="J542" s="18"/>
      <c r="K542" s="72"/>
      <c r="L542" s="18"/>
      <c r="M542" s="72"/>
      <c r="N542" s="19"/>
      <c r="O542" s="72"/>
      <c r="P542" s="73"/>
      <c r="Q542" s="72"/>
      <c r="R542" s="72"/>
    </row>
    <row r="543" spans="1:18" ht="27" customHeight="1" x14ac:dyDescent="0.15">
      <c r="A543" s="72"/>
      <c r="B543" s="74"/>
      <c r="C543" s="75"/>
      <c r="D543" s="17"/>
      <c r="E543" s="72"/>
      <c r="F543" s="17"/>
      <c r="G543" s="72"/>
      <c r="H543" s="17"/>
      <c r="I543" s="72"/>
      <c r="J543" s="17"/>
      <c r="K543" s="72"/>
      <c r="L543" s="17"/>
      <c r="M543" s="72"/>
      <c r="N543" s="17"/>
      <c r="O543" s="72"/>
      <c r="P543" s="73"/>
      <c r="Q543" s="72"/>
      <c r="R543" s="72"/>
    </row>
    <row r="544" spans="1:18" ht="27" customHeight="1" x14ac:dyDescent="0.15">
      <c r="A544" s="72"/>
      <c r="B544" s="74"/>
      <c r="C544" s="75"/>
      <c r="D544" s="18"/>
      <c r="E544" s="72"/>
      <c r="F544" s="18"/>
      <c r="G544" s="72"/>
      <c r="H544" s="18"/>
      <c r="I544" s="72"/>
      <c r="J544" s="18"/>
      <c r="K544" s="72"/>
      <c r="L544" s="18"/>
      <c r="M544" s="72"/>
      <c r="N544" s="19"/>
      <c r="O544" s="72"/>
      <c r="P544" s="73"/>
      <c r="Q544" s="72"/>
      <c r="R544" s="72"/>
    </row>
    <row r="545" spans="1:18" ht="27" customHeight="1" x14ac:dyDescent="0.15">
      <c r="A545" s="72"/>
      <c r="B545" s="74"/>
      <c r="C545" s="75"/>
      <c r="D545" s="17"/>
      <c r="E545" s="72"/>
      <c r="F545" s="17"/>
      <c r="G545" s="72"/>
      <c r="H545" s="17"/>
      <c r="I545" s="72"/>
      <c r="J545" s="17"/>
      <c r="K545" s="72"/>
      <c r="L545" s="17"/>
      <c r="M545" s="72"/>
      <c r="N545" s="17"/>
      <c r="O545" s="72"/>
      <c r="P545" s="73"/>
      <c r="Q545" s="72"/>
      <c r="R545" s="72"/>
    </row>
    <row r="546" spans="1:18" ht="27" customHeight="1" x14ac:dyDescent="0.15">
      <c r="A546" s="72"/>
      <c r="B546" s="74"/>
      <c r="C546" s="75"/>
      <c r="D546" s="18"/>
      <c r="E546" s="72"/>
      <c r="F546" s="18"/>
      <c r="G546" s="72"/>
      <c r="H546" s="18"/>
      <c r="I546" s="72"/>
      <c r="J546" s="18"/>
      <c r="K546" s="72"/>
      <c r="L546" s="18"/>
      <c r="M546" s="72"/>
      <c r="N546" s="19"/>
      <c r="O546" s="72"/>
      <c r="P546" s="73"/>
      <c r="Q546" s="72"/>
      <c r="R546" s="72"/>
    </row>
    <row r="547" spans="1:18" ht="27" customHeight="1" x14ac:dyDescent="0.15">
      <c r="A547" s="72"/>
      <c r="B547" s="74"/>
      <c r="C547" s="75"/>
      <c r="D547" s="17"/>
      <c r="E547" s="72"/>
      <c r="F547" s="17"/>
      <c r="G547" s="72"/>
      <c r="H547" s="17"/>
      <c r="I547" s="72"/>
      <c r="J547" s="17"/>
      <c r="K547" s="72"/>
      <c r="L547" s="17"/>
      <c r="M547" s="72"/>
      <c r="N547" s="17"/>
      <c r="O547" s="72"/>
      <c r="P547" s="73"/>
      <c r="Q547" s="72"/>
      <c r="R547" s="72"/>
    </row>
    <row r="548" spans="1:18" ht="27" customHeight="1" x14ac:dyDescent="0.15">
      <c r="A548" s="72"/>
      <c r="B548" s="74"/>
      <c r="C548" s="75"/>
      <c r="D548" s="18"/>
      <c r="E548" s="72"/>
      <c r="F548" s="18"/>
      <c r="G548" s="72"/>
      <c r="H548" s="18"/>
      <c r="I548" s="72"/>
      <c r="J548" s="18"/>
      <c r="K548" s="72"/>
      <c r="L548" s="18"/>
      <c r="M548" s="72"/>
      <c r="N548" s="19"/>
      <c r="O548" s="72"/>
      <c r="P548" s="73"/>
      <c r="Q548" s="72"/>
      <c r="R548" s="72"/>
    </row>
    <row r="549" spans="1:18" ht="27" customHeight="1" x14ac:dyDescent="0.15">
      <c r="A549" s="72"/>
      <c r="B549" s="74"/>
      <c r="C549" s="75"/>
      <c r="D549" s="17"/>
      <c r="E549" s="72"/>
      <c r="F549" s="17"/>
      <c r="G549" s="72"/>
      <c r="H549" s="17"/>
      <c r="I549" s="72"/>
      <c r="J549" s="17"/>
      <c r="K549" s="72"/>
      <c r="L549" s="17"/>
      <c r="M549" s="72"/>
      <c r="N549" s="17"/>
      <c r="O549" s="72"/>
      <c r="P549" s="73"/>
      <c r="Q549" s="72"/>
      <c r="R549" s="72"/>
    </row>
    <row r="550" spans="1:18" ht="27" customHeight="1" x14ac:dyDescent="0.15">
      <c r="A550" s="72"/>
      <c r="B550" s="74"/>
      <c r="C550" s="75"/>
      <c r="D550" s="18"/>
      <c r="E550" s="72"/>
      <c r="F550" s="18"/>
      <c r="G550" s="72"/>
      <c r="H550" s="18"/>
      <c r="I550" s="72"/>
      <c r="J550" s="18"/>
      <c r="K550" s="72"/>
      <c r="L550" s="18"/>
      <c r="M550" s="72"/>
      <c r="N550" s="19"/>
      <c r="O550" s="72"/>
      <c r="P550" s="73"/>
      <c r="Q550" s="72"/>
      <c r="R550" s="72"/>
    </row>
    <row r="551" spans="1:18" ht="27" customHeight="1" x14ac:dyDescent="0.15">
      <c r="A551" s="72"/>
      <c r="B551" s="74"/>
      <c r="C551" s="75"/>
      <c r="D551" s="17"/>
      <c r="E551" s="72"/>
      <c r="F551" s="17"/>
      <c r="G551" s="72"/>
      <c r="H551" s="17"/>
      <c r="I551" s="72"/>
      <c r="J551" s="17"/>
      <c r="K551" s="72"/>
      <c r="L551" s="17"/>
      <c r="M551" s="72"/>
      <c r="N551" s="17"/>
      <c r="O551" s="72"/>
      <c r="P551" s="73"/>
      <c r="Q551" s="72"/>
      <c r="R551" s="72"/>
    </row>
    <row r="552" spans="1:18" ht="27" customHeight="1" x14ac:dyDescent="0.15">
      <c r="A552" s="72"/>
      <c r="B552" s="74"/>
      <c r="C552" s="75"/>
      <c r="D552" s="18"/>
      <c r="E552" s="72"/>
      <c r="F552" s="18"/>
      <c r="G552" s="72"/>
      <c r="H552" s="18"/>
      <c r="I552" s="72"/>
      <c r="J552" s="18"/>
      <c r="K552" s="72"/>
      <c r="L552" s="18"/>
      <c r="M552" s="72"/>
      <c r="N552" s="19"/>
      <c r="O552" s="72"/>
      <c r="P552" s="73"/>
      <c r="Q552" s="72"/>
      <c r="R552" s="72"/>
    </row>
    <row r="553" spans="1:18" s="1" customFormat="1" ht="21" customHeight="1" x14ac:dyDescent="0.1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</row>
    <row r="554" spans="1:18" ht="15.75" customHeight="1" x14ac:dyDescent="0.15">
      <c r="A554" s="78"/>
      <c r="B554" s="78"/>
      <c r="C554" s="78"/>
      <c r="D554" s="20"/>
      <c r="E554" s="79"/>
      <c r="F554" s="20"/>
      <c r="G554" s="79"/>
      <c r="H554" s="20"/>
      <c r="I554" s="78"/>
      <c r="J554" s="20"/>
      <c r="K554" s="78"/>
      <c r="L554" s="20"/>
      <c r="M554" s="78"/>
      <c r="N554" s="20"/>
      <c r="O554" s="78"/>
      <c r="P554" s="77"/>
      <c r="Q554" s="77"/>
      <c r="R554" s="77"/>
    </row>
    <row r="555" spans="1:18" ht="15" customHeight="1" x14ac:dyDescent="0.15">
      <c r="A555" s="78"/>
      <c r="B555" s="78"/>
      <c r="C555" s="78"/>
      <c r="D555" s="20"/>
      <c r="E555" s="78"/>
      <c r="F555" s="20"/>
      <c r="G555" s="78"/>
      <c r="H555" s="20"/>
      <c r="I555" s="78"/>
      <c r="J555" s="20"/>
      <c r="K555" s="78"/>
      <c r="L555" s="20"/>
      <c r="M555" s="78"/>
      <c r="N555" s="20"/>
      <c r="O555" s="78"/>
      <c r="P555" s="77"/>
      <c r="Q555" s="78"/>
      <c r="R555" s="78"/>
    </row>
    <row r="556" spans="1:18" ht="27" customHeight="1" x14ac:dyDescent="0.15">
      <c r="A556" s="72"/>
      <c r="B556" s="74"/>
      <c r="C556" s="75"/>
      <c r="D556" s="17"/>
      <c r="E556" s="72"/>
      <c r="F556" s="17"/>
      <c r="G556" s="72"/>
      <c r="H556" s="17"/>
      <c r="I556" s="72"/>
      <c r="J556" s="17"/>
      <c r="K556" s="72"/>
      <c r="L556" s="17"/>
      <c r="M556" s="72"/>
      <c r="N556" s="17"/>
      <c r="O556" s="72"/>
      <c r="P556" s="73"/>
      <c r="Q556" s="72"/>
      <c r="R556" s="72"/>
    </row>
    <row r="557" spans="1:18" ht="27" customHeight="1" x14ac:dyDescent="0.15">
      <c r="A557" s="72"/>
      <c r="B557" s="74"/>
      <c r="C557" s="75"/>
      <c r="D557" s="18"/>
      <c r="E557" s="72"/>
      <c r="F557" s="18"/>
      <c r="G557" s="72"/>
      <c r="H557" s="18"/>
      <c r="I557" s="72"/>
      <c r="J557" s="18"/>
      <c r="K557" s="72"/>
      <c r="L557" s="18"/>
      <c r="M557" s="72"/>
      <c r="N557" s="19"/>
      <c r="O557" s="72"/>
      <c r="P557" s="73"/>
      <c r="Q557" s="72"/>
      <c r="R557" s="72"/>
    </row>
    <row r="558" spans="1:18" ht="27" customHeight="1" x14ac:dyDescent="0.15">
      <c r="A558" s="72"/>
      <c r="B558" s="74"/>
      <c r="C558" s="75"/>
      <c r="D558" s="17"/>
      <c r="E558" s="72"/>
      <c r="F558" s="17"/>
      <c r="G558" s="72"/>
      <c r="H558" s="17"/>
      <c r="I558" s="72"/>
      <c r="J558" s="17"/>
      <c r="K558" s="72"/>
      <c r="L558" s="17"/>
      <c r="M558" s="72"/>
      <c r="N558" s="17"/>
      <c r="O558" s="72"/>
      <c r="P558" s="73"/>
      <c r="Q558" s="76"/>
      <c r="R558" s="72"/>
    </row>
    <row r="559" spans="1:18" ht="27" customHeight="1" x14ac:dyDescent="0.15">
      <c r="A559" s="72"/>
      <c r="B559" s="74"/>
      <c r="C559" s="75"/>
      <c r="D559" s="18"/>
      <c r="E559" s="72"/>
      <c r="F559" s="18"/>
      <c r="G559" s="72"/>
      <c r="H559" s="18"/>
      <c r="I559" s="72"/>
      <c r="J559" s="18"/>
      <c r="K559" s="72"/>
      <c r="L559" s="18"/>
      <c r="M559" s="72"/>
      <c r="N559" s="19"/>
      <c r="O559" s="72"/>
      <c r="P559" s="73"/>
      <c r="Q559" s="72"/>
      <c r="R559" s="72"/>
    </row>
    <row r="560" spans="1:18" ht="27" customHeight="1" x14ac:dyDescent="0.15">
      <c r="A560" s="72"/>
      <c r="B560" s="74"/>
      <c r="C560" s="75"/>
      <c r="D560" s="17"/>
      <c r="E560" s="72"/>
      <c r="F560" s="17"/>
      <c r="G560" s="72"/>
      <c r="H560" s="17"/>
      <c r="I560" s="72"/>
      <c r="J560" s="17"/>
      <c r="K560" s="72"/>
      <c r="L560" s="17"/>
      <c r="M560" s="72"/>
      <c r="N560" s="17"/>
      <c r="O560" s="72"/>
      <c r="P560" s="73"/>
      <c r="Q560" s="76"/>
      <c r="R560" s="72"/>
    </row>
    <row r="561" spans="1:18" ht="27" customHeight="1" x14ac:dyDescent="0.15">
      <c r="A561" s="72"/>
      <c r="B561" s="74"/>
      <c r="C561" s="75"/>
      <c r="D561" s="18"/>
      <c r="E561" s="72"/>
      <c r="F561" s="18"/>
      <c r="G561" s="72"/>
      <c r="H561" s="18"/>
      <c r="I561" s="72"/>
      <c r="J561" s="18"/>
      <c r="K561" s="72"/>
      <c r="L561" s="18"/>
      <c r="M561" s="72"/>
      <c r="N561" s="19"/>
      <c r="O561" s="72"/>
      <c r="P561" s="73"/>
      <c r="Q561" s="72"/>
      <c r="R561" s="72"/>
    </row>
    <row r="562" spans="1:18" ht="27" customHeight="1" x14ac:dyDescent="0.15">
      <c r="A562" s="72"/>
      <c r="B562" s="74"/>
      <c r="C562" s="75"/>
      <c r="D562" s="17"/>
      <c r="E562" s="72"/>
      <c r="F562" s="17"/>
      <c r="G562" s="72"/>
      <c r="H562" s="17"/>
      <c r="I562" s="72"/>
      <c r="J562" s="17"/>
      <c r="K562" s="72"/>
      <c r="L562" s="17"/>
      <c r="M562" s="72"/>
      <c r="N562" s="17"/>
      <c r="O562" s="72"/>
      <c r="P562" s="73"/>
      <c r="Q562" s="76"/>
      <c r="R562" s="72"/>
    </row>
    <row r="563" spans="1:18" ht="27" customHeight="1" x14ac:dyDescent="0.15">
      <c r="A563" s="72"/>
      <c r="B563" s="74"/>
      <c r="C563" s="75"/>
      <c r="D563" s="18"/>
      <c r="E563" s="72"/>
      <c r="F563" s="18"/>
      <c r="G563" s="72"/>
      <c r="H563" s="18"/>
      <c r="I563" s="72"/>
      <c r="J563" s="18"/>
      <c r="K563" s="72"/>
      <c r="L563" s="18"/>
      <c r="M563" s="72"/>
      <c r="N563" s="19"/>
      <c r="O563" s="72"/>
      <c r="P563" s="73"/>
      <c r="Q563" s="72"/>
      <c r="R563" s="72"/>
    </row>
    <row r="564" spans="1:18" ht="27" customHeight="1" x14ac:dyDescent="0.15">
      <c r="A564" s="72"/>
      <c r="B564" s="74"/>
      <c r="C564" s="75"/>
      <c r="D564" s="17"/>
      <c r="E564" s="72"/>
      <c r="F564" s="17"/>
      <c r="G564" s="72"/>
      <c r="H564" s="17"/>
      <c r="I564" s="72"/>
      <c r="J564" s="17"/>
      <c r="K564" s="72"/>
      <c r="L564" s="17"/>
      <c r="M564" s="72"/>
      <c r="N564" s="17"/>
      <c r="O564" s="72"/>
      <c r="P564" s="73"/>
      <c r="Q564" s="76"/>
      <c r="R564" s="72"/>
    </row>
    <row r="565" spans="1:18" ht="27" customHeight="1" x14ac:dyDescent="0.15">
      <c r="A565" s="72"/>
      <c r="B565" s="74"/>
      <c r="C565" s="75"/>
      <c r="D565" s="18"/>
      <c r="E565" s="72"/>
      <c r="F565" s="18"/>
      <c r="G565" s="72"/>
      <c r="H565" s="18"/>
      <c r="I565" s="72"/>
      <c r="J565" s="18"/>
      <c r="K565" s="72"/>
      <c r="L565" s="18"/>
      <c r="M565" s="72"/>
      <c r="N565" s="19"/>
      <c r="O565" s="72"/>
      <c r="P565" s="73"/>
      <c r="Q565" s="72"/>
      <c r="R565" s="72"/>
    </row>
    <row r="566" spans="1:18" ht="27" customHeight="1" x14ac:dyDescent="0.15">
      <c r="A566" s="72"/>
      <c r="B566" s="74"/>
      <c r="C566" s="75"/>
      <c r="D566" s="17"/>
      <c r="E566" s="72"/>
      <c r="F566" s="17"/>
      <c r="G566" s="72"/>
      <c r="H566" s="17"/>
      <c r="I566" s="72"/>
      <c r="J566" s="17"/>
      <c r="K566" s="72"/>
      <c r="L566" s="17"/>
      <c r="M566" s="72"/>
      <c r="N566" s="17"/>
      <c r="O566" s="72"/>
      <c r="P566" s="73"/>
      <c r="Q566" s="72"/>
      <c r="R566" s="72"/>
    </row>
    <row r="567" spans="1:18" ht="27" customHeight="1" x14ac:dyDescent="0.15">
      <c r="A567" s="72"/>
      <c r="B567" s="74"/>
      <c r="C567" s="75"/>
      <c r="D567" s="18"/>
      <c r="E567" s="72"/>
      <c r="F567" s="18"/>
      <c r="G567" s="72"/>
      <c r="H567" s="18"/>
      <c r="I567" s="72"/>
      <c r="J567" s="18"/>
      <c r="K567" s="72"/>
      <c r="L567" s="18"/>
      <c r="M567" s="72"/>
      <c r="N567" s="19"/>
      <c r="O567" s="72"/>
      <c r="P567" s="73"/>
      <c r="Q567" s="72"/>
      <c r="R567" s="72"/>
    </row>
    <row r="568" spans="1:18" ht="27" customHeight="1" x14ac:dyDescent="0.15">
      <c r="A568" s="72"/>
      <c r="B568" s="74"/>
      <c r="C568" s="75"/>
      <c r="D568" s="17"/>
      <c r="E568" s="72"/>
      <c r="F568" s="17"/>
      <c r="G568" s="72"/>
      <c r="H568" s="17"/>
      <c r="I568" s="72"/>
      <c r="J568" s="17"/>
      <c r="K568" s="72"/>
      <c r="L568" s="17"/>
      <c r="M568" s="72"/>
      <c r="N568" s="17"/>
      <c r="O568" s="72"/>
      <c r="P568" s="73"/>
      <c r="Q568" s="72"/>
      <c r="R568" s="72"/>
    </row>
    <row r="569" spans="1:18" ht="27" customHeight="1" x14ac:dyDescent="0.15">
      <c r="A569" s="72"/>
      <c r="B569" s="74"/>
      <c r="C569" s="75"/>
      <c r="D569" s="18"/>
      <c r="E569" s="72"/>
      <c r="F569" s="18"/>
      <c r="G569" s="72"/>
      <c r="H569" s="18"/>
      <c r="I569" s="72"/>
      <c r="J569" s="18"/>
      <c r="K569" s="72"/>
      <c r="L569" s="18"/>
      <c r="M569" s="72"/>
      <c r="N569" s="19"/>
      <c r="O569" s="72"/>
      <c r="P569" s="73"/>
      <c r="Q569" s="72"/>
      <c r="R569" s="72"/>
    </row>
    <row r="570" spans="1:18" ht="27" customHeight="1" x14ac:dyDescent="0.15">
      <c r="A570" s="72"/>
      <c r="B570" s="74"/>
      <c r="C570" s="75"/>
      <c r="D570" s="17"/>
      <c r="E570" s="72"/>
      <c r="F570" s="17"/>
      <c r="G570" s="72"/>
      <c r="H570" s="17"/>
      <c r="I570" s="72"/>
      <c r="J570" s="17"/>
      <c r="K570" s="72"/>
      <c r="L570" s="17"/>
      <c r="M570" s="72"/>
      <c r="N570" s="17"/>
      <c r="O570" s="72"/>
      <c r="P570" s="73"/>
      <c r="Q570" s="72"/>
      <c r="R570" s="72"/>
    </row>
    <row r="571" spans="1:18" ht="27" customHeight="1" x14ac:dyDescent="0.15">
      <c r="A571" s="72"/>
      <c r="B571" s="74"/>
      <c r="C571" s="75"/>
      <c r="D571" s="18"/>
      <c r="E571" s="72"/>
      <c r="F571" s="18"/>
      <c r="G571" s="72"/>
      <c r="H571" s="18"/>
      <c r="I571" s="72"/>
      <c r="J571" s="18"/>
      <c r="K571" s="72"/>
      <c r="L571" s="18"/>
      <c r="M571" s="72"/>
      <c r="N571" s="19"/>
      <c r="O571" s="72"/>
      <c r="P571" s="73"/>
      <c r="Q571" s="72"/>
      <c r="R571" s="72"/>
    </row>
    <row r="572" spans="1:18" ht="27" customHeight="1" x14ac:dyDescent="0.15">
      <c r="A572" s="72"/>
      <c r="B572" s="74"/>
      <c r="C572" s="75"/>
      <c r="D572" s="17"/>
      <c r="E572" s="72"/>
      <c r="F572" s="17"/>
      <c r="G572" s="72"/>
      <c r="H572" s="17"/>
      <c r="I572" s="72"/>
      <c r="J572" s="17"/>
      <c r="K572" s="72"/>
      <c r="L572" s="17"/>
      <c r="M572" s="72"/>
      <c r="N572" s="17"/>
      <c r="O572" s="72"/>
      <c r="P572" s="73"/>
      <c r="Q572" s="72"/>
      <c r="R572" s="72"/>
    </row>
    <row r="573" spans="1:18" ht="27" customHeight="1" x14ac:dyDescent="0.15">
      <c r="A573" s="72"/>
      <c r="B573" s="74"/>
      <c r="C573" s="75"/>
      <c r="D573" s="18"/>
      <c r="E573" s="72"/>
      <c r="F573" s="18"/>
      <c r="G573" s="72"/>
      <c r="H573" s="18"/>
      <c r="I573" s="72"/>
      <c r="J573" s="18"/>
      <c r="K573" s="72"/>
      <c r="L573" s="18"/>
      <c r="M573" s="72"/>
      <c r="N573" s="19"/>
      <c r="O573" s="72"/>
      <c r="P573" s="73"/>
      <c r="Q573" s="72"/>
      <c r="R573" s="72"/>
    </row>
    <row r="574" spans="1:18" ht="27" customHeight="1" x14ac:dyDescent="0.15">
      <c r="A574" s="72">
        <v>250</v>
      </c>
      <c r="B574" s="74"/>
      <c r="C574" s="75"/>
      <c r="D574" s="17" t="s">
        <v>12</v>
      </c>
      <c r="E574" s="72"/>
      <c r="F574" s="17" t="s">
        <v>13</v>
      </c>
      <c r="G574" s="72"/>
      <c r="H574" s="17" t="s">
        <v>8</v>
      </c>
      <c r="I574" s="72"/>
      <c r="J574" s="17" t="s">
        <v>9</v>
      </c>
      <c r="K574" s="72"/>
      <c r="L574" s="17" t="s">
        <v>10</v>
      </c>
      <c r="M574" s="72"/>
      <c r="N574" s="17" t="s">
        <v>11</v>
      </c>
      <c r="O574" s="72"/>
      <c r="P574" s="73" t="str">
        <f>IF(E574+G574+I574+K574+M574=0,"",D575*E574+F575*G574+H575*I574+J575*K574+L575*M574+N575*O574)</f>
        <v/>
      </c>
      <c r="Q574" s="72"/>
      <c r="R574" s="72"/>
    </row>
    <row r="575" spans="1:18" ht="27" customHeight="1" x14ac:dyDescent="0.15">
      <c r="A575" s="72"/>
      <c r="B575" s="74"/>
      <c r="C575" s="75"/>
      <c r="D575" s="18">
        <v>2000</v>
      </c>
      <c r="E575" s="72"/>
      <c r="F575" s="18">
        <v>3000</v>
      </c>
      <c r="G575" s="72"/>
      <c r="H575" s="18">
        <v>3000</v>
      </c>
      <c r="I575" s="72"/>
      <c r="J575" s="18">
        <v>3000</v>
      </c>
      <c r="K575" s="72"/>
      <c r="L575" s="18">
        <v>2000</v>
      </c>
      <c r="M575" s="72"/>
      <c r="N575" s="19">
        <v>2000</v>
      </c>
      <c r="O575" s="72"/>
      <c r="P575" s="73"/>
      <c r="Q575" s="72"/>
      <c r="R575" s="72"/>
    </row>
  </sheetData>
  <mergeCells count="3252">
    <mergeCell ref="A148:A149"/>
    <mergeCell ref="Q150:Q151"/>
    <mergeCell ref="O150:O151"/>
    <mergeCell ref="M150:M151"/>
    <mergeCell ref="P150:P151"/>
    <mergeCell ref="E148:E149"/>
    <mergeCell ref="E150:E151"/>
    <mergeCell ref="G150:G151"/>
    <mergeCell ref="G148:G149"/>
    <mergeCell ref="B148:B149"/>
    <mergeCell ref="R136:R137"/>
    <mergeCell ref="A134:A135"/>
    <mergeCell ref="O134:O135"/>
    <mergeCell ref="P134:P135"/>
    <mergeCell ref="B134:B135"/>
    <mergeCell ref="C134:C135"/>
    <mergeCell ref="E134:E135"/>
    <mergeCell ref="G134:G135"/>
    <mergeCell ref="K134:K135"/>
    <mergeCell ref="M134:M135"/>
    <mergeCell ref="A166:A167"/>
    <mergeCell ref="B166:B167"/>
    <mergeCell ref="C166:C167"/>
    <mergeCell ref="E166:E167"/>
    <mergeCell ref="G166:G167"/>
    <mergeCell ref="A164:A165"/>
    <mergeCell ref="B164:B165"/>
    <mergeCell ref="C164:C165"/>
    <mergeCell ref="E164:E165"/>
    <mergeCell ref="G164:G165"/>
    <mergeCell ref="M164:M165"/>
    <mergeCell ref="K164:K165"/>
    <mergeCell ref="C150:C151"/>
    <mergeCell ref="E152:E153"/>
    <mergeCell ref="K146:K147"/>
    <mergeCell ref="K138:K139"/>
    <mergeCell ref="Q134:Q135"/>
    <mergeCell ref="P146:P147"/>
    <mergeCell ref="Q146:Q147"/>
    <mergeCell ref="Q148:Q149"/>
    <mergeCell ref="A145:R145"/>
    <mergeCell ref="C148:C149"/>
    <mergeCell ref="Q128:Q129"/>
    <mergeCell ref="I128:I129"/>
    <mergeCell ref="K128:K129"/>
    <mergeCell ref="M128:M129"/>
    <mergeCell ref="R138:R139"/>
    <mergeCell ref="M138:M139"/>
    <mergeCell ref="R142:R143"/>
    <mergeCell ref="Q140:Q141"/>
    <mergeCell ref="O142:O143"/>
    <mergeCell ref="P140:P141"/>
    <mergeCell ref="A132:A133"/>
    <mergeCell ref="B132:B133"/>
    <mergeCell ref="C132:C133"/>
    <mergeCell ref="E132:E133"/>
    <mergeCell ref="I134:I135"/>
    <mergeCell ref="R130:R131"/>
    <mergeCell ref="Q130:Q131"/>
    <mergeCell ref="Q132:Q133"/>
    <mergeCell ref="R132:R133"/>
    <mergeCell ref="K130:K131"/>
    <mergeCell ref="P132:P133"/>
    <mergeCell ref="Q136:Q137"/>
    <mergeCell ref="K136:K137"/>
    <mergeCell ref="M136:M137"/>
    <mergeCell ref="A130:A131"/>
    <mergeCell ref="B130:B131"/>
    <mergeCell ref="O136:O137"/>
    <mergeCell ref="R134:R135"/>
    <mergeCell ref="A136:A137"/>
    <mergeCell ref="B136:B137"/>
    <mergeCell ref="C136:C137"/>
    <mergeCell ref="E136:E137"/>
    <mergeCell ref="A122:A123"/>
    <mergeCell ref="B122:B123"/>
    <mergeCell ref="C122:C123"/>
    <mergeCell ref="K124:K125"/>
    <mergeCell ref="R126:R127"/>
    <mergeCell ref="R140:R141"/>
    <mergeCell ref="Q142:Q143"/>
    <mergeCell ref="O140:O141"/>
    <mergeCell ref="M142:M143"/>
    <mergeCell ref="Q138:Q139"/>
    <mergeCell ref="P142:P143"/>
    <mergeCell ref="O138:O139"/>
    <mergeCell ref="P138:P139"/>
    <mergeCell ref="I140:I141"/>
    <mergeCell ref="A128:A129"/>
    <mergeCell ref="B128:B129"/>
    <mergeCell ref="C128:C129"/>
    <mergeCell ref="E128:E129"/>
    <mergeCell ref="P136:P137"/>
    <mergeCell ref="A140:A141"/>
    <mergeCell ref="I130:I131"/>
    <mergeCell ref="O132:O133"/>
    <mergeCell ref="O128:O129"/>
    <mergeCell ref="P128:P129"/>
    <mergeCell ref="P130:P131"/>
    <mergeCell ref="O130:O131"/>
    <mergeCell ref="O126:O127"/>
    <mergeCell ref="G126:G127"/>
    <mergeCell ref="I126:I127"/>
    <mergeCell ref="M130:M131"/>
    <mergeCell ref="G130:G131"/>
    <mergeCell ref="G128:G129"/>
    <mergeCell ref="E122:E123"/>
    <mergeCell ref="G122:G123"/>
    <mergeCell ref="I122:I123"/>
    <mergeCell ref="K122:K123"/>
    <mergeCell ref="Q270:Q271"/>
    <mergeCell ref="R270:R271"/>
    <mergeCell ref="E124:E125"/>
    <mergeCell ref="G124:G125"/>
    <mergeCell ref="I124:I125"/>
    <mergeCell ref="R268:R269"/>
    <mergeCell ref="M122:M123"/>
    <mergeCell ref="I266:I267"/>
    <mergeCell ref="K266:K267"/>
    <mergeCell ref="A270:A271"/>
    <mergeCell ref="B270:B271"/>
    <mergeCell ref="C270:C271"/>
    <mergeCell ref="E270:E271"/>
    <mergeCell ref="I268:I269"/>
    <mergeCell ref="C256:C257"/>
    <mergeCell ref="E256:E257"/>
    <mergeCell ref="G256:G257"/>
    <mergeCell ref="I256:I257"/>
    <mergeCell ref="A126:A127"/>
    <mergeCell ref="Q124:Q125"/>
    <mergeCell ref="R124:R125"/>
    <mergeCell ref="O122:O123"/>
    <mergeCell ref="P122:P123"/>
    <mergeCell ref="Q122:Q123"/>
    <mergeCell ref="R122:R123"/>
    <mergeCell ref="A124:A125"/>
    <mergeCell ref="B124:B125"/>
    <mergeCell ref="C124:C125"/>
    <mergeCell ref="G258:G259"/>
    <mergeCell ref="C162:C163"/>
    <mergeCell ref="R152:R153"/>
    <mergeCell ref="K154:K155"/>
    <mergeCell ref="E162:E163"/>
    <mergeCell ref="G162:G163"/>
    <mergeCell ref="M156:M157"/>
    <mergeCell ref="K156:K157"/>
    <mergeCell ref="A158:A159"/>
    <mergeCell ref="B158:B159"/>
    <mergeCell ref="C158:C159"/>
    <mergeCell ref="E158:E159"/>
    <mergeCell ref="C160:C161"/>
    <mergeCell ref="E160:E161"/>
    <mergeCell ref="A160:A161"/>
    <mergeCell ref="B160:B161"/>
    <mergeCell ref="G160:G161"/>
    <mergeCell ref="I156:I157"/>
    <mergeCell ref="G156:G157"/>
    <mergeCell ref="G158:G159"/>
    <mergeCell ref="I160:I161"/>
    <mergeCell ref="M166:M167"/>
    <mergeCell ref="A162:A163"/>
    <mergeCell ref="B162:B163"/>
    <mergeCell ref="Q166:Q167"/>
    <mergeCell ref="R166:R167"/>
    <mergeCell ref="Q152:Q153"/>
    <mergeCell ref="O152:O153"/>
    <mergeCell ref="M152:M153"/>
    <mergeCell ref="C154:C155"/>
    <mergeCell ref="R146:R147"/>
    <mergeCell ref="R148:R149"/>
    <mergeCell ref="A256:A257"/>
    <mergeCell ref="B256:B257"/>
    <mergeCell ref="I162:I163"/>
    <mergeCell ref="E154:E155"/>
    <mergeCell ref="O162:O163"/>
    <mergeCell ref="M148:M149"/>
    <mergeCell ref="K152:K153"/>
    <mergeCell ref="M154:M155"/>
    <mergeCell ref="P152:P153"/>
    <mergeCell ref="O146:O147"/>
    <mergeCell ref="C152:C153"/>
    <mergeCell ref="A146:A147"/>
    <mergeCell ref="K150:K151"/>
    <mergeCell ref="K148:K149"/>
    <mergeCell ref="I150:I151"/>
    <mergeCell ref="P148:P149"/>
    <mergeCell ref="R154:R155"/>
    <mergeCell ref="O156:O157"/>
    <mergeCell ref="R156:R157"/>
    <mergeCell ref="Q156:Q157"/>
    <mergeCell ref="P156:P157"/>
    <mergeCell ref="O154:O155"/>
    <mergeCell ref="A156:A157"/>
    <mergeCell ref="B156:B157"/>
    <mergeCell ref="C156:C157"/>
    <mergeCell ref="E156:E157"/>
    <mergeCell ref="R150:R151"/>
    <mergeCell ref="O148:O149"/>
    <mergeCell ref="E146:E147"/>
    <mergeCell ref="I148:I149"/>
    <mergeCell ref="R128:R129"/>
    <mergeCell ref="E142:E143"/>
    <mergeCell ref="A142:A143"/>
    <mergeCell ref="B142:B143"/>
    <mergeCell ref="O118:O119"/>
    <mergeCell ref="P118:P119"/>
    <mergeCell ref="Q118:Q119"/>
    <mergeCell ref="A118:A119"/>
    <mergeCell ref="B118:B119"/>
    <mergeCell ref="C118:C119"/>
    <mergeCell ref="E118:E119"/>
    <mergeCell ref="I118:I119"/>
    <mergeCell ref="K118:K119"/>
    <mergeCell ref="I110:I111"/>
    <mergeCell ref="C114:C115"/>
    <mergeCell ref="A121:R121"/>
    <mergeCell ref="B112:B113"/>
    <mergeCell ref="A110:A111"/>
    <mergeCell ref="A114:A115"/>
    <mergeCell ref="B114:B115"/>
    <mergeCell ref="A112:A113"/>
    <mergeCell ref="B110:B111"/>
    <mergeCell ref="R114:R115"/>
    <mergeCell ref="O116:O117"/>
    <mergeCell ref="Q114:Q115"/>
    <mergeCell ref="O114:O115"/>
    <mergeCell ref="C142:C143"/>
    <mergeCell ref="M140:M141"/>
    <mergeCell ref="K142:K143"/>
    <mergeCell ref="G142:G143"/>
    <mergeCell ref="B126:B127"/>
    <mergeCell ref="C126:C127"/>
    <mergeCell ref="R108:R109"/>
    <mergeCell ref="Q110:Q111"/>
    <mergeCell ref="Q112:Q113"/>
    <mergeCell ref="Q108:Q109"/>
    <mergeCell ref="R112:R113"/>
    <mergeCell ref="C112:C113"/>
    <mergeCell ref="G118:G119"/>
    <mergeCell ref="M118:M119"/>
    <mergeCell ref="K104:K105"/>
    <mergeCell ref="M102:M103"/>
    <mergeCell ref="M114:M115"/>
    <mergeCell ref="C110:C111"/>
    <mergeCell ref="E110:E111"/>
    <mergeCell ref="K112:K113"/>
    <mergeCell ref="K114:K115"/>
    <mergeCell ref="I112:I113"/>
    <mergeCell ref="G110:G111"/>
    <mergeCell ref="I114:I115"/>
    <mergeCell ref="K106:K107"/>
    <mergeCell ref="M110:M111"/>
    <mergeCell ref="K108:K109"/>
    <mergeCell ref="K110:K111"/>
    <mergeCell ref="M108:M109"/>
    <mergeCell ref="O108:O109"/>
    <mergeCell ref="G112:G113"/>
    <mergeCell ref="G114:G115"/>
    <mergeCell ref="E114:E115"/>
    <mergeCell ref="E112:E113"/>
    <mergeCell ref="C108:C109"/>
    <mergeCell ref="G108:G109"/>
    <mergeCell ref="E108:E109"/>
    <mergeCell ref="I106:I107"/>
    <mergeCell ref="E106:E107"/>
    <mergeCell ref="B106:B107"/>
    <mergeCell ref="C106:C107"/>
    <mergeCell ref="I102:I103"/>
    <mergeCell ref="K100:K101"/>
    <mergeCell ref="E102:E103"/>
    <mergeCell ref="G100:G101"/>
    <mergeCell ref="I100:I101"/>
    <mergeCell ref="G102:G103"/>
    <mergeCell ref="K102:K103"/>
    <mergeCell ref="E100:E101"/>
    <mergeCell ref="O102:O103"/>
    <mergeCell ref="M60:M61"/>
    <mergeCell ref="M64:M65"/>
    <mergeCell ref="O60:O61"/>
    <mergeCell ref="K74:K75"/>
    <mergeCell ref="M74:M75"/>
    <mergeCell ref="K60:K61"/>
    <mergeCell ref="O70:O71"/>
    <mergeCell ref="E64:E65"/>
    <mergeCell ref="M66:M67"/>
    <mergeCell ref="K64:K65"/>
    <mergeCell ref="I66:I67"/>
    <mergeCell ref="G90:G91"/>
    <mergeCell ref="K90:K91"/>
    <mergeCell ref="M90:M91"/>
    <mergeCell ref="O90:O91"/>
    <mergeCell ref="K92:K93"/>
    <mergeCell ref="O80:O81"/>
    <mergeCell ref="G98:G99"/>
    <mergeCell ref="C94:C95"/>
    <mergeCell ref="E104:E105"/>
    <mergeCell ref="A76:A77"/>
    <mergeCell ref="B76:B77"/>
    <mergeCell ref="C76:C77"/>
    <mergeCell ref="E76:E77"/>
    <mergeCell ref="G76:G77"/>
    <mergeCell ref="I76:I77"/>
    <mergeCell ref="K78:K79"/>
    <mergeCell ref="Q78:Q79"/>
    <mergeCell ref="P66:P67"/>
    <mergeCell ref="O78:O79"/>
    <mergeCell ref="I56:I57"/>
    <mergeCell ref="I54:I55"/>
    <mergeCell ref="K56:K57"/>
    <mergeCell ref="K58:K59"/>
    <mergeCell ref="C68:C69"/>
    <mergeCell ref="P70:P71"/>
    <mergeCell ref="K70:K71"/>
    <mergeCell ref="G68:G69"/>
    <mergeCell ref="A80:A81"/>
    <mergeCell ref="B80:B81"/>
    <mergeCell ref="C80:C81"/>
    <mergeCell ref="E80:E81"/>
    <mergeCell ref="A74:A75"/>
    <mergeCell ref="B74:B75"/>
    <mergeCell ref="B78:B79"/>
    <mergeCell ref="C78:C79"/>
    <mergeCell ref="E78:E79"/>
    <mergeCell ref="A78:A79"/>
    <mergeCell ref="G80:G81"/>
    <mergeCell ref="I80:I81"/>
    <mergeCell ref="R76:R77"/>
    <mergeCell ref="R52:R53"/>
    <mergeCell ref="I52:I53"/>
    <mergeCell ref="M52:M53"/>
    <mergeCell ref="Q60:Q61"/>
    <mergeCell ref="R60:R61"/>
    <mergeCell ref="R74:R75"/>
    <mergeCell ref="Q52:Q53"/>
    <mergeCell ref="E56:E57"/>
    <mergeCell ref="C58:C59"/>
    <mergeCell ref="E58:E59"/>
    <mergeCell ref="B56:B57"/>
    <mergeCell ref="E54:E55"/>
    <mergeCell ref="G56:G57"/>
    <mergeCell ref="C66:C67"/>
    <mergeCell ref="E66:E67"/>
    <mergeCell ref="G64:G65"/>
    <mergeCell ref="G54:G55"/>
    <mergeCell ref="E62:E63"/>
    <mergeCell ref="G62:G63"/>
    <mergeCell ref="C74:C75"/>
    <mergeCell ref="E74:E75"/>
    <mergeCell ref="G74:G75"/>
    <mergeCell ref="I74:I75"/>
    <mergeCell ref="E52:E53"/>
    <mergeCell ref="C50:C51"/>
    <mergeCell ref="A60:A61"/>
    <mergeCell ref="B60:B61"/>
    <mergeCell ref="A58:A59"/>
    <mergeCell ref="C54:C55"/>
    <mergeCell ref="A56:A57"/>
    <mergeCell ref="A54:A55"/>
    <mergeCell ref="B54:B55"/>
    <mergeCell ref="B58:B59"/>
    <mergeCell ref="C56:C57"/>
    <mergeCell ref="G58:G59"/>
    <mergeCell ref="Q62:Q63"/>
    <mergeCell ref="Q64:Q65"/>
    <mergeCell ref="O64:O65"/>
    <mergeCell ref="O58:O59"/>
    <mergeCell ref="O66:O67"/>
    <mergeCell ref="O68:O69"/>
    <mergeCell ref="I50:I51"/>
    <mergeCell ref="I58:I59"/>
    <mergeCell ref="K54:K55"/>
    <mergeCell ref="P56:P57"/>
    <mergeCell ref="M54:M55"/>
    <mergeCell ref="O54:O55"/>
    <mergeCell ref="Q54:Q55"/>
    <mergeCell ref="Q56:Q57"/>
    <mergeCell ref="Q58:Q59"/>
    <mergeCell ref="A73:R73"/>
    <mergeCell ref="O50:O51"/>
    <mergeCell ref="M56:M57"/>
    <mergeCell ref="P60:P61"/>
    <mergeCell ref="O52:O53"/>
    <mergeCell ref="P52:P53"/>
    <mergeCell ref="M58:M59"/>
    <mergeCell ref="O56:O57"/>
    <mergeCell ref="P54:P55"/>
    <mergeCell ref="P58:P59"/>
    <mergeCell ref="C2:C3"/>
    <mergeCell ref="O12:O13"/>
    <mergeCell ref="M10:M11"/>
    <mergeCell ref="K8:K9"/>
    <mergeCell ref="G8:G9"/>
    <mergeCell ref="M8:M9"/>
    <mergeCell ref="I12:I13"/>
    <mergeCell ref="I10:I11"/>
    <mergeCell ref="G12:G13"/>
    <mergeCell ref="E14:E15"/>
    <mergeCell ref="G14:G15"/>
    <mergeCell ref="G18:G19"/>
    <mergeCell ref="C28:C29"/>
    <mergeCell ref="E28:E29"/>
    <mergeCell ref="K36:K37"/>
    <mergeCell ref="M36:M37"/>
    <mergeCell ref="C46:C47"/>
    <mergeCell ref="E46:E47"/>
    <mergeCell ref="A49:R49"/>
    <mergeCell ref="R56:R57"/>
    <mergeCell ref="R58:R59"/>
    <mergeCell ref="R54:R55"/>
    <mergeCell ref="R50:R51"/>
    <mergeCell ref="P50:P51"/>
    <mergeCell ref="Q50:Q51"/>
    <mergeCell ref="O74:O75"/>
    <mergeCell ref="P74:P75"/>
    <mergeCell ref="Q74:Q75"/>
    <mergeCell ref="P62:P63"/>
    <mergeCell ref="P64:P65"/>
    <mergeCell ref="R66:R67"/>
    <mergeCell ref="I2:I3"/>
    <mergeCell ref="R12:R13"/>
    <mergeCell ref="Q8:Q9"/>
    <mergeCell ref="K12:K13"/>
    <mergeCell ref="M12:M13"/>
    <mergeCell ref="R8:R9"/>
    <mergeCell ref="P8:P9"/>
    <mergeCell ref="R10:R11"/>
    <mergeCell ref="P10:P11"/>
    <mergeCell ref="Q10:Q11"/>
    <mergeCell ref="Q2:Q3"/>
    <mergeCell ref="R6:R7"/>
    <mergeCell ref="Q6:Q7"/>
    <mergeCell ref="R14:R15"/>
    <mergeCell ref="O14:O15"/>
    <mergeCell ref="Q14:Q15"/>
    <mergeCell ref="P14:P15"/>
    <mergeCell ref="M14:M15"/>
    <mergeCell ref="K14:K15"/>
    <mergeCell ref="P6:P7"/>
    <mergeCell ref="K68:K69"/>
    <mergeCell ref="R70:R71"/>
    <mergeCell ref="M50:M51"/>
    <mergeCell ref="A8:A9"/>
    <mergeCell ref="B8:B9"/>
    <mergeCell ref="E12:E13"/>
    <mergeCell ref="A12:A13"/>
    <mergeCell ref="B12:B13"/>
    <mergeCell ref="E10:E11"/>
    <mergeCell ref="A1:R1"/>
    <mergeCell ref="A2:A3"/>
    <mergeCell ref="E2:E3"/>
    <mergeCell ref="B2:B3"/>
    <mergeCell ref="G2:G3"/>
    <mergeCell ref="M2:M3"/>
    <mergeCell ref="P12:P13"/>
    <mergeCell ref="K2:K3"/>
    <mergeCell ref="O8:O9"/>
    <mergeCell ref="O10:O11"/>
    <mergeCell ref="R2:R3"/>
    <mergeCell ref="P2:P3"/>
    <mergeCell ref="O2:O3"/>
    <mergeCell ref="R4:R5"/>
    <mergeCell ref="P4:P5"/>
    <mergeCell ref="Q4:Q5"/>
    <mergeCell ref="Q12:Q13"/>
    <mergeCell ref="C18:C19"/>
    <mergeCell ref="A18:A19"/>
    <mergeCell ref="P16:P17"/>
    <mergeCell ref="A16:A17"/>
    <mergeCell ref="C8:C9"/>
    <mergeCell ref="K10:K11"/>
    <mergeCell ref="G6:G7"/>
    <mergeCell ref="C10:C11"/>
    <mergeCell ref="E8:E9"/>
    <mergeCell ref="B6:B7"/>
    <mergeCell ref="C6:C7"/>
    <mergeCell ref="G10:G11"/>
    <mergeCell ref="I8:I9"/>
    <mergeCell ref="A4:A5"/>
    <mergeCell ref="E4:E5"/>
    <mergeCell ref="G4:G5"/>
    <mergeCell ref="B4:B5"/>
    <mergeCell ref="C4:C5"/>
    <mergeCell ref="A6:A7"/>
    <mergeCell ref="E6:E7"/>
    <mergeCell ref="I4:I5"/>
    <mergeCell ref="O4:O5"/>
    <mergeCell ref="K6:K7"/>
    <mergeCell ref="I6:I7"/>
    <mergeCell ref="O6:O7"/>
    <mergeCell ref="M4:M5"/>
    <mergeCell ref="K4:K5"/>
    <mergeCell ref="M6:M7"/>
    <mergeCell ref="K16:K17"/>
    <mergeCell ref="C16:C17"/>
    <mergeCell ref="M18:M19"/>
    <mergeCell ref="A14:A15"/>
    <mergeCell ref="B50:B51"/>
    <mergeCell ref="B52:B53"/>
    <mergeCell ref="E50:E51"/>
    <mergeCell ref="K52:K53"/>
    <mergeCell ref="C14:C15"/>
    <mergeCell ref="B10:B11"/>
    <mergeCell ref="A10:A11"/>
    <mergeCell ref="C12:C13"/>
    <mergeCell ref="R20:R21"/>
    <mergeCell ref="P20:P21"/>
    <mergeCell ref="Q16:Q17"/>
    <mergeCell ref="R16:R17"/>
    <mergeCell ref="Q20:Q21"/>
    <mergeCell ref="R18:R19"/>
    <mergeCell ref="P18:P19"/>
    <mergeCell ref="Q18:Q19"/>
    <mergeCell ref="E16:E17"/>
    <mergeCell ref="G16:G17"/>
    <mergeCell ref="I16:I17"/>
    <mergeCell ref="M16:M17"/>
    <mergeCell ref="K18:K19"/>
    <mergeCell ref="B14:B15"/>
    <mergeCell ref="I14:I15"/>
    <mergeCell ref="B20:B21"/>
    <mergeCell ref="C20:C21"/>
    <mergeCell ref="B18:B19"/>
    <mergeCell ref="I18:I19"/>
    <mergeCell ref="E18:E19"/>
    <mergeCell ref="O20:O21"/>
    <mergeCell ref="O18:O19"/>
    <mergeCell ref="E20:E21"/>
    <mergeCell ref="A20:A21"/>
    <mergeCell ref="B16:B17"/>
    <mergeCell ref="O16:O17"/>
    <mergeCell ref="A22:A23"/>
    <mergeCell ref="R22:R23"/>
    <mergeCell ref="E22:E23"/>
    <mergeCell ref="G20:G21"/>
    <mergeCell ref="I20:I21"/>
    <mergeCell ref="K20:K21"/>
    <mergeCell ref="M20:M21"/>
    <mergeCell ref="I22:I23"/>
    <mergeCell ref="Q22:Q23"/>
    <mergeCell ref="B22:B23"/>
    <mergeCell ref="C52:C53"/>
    <mergeCell ref="G52:G53"/>
    <mergeCell ref="G50:G51"/>
    <mergeCell ref="P22:P23"/>
    <mergeCell ref="M22:M23"/>
    <mergeCell ref="O22:O23"/>
    <mergeCell ref="G22:G23"/>
    <mergeCell ref="A25:R25"/>
    <mergeCell ref="K22:K23"/>
    <mergeCell ref="C22:C23"/>
    <mergeCell ref="A52:A53"/>
    <mergeCell ref="K50:K51"/>
    <mergeCell ref="K26:K27"/>
    <mergeCell ref="M26:M27"/>
    <mergeCell ref="Q26:Q27"/>
    <mergeCell ref="R26:R27"/>
    <mergeCell ref="C34:C35"/>
    <mergeCell ref="E34:E35"/>
    <mergeCell ref="K32:K33"/>
    <mergeCell ref="M32:M33"/>
    <mergeCell ref="R68:R69"/>
    <mergeCell ref="I70:I71"/>
    <mergeCell ref="M62:M63"/>
    <mergeCell ref="O62:O63"/>
    <mergeCell ref="I62:I63"/>
    <mergeCell ref="K62:K63"/>
    <mergeCell ref="K66:K67"/>
    <mergeCell ref="Q68:Q69"/>
    <mergeCell ref="R64:R65"/>
    <mergeCell ref="R62:R63"/>
    <mergeCell ref="G70:G71"/>
    <mergeCell ref="P68:P69"/>
    <mergeCell ref="M68:M69"/>
    <mergeCell ref="I68:I69"/>
    <mergeCell ref="Q80:Q81"/>
    <mergeCell ref="M70:M71"/>
    <mergeCell ref="E68:E69"/>
    <mergeCell ref="K76:K77"/>
    <mergeCell ref="M76:M77"/>
    <mergeCell ref="O76:O77"/>
    <mergeCell ref="P76:P77"/>
    <mergeCell ref="Q76:Q77"/>
    <mergeCell ref="P78:P79"/>
    <mergeCell ref="G78:G79"/>
    <mergeCell ref="I78:I79"/>
    <mergeCell ref="M78:M79"/>
    <mergeCell ref="R78:R79"/>
    <mergeCell ref="O98:O99"/>
    <mergeCell ref="O94:O95"/>
    <mergeCell ref="B100:B101"/>
    <mergeCell ref="B94:B95"/>
    <mergeCell ref="B82:B83"/>
    <mergeCell ref="I82:I83"/>
    <mergeCell ref="P84:P85"/>
    <mergeCell ref="C82:C83"/>
    <mergeCell ref="E82:E83"/>
    <mergeCell ref="G82:G83"/>
    <mergeCell ref="O100:O101"/>
    <mergeCell ref="I104:I105"/>
    <mergeCell ref="G94:G95"/>
    <mergeCell ref="I94:I95"/>
    <mergeCell ref="E94:E95"/>
    <mergeCell ref="B98:B99"/>
    <mergeCell ref="C100:C101"/>
    <mergeCell ref="M100:M101"/>
    <mergeCell ref="C102:C103"/>
    <mergeCell ref="C98:C99"/>
    <mergeCell ref="E98:E99"/>
    <mergeCell ref="B102:B103"/>
    <mergeCell ref="O82:O83"/>
    <mergeCell ref="M94:M95"/>
    <mergeCell ref="O92:O93"/>
    <mergeCell ref="P98:P99"/>
    <mergeCell ref="A97:R97"/>
    <mergeCell ref="R94:R95"/>
    <mergeCell ref="B146:B147"/>
    <mergeCell ref="C130:C131"/>
    <mergeCell ref="E130:E131"/>
    <mergeCell ref="G140:G141"/>
    <mergeCell ref="K140:K141"/>
    <mergeCell ref="I142:I143"/>
    <mergeCell ref="G146:G147"/>
    <mergeCell ref="I146:I147"/>
    <mergeCell ref="M146:M147"/>
    <mergeCell ref="C138:C139"/>
    <mergeCell ref="E138:E139"/>
    <mergeCell ref="G138:G139"/>
    <mergeCell ref="I138:I139"/>
    <mergeCell ref="A138:A139"/>
    <mergeCell ref="B138:B139"/>
    <mergeCell ref="E140:E141"/>
    <mergeCell ref="B140:B141"/>
    <mergeCell ref="C140:C141"/>
    <mergeCell ref="C146:C147"/>
    <mergeCell ref="G132:G133"/>
    <mergeCell ref="I132:I133"/>
    <mergeCell ref="G136:G137"/>
    <mergeCell ref="I136:I137"/>
    <mergeCell ref="A154:A155"/>
    <mergeCell ref="B154:B155"/>
    <mergeCell ref="A152:A153"/>
    <mergeCell ref="B152:B153"/>
    <mergeCell ref="I154:I155"/>
    <mergeCell ref="A150:A151"/>
    <mergeCell ref="G152:G153"/>
    <mergeCell ref="I152:I153"/>
    <mergeCell ref="G154:G155"/>
    <mergeCell ref="B150:B151"/>
    <mergeCell ref="Q154:Q155"/>
    <mergeCell ref="P154:P155"/>
    <mergeCell ref="R158:R159"/>
    <mergeCell ref="K158:K159"/>
    <mergeCell ref="M158:M159"/>
    <mergeCell ref="O158:O159"/>
    <mergeCell ref="Q158:Q159"/>
    <mergeCell ref="P158:P159"/>
    <mergeCell ref="I158:I159"/>
    <mergeCell ref="M188:M189"/>
    <mergeCell ref="I186:I187"/>
    <mergeCell ref="K160:K161"/>
    <mergeCell ref="I166:I167"/>
    <mergeCell ref="P160:P161"/>
    <mergeCell ref="M160:M161"/>
    <mergeCell ref="P162:P163"/>
    <mergeCell ref="O164:O165"/>
    <mergeCell ref="P164:P165"/>
    <mergeCell ref="O166:O167"/>
    <mergeCell ref="P166:P167"/>
    <mergeCell ref="M162:M163"/>
    <mergeCell ref="K166:K167"/>
    <mergeCell ref="R164:R165"/>
    <mergeCell ref="A169:R169"/>
    <mergeCell ref="A170:A171"/>
    <mergeCell ref="R160:R161"/>
    <mergeCell ref="O160:O161"/>
    <mergeCell ref="Q160:Q161"/>
    <mergeCell ref="Q162:Q163"/>
    <mergeCell ref="R162:R163"/>
    <mergeCell ref="Q164:Q165"/>
    <mergeCell ref="K162:K163"/>
    <mergeCell ref="I164:I165"/>
    <mergeCell ref="R170:R171"/>
    <mergeCell ref="P190:P191"/>
    <mergeCell ref="Q190:Q191"/>
    <mergeCell ref="R178:R179"/>
    <mergeCell ref="K180:K181"/>
    <mergeCell ref="K230:K231"/>
    <mergeCell ref="M230:M231"/>
    <mergeCell ref="O230:O231"/>
    <mergeCell ref="P230:P231"/>
    <mergeCell ref="Q230:Q231"/>
    <mergeCell ref="R230:R231"/>
    <mergeCell ref="R228:R229"/>
    <mergeCell ref="R226:R227"/>
    <mergeCell ref="A228:A229"/>
    <mergeCell ref="B228:B229"/>
    <mergeCell ref="C228:C229"/>
    <mergeCell ref="E228:E229"/>
    <mergeCell ref="I228:I229"/>
    <mergeCell ref="K228:K229"/>
    <mergeCell ref="M228:M229"/>
    <mergeCell ref="O228:O229"/>
    <mergeCell ref="P228:P229"/>
    <mergeCell ref="A186:A187"/>
    <mergeCell ref="B186:B187"/>
    <mergeCell ref="C186:C187"/>
    <mergeCell ref="E186:E187"/>
    <mergeCell ref="A188:A189"/>
    <mergeCell ref="B188:B189"/>
    <mergeCell ref="C188:C189"/>
    <mergeCell ref="E188:E189"/>
    <mergeCell ref="Q188:Q189"/>
    <mergeCell ref="G188:G189"/>
    <mergeCell ref="M186:M187"/>
    <mergeCell ref="I188:I189"/>
    <mergeCell ref="B194:B195"/>
    <mergeCell ref="C194:C195"/>
    <mergeCell ref="E194:E195"/>
    <mergeCell ref="G194:G195"/>
    <mergeCell ref="G196:G197"/>
    <mergeCell ref="G198:G199"/>
    <mergeCell ref="E198:E199"/>
    <mergeCell ref="K186:K187"/>
    <mergeCell ref="G186:G187"/>
    <mergeCell ref="K188:K189"/>
    <mergeCell ref="P196:P197"/>
    <mergeCell ref="Q194:Q195"/>
    <mergeCell ref="R194:R195"/>
    <mergeCell ref="O188:O189"/>
    <mergeCell ref="R186:R187"/>
    <mergeCell ref="P186:P187"/>
    <mergeCell ref="Q186:Q187"/>
    <mergeCell ref="R188:R189"/>
    <mergeCell ref="P188:P189"/>
    <mergeCell ref="O186:O187"/>
    <mergeCell ref="B190:B191"/>
    <mergeCell ref="C190:C191"/>
    <mergeCell ref="E190:E191"/>
    <mergeCell ref="R196:R197"/>
    <mergeCell ref="P194:P195"/>
    <mergeCell ref="M194:M195"/>
    <mergeCell ref="K194:K195"/>
    <mergeCell ref="O194:O195"/>
    <mergeCell ref="R190:R191"/>
    <mergeCell ref="M190:M191"/>
    <mergeCell ref="O190:O191"/>
    <mergeCell ref="A194:A195"/>
    <mergeCell ref="C196:C197"/>
    <mergeCell ref="B202:B203"/>
    <mergeCell ref="C202:C203"/>
    <mergeCell ref="A198:A199"/>
    <mergeCell ref="B198:B199"/>
    <mergeCell ref="C198:C199"/>
    <mergeCell ref="A202:A203"/>
    <mergeCell ref="G190:G191"/>
    <mergeCell ref="M200:M201"/>
    <mergeCell ref="E196:E197"/>
    <mergeCell ref="O200:O201"/>
    <mergeCell ref="A200:A201"/>
    <mergeCell ref="B200:B201"/>
    <mergeCell ref="C200:C201"/>
    <mergeCell ref="E200:E201"/>
    <mergeCell ref="G200:G201"/>
    <mergeCell ref="I198:I199"/>
    <mergeCell ref="A196:A197"/>
    <mergeCell ref="O198:O199"/>
    <mergeCell ref="O196:O197"/>
    <mergeCell ref="I196:I197"/>
    <mergeCell ref="M196:M197"/>
    <mergeCell ref="K196:K197"/>
    <mergeCell ref="I190:I191"/>
    <mergeCell ref="K190:K191"/>
    <mergeCell ref="M198:M199"/>
    <mergeCell ref="I194:I195"/>
    <mergeCell ref="K198:K199"/>
    <mergeCell ref="A190:A191"/>
    <mergeCell ref="R198:R199"/>
    <mergeCell ref="I204:I205"/>
    <mergeCell ref="I202:I203"/>
    <mergeCell ref="R200:R201"/>
    <mergeCell ref="Q200:Q201"/>
    <mergeCell ref="I200:I201"/>
    <mergeCell ref="K200:K201"/>
    <mergeCell ref="Q196:Q197"/>
    <mergeCell ref="A204:A205"/>
    <mergeCell ref="B204:B205"/>
    <mergeCell ref="C204:C205"/>
    <mergeCell ref="E204:E205"/>
    <mergeCell ref="M204:M205"/>
    <mergeCell ref="E202:E203"/>
    <mergeCell ref="G202:G203"/>
    <mergeCell ref="M202:M203"/>
    <mergeCell ref="K202:K203"/>
    <mergeCell ref="B196:B197"/>
    <mergeCell ref="Q198:Q199"/>
    <mergeCell ref="P198:P199"/>
    <mergeCell ref="Q204:Q205"/>
    <mergeCell ref="G204:G205"/>
    <mergeCell ref="I206:I207"/>
    <mergeCell ref="Q218:Q219"/>
    <mergeCell ref="R218:R219"/>
    <mergeCell ref="P220:P221"/>
    <mergeCell ref="Q220:Q221"/>
    <mergeCell ref="I218:I219"/>
    <mergeCell ref="O214:O215"/>
    <mergeCell ref="P214:P215"/>
    <mergeCell ref="R214:R215"/>
    <mergeCell ref="G212:G213"/>
    <mergeCell ref="I212:I213"/>
    <mergeCell ref="K212:K213"/>
    <mergeCell ref="R212:R213"/>
    <mergeCell ref="K204:K205"/>
    <mergeCell ref="P200:P201"/>
    <mergeCell ref="Q202:Q203"/>
    <mergeCell ref="Q226:Q227"/>
    <mergeCell ref="O222:O223"/>
    <mergeCell ref="M206:M207"/>
    <mergeCell ref="O208:O209"/>
    <mergeCell ref="P208:P209"/>
    <mergeCell ref="Q208:Q209"/>
    <mergeCell ref="O210:O211"/>
    <mergeCell ref="M214:M215"/>
    <mergeCell ref="R220:R221"/>
    <mergeCell ref="K206:K207"/>
    <mergeCell ref="A226:A227"/>
    <mergeCell ref="B226:B227"/>
    <mergeCell ref="C226:C227"/>
    <mergeCell ref="E226:E227"/>
    <mergeCell ref="P218:P219"/>
    <mergeCell ref="K218:K219"/>
    <mergeCell ref="K222:K223"/>
    <mergeCell ref="K220:K221"/>
    <mergeCell ref="A220:A221"/>
    <mergeCell ref="B220:B221"/>
    <mergeCell ref="C220:C221"/>
    <mergeCell ref="B222:B223"/>
    <mergeCell ref="O206:O207"/>
    <mergeCell ref="Q206:Q207"/>
    <mergeCell ref="P206:P207"/>
    <mergeCell ref="E220:E221"/>
    <mergeCell ref="A222:A223"/>
    <mergeCell ref="A230:A231"/>
    <mergeCell ref="B230:B231"/>
    <mergeCell ref="G222:G223"/>
    <mergeCell ref="C230:C231"/>
    <mergeCell ref="E230:E231"/>
    <mergeCell ref="G228:G229"/>
    <mergeCell ref="G224:G225"/>
    <mergeCell ref="O224:O225"/>
    <mergeCell ref="P224:P225"/>
    <mergeCell ref="O220:O221"/>
    <mergeCell ref="M226:M227"/>
    <mergeCell ref="I222:I223"/>
    <mergeCell ref="O218:O219"/>
    <mergeCell ref="P222:P223"/>
    <mergeCell ref="G226:G227"/>
    <mergeCell ref="I226:I227"/>
    <mergeCell ref="K226:K227"/>
    <mergeCell ref="A224:A225"/>
    <mergeCell ref="M218:M219"/>
    <mergeCell ref="I224:I225"/>
    <mergeCell ref="M222:M223"/>
    <mergeCell ref="O226:O227"/>
    <mergeCell ref="P226:P227"/>
    <mergeCell ref="Q232:Q233"/>
    <mergeCell ref="I232:I233"/>
    <mergeCell ref="I220:I221"/>
    <mergeCell ref="B224:B225"/>
    <mergeCell ref="C224:C225"/>
    <mergeCell ref="E224:E225"/>
    <mergeCell ref="K232:K233"/>
    <mergeCell ref="K224:K225"/>
    <mergeCell ref="M220:M221"/>
    <mergeCell ref="A234:A235"/>
    <mergeCell ref="B234:B235"/>
    <mergeCell ref="C234:C235"/>
    <mergeCell ref="Q228:Q229"/>
    <mergeCell ref="R232:R233"/>
    <mergeCell ref="A232:A233"/>
    <mergeCell ref="B232:B233"/>
    <mergeCell ref="C232:C233"/>
    <mergeCell ref="E232:E233"/>
    <mergeCell ref="M232:M233"/>
    <mergeCell ref="G230:G231"/>
    <mergeCell ref="I230:I231"/>
    <mergeCell ref="G220:G221"/>
    <mergeCell ref="G232:G233"/>
    <mergeCell ref="P232:P233"/>
    <mergeCell ref="O232:O233"/>
    <mergeCell ref="Q224:Q225"/>
    <mergeCell ref="R224:R225"/>
    <mergeCell ref="Q222:Q223"/>
    <mergeCell ref="R222:R223"/>
    <mergeCell ref="M224:M225"/>
    <mergeCell ref="C222:C223"/>
    <mergeCell ref="E222:E223"/>
    <mergeCell ref="I236:I237"/>
    <mergeCell ref="E236:E237"/>
    <mergeCell ref="G236:G237"/>
    <mergeCell ref="A236:A237"/>
    <mergeCell ref="B236:B237"/>
    <mergeCell ref="E234:E235"/>
    <mergeCell ref="G234:G235"/>
    <mergeCell ref="C236:C237"/>
    <mergeCell ref="K234:K235"/>
    <mergeCell ref="R234:R235"/>
    <mergeCell ref="R238:R239"/>
    <mergeCell ref="R236:R237"/>
    <mergeCell ref="Q234:Q235"/>
    <mergeCell ref="Q236:Q237"/>
    <mergeCell ref="P236:P237"/>
    <mergeCell ref="P238:P239"/>
    <mergeCell ref="O236:O237"/>
    <mergeCell ref="P234:P235"/>
    <mergeCell ref="M238:M239"/>
    <mergeCell ref="O242:O243"/>
    <mergeCell ref="O234:O235"/>
    <mergeCell ref="M234:M235"/>
    <mergeCell ref="M242:M243"/>
    <mergeCell ref="M236:M237"/>
    <mergeCell ref="B238:B239"/>
    <mergeCell ref="A241:R241"/>
    <mergeCell ref="Q238:Q239"/>
    <mergeCell ref="E238:E239"/>
    <mergeCell ref="G238:G239"/>
    <mergeCell ref="C238:C239"/>
    <mergeCell ref="A238:A239"/>
    <mergeCell ref="K238:K239"/>
    <mergeCell ref="I238:I239"/>
    <mergeCell ref="O238:O239"/>
    <mergeCell ref="A244:A245"/>
    <mergeCell ref="B244:B245"/>
    <mergeCell ref="C244:C245"/>
    <mergeCell ref="E244:E245"/>
    <mergeCell ref="G244:G245"/>
    <mergeCell ref="G242:G243"/>
    <mergeCell ref="A242:A243"/>
    <mergeCell ref="E242:E243"/>
    <mergeCell ref="P242:P243"/>
    <mergeCell ref="I242:I243"/>
    <mergeCell ref="B242:B243"/>
    <mergeCell ref="C242:C243"/>
    <mergeCell ref="R242:R243"/>
    <mergeCell ref="Q242:Q243"/>
    <mergeCell ref="K242:K243"/>
    <mergeCell ref="K236:K237"/>
    <mergeCell ref="I234:I235"/>
    <mergeCell ref="K250:K251"/>
    <mergeCell ref="M246:M247"/>
    <mergeCell ref="O246:O247"/>
    <mergeCell ref="O250:O251"/>
    <mergeCell ref="K248:K249"/>
    <mergeCell ref="Q248:Q249"/>
    <mergeCell ref="M244:M245"/>
    <mergeCell ref="R246:R247"/>
    <mergeCell ref="M248:M249"/>
    <mergeCell ref="R248:R249"/>
    <mergeCell ref="C246:C247"/>
    <mergeCell ref="E246:E247"/>
    <mergeCell ref="G246:G247"/>
    <mergeCell ref="I246:I247"/>
    <mergeCell ref="K246:K247"/>
    <mergeCell ref="G248:G249"/>
    <mergeCell ref="I248:I249"/>
    <mergeCell ref="P248:P249"/>
    <mergeCell ref="C248:C249"/>
    <mergeCell ref="C250:C251"/>
    <mergeCell ref="E250:E251"/>
    <mergeCell ref="G250:G251"/>
    <mergeCell ref="R278:R279"/>
    <mergeCell ref="O256:O257"/>
    <mergeCell ref="P256:P257"/>
    <mergeCell ref="Q256:Q257"/>
    <mergeCell ref="R256:R257"/>
    <mergeCell ref="K258:K259"/>
    <mergeCell ref="M258:M259"/>
    <mergeCell ref="O258:O259"/>
    <mergeCell ref="A258:A259"/>
    <mergeCell ref="B258:B259"/>
    <mergeCell ref="C258:C259"/>
    <mergeCell ref="E258:E259"/>
    <mergeCell ref="R258:R259"/>
    <mergeCell ref="C260:C261"/>
    <mergeCell ref="E260:E261"/>
    <mergeCell ref="G260:G261"/>
    <mergeCell ref="K268:K269"/>
    <mergeCell ref="A260:A261"/>
    <mergeCell ref="B260:B261"/>
    <mergeCell ref="K262:K263"/>
    <mergeCell ref="P258:P259"/>
    <mergeCell ref="Q258:Q259"/>
    <mergeCell ref="Q266:Q267"/>
    <mergeCell ref="I258:I259"/>
    <mergeCell ref="I260:I261"/>
    <mergeCell ref="K260:K261"/>
    <mergeCell ref="M260:M261"/>
    <mergeCell ref="O260:O261"/>
    <mergeCell ref="P260:P261"/>
    <mergeCell ref="Q260:Q261"/>
    <mergeCell ref="K256:K257"/>
    <mergeCell ref="M256:M257"/>
    <mergeCell ref="I280:I281"/>
    <mergeCell ref="A280:A281"/>
    <mergeCell ref="B280:B281"/>
    <mergeCell ref="C280:C281"/>
    <mergeCell ref="E280:E281"/>
    <mergeCell ref="G280:G281"/>
    <mergeCell ref="O252:O253"/>
    <mergeCell ref="P250:P251"/>
    <mergeCell ref="Q252:Q253"/>
    <mergeCell ref="P278:P279"/>
    <mergeCell ref="Q278:Q279"/>
    <mergeCell ref="A278:A279"/>
    <mergeCell ref="B278:B279"/>
    <mergeCell ref="C278:C279"/>
    <mergeCell ref="E278:E279"/>
    <mergeCell ref="K278:K279"/>
    <mergeCell ref="M278:M279"/>
    <mergeCell ref="O278:O279"/>
    <mergeCell ref="A250:A251"/>
    <mergeCell ref="A252:A253"/>
    <mergeCell ref="B252:B253"/>
    <mergeCell ref="C252:C253"/>
    <mergeCell ref="E252:E253"/>
    <mergeCell ref="G252:G253"/>
    <mergeCell ref="I252:I253"/>
    <mergeCell ref="P254:P255"/>
    <mergeCell ref="Q254:Q255"/>
    <mergeCell ref="I250:I251"/>
    <mergeCell ref="M252:M253"/>
    <mergeCell ref="M250:M251"/>
    <mergeCell ref="Q250:Q251"/>
    <mergeCell ref="B250:B251"/>
    <mergeCell ref="G284:G285"/>
    <mergeCell ref="R286:R287"/>
    <mergeCell ref="P284:P285"/>
    <mergeCell ref="M284:M285"/>
    <mergeCell ref="O284:O285"/>
    <mergeCell ref="R284:R285"/>
    <mergeCell ref="A286:A287"/>
    <mergeCell ref="B286:B287"/>
    <mergeCell ref="C286:C287"/>
    <mergeCell ref="E286:E287"/>
    <mergeCell ref="G286:G287"/>
    <mergeCell ref="Q286:Q287"/>
    <mergeCell ref="O286:O287"/>
    <mergeCell ref="G278:G279"/>
    <mergeCell ref="I278:I279"/>
    <mergeCell ref="K282:K283"/>
    <mergeCell ref="M282:M283"/>
    <mergeCell ref="A282:A283"/>
    <mergeCell ref="B282:B283"/>
    <mergeCell ref="C282:C283"/>
    <mergeCell ref="E282:E283"/>
    <mergeCell ref="I284:I285"/>
    <mergeCell ref="K284:K285"/>
    <mergeCell ref="G282:G283"/>
    <mergeCell ref="P282:P283"/>
    <mergeCell ref="Q282:Q283"/>
    <mergeCell ref="M280:M281"/>
    <mergeCell ref="O280:O281"/>
    <mergeCell ref="P280:P281"/>
    <mergeCell ref="Q280:Q281"/>
    <mergeCell ref="I282:I283"/>
    <mergeCell ref="O282:O283"/>
    <mergeCell ref="R280:R281"/>
    <mergeCell ref="K280:K281"/>
    <mergeCell ref="K290:K291"/>
    <mergeCell ref="M286:M287"/>
    <mergeCell ref="Q290:Q291"/>
    <mergeCell ref="Q284:Q285"/>
    <mergeCell ref="P286:P287"/>
    <mergeCell ref="G292:G293"/>
    <mergeCell ref="G290:G291"/>
    <mergeCell ref="A290:A291"/>
    <mergeCell ref="B290:B291"/>
    <mergeCell ref="A292:A293"/>
    <mergeCell ref="B292:B293"/>
    <mergeCell ref="C292:C293"/>
    <mergeCell ref="E292:E293"/>
    <mergeCell ref="M292:M293"/>
    <mergeCell ref="O292:O293"/>
    <mergeCell ref="P292:P293"/>
    <mergeCell ref="R290:R291"/>
    <mergeCell ref="C290:C291"/>
    <mergeCell ref="E290:E291"/>
    <mergeCell ref="O290:O291"/>
    <mergeCell ref="P290:P291"/>
    <mergeCell ref="I290:I291"/>
    <mergeCell ref="M290:M291"/>
    <mergeCell ref="I286:I287"/>
    <mergeCell ref="K286:K287"/>
    <mergeCell ref="R282:R283"/>
    <mergeCell ref="A284:A285"/>
    <mergeCell ref="B284:B285"/>
    <mergeCell ref="C284:C285"/>
    <mergeCell ref="E284:E285"/>
    <mergeCell ref="A294:A295"/>
    <mergeCell ref="B294:B295"/>
    <mergeCell ref="C294:C295"/>
    <mergeCell ref="E294:E295"/>
    <mergeCell ref="R292:R293"/>
    <mergeCell ref="Q294:Q295"/>
    <mergeCell ref="I292:I293"/>
    <mergeCell ref="R294:R295"/>
    <mergeCell ref="Q292:Q293"/>
    <mergeCell ref="K292:K293"/>
    <mergeCell ref="G294:G295"/>
    <mergeCell ref="P294:P295"/>
    <mergeCell ref="M294:M295"/>
    <mergeCell ref="O294:O295"/>
    <mergeCell ref="I294:I295"/>
    <mergeCell ref="K294:K295"/>
    <mergeCell ref="I298:I299"/>
    <mergeCell ref="G298:G299"/>
    <mergeCell ref="G296:G297"/>
    <mergeCell ref="I296:I297"/>
    <mergeCell ref="A296:A297"/>
    <mergeCell ref="B296:B297"/>
    <mergeCell ref="C296:C297"/>
    <mergeCell ref="E296:E297"/>
    <mergeCell ref="O298:O299"/>
    <mergeCell ref="M298:M299"/>
    <mergeCell ref="K298:K299"/>
    <mergeCell ref="R296:R297"/>
    <mergeCell ref="P296:P297"/>
    <mergeCell ref="Q296:Q297"/>
    <mergeCell ref="M296:M297"/>
    <mergeCell ref="O296:O297"/>
    <mergeCell ref="K296:K297"/>
    <mergeCell ref="A301:A302"/>
    <mergeCell ref="B301:B302"/>
    <mergeCell ref="C301:C302"/>
    <mergeCell ref="E301:E302"/>
    <mergeCell ref="B298:B299"/>
    <mergeCell ref="C298:C299"/>
    <mergeCell ref="G301:G302"/>
    <mergeCell ref="I301:I302"/>
    <mergeCell ref="K301:K302"/>
    <mergeCell ref="A303:A304"/>
    <mergeCell ref="B303:B304"/>
    <mergeCell ref="E303:E304"/>
    <mergeCell ref="C303:C304"/>
    <mergeCell ref="G303:G304"/>
    <mergeCell ref="A307:A308"/>
    <mergeCell ref="B307:B308"/>
    <mergeCell ref="C307:C308"/>
    <mergeCell ref="E307:E308"/>
    <mergeCell ref="A305:A306"/>
    <mergeCell ref="B305:B306"/>
    <mergeCell ref="I307:I308"/>
    <mergeCell ref="A298:A299"/>
    <mergeCell ref="E298:E299"/>
    <mergeCell ref="A300:R300"/>
    <mergeCell ref="Q298:Q299"/>
    <mergeCell ref="G307:G308"/>
    <mergeCell ref="C305:C306"/>
    <mergeCell ref="E305:E306"/>
    <mergeCell ref="I305:I306"/>
    <mergeCell ref="O303:O304"/>
    <mergeCell ref="P301:P302"/>
    <mergeCell ref="P298:P299"/>
    <mergeCell ref="I303:I304"/>
    <mergeCell ref="R301:R302"/>
    <mergeCell ref="R298:R299"/>
    <mergeCell ref="Q303:Q304"/>
    <mergeCell ref="R303:R304"/>
    <mergeCell ref="Q301:Q302"/>
    <mergeCell ref="P303:P304"/>
    <mergeCell ref="M301:M302"/>
    <mergeCell ref="K303:K304"/>
    <mergeCell ref="M303:M304"/>
    <mergeCell ref="O301:O302"/>
    <mergeCell ref="Q305:Q306"/>
    <mergeCell ref="R305:R306"/>
    <mergeCell ref="K305:K306"/>
    <mergeCell ref="M305:M306"/>
    <mergeCell ref="O305:O306"/>
    <mergeCell ref="P305:P306"/>
    <mergeCell ref="M309:M310"/>
    <mergeCell ref="O309:O310"/>
    <mergeCell ref="G311:G312"/>
    <mergeCell ref="M311:M312"/>
    <mergeCell ref="O311:O312"/>
    <mergeCell ref="I311:I312"/>
    <mergeCell ref="K311:K312"/>
    <mergeCell ref="R307:R308"/>
    <mergeCell ref="K307:K308"/>
    <mergeCell ref="Q309:Q310"/>
    <mergeCell ref="M307:M308"/>
    <mergeCell ref="R309:R310"/>
    <mergeCell ref="O307:O308"/>
    <mergeCell ref="P307:P308"/>
    <mergeCell ref="Q307:Q308"/>
    <mergeCell ref="P309:P310"/>
    <mergeCell ref="K309:K310"/>
    <mergeCell ref="G305:G306"/>
    <mergeCell ref="A313:A314"/>
    <mergeCell ref="A309:A310"/>
    <mergeCell ref="B309:B310"/>
    <mergeCell ref="C309:C310"/>
    <mergeCell ref="A311:A312"/>
    <mergeCell ref="C311:C312"/>
    <mergeCell ref="B311:B312"/>
    <mergeCell ref="O315:O316"/>
    <mergeCell ref="M313:M314"/>
    <mergeCell ref="O313:O314"/>
    <mergeCell ref="Q313:Q314"/>
    <mergeCell ref="B313:B314"/>
    <mergeCell ref="C313:C314"/>
    <mergeCell ref="E313:E314"/>
    <mergeCell ref="G313:G314"/>
    <mergeCell ref="I313:I314"/>
    <mergeCell ref="K313:K314"/>
    <mergeCell ref="A315:A316"/>
    <mergeCell ref="E311:E312"/>
    <mergeCell ref="E309:E310"/>
    <mergeCell ref="G309:G310"/>
    <mergeCell ref="I309:I310"/>
    <mergeCell ref="R313:R314"/>
    <mergeCell ref="P311:P312"/>
    <mergeCell ref="Q311:Q312"/>
    <mergeCell ref="R311:R312"/>
    <mergeCell ref="P313:P314"/>
    <mergeCell ref="R315:R316"/>
    <mergeCell ref="Q315:Q316"/>
    <mergeCell ref="P315:P316"/>
    <mergeCell ref="K315:K316"/>
    <mergeCell ref="M315:M316"/>
    <mergeCell ref="B317:B318"/>
    <mergeCell ref="C317:C318"/>
    <mergeCell ref="C319:C320"/>
    <mergeCell ref="M317:M318"/>
    <mergeCell ref="E317:E318"/>
    <mergeCell ref="G317:G318"/>
    <mergeCell ref="I317:I318"/>
    <mergeCell ref="K317:K318"/>
    <mergeCell ref="B315:B316"/>
    <mergeCell ref="C315:C316"/>
    <mergeCell ref="E315:E316"/>
    <mergeCell ref="P319:P320"/>
    <mergeCell ref="Q319:Q320"/>
    <mergeCell ref="K319:K320"/>
    <mergeCell ref="O319:O320"/>
    <mergeCell ref="G315:G316"/>
    <mergeCell ref="I315:I316"/>
    <mergeCell ref="K321:K322"/>
    <mergeCell ref="G321:G322"/>
    <mergeCell ref="E321:E322"/>
    <mergeCell ref="A317:A318"/>
    <mergeCell ref="G324:G325"/>
    <mergeCell ref="A324:A325"/>
    <mergeCell ref="B324:B325"/>
    <mergeCell ref="A321:A322"/>
    <mergeCell ref="B321:B322"/>
    <mergeCell ref="C321:C322"/>
    <mergeCell ref="R317:R318"/>
    <mergeCell ref="O317:O318"/>
    <mergeCell ref="A319:A320"/>
    <mergeCell ref="B319:B320"/>
    <mergeCell ref="G319:G320"/>
    <mergeCell ref="P317:P318"/>
    <mergeCell ref="E319:E320"/>
    <mergeCell ref="R319:R320"/>
    <mergeCell ref="Q317:Q318"/>
    <mergeCell ref="M321:M322"/>
    <mergeCell ref="I319:I320"/>
    <mergeCell ref="M319:M320"/>
    <mergeCell ref="I321:I322"/>
    <mergeCell ref="I324:I325"/>
    <mergeCell ref="K324:K325"/>
    <mergeCell ref="A323:R323"/>
    <mergeCell ref="E324:E325"/>
    <mergeCell ref="R324:R325"/>
    <mergeCell ref="Q324:Q325"/>
    <mergeCell ref="R326:R327"/>
    <mergeCell ref="Q321:Q322"/>
    <mergeCell ref="O324:O325"/>
    <mergeCell ref="P324:P325"/>
    <mergeCell ref="R321:R322"/>
    <mergeCell ref="P326:P327"/>
    <mergeCell ref="O321:O322"/>
    <mergeCell ref="P321:P322"/>
    <mergeCell ref="A326:A327"/>
    <mergeCell ref="G326:G327"/>
    <mergeCell ref="B326:B327"/>
    <mergeCell ref="C326:C327"/>
    <mergeCell ref="E326:E327"/>
    <mergeCell ref="Q326:Q327"/>
    <mergeCell ref="O326:O327"/>
    <mergeCell ref="C330:C331"/>
    <mergeCell ref="E330:E331"/>
    <mergeCell ref="I326:I327"/>
    <mergeCell ref="M326:M327"/>
    <mergeCell ref="M324:M325"/>
    <mergeCell ref="K326:K327"/>
    <mergeCell ref="C324:C325"/>
    <mergeCell ref="O328:O329"/>
    <mergeCell ref="Q328:Q329"/>
    <mergeCell ref="R328:R329"/>
    <mergeCell ref="G330:G331"/>
    <mergeCell ref="P328:P329"/>
    <mergeCell ref="I328:I329"/>
    <mergeCell ref="K328:K329"/>
    <mergeCell ref="M328:M329"/>
    <mergeCell ref="I330:I331"/>
    <mergeCell ref="A328:A329"/>
    <mergeCell ref="R334:R335"/>
    <mergeCell ref="O330:O331"/>
    <mergeCell ref="P330:P331"/>
    <mergeCell ref="I334:I335"/>
    <mergeCell ref="K334:K335"/>
    <mergeCell ref="K332:K333"/>
    <mergeCell ref="I332:I333"/>
    <mergeCell ref="O334:O335"/>
    <mergeCell ref="P334:P335"/>
    <mergeCell ref="R330:R331"/>
    <mergeCell ref="E332:E333"/>
    <mergeCell ref="R332:R333"/>
    <mergeCell ref="A332:A333"/>
    <mergeCell ref="B332:B333"/>
    <mergeCell ref="C332:C333"/>
    <mergeCell ref="G332:G333"/>
    <mergeCell ref="A334:A335"/>
    <mergeCell ref="B334:B335"/>
    <mergeCell ref="C334:C335"/>
    <mergeCell ref="E334:E335"/>
    <mergeCell ref="G334:G335"/>
    <mergeCell ref="M334:M335"/>
    <mergeCell ref="Q334:Q335"/>
    <mergeCell ref="M332:M333"/>
    <mergeCell ref="P332:P333"/>
    <mergeCell ref="M336:M337"/>
    <mergeCell ref="Q332:Q333"/>
    <mergeCell ref="O332:O333"/>
    <mergeCell ref="A338:A339"/>
    <mergeCell ref="B338:B339"/>
    <mergeCell ref="C338:C339"/>
    <mergeCell ref="E338:E339"/>
    <mergeCell ref="G338:G339"/>
    <mergeCell ref="P338:P339"/>
    <mergeCell ref="I338:I339"/>
    <mergeCell ref="K338:K339"/>
    <mergeCell ref="C328:C329"/>
    <mergeCell ref="E328:E329"/>
    <mergeCell ref="G328:G329"/>
    <mergeCell ref="B328:B329"/>
    <mergeCell ref="Q330:Q331"/>
    <mergeCell ref="K330:K331"/>
    <mergeCell ref="M330:M331"/>
    <mergeCell ref="A330:A331"/>
    <mergeCell ref="B330:B331"/>
    <mergeCell ref="G340:G341"/>
    <mergeCell ref="P340:P341"/>
    <mergeCell ref="Q340:Q341"/>
    <mergeCell ref="M338:M339"/>
    <mergeCell ref="O338:O339"/>
    <mergeCell ref="I340:I341"/>
    <mergeCell ref="K340:K341"/>
    <mergeCell ref="R336:R337"/>
    <mergeCell ref="Q338:Q339"/>
    <mergeCell ref="O336:O337"/>
    <mergeCell ref="M340:M341"/>
    <mergeCell ref="R338:R339"/>
    <mergeCell ref="R340:R341"/>
    <mergeCell ref="O340:O341"/>
    <mergeCell ref="P336:P337"/>
    <mergeCell ref="Q336:Q337"/>
    <mergeCell ref="A336:A337"/>
    <mergeCell ref="B336:B337"/>
    <mergeCell ref="E336:E337"/>
    <mergeCell ref="C336:C337"/>
    <mergeCell ref="G336:G337"/>
    <mergeCell ref="I336:I337"/>
    <mergeCell ref="K336:K337"/>
    <mergeCell ref="E351:E352"/>
    <mergeCell ref="R349:R350"/>
    <mergeCell ref="K349:K350"/>
    <mergeCell ref="M349:M350"/>
    <mergeCell ref="O349:O350"/>
    <mergeCell ref="P342:P343"/>
    <mergeCell ref="Q342:Q343"/>
    <mergeCell ref="Q344:Q345"/>
    <mergeCell ref="P344:P345"/>
    <mergeCell ref="M347:M348"/>
    <mergeCell ref="A340:A341"/>
    <mergeCell ref="B340:B341"/>
    <mergeCell ref="C340:C341"/>
    <mergeCell ref="E340:E341"/>
    <mergeCell ref="A344:A345"/>
    <mergeCell ref="A342:A343"/>
    <mergeCell ref="B342:B343"/>
    <mergeCell ref="C342:C343"/>
    <mergeCell ref="E342:E343"/>
    <mergeCell ref="M342:M343"/>
    <mergeCell ref="I342:I343"/>
    <mergeCell ref="K342:K343"/>
    <mergeCell ref="G342:G343"/>
    <mergeCell ref="O342:O343"/>
    <mergeCell ref="B344:B345"/>
    <mergeCell ref="G344:G345"/>
    <mergeCell ref="M344:M345"/>
    <mergeCell ref="O344:O345"/>
    <mergeCell ref="I344:I345"/>
    <mergeCell ref="K344:K345"/>
    <mergeCell ref="E344:E345"/>
    <mergeCell ref="C344:C345"/>
    <mergeCell ref="R357:R358"/>
    <mergeCell ref="Q355:Q356"/>
    <mergeCell ref="R355:R356"/>
    <mergeCell ref="O355:O356"/>
    <mergeCell ref="P355:P356"/>
    <mergeCell ref="R342:R343"/>
    <mergeCell ref="A349:A350"/>
    <mergeCell ref="B349:B350"/>
    <mergeCell ref="C349:C350"/>
    <mergeCell ref="E347:E348"/>
    <mergeCell ref="G347:G348"/>
    <mergeCell ref="I347:I348"/>
    <mergeCell ref="E349:E350"/>
    <mergeCell ref="K347:K348"/>
    <mergeCell ref="P347:P348"/>
    <mergeCell ref="G349:G350"/>
    <mergeCell ref="I349:I350"/>
    <mergeCell ref="O347:O348"/>
    <mergeCell ref="A353:A354"/>
    <mergeCell ref="B353:B354"/>
    <mergeCell ref="C353:C354"/>
    <mergeCell ref="E353:E354"/>
    <mergeCell ref="A351:A352"/>
    <mergeCell ref="B351:B352"/>
    <mergeCell ref="C351:C352"/>
    <mergeCell ref="R347:R348"/>
    <mergeCell ref="R344:R345"/>
    <mergeCell ref="A346:R346"/>
    <mergeCell ref="A347:A348"/>
    <mergeCell ref="B347:B348"/>
    <mergeCell ref="C347:C348"/>
    <mergeCell ref="Q347:Q348"/>
    <mergeCell ref="M353:M354"/>
    <mergeCell ref="Q353:Q354"/>
    <mergeCell ref="G355:G356"/>
    <mergeCell ref="I355:I356"/>
    <mergeCell ref="K355:K356"/>
    <mergeCell ref="M355:M356"/>
    <mergeCell ref="A359:A360"/>
    <mergeCell ref="B359:B360"/>
    <mergeCell ref="C359:C360"/>
    <mergeCell ref="E359:E360"/>
    <mergeCell ref="M359:M360"/>
    <mergeCell ref="G359:G360"/>
    <mergeCell ref="I359:I360"/>
    <mergeCell ref="A357:A358"/>
    <mergeCell ref="P349:P350"/>
    <mergeCell ref="Q349:Q350"/>
    <mergeCell ref="R351:R352"/>
    <mergeCell ref="K351:K352"/>
    <mergeCell ref="M351:M352"/>
    <mergeCell ref="I351:I352"/>
    <mergeCell ref="Q351:Q352"/>
    <mergeCell ref="G353:G354"/>
    <mergeCell ref="I353:I354"/>
    <mergeCell ref="O351:O352"/>
    <mergeCell ref="P351:P352"/>
    <mergeCell ref="O353:O354"/>
    <mergeCell ref="P353:P354"/>
    <mergeCell ref="G351:G352"/>
    <mergeCell ref="K353:K354"/>
    <mergeCell ref="R353:R354"/>
    <mergeCell ref="B357:B358"/>
    <mergeCell ref="C357:C358"/>
    <mergeCell ref="G357:G358"/>
    <mergeCell ref="I357:I358"/>
    <mergeCell ref="P357:P358"/>
    <mergeCell ref="Q361:Q362"/>
    <mergeCell ref="K359:K360"/>
    <mergeCell ref="O359:O360"/>
    <mergeCell ref="P359:P360"/>
    <mergeCell ref="Q359:Q360"/>
    <mergeCell ref="K357:K358"/>
    <mergeCell ref="M357:M358"/>
    <mergeCell ref="O357:O358"/>
    <mergeCell ref="A361:A362"/>
    <mergeCell ref="B361:B362"/>
    <mergeCell ref="B363:B364"/>
    <mergeCell ref="A355:A356"/>
    <mergeCell ref="B355:B356"/>
    <mergeCell ref="C355:C356"/>
    <mergeCell ref="E355:E356"/>
    <mergeCell ref="E357:E358"/>
    <mergeCell ref="Q357:Q358"/>
    <mergeCell ref="R361:R362"/>
    <mergeCell ref="O361:O362"/>
    <mergeCell ref="P361:P362"/>
    <mergeCell ref="K361:K362"/>
    <mergeCell ref="M361:M362"/>
    <mergeCell ref="R359:R360"/>
    <mergeCell ref="C363:C364"/>
    <mergeCell ref="E363:E364"/>
    <mergeCell ref="C361:C362"/>
    <mergeCell ref="E361:E362"/>
    <mergeCell ref="G363:G364"/>
    <mergeCell ref="E365:E366"/>
    <mergeCell ref="G361:G362"/>
    <mergeCell ref="I361:I362"/>
    <mergeCell ref="P363:P364"/>
    <mergeCell ref="I363:I364"/>
    <mergeCell ref="O363:O364"/>
    <mergeCell ref="K363:K364"/>
    <mergeCell ref="M363:M364"/>
    <mergeCell ref="A365:A366"/>
    <mergeCell ref="B365:B366"/>
    <mergeCell ref="A367:A368"/>
    <mergeCell ref="B367:B368"/>
    <mergeCell ref="O365:O366"/>
    <mergeCell ref="B370:B371"/>
    <mergeCell ref="C370:C371"/>
    <mergeCell ref="A369:R369"/>
    <mergeCell ref="E370:E371"/>
    <mergeCell ref="Q370:Q371"/>
    <mergeCell ref="C367:C368"/>
    <mergeCell ref="E367:E368"/>
    <mergeCell ref="C365:C366"/>
    <mergeCell ref="P365:P366"/>
    <mergeCell ref="G365:G366"/>
    <mergeCell ref="R363:R364"/>
    <mergeCell ref="Q365:Q366"/>
    <mergeCell ref="I365:I366"/>
    <mergeCell ref="K365:K366"/>
    <mergeCell ref="M365:M366"/>
    <mergeCell ref="R365:R366"/>
    <mergeCell ref="Q363:Q364"/>
    <mergeCell ref="A363:A364"/>
    <mergeCell ref="R372:R373"/>
    <mergeCell ref="Q372:Q373"/>
    <mergeCell ref="P372:P373"/>
    <mergeCell ref="P367:P368"/>
    <mergeCell ref="I367:I368"/>
    <mergeCell ref="K367:K368"/>
    <mergeCell ref="O370:O371"/>
    <mergeCell ref="K372:K373"/>
    <mergeCell ref="I370:I371"/>
    <mergeCell ref="K370:K371"/>
    <mergeCell ref="I372:I373"/>
    <mergeCell ref="M372:M373"/>
    <mergeCell ref="O372:O373"/>
    <mergeCell ref="A370:A371"/>
    <mergeCell ref="E374:E375"/>
    <mergeCell ref="G374:G375"/>
    <mergeCell ref="A374:A375"/>
    <mergeCell ref="B374:B375"/>
    <mergeCell ref="A372:A373"/>
    <mergeCell ref="G372:G373"/>
    <mergeCell ref="B372:B373"/>
    <mergeCell ref="C372:C373"/>
    <mergeCell ref="E372:E373"/>
    <mergeCell ref="R370:R371"/>
    <mergeCell ref="M370:M371"/>
    <mergeCell ref="G370:G371"/>
    <mergeCell ref="G367:G368"/>
    <mergeCell ref="M367:M368"/>
    <mergeCell ref="R367:R368"/>
    <mergeCell ref="O367:O368"/>
    <mergeCell ref="P370:P371"/>
    <mergeCell ref="Q367:Q368"/>
    <mergeCell ref="R380:R381"/>
    <mergeCell ref="R378:R379"/>
    <mergeCell ref="P380:P381"/>
    <mergeCell ref="Q380:Q381"/>
    <mergeCell ref="A376:A377"/>
    <mergeCell ref="B376:B377"/>
    <mergeCell ref="R374:R375"/>
    <mergeCell ref="Q376:Q377"/>
    <mergeCell ref="R376:R377"/>
    <mergeCell ref="M374:M375"/>
    <mergeCell ref="O374:O375"/>
    <mergeCell ref="Q374:Q375"/>
    <mergeCell ref="P376:P377"/>
    <mergeCell ref="O376:O377"/>
    <mergeCell ref="P374:P375"/>
    <mergeCell ref="K380:K381"/>
    <mergeCell ref="K378:K379"/>
    <mergeCell ref="K374:K375"/>
    <mergeCell ref="K376:K377"/>
    <mergeCell ref="M378:M379"/>
    <mergeCell ref="O380:O381"/>
    <mergeCell ref="O378:O379"/>
    <mergeCell ref="M376:M377"/>
    <mergeCell ref="P378:P379"/>
    <mergeCell ref="C376:C377"/>
    <mergeCell ref="E376:E377"/>
    <mergeCell ref="G376:G377"/>
    <mergeCell ref="I374:I375"/>
    <mergeCell ref="C374:C375"/>
    <mergeCell ref="I376:I377"/>
    <mergeCell ref="G378:G379"/>
    <mergeCell ref="I378:I379"/>
    <mergeCell ref="M384:M385"/>
    <mergeCell ref="O384:O385"/>
    <mergeCell ref="M386:M387"/>
    <mergeCell ref="I386:I387"/>
    <mergeCell ref="K386:K387"/>
    <mergeCell ref="E378:E379"/>
    <mergeCell ref="A380:A381"/>
    <mergeCell ref="B380:B381"/>
    <mergeCell ref="C380:C381"/>
    <mergeCell ref="I380:I381"/>
    <mergeCell ref="M380:M381"/>
    <mergeCell ref="E380:E381"/>
    <mergeCell ref="Q382:Q383"/>
    <mergeCell ref="G382:G383"/>
    <mergeCell ref="I382:I383"/>
    <mergeCell ref="K382:K383"/>
    <mergeCell ref="M382:M383"/>
    <mergeCell ref="O382:O383"/>
    <mergeCell ref="E382:E383"/>
    <mergeCell ref="Q378:Q379"/>
    <mergeCell ref="G380:G381"/>
    <mergeCell ref="A378:A379"/>
    <mergeCell ref="B378:B379"/>
    <mergeCell ref="C378:C379"/>
    <mergeCell ref="R386:R387"/>
    <mergeCell ref="A388:A389"/>
    <mergeCell ref="B388:B389"/>
    <mergeCell ref="C388:C389"/>
    <mergeCell ref="E388:E389"/>
    <mergeCell ref="G388:G389"/>
    <mergeCell ref="R388:R389"/>
    <mergeCell ref="O386:O387"/>
    <mergeCell ref="P388:P389"/>
    <mergeCell ref="M388:M389"/>
    <mergeCell ref="A384:A385"/>
    <mergeCell ref="B384:B385"/>
    <mergeCell ref="C384:C385"/>
    <mergeCell ref="E384:E385"/>
    <mergeCell ref="K384:K385"/>
    <mergeCell ref="R382:R383"/>
    <mergeCell ref="P382:P383"/>
    <mergeCell ref="A382:A383"/>
    <mergeCell ref="B382:B383"/>
    <mergeCell ref="C382:C383"/>
    <mergeCell ref="R384:R385"/>
    <mergeCell ref="A386:A387"/>
    <mergeCell ref="B386:B387"/>
    <mergeCell ref="C386:C387"/>
    <mergeCell ref="E386:E387"/>
    <mergeCell ref="G386:G387"/>
    <mergeCell ref="Q384:Q385"/>
    <mergeCell ref="I384:I385"/>
    <mergeCell ref="G384:G385"/>
    <mergeCell ref="P384:P385"/>
    <mergeCell ref="P386:P387"/>
    <mergeCell ref="Q386:Q387"/>
    <mergeCell ref="R390:R391"/>
    <mergeCell ref="A392:R392"/>
    <mergeCell ref="A393:A394"/>
    <mergeCell ref="B393:B394"/>
    <mergeCell ref="K393:K394"/>
    <mergeCell ref="O390:O391"/>
    <mergeCell ref="Q393:Q394"/>
    <mergeCell ref="G390:G391"/>
    <mergeCell ref="E393:E394"/>
    <mergeCell ref="M393:M394"/>
    <mergeCell ref="I393:I394"/>
    <mergeCell ref="O393:O394"/>
    <mergeCell ref="Q390:Q391"/>
    <mergeCell ref="M390:M391"/>
    <mergeCell ref="P393:P394"/>
    <mergeCell ref="P390:P391"/>
    <mergeCell ref="Q388:Q389"/>
    <mergeCell ref="A390:A391"/>
    <mergeCell ref="I390:I391"/>
    <mergeCell ref="K390:K391"/>
    <mergeCell ref="I388:I389"/>
    <mergeCell ref="K388:K389"/>
    <mergeCell ref="E390:E391"/>
    <mergeCell ref="C390:C391"/>
    <mergeCell ref="O388:O389"/>
    <mergeCell ref="B390:B391"/>
    <mergeCell ref="R395:R396"/>
    <mergeCell ref="K395:K396"/>
    <mergeCell ref="M395:M396"/>
    <mergeCell ref="O395:O396"/>
    <mergeCell ref="P395:P396"/>
    <mergeCell ref="Q395:Q396"/>
    <mergeCell ref="G393:G394"/>
    <mergeCell ref="C393:C394"/>
    <mergeCell ref="G395:G396"/>
    <mergeCell ref="A395:A396"/>
    <mergeCell ref="B395:B396"/>
    <mergeCell ref="C395:C396"/>
    <mergeCell ref="E395:E396"/>
    <mergeCell ref="I397:I398"/>
    <mergeCell ref="A399:A400"/>
    <mergeCell ref="B399:B400"/>
    <mergeCell ref="C399:C400"/>
    <mergeCell ref="E399:E400"/>
    <mergeCell ref="A397:A398"/>
    <mergeCell ref="B397:B398"/>
    <mergeCell ref="C397:C398"/>
    <mergeCell ref="E397:E398"/>
    <mergeCell ref="I395:I396"/>
    <mergeCell ref="R393:R394"/>
    <mergeCell ref="G401:G402"/>
    <mergeCell ref="I401:I402"/>
    <mergeCell ref="G399:G400"/>
    <mergeCell ref="I399:I400"/>
    <mergeCell ref="A401:A402"/>
    <mergeCell ref="B401:B402"/>
    <mergeCell ref="C401:C402"/>
    <mergeCell ref="E401:E402"/>
    <mergeCell ref="G397:G398"/>
    <mergeCell ref="O401:O402"/>
    <mergeCell ref="P401:P402"/>
    <mergeCell ref="O397:O398"/>
    <mergeCell ref="P397:P398"/>
    <mergeCell ref="K401:K402"/>
    <mergeCell ref="M401:M402"/>
    <mergeCell ref="K399:K400"/>
    <mergeCell ref="M399:M400"/>
    <mergeCell ref="K397:K398"/>
    <mergeCell ref="M397:M398"/>
    <mergeCell ref="K403:K404"/>
    <mergeCell ref="M403:M404"/>
    <mergeCell ref="Q397:Q398"/>
    <mergeCell ref="R397:R398"/>
    <mergeCell ref="O399:O400"/>
    <mergeCell ref="P399:P400"/>
    <mergeCell ref="Q399:Q400"/>
    <mergeCell ref="R399:R400"/>
    <mergeCell ref="Q401:Q402"/>
    <mergeCell ref="R401:R402"/>
    <mergeCell ref="A403:A404"/>
    <mergeCell ref="B403:B404"/>
    <mergeCell ref="C403:C404"/>
    <mergeCell ref="E403:E404"/>
    <mergeCell ref="G403:G404"/>
    <mergeCell ref="I403:I404"/>
    <mergeCell ref="K405:K406"/>
    <mergeCell ref="M405:M406"/>
    <mergeCell ref="G405:G406"/>
    <mergeCell ref="I405:I406"/>
    <mergeCell ref="A405:A406"/>
    <mergeCell ref="B405:B406"/>
    <mergeCell ref="C405:C406"/>
    <mergeCell ref="E405:E406"/>
    <mergeCell ref="O405:O406"/>
    <mergeCell ref="P405:P406"/>
    <mergeCell ref="O403:O404"/>
    <mergeCell ref="P403:P404"/>
    <mergeCell ref="Q405:Q406"/>
    <mergeCell ref="R405:R406"/>
    <mergeCell ref="Q403:Q404"/>
    <mergeCell ref="R403:R404"/>
    <mergeCell ref="Q407:Q408"/>
    <mergeCell ref="R407:R408"/>
    <mergeCell ref="O407:O408"/>
    <mergeCell ref="P407:P408"/>
    <mergeCell ref="G407:G408"/>
    <mergeCell ref="I407:I408"/>
    <mergeCell ref="K407:K408"/>
    <mergeCell ref="M407:M408"/>
    <mergeCell ref="A407:A408"/>
    <mergeCell ref="B407:B408"/>
    <mergeCell ref="C407:C408"/>
    <mergeCell ref="E407:E408"/>
    <mergeCell ref="A409:A410"/>
    <mergeCell ref="B409:B410"/>
    <mergeCell ref="C409:C410"/>
    <mergeCell ref="E409:E410"/>
    <mergeCell ref="K409:K410"/>
    <mergeCell ref="M409:M410"/>
    <mergeCell ref="G413:G414"/>
    <mergeCell ref="I413:I414"/>
    <mergeCell ref="K411:K412"/>
    <mergeCell ref="M411:M412"/>
    <mergeCell ref="G409:G410"/>
    <mergeCell ref="I409:I410"/>
    <mergeCell ref="E413:E414"/>
    <mergeCell ref="G411:G412"/>
    <mergeCell ref="I411:I412"/>
    <mergeCell ref="A411:A412"/>
    <mergeCell ref="B411:B412"/>
    <mergeCell ref="C411:C412"/>
    <mergeCell ref="E411:E412"/>
    <mergeCell ref="Q411:Q412"/>
    <mergeCell ref="R411:R412"/>
    <mergeCell ref="Q409:Q410"/>
    <mergeCell ref="R409:R410"/>
    <mergeCell ref="O409:O410"/>
    <mergeCell ref="P409:P410"/>
    <mergeCell ref="O411:O412"/>
    <mergeCell ref="P411:P412"/>
    <mergeCell ref="Q413:Q414"/>
    <mergeCell ref="K413:K414"/>
    <mergeCell ref="M413:M414"/>
    <mergeCell ref="R416:R417"/>
    <mergeCell ref="R418:R419"/>
    <mergeCell ref="P418:P419"/>
    <mergeCell ref="Q418:Q419"/>
    <mergeCell ref="P416:P417"/>
    <mergeCell ref="R422:R423"/>
    <mergeCell ref="Q422:Q423"/>
    <mergeCell ref="M422:M423"/>
    <mergeCell ref="R420:R421"/>
    <mergeCell ref="M420:M421"/>
    <mergeCell ref="Q420:Q421"/>
    <mergeCell ref="K420:K421"/>
    <mergeCell ref="O420:O421"/>
    <mergeCell ref="P420:P421"/>
    <mergeCell ref="A415:R415"/>
    <mergeCell ref="R413:R414"/>
    <mergeCell ref="O413:O414"/>
    <mergeCell ref="A413:A414"/>
    <mergeCell ref="B413:B414"/>
    <mergeCell ref="P413:P414"/>
    <mergeCell ref="C413:C414"/>
    <mergeCell ref="A418:A419"/>
    <mergeCell ref="B418:B419"/>
    <mergeCell ref="C418:C419"/>
    <mergeCell ref="E418:E419"/>
    <mergeCell ref="A416:A417"/>
    <mergeCell ref="B416:B417"/>
    <mergeCell ref="C416:C417"/>
    <mergeCell ref="E416:E417"/>
    <mergeCell ref="G418:G419"/>
    <mergeCell ref="M416:M417"/>
    <mergeCell ref="O416:O417"/>
    <mergeCell ref="A420:A421"/>
    <mergeCell ref="B420:B421"/>
    <mergeCell ref="C420:C421"/>
    <mergeCell ref="E420:E421"/>
    <mergeCell ref="A422:A423"/>
    <mergeCell ref="G422:G423"/>
    <mergeCell ref="G420:G421"/>
    <mergeCell ref="I420:I421"/>
    <mergeCell ref="I422:I423"/>
    <mergeCell ref="B422:B423"/>
    <mergeCell ref="E422:E423"/>
    <mergeCell ref="C422:C423"/>
    <mergeCell ref="I426:I427"/>
    <mergeCell ref="Q424:Q425"/>
    <mergeCell ref="M424:M425"/>
    <mergeCell ref="P422:P423"/>
    <mergeCell ref="Q416:Q417"/>
    <mergeCell ref="I418:I419"/>
    <mergeCell ref="O418:O419"/>
    <mergeCell ref="K418:K419"/>
    <mergeCell ref="M418:M419"/>
    <mergeCell ref="I416:I417"/>
    <mergeCell ref="K416:K417"/>
    <mergeCell ref="G416:G417"/>
    <mergeCell ref="P426:P427"/>
    <mergeCell ref="Q426:Q427"/>
    <mergeCell ref="O426:O427"/>
    <mergeCell ref="K424:K425"/>
    <mergeCell ref="K426:K427"/>
    <mergeCell ref="P424:P425"/>
    <mergeCell ref="O424:O425"/>
    <mergeCell ref="M426:M427"/>
    <mergeCell ref="I424:I425"/>
    <mergeCell ref="R424:R425"/>
    <mergeCell ref="A426:A427"/>
    <mergeCell ref="B426:B427"/>
    <mergeCell ref="C426:C427"/>
    <mergeCell ref="E426:E427"/>
    <mergeCell ref="K422:K423"/>
    <mergeCell ref="O422:O423"/>
    <mergeCell ref="G424:G425"/>
    <mergeCell ref="G426:G427"/>
    <mergeCell ref="R426:R427"/>
    <mergeCell ref="A424:A425"/>
    <mergeCell ref="B424:B425"/>
    <mergeCell ref="C424:C425"/>
    <mergeCell ref="E424:E425"/>
    <mergeCell ref="Q428:Q429"/>
    <mergeCell ref="G430:G431"/>
    <mergeCell ref="I430:I431"/>
    <mergeCell ref="K428:K429"/>
    <mergeCell ref="A428:A429"/>
    <mergeCell ref="B428:B429"/>
    <mergeCell ref="C428:C429"/>
    <mergeCell ref="G428:G429"/>
    <mergeCell ref="I428:I429"/>
    <mergeCell ref="O430:O431"/>
    <mergeCell ref="K430:K431"/>
    <mergeCell ref="M430:M431"/>
    <mergeCell ref="P430:P431"/>
    <mergeCell ref="R430:R431"/>
    <mergeCell ref="E428:E429"/>
    <mergeCell ref="R428:R429"/>
    <mergeCell ref="M428:M429"/>
    <mergeCell ref="O428:O429"/>
    <mergeCell ref="P428:P429"/>
    <mergeCell ref="Q430:Q431"/>
    <mergeCell ref="A434:A435"/>
    <mergeCell ref="B434:B435"/>
    <mergeCell ref="C434:C435"/>
    <mergeCell ref="E434:E435"/>
    <mergeCell ref="G432:G433"/>
    <mergeCell ref="I432:I433"/>
    <mergeCell ref="C430:C431"/>
    <mergeCell ref="E430:E431"/>
    <mergeCell ref="A430:A431"/>
    <mergeCell ref="B430:B431"/>
    <mergeCell ref="A432:A433"/>
    <mergeCell ref="B432:B433"/>
    <mergeCell ref="P436:P437"/>
    <mergeCell ref="P434:P435"/>
    <mergeCell ref="M436:M437"/>
    <mergeCell ref="O436:O437"/>
    <mergeCell ref="O434:O435"/>
    <mergeCell ref="M434:M435"/>
    <mergeCell ref="R432:R433"/>
    <mergeCell ref="C432:C433"/>
    <mergeCell ref="E432:E433"/>
    <mergeCell ref="R434:R435"/>
    <mergeCell ref="Q434:Q435"/>
    <mergeCell ref="O432:O433"/>
    <mergeCell ref="P432:P433"/>
    <mergeCell ref="M432:M433"/>
    <mergeCell ref="Q432:Q433"/>
    <mergeCell ref="K432:K433"/>
    <mergeCell ref="K436:K437"/>
    <mergeCell ref="K434:K435"/>
    <mergeCell ref="G434:G435"/>
    <mergeCell ref="I434:I435"/>
    <mergeCell ref="G436:G437"/>
    <mergeCell ref="I436:I437"/>
    <mergeCell ref="C436:C437"/>
    <mergeCell ref="E436:E437"/>
    <mergeCell ref="A439:A440"/>
    <mergeCell ref="B439:B440"/>
    <mergeCell ref="C439:C440"/>
    <mergeCell ref="E439:E440"/>
    <mergeCell ref="A436:A437"/>
    <mergeCell ref="B436:B437"/>
    <mergeCell ref="Q436:Q437"/>
    <mergeCell ref="R439:R440"/>
    <mergeCell ref="G439:G440"/>
    <mergeCell ref="I439:I440"/>
    <mergeCell ref="K439:K440"/>
    <mergeCell ref="M439:M440"/>
    <mergeCell ref="P439:P440"/>
    <mergeCell ref="O439:O440"/>
    <mergeCell ref="R436:R437"/>
    <mergeCell ref="A438:R438"/>
    <mergeCell ref="Q439:Q440"/>
    <mergeCell ref="R441:R442"/>
    <mergeCell ref="G441:G442"/>
    <mergeCell ref="I441:I442"/>
    <mergeCell ref="M441:M442"/>
    <mergeCell ref="K441:K442"/>
    <mergeCell ref="O441:O442"/>
    <mergeCell ref="Q441:Q442"/>
    <mergeCell ref="P441:P442"/>
    <mergeCell ref="A443:A444"/>
    <mergeCell ref="B443:B444"/>
    <mergeCell ref="A441:A442"/>
    <mergeCell ref="B441:B442"/>
    <mergeCell ref="C441:C442"/>
    <mergeCell ref="E441:E442"/>
    <mergeCell ref="C443:C444"/>
    <mergeCell ref="E443:E444"/>
    <mergeCell ref="O445:O446"/>
    <mergeCell ref="P445:P446"/>
    <mergeCell ref="Q443:Q444"/>
    <mergeCell ref="R443:R444"/>
    <mergeCell ref="G443:G444"/>
    <mergeCell ref="I443:I444"/>
    <mergeCell ref="K443:K444"/>
    <mergeCell ref="M443:M444"/>
    <mergeCell ref="O443:O444"/>
    <mergeCell ref="P443:P444"/>
    <mergeCell ref="A445:A446"/>
    <mergeCell ref="B445:B446"/>
    <mergeCell ref="C445:C446"/>
    <mergeCell ref="E445:E446"/>
    <mergeCell ref="Q445:Q446"/>
    <mergeCell ref="R445:R446"/>
    <mergeCell ref="G445:G446"/>
    <mergeCell ref="I445:I446"/>
    <mergeCell ref="K445:K446"/>
    <mergeCell ref="M445:M446"/>
    <mergeCell ref="G447:G448"/>
    <mergeCell ref="I447:I448"/>
    <mergeCell ref="K447:K448"/>
    <mergeCell ref="M447:M448"/>
    <mergeCell ref="A447:A448"/>
    <mergeCell ref="B447:B448"/>
    <mergeCell ref="C447:C448"/>
    <mergeCell ref="E447:E448"/>
    <mergeCell ref="Q447:Q448"/>
    <mergeCell ref="R447:R448"/>
    <mergeCell ref="O447:O448"/>
    <mergeCell ref="P447:P448"/>
    <mergeCell ref="Q449:Q450"/>
    <mergeCell ref="R449:R450"/>
    <mergeCell ref="O449:O450"/>
    <mergeCell ref="P449:P450"/>
    <mergeCell ref="K449:K450"/>
    <mergeCell ref="M449:M450"/>
    <mergeCell ref="A449:A450"/>
    <mergeCell ref="B449:B450"/>
    <mergeCell ref="C451:C452"/>
    <mergeCell ref="E451:E452"/>
    <mergeCell ref="C449:C450"/>
    <mergeCell ref="E449:E450"/>
    <mergeCell ref="G449:G450"/>
    <mergeCell ref="I449:I450"/>
    <mergeCell ref="A451:A452"/>
    <mergeCell ref="B451:B452"/>
    <mergeCell ref="K451:K452"/>
    <mergeCell ref="M451:M452"/>
    <mergeCell ref="O451:O452"/>
    <mergeCell ref="P451:P452"/>
    <mergeCell ref="Q453:Q454"/>
    <mergeCell ref="R453:R454"/>
    <mergeCell ref="O453:O454"/>
    <mergeCell ref="P453:P454"/>
    <mergeCell ref="G451:G452"/>
    <mergeCell ref="I451:I452"/>
    <mergeCell ref="Q451:Q452"/>
    <mergeCell ref="R451:R452"/>
    <mergeCell ref="Q455:Q456"/>
    <mergeCell ref="R455:R456"/>
    <mergeCell ref="A457:A458"/>
    <mergeCell ref="B457:B458"/>
    <mergeCell ref="C457:C458"/>
    <mergeCell ref="E457:E458"/>
    <mergeCell ref="G457:G458"/>
    <mergeCell ref="I457:I458"/>
    <mergeCell ref="Q457:Q458"/>
    <mergeCell ref="R457:R458"/>
    <mergeCell ref="O459:O460"/>
    <mergeCell ref="P459:P460"/>
    <mergeCell ref="A455:A456"/>
    <mergeCell ref="B455:B456"/>
    <mergeCell ref="C455:C456"/>
    <mergeCell ref="E455:E456"/>
    <mergeCell ref="A453:A454"/>
    <mergeCell ref="B453:B454"/>
    <mergeCell ref="C453:C454"/>
    <mergeCell ref="E453:E454"/>
    <mergeCell ref="G455:G456"/>
    <mergeCell ref="I455:I456"/>
    <mergeCell ref="K455:K456"/>
    <mergeCell ref="M455:M456"/>
    <mergeCell ref="G453:G454"/>
    <mergeCell ref="I453:I454"/>
    <mergeCell ref="K453:K454"/>
    <mergeCell ref="M453:M454"/>
    <mergeCell ref="O457:O458"/>
    <mergeCell ref="B464:B465"/>
    <mergeCell ref="C464:C465"/>
    <mergeCell ref="B462:B463"/>
    <mergeCell ref="C462:C463"/>
    <mergeCell ref="K459:K460"/>
    <mergeCell ref="I462:I463"/>
    <mergeCell ref="G459:G460"/>
    <mergeCell ref="I459:I460"/>
    <mergeCell ref="M462:M463"/>
    <mergeCell ref="G464:G465"/>
    <mergeCell ref="I464:I465"/>
    <mergeCell ref="M464:M465"/>
    <mergeCell ref="P457:P458"/>
    <mergeCell ref="K457:K458"/>
    <mergeCell ref="M457:M458"/>
    <mergeCell ref="O455:O456"/>
    <mergeCell ref="P455:P456"/>
    <mergeCell ref="O466:O467"/>
    <mergeCell ref="P464:P465"/>
    <mergeCell ref="R466:R467"/>
    <mergeCell ref="O464:O465"/>
    <mergeCell ref="I468:I469"/>
    <mergeCell ref="K468:K469"/>
    <mergeCell ref="M468:M469"/>
    <mergeCell ref="O468:O469"/>
    <mergeCell ref="K464:K465"/>
    <mergeCell ref="P468:P469"/>
    <mergeCell ref="R468:R469"/>
    <mergeCell ref="Q466:Q467"/>
    <mergeCell ref="A461:R461"/>
    <mergeCell ref="A459:A460"/>
    <mergeCell ref="B459:B460"/>
    <mergeCell ref="E459:E460"/>
    <mergeCell ref="C459:C460"/>
    <mergeCell ref="R459:R460"/>
    <mergeCell ref="M459:M460"/>
    <mergeCell ref="Q459:Q460"/>
    <mergeCell ref="P462:P463"/>
    <mergeCell ref="E464:E465"/>
    <mergeCell ref="R462:R463"/>
    <mergeCell ref="K462:K463"/>
    <mergeCell ref="E462:E463"/>
    <mergeCell ref="Q462:Q463"/>
    <mergeCell ref="O462:O463"/>
    <mergeCell ref="G462:G463"/>
    <mergeCell ref="R464:R465"/>
    <mergeCell ref="Q464:Q465"/>
    <mergeCell ref="A462:A463"/>
    <mergeCell ref="A464:A465"/>
    <mergeCell ref="A470:A471"/>
    <mergeCell ref="B470:B471"/>
    <mergeCell ref="C470:C471"/>
    <mergeCell ref="E470:E471"/>
    <mergeCell ref="G470:G471"/>
    <mergeCell ref="Q468:Q469"/>
    <mergeCell ref="G468:G469"/>
    <mergeCell ref="E468:E469"/>
    <mergeCell ref="A466:A467"/>
    <mergeCell ref="R470:R471"/>
    <mergeCell ref="A468:A469"/>
    <mergeCell ref="M470:M471"/>
    <mergeCell ref="G472:G473"/>
    <mergeCell ref="I472:I473"/>
    <mergeCell ref="K472:K473"/>
    <mergeCell ref="M472:M473"/>
    <mergeCell ref="A472:A473"/>
    <mergeCell ref="B468:B469"/>
    <mergeCell ref="C468:C469"/>
    <mergeCell ref="P470:P471"/>
    <mergeCell ref="Q470:Q471"/>
    <mergeCell ref="O470:O471"/>
    <mergeCell ref="I470:I471"/>
    <mergeCell ref="K470:K471"/>
    <mergeCell ref="B466:B467"/>
    <mergeCell ref="C466:C467"/>
    <mergeCell ref="E466:E467"/>
    <mergeCell ref="I466:I467"/>
    <mergeCell ref="G466:G467"/>
    <mergeCell ref="P466:P467"/>
    <mergeCell ref="K466:K467"/>
    <mergeCell ref="M466:M467"/>
    <mergeCell ref="P472:P473"/>
    <mergeCell ref="R472:R473"/>
    <mergeCell ref="M474:M475"/>
    <mergeCell ref="Q474:Q475"/>
    <mergeCell ref="O474:O475"/>
    <mergeCell ref="Q472:Q473"/>
    <mergeCell ref="O472:O473"/>
    <mergeCell ref="C476:C477"/>
    <mergeCell ref="E476:E477"/>
    <mergeCell ref="B472:B473"/>
    <mergeCell ref="C472:C473"/>
    <mergeCell ref="E472:E473"/>
    <mergeCell ref="G474:G475"/>
    <mergeCell ref="A480:A481"/>
    <mergeCell ref="B480:B481"/>
    <mergeCell ref="C480:C481"/>
    <mergeCell ref="E480:E481"/>
    <mergeCell ref="A474:A475"/>
    <mergeCell ref="B474:B475"/>
    <mergeCell ref="C474:C475"/>
    <mergeCell ref="E474:E475"/>
    <mergeCell ref="A476:A477"/>
    <mergeCell ref="B476:B477"/>
    <mergeCell ref="A478:A479"/>
    <mergeCell ref="B478:B479"/>
    <mergeCell ref="C478:C479"/>
    <mergeCell ref="E478:E479"/>
    <mergeCell ref="G478:G479"/>
    <mergeCell ref="I478:I479"/>
    <mergeCell ref="K478:K479"/>
    <mergeCell ref="G480:G481"/>
    <mergeCell ref="I480:I481"/>
    <mergeCell ref="K480:K481"/>
    <mergeCell ref="G476:G477"/>
    <mergeCell ref="I476:I477"/>
    <mergeCell ref="K476:K477"/>
    <mergeCell ref="Q476:Q477"/>
    <mergeCell ref="P476:P477"/>
    <mergeCell ref="R474:R475"/>
    <mergeCell ref="P478:P479"/>
    <mergeCell ref="Q478:Q479"/>
    <mergeCell ref="R476:R477"/>
    <mergeCell ref="P474:P475"/>
    <mergeCell ref="R480:R481"/>
    <mergeCell ref="M480:M481"/>
    <mergeCell ref="Q480:Q481"/>
    <mergeCell ref="M476:M477"/>
    <mergeCell ref="O478:O479"/>
    <mergeCell ref="O476:O477"/>
    <mergeCell ref="M478:M479"/>
    <mergeCell ref="P480:P481"/>
    <mergeCell ref="O480:O481"/>
    <mergeCell ref="R478:R479"/>
    <mergeCell ref="I474:I475"/>
    <mergeCell ref="K474:K475"/>
    <mergeCell ref="B485:B486"/>
    <mergeCell ref="Q487:Q488"/>
    <mergeCell ref="C485:C486"/>
    <mergeCell ref="E485:E486"/>
    <mergeCell ref="G485:G486"/>
    <mergeCell ref="E487:E488"/>
    <mergeCell ref="C487:C488"/>
    <mergeCell ref="P485:P486"/>
    <mergeCell ref="P489:P490"/>
    <mergeCell ref="O489:O490"/>
    <mergeCell ref="R482:R483"/>
    <mergeCell ref="A484:R484"/>
    <mergeCell ref="R485:R486"/>
    <mergeCell ref="I485:I486"/>
    <mergeCell ref="K485:K486"/>
    <mergeCell ref="A482:A483"/>
    <mergeCell ref="B482:B483"/>
    <mergeCell ref="O482:O483"/>
    <mergeCell ref="K482:K483"/>
    <mergeCell ref="M485:M486"/>
    <mergeCell ref="C482:C483"/>
    <mergeCell ref="E482:E483"/>
    <mergeCell ref="G482:G483"/>
    <mergeCell ref="I482:I483"/>
    <mergeCell ref="Q485:Q486"/>
    <mergeCell ref="P482:P483"/>
    <mergeCell ref="O485:O486"/>
    <mergeCell ref="A485:A486"/>
    <mergeCell ref="Q482:Q483"/>
    <mergeCell ref="M482:M483"/>
    <mergeCell ref="A489:A490"/>
    <mergeCell ref="B489:B490"/>
    <mergeCell ref="A487:A488"/>
    <mergeCell ref="B487:B488"/>
    <mergeCell ref="O491:O492"/>
    <mergeCell ref="P491:P492"/>
    <mergeCell ref="C489:C490"/>
    <mergeCell ref="E489:E490"/>
    <mergeCell ref="Q489:Q490"/>
    <mergeCell ref="R489:R490"/>
    <mergeCell ref="G489:G490"/>
    <mergeCell ref="I489:I490"/>
    <mergeCell ref="K489:K490"/>
    <mergeCell ref="M489:M490"/>
    <mergeCell ref="A491:A492"/>
    <mergeCell ref="B491:B492"/>
    <mergeCell ref="C491:C492"/>
    <mergeCell ref="E491:E492"/>
    <mergeCell ref="Q491:Q492"/>
    <mergeCell ref="R491:R492"/>
    <mergeCell ref="G491:G492"/>
    <mergeCell ref="I491:I492"/>
    <mergeCell ref="K491:K492"/>
    <mergeCell ref="M491:M492"/>
    <mergeCell ref="R487:R488"/>
    <mergeCell ref="G487:G488"/>
    <mergeCell ref="I487:I488"/>
    <mergeCell ref="M487:M488"/>
    <mergeCell ref="K487:K488"/>
    <mergeCell ref="P487:P488"/>
    <mergeCell ref="O487:O488"/>
    <mergeCell ref="G493:G494"/>
    <mergeCell ref="I493:I494"/>
    <mergeCell ref="K493:K494"/>
    <mergeCell ref="M493:M494"/>
    <mergeCell ref="A493:A494"/>
    <mergeCell ref="B493:B494"/>
    <mergeCell ref="C493:C494"/>
    <mergeCell ref="E493:E494"/>
    <mergeCell ref="Q493:Q494"/>
    <mergeCell ref="R493:R494"/>
    <mergeCell ref="O493:O494"/>
    <mergeCell ref="P493:P494"/>
    <mergeCell ref="Q495:Q496"/>
    <mergeCell ref="R495:R496"/>
    <mergeCell ref="O495:O496"/>
    <mergeCell ref="P495:P496"/>
    <mergeCell ref="K495:K496"/>
    <mergeCell ref="M495:M496"/>
    <mergeCell ref="A495:A496"/>
    <mergeCell ref="B495:B496"/>
    <mergeCell ref="C497:C498"/>
    <mergeCell ref="E497:E498"/>
    <mergeCell ref="C495:C496"/>
    <mergeCell ref="E495:E496"/>
    <mergeCell ref="G495:G496"/>
    <mergeCell ref="I495:I496"/>
    <mergeCell ref="A497:A498"/>
    <mergeCell ref="B497:B498"/>
    <mergeCell ref="K497:K498"/>
    <mergeCell ref="M497:M498"/>
    <mergeCell ref="O497:O498"/>
    <mergeCell ref="P497:P498"/>
    <mergeCell ref="Q499:Q500"/>
    <mergeCell ref="R499:R500"/>
    <mergeCell ref="O499:O500"/>
    <mergeCell ref="P499:P500"/>
    <mergeCell ref="G497:G498"/>
    <mergeCell ref="I497:I498"/>
    <mergeCell ref="Q497:Q498"/>
    <mergeCell ref="R497:R498"/>
    <mergeCell ref="Q501:Q502"/>
    <mergeCell ref="R501:R502"/>
    <mergeCell ref="A503:A504"/>
    <mergeCell ref="B503:B504"/>
    <mergeCell ref="C503:C504"/>
    <mergeCell ref="E503:E504"/>
    <mergeCell ref="G503:G504"/>
    <mergeCell ref="I503:I504"/>
    <mergeCell ref="Q503:Q504"/>
    <mergeCell ref="R503:R504"/>
    <mergeCell ref="O505:O506"/>
    <mergeCell ref="P505:P506"/>
    <mergeCell ref="A501:A502"/>
    <mergeCell ref="B501:B502"/>
    <mergeCell ref="C501:C502"/>
    <mergeCell ref="E501:E502"/>
    <mergeCell ref="A499:A500"/>
    <mergeCell ref="B499:B500"/>
    <mergeCell ref="C499:C500"/>
    <mergeCell ref="E499:E500"/>
    <mergeCell ref="G501:G502"/>
    <mergeCell ref="I501:I502"/>
    <mergeCell ref="K501:K502"/>
    <mergeCell ref="M501:M502"/>
    <mergeCell ref="G499:G500"/>
    <mergeCell ref="I499:I500"/>
    <mergeCell ref="K499:K500"/>
    <mergeCell ref="M499:M500"/>
    <mergeCell ref="O503:O504"/>
    <mergeCell ref="B510:B511"/>
    <mergeCell ref="C510:C511"/>
    <mergeCell ref="B508:B509"/>
    <mergeCell ref="C508:C509"/>
    <mergeCell ref="K505:K506"/>
    <mergeCell ref="I508:I509"/>
    <mergeCell ref="G505:G506"/>
    <mergeCell ref="I505:I506"/>
    <mergeCell ref="M508:M509"/>
    <mergeCell ref="G510:G511"/>
    <mergeCell ref="I510:I511"/>
    <mergeCell ref="M510:M511"/>
    <mergeCell ref="P503:P504"/>
    <mergeCell ref="K503:K504"/>
    <mergeCell ref="M503:M504"/>
    <mergeCell ref="O501:O502"/>
    <mergeCell ref="P501:P502"/>
    <mergeCell ref="O512:O513"/>
    <mergeCell ref="P510:P511"/>
    <mergeCell ref="R512:R513"/>
    <mergeCell ref="O510:O511"/>
    <mergeCell ref="I514:I515"/>
    <mergeCell ref="K514:K515"/>
    <mergeCell ref="M514:M515"/>
    <mergeCell ref="O514:O515"/>
    <mergeCell ref="K510:K511"/>
    <mergeCell ref="P514:P515"/>
    <mergeCell ref="R514:R515"/>
    <mergeCell ref="Q512:Q513"/>
    <mergeCell ref="A507:R507"/>
    <mergeCell ref="A505:A506"/>
    <mergeCell ref="B505:B506"/>
    <mergeCell ref="E505:E506"/>
    <mergeCell ref="C505:C506"/>
    <mergeCell ref="R505:R506"/>
    <mergeCell ref="M505:M506"/>
    <mergeCell ref="Q505:Q506"/>
    <mergeCell ref="P508:P509"/>
    <mergeCell ref="E510:E511"/>
    <mergeCell ref="R508:R509"/>
    <mergeCell ref="K508:K509"/>
    <mergeCell ref="E508:E509"/>
    <mergeCell ref="Q508:Q509"/>
    <mergeCell ref="O508:O509"/>
    <mergeCell ref="G508:G509"/>
    <mergeCell ref="R510:R511"/>
    <mergeCell ref="Q510:Q511"/>
    <mergeCell ref="A508:A509"/>
    <mergeCell ref="A510:A511"/>
    <mergeCell ref="A516:A517"/>
    <mergeCell ref="B516:B517"/>
    <mergeCell ref="C516:C517"/>
    <mergeCell ref="E516:E517"/>
    <mergeCell ref="G516:G517"/>
    <mergeCell ref="Q514:Q515"/>
    <mergeCell ref="G514:G515"/>
    <mergeCell ref="E514:E515"/>
    <mergeCell ref="A512:A513"/>
    <mergeCell ref="R516:R517"/>
    <mergeCell ref="A514:A515"/>
    <mergeCell ref="M516:M517"/>
    <mergeCell ref="G518:G519"/>
    <mergeCell ref="I518:I519"/>
    <mergeCell ref="K518:K519"/>
    <mergeCell ref="M518:M519"/>
    <mergeCell ref="A518:A519"/>
    <mergeCell ref="B514:B515"/>
    <mergeCell ref="C514:C515"/>
    <mergeCell ref="P516:P517"/>
    <mergeCell ref="Q516:Q517"/>
    <mergeCell ref="O516:O517"/>
    <mergeCell ref="I516:I517"/>
    <mergeCell ref="K516:K517"/>
    <mergeCell ref="B512:B513"/>
    <mergeCell ref="C512:C513"/>
    <mergeCell ref="E512:E513"/>
    <mergeCell ref="I512:I513"/>
    <mergeCell ref="G512:G513"/>
    <mergeCell ref="P512:P513"/>
    <mergeCell ref="K512:K513"/>
    <mergeCell ref="M512:M513"/>
    <mergeCell ref="P518:P519"/>
    <mergeCell ref="R518:R519"/>
    <mergeCell ref="M520:M521"/>
    <mergeCell ref="Q520:Q521"/>
    <mergeCell ref="O520:O521"/>
    <mergeCell ref="Q518:Q519"/>
    <mergeCell ref="O518:O519"/>
    <mergeCell ref="C522:C523"/>
    <mergeCell ref="E522:E523"/>
    <mergeCell ref="B518:B519"/>
    <mergeCell ref="C518:C519"/>
    <mergeCell ref="E518:E519"/>
    <mergeCell ref="G520:G521"/>
    <mergeCell ref="A526:A527"/>
    <mergeCell ref="B526:B527"/>
    <mergeCell ref="C526:C527"/>
    <mergeCell ref="E526:E527"/>
    <mergeCell ref="A520:A521"/>
    <mergeCell ref="B520:B521"/>
    <mergeCell ref="C520:C521"/>
    <mergeCell ref="E520:E521"/>
    <mergeCell ref="A522:A523"/>
    <mergeCell ref="B522:B523"/>
    <mergeCell ref="A524:A525"/>
    <mergeCell ref="B524:B525"/>
    <mergeCell ref="C524:C525"/>
    <mergeCell ref="E524:E525"/>
    <mergeCell ref="G524:G525"/>
    <mergeCell ref="I524:I525"/>
    <mergeCell ref="K524:K525"/>
    <mergeCell ref="G526:G527"/>
    <mergeCell ref="I526:I527"/>
    <mergeCell ref="K526:K527"/>
    <mergeCell ref="G522:G523"/>
    <mergeCell ref="I522:I523"/>
    <mergeCell ref="K522:K523"/>
    <mergeCell ref="Q522:Q523"/>
    <mergeCell ref="P522:P523"/>
    <mergeCell ref="R520:R521"/>
    <mergeCell ref="P524:P525"/>
    <mergeCell ref="Q524:Q525"/>
    <mergeCell ref="R522:R523"/>
    <mergeCell ref="P520:P521"/>
    <mergeCell ref="R526:R527"/>
    <mergeCell ref="M526:M527"/>
    <mergeCell ref="Q526:Q527"/>
    <mergeCell ref="M522:M523"/>
    <mergeCell ref="O524:O525"/>
    <mergeCell ref="O522:O523"/>
    <mergeCell ref="M524:M525"/>
    <mergeCell ref="P526:P527"/>
    <mergeCell ref="O526:O527"/>
    <mergeCell ref="R524:R525"/>
    <mergeCell ref="I520:I521"/>
    <mergeCell ref="K520:K521"/>
    <mergeCell ref="P528:P529"/>
    <mergeCell ref="R528:R529"/>
    <mergeCell ref="A530:R530"/>
    <mergeCell ref="R531:R532"/>
    <mergeCell ref="I531:I532"/>
    <mergeCell ref="K531:K532"/>
    <mergeCell ref="A528:A529"/>
    <mergeCell ref="B528:B529"/>
    <mergeCell ref="O528:O529"/>
    <mergeCell ref="O533:O534"/>
    <mergeCell ref="C528:C529"/>
    <mergeCell ref="E528:E529"/>
    <mergeCell ref="G528:G529"/>
    <mergeCell ref="I528:I529"/>
    <mergeCell ref="K528:K529"/>
    <mergeCell ref="M531:M532"/>
    <mergeCell ref="O531:O532"/>
    <mergeCell ref="C533:C534"/>
    <mergeCell ref="P531:P532"/>
    <mergeCell ref="A531:A532"/>
    <mergeCell ref="Q528:Q529"/>
    <mergeCell ref="M528:M529"/>
    <mergeCell ref="R533:R534"/>
    <mergeCell ref="G533:G534"/>
    <mergeCell ref="I533:I534"/>
    <mergeCell ref="M533:M534"/>
    <mergeCell ref="K533:K534"/>
    <mergeCell ref="P533:P534"/>
    <mergeCell ref="A535:A536"/>
    <mergeCell ref="B535:B536"/>
    <mergeCell ref="A533:A534"/>
    <mergeCell ref="B533:B534"/>
    <mergeCell ref="B531:B532"/>
    <mergeCell ref="Q533:Q534"/>
    <mergeCell ref="C531:C532"/>
    <mergeCell ref="E531:E532"/>
    <mergeCell ref="G531:G532"/>
    <mergeCell ref="E533:E534"/>
    <mergeCell ref="C535:C536"/>
    <mergeCell ref="E535:E536"/>
    <mergeCell ref="Q535:Q536"/>
    <mergeCell ref="R535:R536"/>
    <mergeCell ref="G535:G536"/>
    <mergeCell ref="I535:I536"/>
    <mergeCell ref="K535:K536"/>
    <mergeCell ref="M535:M536"/>
    <mergeCell ref="P535:P536"/>
    <mergeCell ref="O535:O536"/>
    <mergeCell ref="Q531:Q532"/>
    <mergeCell ref="Q537:Q538"/>
    <mergeCell ref="R537:R538"/>
    <mergeCell ref="G537:G538"/>
    <mergeCell ref="I537:I538"/>
    <mergeCell ref="K537:K538"/>
    <mergeCell ref="M537:M538"/>
    <mergeCell ref="O537:O538"/>
    <mergeCell ref="P537:P538"/>
    <mergeCell ref="A539:A540"/>
    <mergeCell ref="B539:B540"/>
    <mergeCell ref="C539:C540"/>
    <mergeCell ref="E539:E540"/>
    <mergeCell ref="A537:A538"/>
    <mergeCell ref="B537:B538"/>
    <mergeCell ref="C537:C538"/>
    <mergeCell ref="E537:E538"/>
    <mergeCell ref="Q539:Q540"/>
    <mergeCell ref="R539:R540"/>
    <mergeCell ref="G539:G540"/>
    <mergeCell ref="I539:I540"/>
    <mergeCell ref="K539:K540"/>
    <mergeCell ref="M539:M540"/>
    <mergeCell ref="O539:O540"/>
    <mergeCell ref="P539:P540"/>
    <mergeCell ref="O541:O542"/>
    <mergeCell ref="P541:P542"/>
    <mergeCell ref="G541:G542"/>
    <mergeCell ref="I541:I542"/>
    <mergeCell ref="A541:A542"/>
    <mergeCell ref="B541:B542"/>
    <mergeCell ref="C541:C542"/>
    <mergeCell ref="E541:E542"/>
    <mergeCell ref="Q543:Q544"/>
    <mergeCell ref="R543:R544"/>
    <mergeCell ref="Q545:Q546"/>
    <mergeCell ref="R545:R546"/>
    <mergeCell ref="Q541:Q542"/>
    <mergeCell ref="R541:R542"/>
    <mergeCell ref="O545:O546"/>
    <mergeCell ref="P545:P546"/>
    <mergeCell ref="K541:K542"/>
    <mergeCell ref="M541:M542"/>
    <mergeCell ref="K543:K544"/>
    <mergeCell ref="M543:M544"/>
    <mergeCell ref="O543:O544"/>
    <mergeCell ref="P543:P544"/>
    <mergeCell ref="K545:K546"/>
    <mergeCell ref="M545:M546"/>
    <mergeCell ref="C545:C546"/>
    <mergeCell ref="E545:E546"/>
    <mergeCell ref="A547:A548"/>
    <mergeCell ref="B547:B548"/>
    <mergeCell ref="C547:C548"/>
    <mergeCell ref="E547:E548"/>
    <mergeCell ref="G545:G546"/>
    <mergeCell ref="I545:I546"/>
    <mergeCell ref="G543:G544"/>
    <mergeCell ref="I543:I544"/>
    <mergeCell ref="A543:A544"/>
    <mergeCell ref="B543:B544"/>
    <mergeCell ref="C543:C544"/>
    <mergeCell ref="E543:E544"/>
    <mergeCell ref="A545:A546"/>
    <mergeCell ref="B545:B546"/>
    <mergeCell ref="Q551:Q552"/>
    <mergeCell ref="Q547:Q548"/>
    <mergeCell ref="R547:R548"/>
    <mergeCell ref="G547:G548"/>
    <mergeCell ref="I547:I548"/>
    <mergeCell ref="K547:K548"/>
    <mergeCell ref="M547:M548"/>
    <mergeCell ref="O547:O548"/>
    <mergeCell ref="P547:P548"/>
    <mergeCell ref="Q549:Q550"/>
    <mergeCell ref="R549:R550"/>
    <mergeCell ref="G549:G550"/>
    <mergeCell ref="I549:I550"/>
    <mergeCell ref="K549:K550"/>
    <mergeCell ref="M549:M550"/>
    <mergeCell ref="O549:O550"/>
    <mergeCell ref="P549:P550"/>
    <mergeCell ref="O551:O552"/>
    <mergeCell ref="P551:P552"/>
    <mergeCell ref="R551:R552"/>
    <mergeCell ref="A549:A550"/>
    <mergeCell ref="B549:B550"/>
    <mergeCell ref="C549:C550"/>
    <mergeCell ref="E549:E550"/>
    <mergeCell ref="A551:A552"/>
    <mergeCell ref="B551:B552"/>
    <mergeCell ref="C551:C552"/>
    <mergeCell ref="K551:K552"/>
    <mergeCell ref="M551:M552"/>
    <mergeCell ref="R558:R559"/>
    <mergeCell ref="C556:C557"/>
    <mergeCell ref="E556:E557"/>
    <mergeCell ref="P556:P557"/>
    <mergeCell ref="Q556:Q557"/>
    <mergeCell ref="R554:R555"/>
    <mergeCell ref="A553:R553"/>
    <mergeCell ref="A554:A555"/>
    <mergeCell ref="G551:G552"/>
    <mergeCell ref="I551:I552"/>
    <mergeCell ref="B554:B555"/>
    <mergeCell ref="C554:C555"/>
    <mergeCell ref="E554:E555"/>
    <mergeCell ref="G554:G555"/>
    <mergeCell ref="E551:E552"/>
    <mergeCell ref="I554:I555"/>
    <mergeCell ref="R556:R557"/>
    <mergeCell ref="A560:A561"/>
    <mergeCell ref="B560:B561"/>
    <mergeCell ref="C560:C561"/>
    <mergeCell ref="E560:E561"/>
    <mergeCell ref="R560:R561"/>
    <mergeCell ref="A558:A559"/>
    <mergeCell ref="B558:B559"/>
    <mergeCell ref="G556:G557"/>
    <mergeCell ref="A556:A557"/>
    <mergeCell ref="B556:B557"/>
    <mergeCell ref="Q554:Q555"/>
    <mergeCell ref="I556:I557"/>
    <mergeCell ref="M556:M557"/>
    <mergeCell ref="K554:K555"/>
    <mergeCell ref="M554:M555"/>
    <mergeCell ref="O554:O555"/>
    <mergeCell ref="K556:K557"/>
    <mergeCell ref="P554:P555"/>
    <mergeCell ref="O556:O557"/>
    <mergeCell ref="C558:C559"/>
    <mergeCell ref="E558:E559"/>
    <mergeCell ref="I560:I561"/>
    <mergeCell ref="I558:I559"/>
    <mergeCell ref="K560:K561"/>
    <mergeCell ref="G562:G563"/>
    <mergeCell ref="G558:G559"/>
    <mergeCell ref="G560:G561"/>
    <mergeCell ref="M566:M567"/>
    <mergeCell ref="O562:O563"/>
    <mergeCell ref="O558:O559"/>
    <mergeCell ref="Q562:Q563"/>
    <mergeCell ref="O560:O561"/>
    <mergeCell ref="P558:P559"/>
    <mergeCell ref="Q558:Q559"/>
    <mergeCell ref="P560:P561"/>
    <mergeCell ref="M560:M561"/>
    <mergeCell ref="Q560:Q561"/>
    <mergeCell ref="M558:M559"/>
    <mergeCell ref="K558:K559"/>
    <mergeCell ref="P566:P567"/>
    <mergeCell ref="Q566:Q567"/>
    <mergeCell ref="R562:R563"/>
    <mergeCell ref="R564:R565"/>
    <mergeCell ref="P562:P563"/>
    <mergeCell ref="R566:R567"/>
    <mergeCell ref="M564:M565"/>
    <mergeCell ref="Q568:Q569"/>
    <mergeCell ref="Q564:Q565"/>
    <mergeCell ref="E562:E563"/>
    <mergeCell ref="E566:E567"/>
    <mergeCell ref="G564:G565"/>
    <mergeCell ref="E564:E565"/>
    <mergeCell ref="I564:I565"/>
    <mergeCell ref="M562:M563"/>
    <mergeCell ref="I568:I569"/>
    <mergeCell ref="O566:O567"/>
    <mergeCell ref="G566:G567"/>
    <mergeCell ref="I566:I567"/>
    <mergeCell ref="M568:M569"/>
    <mergeCell ref="P564:P565"/>
    <mergeCell ref="O564:O565"/>
    <mergeCell ref="K562:K563"/>
    <mergeCell ref="O568:O569"/>
    <mergeCell ref="P568:P569"/>
    <mergeCell ref="R568:R569"/>
    <mergeCell ref="I562:I563"/>
    <mergeCell ref="A562:A563"/>
    <mergeCell ref="B562:B563"/>
    <mergeCell ref="C562:C563"/>
    <mergeCell ref="A564:A565"/>
    <mergeCell ref="B564:B565"/>
    <mergeCell ref="C564:C565"/>
    <mergeCell ref="A570:A571"/>
    <mergeCell ref="B570:B571"/>
    <mergeCell ref="A568:A569"/>
    <mergeCell ref="B566:B567"/>
    <mergeCell ref="K566:K567"/>
    <mergeCell ref="A566:A567"/>
    <mergeCell ref="C566:C567"/>
    <mergeCell ref="C568:C569"/>
    <mergeCell ref="E568:E569"/>
    <mergeCell ref="B568:B569"/>
    <mergeCell ref="I572:I573"/>
    <mergeCell ref="G570:G571"/>
    <mergeCell ref="G568:G569"/>
    <mergeCell ref="I570:I571"/>
    <mergeCell ref="C570:C571"/>
    <mergeCell ref="E570:E571"/>
    <mergeCell ref="K570:K571"/>
    <mergeCell ref="K568:K569"/>
    <mergeCell ref="K564:K565"/>
    <mergeCell ref="R574:R575"/>
    <mergeCell ref="G572:G573"/>
    <mergeCell ref="G574:G575"/>
    <mergeCell ref="I574:I575"/>
    <mergeCell ref="K572:K573"/>
    <mergeCell ref="Q574:Q575"/>
    <mergeCell ref="K574:K575"/>
    <mergeCell ref="O574:O575"/>
    <mergeCell ref="P574:P575"/>
    <mergeCell ref="M574:M575"/>
    <mergeCell ref="R572:R573"/>
    <mergeCell ref="Q572:Q573"/>
    <mergeCell ref="A574:A575"/>
    <mergeCell ref="B574:B575"/>
    <mergeCell ref="C574:C575"/>
    <mergeCell ref="E574:E575"/>
    <mergeCell ref="A572:A573"/>
    <mergeCell ref="B572:B573"/>
    <mergeCell ref="C572:C573"/>
    <mergeCell ref="E572:E573"/>
    <mergeCell ref="R570:R571"/>
    <mergeCell ref="M572:M573"/>
    <mergeCell ref="P572:P573"/>
    <mergeCell ref="O572:O573"/>
    <mergeCell ref="P570:P571"/>
    <mergeCell ref="Q570:Q571"/>
    <mergeCell ref="G28:G29"/>
    <mergeCell ref="I28:I29"/>
    <mergeCell ref="Q28:Q29"/>
    <mergeCell ref="R28:R29"/>
    <mergeCell ref="A26:A27"/>
    <mergeCell ref="B26:B27"/>
    <mergeCell ref="C26:C27"/>
    <mergeCell ref="E26:E27"/>
    <mergeCell ref="A28:A29"/>
    <mergeCell ref="B28:B29"/>
    <mergeCell ref="O28:O29"/>
    <mergeCell ref="P28:P29"/>
    <mergeCell ref="O26:O27"/>
    <mergeCell ref="P26:P27"/>
    <mergeCell ref="K28:K29"/>
    <mergeCell ref="M28:M29"/>
    <mergeCell ref="K30:K31"/>
    <mergeCell ref="M30:M31"/>
    <mergeCell ref="G26:G27"/>
    <mergeCell ref="I26:I27"/>
    <mergeCell ref="Q30:Q31"/>
    <mergeCell ref="R30:R31"/>
    <mergeCell ref="O570:O571"/>
    <mergeCell ref="M570:M571"/>
    <mergeCell ref="O30:O31"/>
    <mergeCell ref="P30:P31"/>
    <mergeCell ref="A30:A31"/>
    <mergeCell ref="B30:B31"/>
    <mergeCell ref="C30:C31"/>
    <mergeCell ref="E30:E31"/>
    <mergeCell ref="G30:G31"/>
    <mergeCell ref="I30:I31"/>
    <mergeCell ref="G34:G35"/>
    <mergeCell ref="I34:I35"/>
    <mergeCell ref="Q34:Q35"/>
    <mergeCell ref="R34:R35"/>
    <mergeCell ref="A32:A33"/>
    <mergeCell ref="B32:B33"/>
    <mergeCell ref="C32:C33"/>
    <mergeCell ref="E32:E33"/>
    <mergeCell ref="A34:A35"/>
    <mergeCell ref="B34:B35"/>
    <mergeCell ref="O34:O35"/>
    <mergeCell ref="P34:P35"/>
    <mergeCell ref="O32:O33"/>
    <mergeCell ref="P32:P33"/>
    <mergeCell ref="K34:K35"/>
    <mergeCell ref="M34:M35"/>
    <mergeCell ref="G32:G33"/>
    <mergeCell ref="I32:I33"/>
    <mergeCell ref="Q36:Q37"/>
    <mergeCell ref="R36:R37"/>
    <mergeCell ref="O36:O37"/>
    <mergeCell ref="P36:P37"/>
    <mergeCell ref="Q32:Q33"/>
    <mergeCell ref="R32:R33"/>
    <mergeCell ref="A36:A37"/>
    <mergeCell ref="B36:B37"/>
    <mergeCell ref="C36:C37"/>
    <mergeCell ref="E36:E37"/>
    <mergeCell ref="G36:G37"/>
    <mergeCell ref="I36:I37"/>
    <mergeCell ref="K40:K41"/>
    <mergeCell ref="M40:M41"/>
    <mergeCell ref="G40:G41"/>
    <mergeCell ref="I40:I41"/>
    <mergeCell ref="A38:A39"/>
    <mergeCell ref="B38:B39"/>
    <mergeCell ref="C38:C39"/>
    <mergeCell ref="E38:E39"/>
    <mergeCell ref="K38:K39"/>
    <mergeCell ref="M38:M39"/>
    <mergeCell ref="A40:A41"/>
    <mergeCell ref="B40:B41"/>
    <mergeCell ref="C40:C41"/>
    <mergeCell ref="E40:E41"/>
    <mergeCell ref="G38:G39"/>
    <mergeCell ref="I38:I39"/>
    <mergeCell ref="Q38:Q39"/>
    <mergeCell ref="R38:R39"/>
    <mergeCell ref="O40:O41"/>
    <mergeCell ref="P40:P41"/>
    <mergeCell ref="Q40:Q41"/>
    <mergeCell ref="R40:R41"/>
    <mergeCell ref="O38:O39"/>
    <mergeCell ref="P38:P39"/>
    <mergeCell ref="Q42:Q43"/>
    <mergeCell ref="R42:R43"/>
    <mergeCell ref="O42:O43"/>
    <mergeCell ref="P42:P43"/>
    <mergeCell ref="G42:G43"/>
    <mergeCell ref="I42:I43"/>
    <mergeCell ref="K42:K43"/>
    <mergeCell ref="M42:M43"/>
    <mergeCell ref="A42:A43"/>
    <mergeCell ref="B42:B43"/>
    <mergeCell ref="C42:C43"/>
    <mergeCell ref="E42:E43"/>
    <mergeCell ref="G44:G45"/>
    <mergeCell ref="I44:I45"/>
    <mergeCell ref="C44:C45"/>
    <mergeCell ref="E44:E45"/>
    <mergeCell ref="A44:A45"/>
    <mergeCell ref="B44:B45"/>
    <mergeCell ref="A46:A47"/>
    <mergeCell ref="B46:B47"/>
    <mergeCell ref="K44:K45"/>
    <mergeCell ref="M44:M45"/>
    <mergeCell ref="O46:O47"/>
    <mergeCell ref="P46:P47"/>
    <mergeCell ref="M46:M47"/>
    <mergeCell ref="R46:R47"/>
    <mergeCell ref="Q44:Q45"/>
    <mergeCell ref="R44:R45"/>
    <mergeCell ref="O44:O45"/>
    <mergeCell ref="P44:P45"/>
    <mergeCell ref="Q46:Q47"/>
    <mergeCell ref="G46:G47"/>
    <mergeCell ref="I46:I47"/>
    <mergeCell ref="K46:K47"/>
    <mergeCell ref="Q66:Q67"/>
    <mergeCell ref="G66:G67"/>
    <mergeCell ref="B62:B63"/>
    <mergeCell ref="I60:I61"/>
    <mergeCell ref="I64:I65"/>
    <mergeCell ref="A66:A67"/>
    <mergeCell ref="E60:E61"/>
    <mergeCell ref="G60:G61"/>
    <mergeCell ref="C60:C61"/>
    <mergeCell ref="B66:B67"/>
    <mergeCell ref="A62:A63"/>
    <mergeCell ref="A64:A65"/>
    <mergeCell ref="B64:B65"/>
    <mergeCell ref="C64:C65"/>
    <mergeCell ref="C62:C63"/>
    <mergeCell ref="A50:A51"/>
    <mergeCell ref="A68:A69"/>
    <mergeCell ref="B68:B69"/>
    <mergeCell ref="A70:A71"/>
    <mergeCell ref="B70:B71"/>
    <mergeCell ref="C70:C71"/>
    <mergeCell ref="E70:E71"/>
    <mergeCell ref="Q86:Q87"/>
    <mergeCell ref="R80:R81"/>
    <mergeCell ref="K82:K83"/>
    <mergeCell ref="M82:M83"/>
    <mergeCell ref="K80:K81"/>
    <mergeCell ref="M80:M81"/>
    <mergeCell ref="P82:P83"/>
    <mergeCell ref="Q82:Q83"/>
    <mergeCell ref="R82:R83"/>
    <mergeCell ref="P80:P81"/>
    <mergeCell ref="E84:E85"/>
    <mergeCell ref="Q70:Q71"/>
    <mergeCell ref="Q84:Q85"/>
    <mergeCell ref="R84:R85"/>
    <mergeCell ref="G86:G87"/>
    <mergeCell ref="I86:I87"/>
    <mergeCell ref="K84:K85"/>
    <mergeCell ref="M84:M85"/>
    <mergeCell ref="G84:G85"/>
    <mergeCell ref="I84:I85"/>
    <mergeCell ref="A82:A83"/>
    <mergeCell ref="A84:A85"/>
    <mergeCell ref="B84:B85"/>
    <mergeCell ref="C84:C85"/>
    <mergeCell ref="O84:O85"/>
    <mergeCell ref="O86:O87"/>
    <mergeCell ref="A86:A87"/>
    <mergeCell ref="B86:B87"/>
    <mergeCell ref="C86:C87"/>
    <mergeCell ref="E86:E87"/>
    <mergeCell ref="R86:R87"/>
    <mergeCell ref="I88:I89"/>
    <mergeCell ref="K88:K89"/>
    <mergeCell ref="K86:K87"/>
    <mergeCell ref="M86:M87"/>
    <mergeCell ref="R88:R89"/>
    <mergeCell ref="P86:P87"/>
    <mergeCell ref="P88:P89"/>
    <mergeCell ref="M88:M89"/>
    <mergeCell ref="O88:O89"/>
    <mergeCell ref="Q88:Q89"/>
    <mergeCell ref="B88:B89"/>
    <mergeCell ref="C88:C89"/>
    <mergeCell ref="E88:E89"/>
    <mergeCell ref="G88:G89"/>
    <mergeCell ref="A90:A91"/>
    <mergeCell ref="B90:B91"/>
    <mergeCell ref="C90:C91"/>
    <mergeCell ref="E90:E91"/>
    <mergeCell ref="A88:A89"/>
    <mergeCell ref="G116:G117"/>
    <mergeCell ref="A108:A109"/>
    <mergeCell ref="B108:B109"/>
    <mergeCell ref="A106:A107"/>
    <mergeCell ref="G106:G107"/>
    <mergeCell ref="I116:I117"/>
    <mergeCell ref="A116:A117"/>
    <mergeCell ref="B116:B117"/>
    <mergeCell ref="C116:C117"/>
    <mergeCell ref="E116:E117"/>
    <mergeCell ref="A92:A93"/>
    <mergeCell ref="B92:B93"/>
    <mergeCell ref="C92:C93"/>
    <mergeCell ref="E92:E93"/>
    <mergeCell ref="I108:I109"/>
    <mergeCell ref="I90:I91"/>
    <mergeCell ref="G92:G93"/>
    <mergeCell ref="I92:I93"/>
    <mergeCell ref="A104:A105"/>
    <mergeCell ref="B104:B105"/>
    <mergeCell ref="A100:A101"/>
    <mergeCell ref="A94:A95"/>
    <mergeCell ref="A102:A103"/>
    <mergeCell ref="I98:I99"/>
    <mergeCell ref="A98:A99"/>
    <mergeCell ref="C104:C105"/>
    <mergeCell ref="G104:G105"/>
    <mergeCell ref="B170:B171"/>
    <mergeCell ref="C170:C171"/>
    <mergeCell ref="E170:E171"/>
    <mergeCell ref="G170:G171"/>
    <mergeCell ref="Q90:Q91"/>
    <mergeCell ref="P102:P103"/>
    <mergeCell ref="P90:P91"/>
    <mergeCell ref="K98:K99"/>
    <mergeCell ref="K94:K95"/>
    <mergeCell ref="M92:M93"/>
    <mergeCell ref="R90:R91"/>
    <mergeCell ref="R92:R93"/>
    <mergeCell ref="Q94:Q95"/>
    <mergeCell ref="R100:R101"/>
    <mergeCell ref="R104:R105"/>
    <mergeCell ref="Q100:Q101"/>
    <mergeCell ref="R98:R99"/>
    <mergeCell ref="Q98:Q99"/>
    <mergeCell ref="R118:R119"/>
    <mergeCell ref="R102:R103"/>
    <mergeCell ref="P100:P101"/>
    <mergeCell ref="Q102:Q103"/>
    <mergeCell ref="P108:P109"/>
    <mergeCell ref="R110:R111"/>
    <mergeCell ref="P116:P117"/>
    <mergeCell ref="R106:R107"/>
    <mergeCell ref="R116:R117"/>
    <mergeCell ref="P114:P115"/>
    <mergeCell ref="P94:P95"/>
    <mergeCell ref="E126:E127"/>
    <mergeCell ref="K132:K133"/>
    <mergeCell ref="M132:M133"/>
    <mergeCell ref="K170:K171"/>
    <mergeCell ref="M172:M173"/>
    <mergeCell ref="O172:O173"/>
    <mergeCell ref="P172:P173"/>
    <mergeCell ref="Q172:Q173"/>
    <mergeCell ref="P170:P171"/>
    <mergeCell ref="Q170:Q171"/>
    <mergeCell ref="M170:M171"/>
    <mergeCell ref="O170:O171"/>
    <mergeCell ref="M106:M107"/>
    <mergeCell ref="O112:O113"/>
    <mergeCell ref="M112:M113"/>
    <mergeCell ref="P110:P111"/>
    <mergeCell ref="O110:O111"/>
    <mergeCell ref="Q104:Q105"/>
    <mergeCell ref="P106:P107"/>
    <mergeCell ref="O106:O107"/>
    <mergeCell ref="M104:M105"/>
    <mergeCell ref="O104:O105"/>
    <mergeCell ref="P104:P105"/>
    <mergeCell ref="Q106:Q107"/>
    <mergeCell ref="P112:P113"/>
    <mergeCell ref="Q116:Q117"/>
    <mergeCell ref="M116:M117"/>
    <mergeCell ref="K116:K117"/>
    <mergeCell ref="M124:M125"/>
    <mergeCell ref="O124:O125"/>
    <mergeCell ref="P124:P125"/>
    <mergeCell ref="Q126:Q127"/>
    <mergeCell ref="K126:K127"/>
    <mergeCell ref="M126:M127"/>
    <mergeCell ref="P126:P127"/>
    <mergeCell ref="R172:R173"/>
    <mergeCell ref="P92:P93"/>
    <mergeCell ref="Q92:Q93"/>
    <mergeCell ref="M98:M99"/>
    <mergeCell ref="R180:R181"/>
    <mergeCell ref="A174:A175"/>
    <mergeCell ref="B174:B175"/>
    <mergeCell ref="C174:C175"/>
    <mergeCell ref="E174:E175"/>
    <mergeCell ref="G174:G175"/>
    <mergeCell ref="I174:I175"/>
    <mergeCell ref="K174:K175"/>
    <mergeCell ref="M174:M175"/>
    <mergeCell ref="O174:O175"/>
    <mergeCell ref="B176:B177"/>
    <mergeCell ref="C176:C177"/>
    <mergeCell ref="E176:E177"/>
    <mergeCell ref="G176:G177"/>
    <mergeCell ref="I176:I177"/>
    <mergeCell ref="K176:K177"/>
    <mergeCell ref="P174:P175"/>
    <mergeCell ref="Q174:Q175"/>
    <mergeCell ref="A180:A181"/>
    <mergeCell ref="B180:B181"/>
    <mergeCell ref="A172:A173"/>
    <mergeCell ref="B172:B173"/>
    <mergeCell ref="C172:C173"/>
    <mergeCell ref="E172:E173"/>
    <mergeCell ref="G172:G173"/>
    <mergeCell ref="I172:I173"/>
    <mergeCell ref="K172:K173"/>
    <mergeCell ref="I170:I171"/>
    <mergeCell ref="R174:R175"/>
    <mergeCell ref="A176:A177"/>
    <mergeCell ref="M178:M179"/>
    <mergeCell ref="O178:O179"/>
    <mergeCell ref="P178:P179"/>
    <mergeCell ref="Q178:Q179"/>
    <mergeCell ref="P176:P177"/>
    <mergeCell ref="Q176:Q177"/>
    <mergeCell ref="M176:M177"/>
    <mergeCell ref="O176:O177"/>
    <mergeCell ref="C180:C181"/>
    <mergeCell ref="E180:E181"/>
    <mergeCell ref="G180:G181"/>
    <mergeCell ref="I180:I181"/>
    <mergeCell ref="I178:I179"/>
    <mergeCell ref="K178:K179"/>
    <mergeCell ref="R182:R183"/>
    <mergeCell ref="A182:A183"/>
    <mergeCell ref="A208:A209"/>
    <mergeCell ref="B208:B209"/>
    <mergeCell ref="C208:C209"/>
    <mergeCell ref="E208:E209"/>
    <mergeCell ref="G208:G209"/>
    <mergeCell ref="I208:I209"/>
    <mergeCell ref="K208:K209"/>
    <mergeCell ref="A193:R193"/>
    <mergeCell ref="M182:M183"/>
    <mergeCell ref="O182:O183"/>
    <mergeCell ref="P182:P183"/>
    <mergeCell ref="Q182:Q183"/>
    <mergeCell ref="P180:P181"/>
    <mergeCell ref="Q180:Q181"/>
    <mergeCell ref="M180:M181"/>
    <mergeCell ref="O180:O181"/>
    <mergeCell ref="R176:R177"/>
    <mergeCell ref="A178:A179"/>
    <mergeCell ref="B178:B179"/>
    <mergeCell ref="C178:C179"/>
    <mergeCell ref="E178:E179"/>
    <mergeCell ref="G178:G179"/>
    <mergeCell ref="R204:R205"/>
    <mergeCell ref="A206:A207"/>
    <mergeCell ref="B206:B207"/>
    <mergeCell ref="C206:C207"/>
    <mergeCell ref="E206:E207"/>
    <mergeCell ref="G206:G207"/>
    <mergeCell ref="R206:R207"/>
    <mergeCell ref="R202:R203"/>
    <mergeCell ref="O202:O203"/>
    <mergeCell ref="O204:O205"/>
    <mergeCell ref="B182:B183"/>
    <mergeCell ref="C182:C183"/>
    <mergeCell ref="E182:E183"/>
    <mergeCell ref="G182:G183"/>
    <mergeCell ref="I182:I183"/>
    <mergeCell ref="K182:K183"/>
    <mergeCell ref="R208:R209"/>
    <mergeCell ref="M208:M209"/>
    <mergeCell ref="P202:P203"/>
    <mergeCell ref="P204:P205"/>
    <mergeCell ref="G210:G211"/>
    <mergeCell ref="I210:I211"/>
    <mergeCell ref="Q210:Q211"/>
    <mergeCell ref="R210:R211"/>
    <mergeCell ref="A210:A211"/>
    <mergeCell ref="B210:B211"/>
    <mergeCell ref="C210:C211"/>
    <mergeCell ref="E210:E211"/>
    <mergeCell ref="K210:K211"/>
    <mergeCell ref="M210:M211"/>
    <mergeCell ref="A184:A185"/>
    <mergeCell ref="B184:B185"/>
    <mergeCell ref="C184:C185"/>
    <mergeCell ref="E184:E185"/>
    <mergeCell ref="G184:G185"/>
    <mergeCell ref="I184:I185"/>
    <mergeCell ref="K184:K185"/>
    <mergeCell ref="M184:M185"/>
    <mergeCell ref="O184:O185"/>
    <mergeCell ref="P184:P185"/>
    <mergeCell ref="Q184:Q185"/>
    <mergeCell ref="R184:R185"/>
    <mergeCell ref="A212:A213"/>
    <mergeCell ref="B212:B213"/>
    <mergeCell ref="C212:C213"/>
    <mergeCell ref="E212:E213"/>
    <mergeCell ref="P210:P211"/>
    <mergeCell ref="A214:A215"/>
    <mergeCell ref="B214:B215"/>
    <mergeCell ref="C214:C215"/>
    <mergeCell ref="E214:E215"/>
    <mergeCell ref="E218:E219"/>
    <mergeCell ref="G218:G219"/>
    <mergeCell ref="I214:I215"/>
    <mergeCell ref="K214:K215"/>
    <mergeCell ref="Q214:Q215"/>
    <mergeCell ref="M212:M213"/>
    <mergeCell ref="O212:O213"/>
    <mergeCell ref="P212:P213"/>
    <mergeCell ref="Q212:Q213"/>
    <mergeCell ref="G214:G215"/>
    <mergeCell ref="A254:A255"/>
    <mergeCell ref="B254:B255"/>
    <mergeCell ref="C254:C255"/>
    <mergeCell ref="E254:E255"/>
    <mergeCell ref="A217:R217"/>
    <mergeCell ref="A218:A219"/>
    <mergeCell ref="B218:B219"/>
    <mergeCell ref="C218:C219"/>
    <mergeCell ref="R254:R255"/>
    <mergeCell ref="G254:G255"/>
    <mergeCell ref="I254:I255"/>
    <mergeCell ref="K254:K255"/>
    <mergeCell ref="M254:M255"/>
    <mergeCell ref="O254:O255"/>
    <mergeCell ref="R252:R253"/>
    <mergeCell ref="R250:R251"/>
    <mergeCell ref="K252:K253"/>
    <mergeCell ref="P252:P253"/>
    <mergeCell ref="A246:A247"/>
    <mergeCell ref="O248:O249"/>
    <mergeCell ref="A248:A249"/>
    <mergeCell ref="B248:B249"/>
    <mergeCell ref="E248:E249"/>
    <mergeCell ref="B246:B247"/>
    <mergeCell ref="P246:P247"/>
    <mergeCell ref="Q246:Q247"/>
    <mergeCell ref="I244:I245"/>
    <mergeCell ref="P244:P245"/>
    <mergeCell ref="O244:O245"/>
    <mergeCell ref="Q244:Q245"/>
    <mergeCell ref="K244:K245"/>
    <mergeCell ref="R244:R245"/>
    <mergeCell ref="R260:R261"/>
    <mergeCell ref="A262:A263"/>
    <mergeCell ref="B262:B263"/>
    <mergeCell ref="C262:C263"/>
    <mergeCell ref="E262:E263"/>
    <mergeCell ref="G262:G263"/>
    <mergeCell ref="I262:I263"/>
    <mergeCell ref="O262:O263"/>
    <mergeCell ref="P262:P263"/>
    <mergeCell ref="Q262:Q263"/>
    <mergeCell ref="R262:R263"/>
    <mergeCell ref="A265:R265"/>
    <mergeCell ref="A266:A267"/>
    <mergeCell ref="B266:B267"/>
    <mergeCell ref="C266:C267"/>
    <mergeCell ref="E266:E267"/>
    <mergeCell ref="G266:G267"/>
    <mergeCell ref="M266:M267"/>
    <mergeCell ref="O266:O267"/>
    <mergeCell ref="P266:P267"/>
    <mergeCell ref="R266:R267"/>
    <mergeCell ref="M262:M263"/>
    <mergeCell ref="A268:A269"/>
    <mergeCell ref="B268:B269"/>
    <mergeCell ref="C268:C269"/>
    <mergeCell ref="E268:E269"/>
    <mergeCell ref="G268:G269"/>
    <mergeCell ref="M268:M269"/>
    <mergeCell ref="O268:O269"/>
    <mergeCell ref="P268:P269"/>
    <mergeCell ref="Q268:Q269"/>
    <mergeCell ref="M272:M273"/>
    <mergeCell ref="O272:O273"/>
    <mergeCell ref="B272:B273"/>
    <mergeCell ref="C272:C273"/>
    <mergeCell ref="E272:E273"/>
    <mergeCell ref="G272:G273"/>
    <mergeCell ref="P274:P275"/>
    <mergeCell ref="Q274:Q275"/>
    <mergeCell ref="P272:P273"/>
    <mergeCell ref="Q272:Q273"/>
    <mergeCell ref="A272:A273"/>
    <mergeCell ref="G270:G271"/>
    <mergeCell ref="I270:I271"/>
    <mergeCell ref="K270:K271"/>
    <mergeCell ref="M270:M271"/>
    <mergeCell ref="O270:O271"/>
    <mergeCell ref="P270:P271"/>
    <mergeCell ref="I272:I273"/>
    <mergeCell ref="K272:K273"/>
    <mergeCell ref="R272:R273"/>
    <mergeCell ref="A274:A275"/>
    <mergeCell ref="B274:B275"/>
    <mergeCell ref="C274:C275"/>
    <mergeCell ref="E274:E275"/>
    <mergeCell ref="G274:G275"/>
    <mergeCell ref="A276:A277"/>
    <mergeCell ref="B276:B277"/>
    <mergeCell ref="C276:C277"/>
    <mergeCell ref="E276:E277"/>
    <mergeCell ref="M274:M275"/>
    <mergeCell ref="O274:O275"/>
    <mergeCell ref="I274:I275"/>
    <mergeCell ref="K274:K275"/>
    <mergeCell ref="O276:O277"/>
    <mergeCell ref="P276:P277"/>
    <mergeCell ref="Q276:Q277"/>
    <mergeCell ref="R276:R277"/>
    <mergeCell ref="G276:G277"/>
    <mergeCell ref="I276:I277"/>
    <mergeCell ref="K276:K277"/>
    <mergeCell ref="M276:M277"/>
    <mergeCell ref="R274:R275"/>
  </mergeCells>
  <phoneticPr fontId="3"/>
  <dataValidations count="3">
    <dataValidation imeMode="disabled" allowBlank="1" showInputMessage="1" showErrorMessage="1" sqref="O395:R414 A447:B447 A441:B441 A449:B449 A453:B453 A455:B455 A457:B457 A459:B459 O418:R437 A397:B397 N419 N433 N421 N423 N425 N427 N429 N431 A451:B451 N442 N444 N446 N448 N450 N452 N454 N435 A4:B4 E418:E437 G418:G437 I418:I437 K418:K437 M418:M437 N437 A445:B445 N396 N456 A8:B8 A6:B6 N398 N400 N9 N11 N13 N402 N404 A422:B422 N406 N15 N17 A424:B424 N19 N21 G395:G414 I4:I24 A10:B10 A12:B12 A14:B14 A16:B16 A18:B18 A20:B20 I395:I414 K395:K414 K76:K96 M395:M414 N414 A420:B420 N23 A22:B22 N269 A280:B280 I52:I72 N283 A282:B282 N33 A34:B34 A36:B36 A38:B38 K28:K48 A40:B40 A42:B42 A44:B44 A46:B46 N35 N37 N39 M28:M48 G28:G48 A58:B58 A60:B60 K52:K72 Q4:R23 N277 A32:B32 R48 M52:M72 A62:B62 N41 A64:B64 A66:B66 A68:B68 M556:M575 A70:B70 N43 A56:B56 N45 N47 Q28:R47 A52:B52 E52:E72 N279 E395:E414 N281 G52:G72 A28:B28 I76:I96 E28:E48 N275 A30:B30 N285 I28:I48 N81 N57 A78:B78 N83 N85 N5 N87 A106:B106 A108:B108 A110:B110 A112:B112 A114:B114 A116:B116 A118:B118 N7 N89 E4:E24 A104:B104 N91 M4:M24 K4:K24 N93 O28:P48 N95 A100:B100 E100:E120 N59 O52:P72 G4:G24 N61 A76:B76 G100:G120 R96 O76:P96 A286:B286 A284:B284 R72 O4:P24 N29 A54:B54 N63 I100:I120 N31 A132:B132 K100:K120 M100:M120 A134:B134 Q76:R95 N157 N65 R120 R24 N105 A206:B206 N159 A182:B182 G148:G168 A154:B154 N107 N77 N109 A136:B136 N133 N135 N137 I148:I168 K148:K168 A184:B184 A186:B186 N139 M148:M168 N141 A156:B156 A138:B138 A140:B140 A158:B158 A160:B160 A188:B188 A162:B162 O100:P120 A164:B164 A166:B166 A152:B152 A142:B142 A128:B128 N143 N111 A126:B126 N113 N115 N117 A124:B124 G124:G144 A130:B130 O148:P168 I124:I144 K124:K144 M124:M144 N119 O124:R143 Q100:R119 N101 N125 N79 A208:B208 A210:B210 A212:B212 A214:B214 A190:B190 N127 A200:B200 A176:B176 A174:B174 N161 A172:B172 N163 N165 N167 A198:B198 N181 A178:B178 A150:B150 K172:K192 M172:M192 G172:G192 A148:B148 A238:B238 A224:B224 A222:B222 A196:B196 O172:P192 A226:B226 E172:E192 N183 N185 N187 A202:B202 A204:B204 O196:P216 N203 A220:B220 I172:I192 N189 A180:B180 K196:K216 I196:I216 E124:E143 Q148:R167 N205 A232:B232 A234:B234 N207 A248:B248 G196:G216 E196:E216 A246:B246 M196:M216 N209 A228:B228 N211 A230:B230 N213 N215 A250:B250 A252:B252 Q196:R215 G220:G240 I220:I240 N227 E244:E264 A244:B244 A292:B292 A294:B294 A296:B296 K220:K240 M220:M240 A298:B298 O220:P240 E220:E240 N229 N231 N233 A254:B254 G244:G264 I244:I264 A290:B290 K244:K264 N191 M244:M264 N235 A256:B256 N237 N239 Q220:R239 N197 A309:B309 A315:B315 A317:B317 A319:B319 A321:B321 O244:P264 N221 A258:B258 A260:B260 N289 N291 N293 N295 A305:B305 A307:B307 A399:B399 A395:B395 A332:B332 A334:B334 A338:B338 A340:B340 A342:B342 A344:B344 A303:B303 N304 A336:B336 N306 N308 N310 N312 N314 N316 N318 N320 A328:B328 E303:E322 G303:G322 I303:I322 K303:K322 M303:M322 N322 A330:B330 N297 A355:B355 A361:B361 A367:B367 A326:B326 N327 A359:B359 N329 N331 N333 N335 N337 N339 N341 A351:B351 N343 E326:E345 A357:B357 A353:B353 O303:R322 A378:B378 A380:B380 A384:B384 A386:B386 A388:B388 A390:B390 A349:B349 N350 A382:B382 N352 N354 N356 N358 N360 N362 N364 N366 A374:B374 E349:E368 G349:G368 I349:I368 K349:K368 M349:M368 N368 A376:B376 G326:G345 A401:B401 A403:B403 A407:B407 A409:B409 A411:B411 A413:B413 A372:B372 N373 A405:B405 N375 N377 N379 N381 N383 N385 N387 N389 E372:E391 O349:R368 G372:G391 I372:I391 K372:K391 M372:M391 N391 O372:R391 A311:B311 N247 O289:R299 N299 A313:B313 N223 I326:I345 K326:K345 A363:B363 M326:M345 N345 A365:B365 O326:R345 A418:B418 A426:B426 A430:B430 A432:B432 A434:B434 A436:B436 A428:B428 N408 N410 N412 N67 N69 N71 Q52:R71 A82:B82 A84:B84 A86:B86 M76:M96 A88:B88 A90:B90 A92:B92 A94:B94 G76:G96 E76:E96 N53 A80:B80 N55 R144 N103 Q172:R191 N149 N151 N173 N175 N199 A272:B272 A270:B270 A274:B274 A276:B276 A278:B278 N287 A268:B268 N273 A102:B102 N129 N131 E148:E168 N153 N155 N177 N179 N201 A236:B236 N225 A262:B262 N249 N251 N253 N255 N257 N259 N261 N263 Q244:R263 N245 O268:P288 E268:E299 G268:G299 I268:I299 K268:K299" xr:uid="{11DA2F2A-B60A-4516-B082-51BF2F1543EA}"/>
    <dataValidation imeMode="on" allowBlank="1" showInputMessage="1" showErrorMessage="1" sqref="C487:C506 C24 C464:C483 C216 C533:C552 C264 C120 C48 C96 C72 C168 C144 C372:C391 C240 C192 C303:C322 C326:C345 C556:C575 C349:C368 C395:C414 C418:C437 C441:C460 C510:C529 C288:C299" xr:uid="{5A8D0DF0-8063-41B3-9317-B88BFA50F1CC}"/>
    <dataValidation type="list" imeMode="on" allowBlank="1" showInputMessage="1" sqref="C4:C23 C28:C47 C52:C71 C76:C95 C100:C119 C124:C143 C148:C167 C172:C191 C196:C215 C220:C239 C244:C263 C268:C287" xr:uid="{52DF9B47-5E30-4EA5-BFD3-89453EF5764F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" header="0" footer="0"/>
  <pageSetup paperSize="9" orientation="landscape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調定04</vt:lpstr>
      <vt:lpstr>調定05</vt:lpstr>
      <vt:lpstr>調定06</vt:lpstr>
      <vt:lpstr>調定07</vt:lpstr>
      <vt:lpstr>調定08</vt:lpstr>
      <vt:lpstr>調定09</vt:lpstr>
      <vt:lpstr>調定10</vt:lpstr>
      <vt:lpstr>調定11</vt:lpstr>
      <vt:lpstr>調定12</vt:lpstr>
      <vt:lpstr>調定01</vt:lpstr>
      <vt:lpstr>調定02</vt:lpstr>
      <vt:lpstr>調定03</vt:lpstr>
      <vt:lpstr>収入原簿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2015-02-27T04:38:05Z</cp:lastPrinted>
  <dcterms:created xsi:type="dcterms:W3CDTF">2001-04-17T06:18:36Z</dcterms:created>
  <dcterms:modified xsi:type="dcterms:W3CDTF">2026-04-01T01:25:15Z</dcterms:modified>
</cp:coreProperties>
</file>