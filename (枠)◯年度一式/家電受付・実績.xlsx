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yhi\OneDrive\Desktop\R８年度一式\"/>
    </mc:Choice>
  </mc:AlternateContent>
  <xr:revisionPtr revIDLastSave="0" documentId="13_ncr:1_{5FB6A6CB-E058-4C29-A33E-CD8FB61A1DF2}" xr6:coauthVersionLast="47" xr6:coauthVersionMax="47" xr10:uidLastSave="{00000000-0000-0000-0000-000000000000}"/>
  <bookViews>
    <workbookView xWindow="1950" yWindow="405" windowWidth="18270" windowHeight="14835" tabRatio="695" activeTab="6" xr2:uid="{4B28D2F8-46AC-41C4-96D6-D062E3D8ACA1}"/>
  </bookViews>
  <sheets>
    <sheet name="発送済Ａ" sheetId="5" r:id="rId1"/>
    <sheet name="発送済Ｂ" sheetId="9" r:id="rId2"/>
    <sheet name="発送済A控え" sheetId="3" r:id="rId3"/>
    <sheet name="発送済Ｂ控え" sheetId="4" r:id="rId4"/>
    <sheet name="発送前A" sheetId="12" r:id="rId5"/>
    <sheet name="発送前Ｂ" sheetId="13" r:id="rId6"/>
    <sheet name="実績表" sheetId="8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" i="8" l="1"/>
  <c r="A1" i="13"/>
  <c r="A1" i="12"/>
  <c r="A1" i="4"/>
  <c r="A1" i="3"/>
  <c r="A1" i="9"/>
  <c r="A1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22" i="12"/>
  <c r="H15" i="12"/>
  <c r="H16" i="12"/>
  <c r="H17" i="12"/>
  <c r="H18" i="12"/>
  <c r="H19" i="12"/>
  <c r="H10" i="12"/>
  <c r="F15" i="8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58" i="13"/>
  <c r="H57" i="13"/>
  <c r="H56" i="13"/>
  <c r="H55" i="13"/>
  <c r="H54" i="13"/>
  <c r="H92" i="12"/>
  <c r="H91" i="12"/>
  <c r="H90" i="12"/>
  <c r="H89" i="12"/>
  <c r="H88" i="12"/>
  <c r="H87" i="12"/>
  <c r="H86" i="12"/>
  <c r="H85" i="12"/>
  <c r="H84" i="12"/>
  <c r="H83" i="12"/>
  <c r="H53" i="13"/>
  <c r="H82" i="12"/>
  <c r="H52" i="13"/>
  <c r="H51" i="13"/>
  <c r="H81" i="12"/>
  <c r="H50" i="13"/>
  <c r="H49" i="13"/>
  <c r="H48" i="13"/>
  <c r="H47" i="13"/>
  <c r="H46" i="13"/>
  <c r="H45" i="13"/>
  <c r="H80" i="12"/>
  <c r="H79" i="12"/>
  <c r="H78" i="12"/>
  <c r="H77" i="12"/>
  <c r="H76" i="12"/>
  <c r="H75" i="12"/>
  <c r="H74" i="12"/>
  <c r="H73" i="12"/>
  <c r="H72" i="12"/>
  <c r="H71" i="12"/>
  <c r="H70" i="12"/>
  <c r="H69" i="12"/>
  <c r="H68" i="12"/>
  <c r="H67" i="12"/>
  <c r="H66" i="12"/>
  <c r="H65" i="12"/>
  <c r="H64" i="12"/>
  <c r="H63" i="12"/>
  <c r="H40" i="12"/>
  <c r="H41" i="12"/>
  <c r="H42" i="12"/>
  <c r="H43" i="12"/>
  <c r="H44" i="12"/>
  <c r="H45" i="12"/>
  <c r="H46" i="12"/>
  <c r="H47" i="12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H17" i="4"/>
  <c r="H16" i="4"/>
  <c r="H15" i="4"/>
  <c r="H14" i="4"/>
  <c r="H13" i="4"/>
  <c r="H12" i="4"/>
  <c r="H11" i="4"/>
  <c r="H10" i="4"/>
  <c r="H14" i="3"/>
  <c r="H13" i="3"/>
  <c r="H12" i="3"/>
  <c r="H11" i="3"/>
  <c r="H10" i="3"/>
  <c r="N16" i="8"/>
  <c r="H17" i="13"/>
  <c r="H16" i="13"/>
  <c r="H15" i="13"/>
  <c r="H14" i="13"/>
  <c r="H13" i="13"/>
  <c r="H12" i="13"/>
  <c r="H11" i="13"/>
  <c r="H10" i="13"/>
  <c r="H14" i="12"/>
  <c r="H13" i="12"/>
  <c r="H12" i="12"/>
  <c r="H11" i="12"/>
  <c r="D5" i="8"/>
  <c r="G5" i="8"/>
  <c r="J5" i="8"/>
  <c r="M5" i="8"/>
  <c r="P5" i="8"/>
  <c r="B6" i="8"/>
  <c r="B8" i="8" s="1"/>
  <c r="C6" i="8"/>
  <c r="E6" i="8"/>
  <c r="E9" i="8" s="1"/>
  <c r="F6" i="8"/>
  <c r="F8" i="8" s="1"/>
  <c r="H6" i="8"/>
  <c r="H9" i="8" s="1"/>
  <c r="I6" i="8"/>
  <c r="I9" i="8" s="1"/>
  <c r="K6" i="8"/>
  <c r="K22" i="8" s="1"/>
  <c r="L6" i="8"/>
  <c r="L22" i="8" s="1"/>
  <c r="N6" i="8"/>
  <c r="P6" i="8" s="1"/>
  <c r="O6" i="8"/>
  <c r="O8" i="8" s="1"/>
  <c r="B7" i="8"/>
  <c r="C7" i="8"/>
  <c r="E7" i="8"/>
  <c r="G7" i="8" s="1"/>
  <c r="F7" i="8"/>
  <c r="F23" i="8" s="1"/>
  <c r="F24" i="8" s="1"/>
  <c r="H7" i="8"/>
  <c r="J7" i="8" s="1"/>
  <c r="I7" i="8"/>
  <c r="I23" i="8" s="1"/>
  <c r="K7" i="8"/>
  <c r="M7" i="8" s="1"/>
  <c r="M8" i="8" s="1"/>
  <c r="L7" i="8"/>
  <c r="L9" i="8" s="1"/>
  <c r="N7" i="8"/>
  <c r="N9" i="8" s="1"/>
  <c r="O7" i="8"/>
  <c r="D14" i="8"/>
  <c r="G14" i="8"/>
  <c r="J14" i="8"/>
  <c r="M14" i="8"/>
  <c r="P14" i="8"/>
  <c r="Q14" i="8" s="1"/>
  <c r="B15" i="8"/>
  <c r="B22" i="8"/>
  <c r="B24" i="8" s="1"/>
  <c r="C15" i="8"/>
  <c r="C22" i="8" s="1"/>
  <c r="E15" i="8"/>
  <c r="E17" i="8" s="1"/>
  <c r="H15" i="8"/>
  <c r="H17" i="8" s="1"/>
  <c r="I15" i="8"/>
  <c r="K15" i="8"/>
  <c r="L15" i="8"/>
  <c r="N15" i="8"/>
  <c r="N22" i="8"/>
  <c r="O15" i="8"/>
  <c r="O22" i="8" s="1"/>
  <c r="B16" i="8"/>
  <c r="B17" i="8" s="1"/>
  <c r="C16" i="8"/>
  <c r="C17" i="8" s="1"/>
  <c r="E16" i="8"/>
  <c r="G16" i="8" s="1"/>
  <c r="F16" i="8"/>
  <c r="F17" i="8" s="1"/>
  <c r="H16" i="8"/>
  <c r="J16" i="8" s="1"/>
  <c r="I16" i="8"/>
  <c r="I17" i="8" s="1"/>
  <c r="K16" i="8"/>
  <c r="M16" i="8" s="1"/>
  <c r="L16" i="8"/>
  <c r="O16" i="8"/>
  <c r="P16" i="8" s="1"/>
  <c r="F3" i="3"/>
  <c r="F7" i="3" s="1"/>
  <c r="F4" i="3"/>
  <c r="F5" i="3"/>
  <c r="F6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F3" i="4"/>
  <c r="F7" i="4" s="1"/>
  <c r="F4" i="4"/>
  <c r="F5" i="4"/>
  <c r="F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F3" i="12"/>
  <c r="F4" i="12"/>
  <c r="F7" i="12" s="1"/>
  <c r="F5" i="12"/>
  <c r="F6" i="12"/>
  <c r="H20" i="12"/>
  <c r="H21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F3" i="13"/>
  <c r="F4" i="13"/>
  <c r="F5" i="13"/>
  <c r="F7" i="13"/>
  <c r="F6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Q5" i="8"/>
  <c r="F9" i="8"/>
  <c r="D15" i="8"/>
  <c r="O17" i="8"/>
  <c r="I22" i="8"/>
  <c r="F22" i="8"/>
  <c r="N17" i="8"/>
  <c r="P15" i="8"/>
  <c r="G6" i="8"/>
  <c r="C8" i="8"/>
  <c r="D6" i="8"/>
  <c r="M6" i="8"/>
  <c r="M9" i="8" s="1"/>
  <c r="C9" i="8"/>
  <c r="P7" i="8"/>
  <c r="O9" i="8"/>
  <c r="O23" i="8"/>
  <c r="E8" i="8"/>
  <c r="D7" i="8"/>
  <c r="D8" i="8" s="1"/>
  <c r="B23" i="8"/>
  <c r="B9" i="8"/>
  <c r="M15" i="8"/>
  <c r="L17" i="8"/>
  <c r="D22" i="8" l="1"/>
  <c r="P8" i="8"/>
  <c r="P9" i="8"/>
  <c r="M22" i="8"/>
  <c r="M24" i="8" s="1"/>
  <c r="K24" i="8"/>
  <c r="O24" i="8"/>
  <c r="P22" i="8"/>
  <c r="P17" i="8"/>
  <c r="L24" i="8"/>
  <c r="G8" i="8"/>
  <c r="M17" i="8"/>
  <c r="I24" i="8"/>
  <c r="H23" i="8"/>
  <c r="J23" i="8" s="1"/>
  <c r="G15" i="8"/>
  <c r="G17" i="8" s="1"/>
  <c r="J6" i="8"/>
  <c r="D9" i="8"/>
  <c r="H8" i="8"/>
  <c r="K17" i="8"/>
  <c r="E22" i="8"/>
  <c r="H22" i="8"/>
  <c r="D16" i="8"/>
  <c r="Q16" i="8" s="1"/>
  <c r="G9" i="8"/>
  <c r="K8" i="8"/>
  <c r="Q7" i="8"/>
  <c r="N23" i="8"/>
  <c r="C23" i="8"/>
  <c r="D23" i="8" s="1"/>
  <c r="D17" i="8"/>
  <c r="N8" i="8"/>
  <c r="J15" i="8"/>
  <c r="J17" i="8" s="1"/>
  <c r="L8" i="8"/>
  <c r="E23" i="8"/>
  <c r="G23" i="8" s="1"/>
  <c r="L23" i="8"/>
  <c r="K9" i="8"/>
  <c r="K23" i="8"/>
  <c r="M23" i="8" s="1"/>
  <c r="I8" i="8"/>
  <c r="Q6" i="8"/>
  <c r="Q9" i="8" l="1"/>
  <c r="Q8" i="8"/>
  <c r="Q17" i="8"/>
  <c r="P23" i="8"/>
  <c r="Q23" i="8" s="1"/>
  <c r="N24" i="8"/>
  <c r="Q15" i="8"/>
  <c r="P24" i="8"/>
  <c r="C24" i="8"/>
  <c r="H24" i="8"/>
  <c r="J22" i="8"/>
  <c r="J24" i="8" s="1"/>
  <c r="G22" i="8"/>
  <c r="G24" i="8" s="1"/>
  <c r="E24" i="8"/>
  <c r="J9" i="8"/>
  <c r="J8" i="8"/>
  <c r="Q22" i="8"/>
  <c r="D24" i="8"/>
  <c r="Q24" i="8" l="1"/>
</calcChain>
</file>

<file path=xl/sharedStrings.xml><?xml version="1.0" encoding="utf-8"?>
<sst xmlns="http://schemas.openxmlformats.org/spreadsheetml/2006/main" count="191" uniqueCount="47">
  <si>
    <t>管理票番号</t>
    <rPh sb="0" eb="2">
      <t>カンリ</t>
    </rPh>
    <rPh sb="2" eb="3">
      <t>ヒョウ</t>
    </rPh>
    <rPh sb="3" eb="5">
      <t>バンゴウ</t>
    </rPh>
    <phoneticPr fontId="1"/>
  </si>
  <si>
    <t>番号</t>
    <rPh sb="0" eb="2">
      <t>バンゴウ</t>
    </rPh>
    <phoneticPr fontId="1"/>
  </si>
  <si>
    <t>製造業者</t>
    <rPh sb="0" eb="3">
      <t>セイゾウギョウ</t>
    </rPh>
    <rPh sb="3" eb="4">
      <t>シャ</t>
    </rPh>
    <phoneticPr fontId="1"/>
  </si>
  <si>
    <t>品目</t>
    <rPh sb="0" eb="2">
      <t>ヒンモク</t>
    </rPh>
    <phoneticPr fontId="1"/>
  </si>
  <si>
    <t>交付日</t>
    <rPh sb="0" eb="2">
      <t>コウフ</t>
    </rPh>
    <rPh sb="2" eb="3">
      <t>ビ</t>
    </rPh>
    <phoneticPr fontId="1"/>
  </si>
  <si>
    <t>日付</t>
    <rPh sb="0" eb="1">
      <t>ヒ</t>
    </rPh>
    <rPh sb="1" eb="2">
      <t>ヅケ</t>
    </rPh>
    <phoneticPr fontId="1"/>
  </si>
  <si>
    <t>排 出 者</t>
    <rPh sb="0" eb="1">
      <t>ハイ</t>
    </rPh>
    <rPh sb="2" eb="3">
      <t>デ</t>
    </rPh>
    <rPh sb="4" eb="5">
      <t>シャ</t>
    </rPh>
    <phoneticPr fontId="1"/>
  </si>
  <si>
    <t>冷蔵・冷凍庫</t>
    <rPh sb="0" eb="2">
      <t>レイゾウ</t>
    </rPh>
    <rPh sb="3" eb="6">
      <t>レイトウコ</t>
    </rPh>
    <phoneticPr fontId="1"/>
  </si>
  <si>
    <t>洗濯・乾燥機</t>
    <rPh sb="0" eb="2">
      <t>センタク</t>
    </rPh>
    <rPh sb="3" eb="6">
      <t>カンソウキ</t>
    </rPh>
    <phoneticPr fontId="1"/>
  </si>
  <si>
    <t>テレビ(薄型含)</t>
    <rPh sb="4" eb="6">
      <t>ウスガタ</t>
    </rPh>
    <rPh sb="6" eb="7">
      <t>フク</t>
    </rPh>
    <phoneticPr fontId="1"/>
  </si>
  <si>
    <t>内　訳</t>
    <rPh sb="0" eb="1">
      <t>ウチ</t>
    </rPh>
    <rPh sb="2" eb="3">
      <t>ヤク</t>
    </rPh>
    <phoneticPr fontId="1"/>
  </si>
  <si>
    <t>発送前</t>
    <rPh sb="0" eb="2">
      <t>ハッソウ</t>
    </rPh>
    <rPh sb="2" eb="3">
      <t>マエ</t>
    </rPh>
    <phoneticPr fontId="1"/>
  </si>
  <si>
    <t>計</t>
    <rPh sb="0" eb="1">
      <t>ケイ</t>
    </rPh>
    <phoneticPr fontId="1"/>
  </si>
  <si>
    <t>合　　　計</t>
    <rPh sb="0" eb="1">
      <t>ゴウ</t>
    </rPh>
    <rPh sb="4" eb="5">
      <t>ケイ</t>
    </rPh>
    <phoneticPr fontId="1"/>
  </si>
  <si>
    <t>品　　目</t>
    <rPh sb="0" eb="1">
      <t>シナ</t>
    </rPh>
    <rPh sb="3" eb="4">
      <t>メ</t>
    </rPh>
    <phoneticPr fontId="1"/>
  </si>
  <si>
    <t>確認</t>
    <rPh sb="0" eb="2">
      <t>カクニン</t>
    </rPh>
    <phoneticPr fontId="1"/>
  </si>
  <si>
    <t>利尻</t>
    <rPh sb="0" eb="2">
      <t>リシリ</t>
    </rPh>
    <phoneticPr fontId="1"/>
  </si>
  <si>
    <t>富士</t>
    <rPh sb="0" eb="2">
      <t>フジ</t>
    </rPh>
    <phoneticPr fontId="1"/>
  </si>
  <si>
    <t>エ ア コ ン</t>
    <phoneticPr fontId="1"/>
  </si>
  <si>
    <t>個数</t>
    <rPh sb="0" eb="2">
      <t>コスウ</t>
    </rPh>
    <phoneticPr fontId="1"/>
  </si>
  <si>
    <t>利尻町</t>
    <rPh sb="0" eb="3">
      <t>リシリチョウ</t>
    </rPh>
    <phoneticPr fontId="1"/>
  </si>
  <si>
    <t>冷蔵・冷凍庫</t>
    <rPh sb="0" eb="2">
      <t>レイゾウ</t>
    </rPh>
    <rPh sb="3" eb="4">
      <t>レイ</t>
    </rPh>
    <rPh sb="4" eb="5">
      <t>トウ</t>
    </rPh>
    <rPh sb="5" eb="6">
      <t>コ</t>
    </rPh>
    <phoneticPr fontId="1"/>
  </si>
  <si>
    <t>合計</t>
    <rPh sb="0" eb="2">
      <t>ゴウケイ</t>
    </rPh>
    <phoneticPr fontId="1"/>
  </si>
  <si>
    <t>薄型テレビ</t>
    <rPh sb="0" eb="2">
      <t>ウスガタ</t>
    </rPh>
    <phoneticPr fontId="1"/>
  </si>
  <si>
    <t>富士町</t>
    <rPh sb="0" eb="3">
      <t>フジチョウ</t>
    </rPh>
    <phoneticPr fontId="1"/>
  </si>
  <si>
    <t>エアコン</t>
    <phoneticPr fontId="1"/>
  </si>
  <si>
    <t>テレビ</t>
    <phoneticPr fontId="1"/>
  </si>
  <si>
    <t>Ａ</t>
    <phoneticPr fontId="1"/>
  </si>
  <si>
    <t>Ｂ</t>
    <phoneticPr fontId="1"/>
  </si>
  <si>
    <t>Ａ</t>
    <phoneticPr fontId="1"/>
  </si>
  <si>
    <t>Ｂ</t>
    <phoneticPr fontId="1"/>
  </si>
  <si>
    <t>エアコン</t>
    <phoneticPr fontId="1"/>
  </si>
  <si>
    <t>テレビ</t>
    <phoneticPr fontId="1"/>
  </si>
  <si>
    <t>受付計</t>
    <rPh sb="0" eb="2">
      <t>ウケツケ</t>
    </rPh>
    <rPh sb="2" eb="3">
      <t>ケイ</t>
    </rPh>
    <phoneticPr fontId="1"/>
  </si>
  <si>
    <t>発送済</t>
    <rPh sb="0" eb="2">
      <t>ハッソウ</t>
    </rPh>
    <rPh sb="2" eb="3">
      <t>ズ</t>
    </rPh>
    <phoneticPr fontId="1"/>
  </si>
  <si>
    <t>総　計</t>
    <rPh sb="0" eb="1">
      <t>フサ</t>
    </rPh>
    <rPh sb="2" eb="3">
      <t>ケイ</t>
    </rPh>
    <phoneticPr fontId="1"/>
  </si>
  <si>
    <t>ｸﾞﾙｰﾌﾟ</t>
    <phoneticPr fontId="1"/>
  </si>
  <si>
    <t>品　目</t>
    <rPh sb="0" eb="1">
      <t>シナ</t>
    </rPh>
    <rPh sb="2" eb="3">
      <t>メ</t>
    </rPh>
    <phoneticPr fontId="1"/>
  </si>
  <si>
    <t>　</t>
    <phoneticPr fontId="1"/>
  </si>
  <si>
    <t>備考</t>
    <rPh sb="0" eb="2">
      <t>ビコウ</t>
    </rPh>
    <phoneticPr fontId="1"/>
  </si>
  <si>
    <t>エ ア コ ン</t>
    <phoneticPr fontId="1"/>
  </si>
  <si>
    <t>両町全体</t>
    <rPh sb="0" eb="2">
      <t>リョウチョウ</t>
    </rPh>
    <rPh sb="2" eb="4">
      <t>ゼンタイ</t>
    </rPh>
    <phoneticPr fontId="1"/>
  </si>
  <si>
    <t>　　</t>
    <phoneticPr fontId="1"/>
  </si>
  <si>
    <t>　</t>
    <phoneticPr fontId="1"/>
  </si>
  <si>
    <t>○</t>
    <phoneticPr fontId="1"/>
  </si>
  <si>
    <t>前年度残</t>
    <rPh sb="0" eb="1">
      <t>ゼン</t>
    </rPh>
    <rPh sb="1" eb="3">
      <t>ネンド</t>
    </rPh>
    <rPh sb="3" eb="4">
      <t>ザン</t>
    </rPh>
    <phoneticPr fontId="1"/>
  </si>
  <si>
    <t>本年度全体</t>
    <rPh sb="0" eb="3">
      <t>ホンネンド</t>
    </rPh>
    <rPh sb="3" eb="5">
      <t>ゼンタイ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</si>
</sst>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m\.d"/>
    <numFmt numFmtId="177" formatCode="####0000"/>
    <numFmt numFmtId="178" formatCode="########00000000"/>
    <numFmt numFmtId="179" formatCode="m/d"/>
    <numFmt numFmtId="180" formatCode="yy/mm/dd"/>
    <numFmt numFmtId="181" formatCode="0;[Red]0"/>
    <numFmt numFmtId="182" formatCode="m&quot;月&quot;d&quot;日&quot;;@"/>
  </numFmts>
  <fonts count="2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ゴシック"/>
      <family val="3"/>
      <charset val="128"/>
    </font>
    <font>
      <sz val="12"/>
      <name val="ＭＳ ゴシック"/>
      <family val="3"/>
      <charset val="128"/>
    </font>
    <font>
      <sz val="14"/>
      <name val="Wingdings"/>
      <charset val="2"/>
    </font>
    <font>
      <sz val="12"/>
      <name val="Wingdings"/>
      <charset val="2"/>
    </font>
    <font>
      <sz val="12"/>
      <name val="ＭＳ Ｐゴシック"/>
      <family val="3"/>
      <charset val="128"/>
    </font>
    <font>
      <sz val="12"/>
      <color indexed="30"/>
      <name val="ＭＳ ゴシック"/>
      <family val="3"/>
      <charset val="128"/>
    </font>
    <font>
      <sz val="12"/>
      <color indexed="10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name val="ＭＳ Ｐゴシック"/>
      <family val="3"/>
      <charset val="128"/>
    </font>
    <font>
      <sz val="12"/>
      <color indexed="10"/>
      <name val="ＭＳ Ｐゴシック"/>
      <family val="3"/>
      <charset val="128"/>
    </font>
    <font>
      <sz val="6"/>
      <color indexed="10"/>
      <name val="ＭＳ Ｐゴシック"/>
      <family val="3"/>
      <charset val="128"/>
    </font>
    <font>
      <sz val="18"/>
      <name val="HGS創英角ｺﾞｼｯｸUB"/>
      <family val="3"/>
      <charset val="128"/>
    </font>
    <font>
      <sz val="16"/>
      <color indexed="30"/>
      <name val="HGS創英角ｺﾞｼｯｸUB"/>
      <family val="3"/>
      <charset val="128"/>
    </font>
    <font>
      <sz val="18"/>
      <color indexed="30"/>
      <name val="HGS創英角ｺﾞｼｯｸUB"/>
      <family val="3"/>
      <charset val="128"/>
    </font>
    <font>
      <sz val="16"/>
      <name val="HGS創英角ｺﾞｼｯｸUB"/>
      <family val="3"/>
      <charset val="128"/>
    </font>
    <font>
      <sz val="18"/>
      <color indexed="10"/>
      <name val="HGS創英角ｺﾞｼｯｸUB"/>
      <family val="3"/>
      <charset val="128"/>
    </font>
    <font>
      <sz val="11"/>
      <name val="ＭＳ ゴシック"/>
      <family val="3"/>
      <charset val="128"/>
    </font>
    <font>
      <sz val="12"/>
      <color rgb="FFFF0000"/>
      <name val="ＭＳ Ｐゴシック"/>
      <family val="3"/>
      <charset val="128"/>
    </font>
    <font>
      <sz val="6"/>
      <color rgb="FFFF0000"/>
      <name val="ＭＳ Ｐゴシック"/>
      <family val="3"/>
      <charset val="128"/>
    </font>
    <font>
      <sz val="18"/>
      <color rgb="FFFF0000"/>
      <name val="HGS創英角ｺﾞｼｯｸUB"/>
      <family val="3"/>
      <charset val="128"/>
    </font>
    <font>
      <sz val="10"/>
      <color rgb="FFFF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14"/>
      <color rgb="FFFF0000"/>
      <name val="HGS創英角ｺﾞｼｯｸUB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1" xfId="0" applyFont="1" applyBorder="1" applyAlignment="1">
      <alignment horizontal="left" vertical="center" indent="1" shrinkToFit="1"/>
    </xf>
    <xf numFmtId="181" fontId="2" fillId="0" borderId="0" xfId="0" applyNumberFormat="1" applyFont="1" applyBorder="1" applyAlignment="1">
      <alignment horizontal="center" vertical="center"/>
    </xf>
    <xf numFmtId="181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80" fontId="2" fillId="0" borderId="0" xfId="0" applyNumberFormat="1" applyFont="1" applyBorder="1" applyAlignment="1">
      <alignment horizontal="center" vertical="center"/>
    </xf>
    <xf numFmtId="180" fontId="3" fillId="0" borderId="0" xfId="0" applyNumberFormat="1" applyFont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 shrinkToFit="1"/>
    </xf>
    <xf numFmtId="176" fontId="3" fillId="0" borderId="1" xfId="0" applyNumberFormat="1" applyFont="1" applyBorder="1" applyAlignment="1">
      <alignment horizontal="center" vertical="center"/>
    </xf>
    <xf numFmtId="181" fontId="3" fillId="0" borderId="0" xfId="0" applyNumberFormat="1" applyFont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/>
    </xf>
    <xf numFmtId="178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3" fillId="0" borderId="5" xfId="0" applyNumberFormat="1" applyFont="1" applyBorder="1" applyAlignment="1">
      <alignment horizontal="center" vertical="center"/>
    </xf>
    <xf numFmtId="178" fontId="3" fillId="0" borderId="6" xfId="0" applyNumberFormat="1" applyFont="1" applyBorder="1" applyAlignment="1">
      <alignment horizontal="center" vertical="center"/>
    </xf>
    <xf numFmtId="177" fontId="3" fillId="0" borderId="7" xfId="0" applyNumberFormat="1" applyFont="1" applyBorder="1" applyAlignment="1">
      <alignment horizontal="center" vertical="center"/>
    </xf>
    <xf numFmtId="178" fontId="3" fillId="0" borderId="8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180" fontId="3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distributed" vertical="center"/>
    </xf>
    <xf numFmtId="0" fontId="6" fillId="0" borderId="1" xfId="0" applyFont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79" fontId="3" fillId="0" borderId="9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176" fontId="3" fillId="0" borderId="9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 indent="1" shrinkToFit="1"/>
    </xf>
    <xf numFmtId="0" fontId="3" fillId="0" borderId="10" xfId="0" applyFont="1" applyBorder="1" applyAlignment="1">
      <alignment horizontal="center" vertical="center"/>
    </xf>
    <xf numFmtId="180" fontId="3" fillId="0" borderId="9" xfId="0" applyNumberFormat="1" applyFont="1" applyBorder="1" applyAlignment="1">
      <alignment horizontal="center" vertical="center"/>
    </xf>
    <xf numFmtId="56" fontId="6" fillId="0" borderId="1" xfId="0" applyNumberFormat="1" applyFont="1" applyBorder="1" applyAlignment="1">
      <alignment horizontal="center" vertical="center"/>
    </xf>
    <xf numFmtId="56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82" fontId="11" fillId="0" borderId="1" xfId="0" applyNumberFormat="1" applyFont="1" applyBorder="1" applyAlignment="1">
      <alignment horizontal="center" vertical="center"/>
    </xf>
    <xf numFmtId="182" fontId="12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 indent="1" shrinkToFit="1"/>
    </xf>
    <xf numFmtId="14" fontId="11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56" fontId="20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/>
    <xf numFmtId="0" fontId="16" fillId="0" borderId="1" xfId="0" applyFont="1" applyBorder="1"/>
    <xf numFmtId="0" fontId="13" fillId="0" borderId="0" xfId="0" applyFont="1"/>
    <xf numFmtId="0" fontId="13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13" fillId="0" borderId="0" xfId="0" applyFont="1" applyAlignment="1">
      <alignment horizontal="center"/>
    </xf>
    <xf numFmtId="0" fontId="18" fillId="0" borderId="1" xfId="0" applyFont="1" applyBorder="1" applyAlignment="1">
      <alignment horizontal="left" vertical="center" indent="1" shrinkToFit="1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shrinkToFit="1"/>
    </xf>
    <xf numFmtId="0" fontId="2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2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yhi\OneDrive\Desktop\R&#65304;&#24180;&#24230;&#19968;&#24335;\cfg.xlsx" TargetMode="External"/><Relationship Id="rId1" Type="http://schemas.openxmlformats.org/officeDocument/2006/relationships/externalLinkPath" Target="cf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B2">
            <v>2026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CCD07-1924-40F3-AB39-78FD5DEA4898}">
  <sheetPr>
    <tabColor rgb="FFFFC000"/>
  </sheetPr>
  <dimension ref="A1:O993"/>
  <sheetViews>
    <sheetView zoomScaleNormal="100" workbookViewId="0">
      <pane ySplit="2" topLeftCell="A3" activePane="bottomLeft" state="frozen"/>
      <selection pane="bottomLeft" activeCell="M1" sqref="M1"/>
    </sheetView>
  </sheetViews>
  <sheetFormatPr defaultRowHeight="14.25" x14ac:dyDescent="0.15"/>
  <cols>
    <col min="1" max="1" width="5.25" style="6" customWidth="1"/>
    <col min="2" max="2" width="7" style="6" customWidth="1"/>
    <col min="3" max="4" width="4" style="6" customWidth="1"/>
    <col min="5" max="5" width="23.5" style="6" customWidth="1"/>
    <col min="6" max="6" width="6.25" style="6" customWidth="1"/>
    <col min="7" max="7" width="10.5" style="6" customWidth="1"/>
    <col min="8" max="8" width="2.125" style="6" customWidth="1"/>
    <col min="9" max="9" width="7" style="6" customWidth="1"/>
    <col min="10" max="10" width="5" style="6" customWidth="1"/>
    <col min="11" max="11" width="10.375" style="6" customWidth="1"/>
    <col min="12" max="12" width="7.5" style="6" customWidth="1"/>
    <col min="13" max="13" width="10.5" style="6" bestFit="1" customWidth="1"/>
    <col min="14" max="16384" width="9" style="6"/>
  </cols>
  <sheetData>
    <row r="1" spans="1:14" ht="25.5" customHeight="1" x14ac:dyDescent="0.15">
      <c r="A1" s="76" t="str">
        <f>[1]Sheet1!$B$2&amp;"年度家電リサイクル一覧表　（Ａグループ）　　※発送済み"</f>
        <v>2026年度家電リサイクル一覧表　（Ａグループ）　　※発送済み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1:14" s="8" customFormat="1" ht="21" customHeight="1" x14ac:dyDescent="0.15">
      <c r="A2" s="7" t="s">
        <v>1</v>
      </c>
      <c r="B2" s="7" t="s">
        <v>5</v>
      </c>
      <c r="C2" s="7" t="s">
        <v>16</v>
      </c>
      <c r="D2" s="7" t="s">
        <v>17</v>
      </c>
      <c r="E2" s="7" t="s">
        <v>6</v>
      </c>
      <c r="F2" s="75" t="s">
        <v>0</v>
      </c>
      <c r="G2" s="75"/>
      <c r="H2" s="75"/>
      <c r="I2" s="7" t="s">
        <v>2</v>
      </c>
      <c r="J2" s="7" t="s">
        <v>3</v>
      </c>
      <c r="K2" s="17" t="s">
        <v>4</v>
      </c>
      <c r="L2" s="7" t="s">
        <v>15</v>
      </c>
      <c r="M2" s="7" t="s">
        <v>39</v>
      </c>
    </row>
    <row r="3" spans="1:14" ht="21" customHeight="1" x14ac:dyDescent="0.15">
      <c r="A3" s="12">
        <v>1</v>
      </c>
      <c r="B3" s="18"/>
      <c r="C3" s="18"/>
      <c r="D3" s="18"/>
      <c r="E3" s="9"/>
      <c r="F3" s="20"/>
      <c r="G3" s="21"/>
      <c r="H3" s="35" t="str">
        <f>IF(G3="","",(F3*100000000+G3)-7*INT((F3*100000000+G3)/7))</f>
        <v/>
      </c>
      <c r="I3" s="22"/>
      <c r="J3" s="12"/>
      <c r="K3" s="23"/>
      <c r="L3" s="32"/>
      <c r="M3" s="32"/>
    </row>
    <row r="4" spans="1:14" ht="21" customHeight="1" x14ac:dyDescent="0.15">
      <c r="A4" s="12">
        <v>2</v>
      </c>
      <c r="B4" s="18"/>
      <c r="C4" s="18"/>
      <c r="D4" s="18"/>
      <c r="E4" s="9"/>
      <c r="F4" s="20"/>
      <c r="G4" s="21"/>
      <c r="H4" s="35" t="str">
        <f>IF(G4="","",(F4*100000000+G4)-7*INT((F4*100000000+G4)/7))</f>
        <v/>
      </c>
      <c r="I4" s="22"/>
      <c r="J4" s="12"/>
      <c r="K4" s="23"/>
      <c r="L4" s="32"/>
      <c r="M4" s="32"/>
    </row>
    <row r="5" spans="1:14" ht="21" customHeight="1" x14ac:dyDescent="0.15">
      <c r="A5" s="12">
        <v>3</v>
      </c>
      <c r="B5" s="18"/>
      <c r="C5" s="18"/>
      <c r="D5" s="18"/>
      <c r="E5" s="9"/>
      <c r="F5" s="25"/>
      <c r="G5" s="26"/>
      <c r="H5" s="35" t="str">
        <f>IF(G5="","",(F5*100000000+G5)-7*INT((F5*100000000+G5)/7))</f>
        <v/>
      </c>
      <c r="I5" s="22"/>
      <c r="J5" s="12"/>
      <c r="K5" s="23"/>
      <c r="L5" s="32"/>
      <c r="M5" s="49"/>
      <c r="N5" s="14"/>
    </row>
    <row r="6" spans="1:14" ht="21" customHeight="1" x14ac:dyDescent="0.15">
      <c r="A6" s="12">
        <v>4</v>
      </c>
      <c r="B6" s="18"/>
      <c r="C6" s="18"/>
      <c r="D6" s="18"/>
      <c r="E6" s="9"/>
      <c r="F6" s="25"/>
      <c r="G6" s="26"/>
      <c r="H6" s="35" t="str">
        <f>IF(G6="","",(F6*100000000+G6)-7*INT((F6*100000000+G6)/7))</f>
        <v/>
      </c>
      <c r="I6" s="22"/>
      <c r="J6" s="12"/>
      <c r="K6" s="23"/>
      <c r="L6" s="32"/>
      <c r="M6" s="32"/>
    </row>
    <row r="7" spans="1:14" ht="21" customHeight="1" x14ac:dyDescent="0.15">
      <c r="A7" s="12">
        <v>5</v>
      </c>
      <c r="B7" s="18"/>
      <c r="C7" s="18"/>
      <c r="D7" s="18"/>
      <c r="E7" s="9"/>
      <c r="F7" s="20"/>
      <c r="G7" s="21"/>
      <c r="H7" s="35" t="str">
        <f>IF(G7="","",(F7*100000000+G7)-7*INT((F7*100000000+G7)/7))</f>
        <v/>
      </c>
      <c r="I7" s="22"/>
      <c r="J7" s="12"/>
      <c r="K7" s="23"/>
      <c r="L7" s="32"/>
      <c r="M7" s="32"/>
    </row>
    <row r="8" spans="1:14" ht="21" customHeight="1" x14ac:dyDescent="0.15">
      <c r="A8" s="12">
        <v>6</v>
      </c>
      <c r="B8" s="18"/>
      <c r="C8" s="18"/>
      <c r="D8" s="18"/>
      <c r="E8" s="9"/>
      <c r="F8" s="20"/>
      <c r="G8" s="21"/>
      <c r="H8" s="35" t="str">
        <f t="shared" ref="H8:H42" si="0">IF(G8="","",(F8*100000000+G8)-7*INT((F8*100000000+G8)/7))</f>
        <v/>
      </c>
      <c r="I8" s="22"/>
      <c r="J8" s="12"/>
      <c r="K8" s="23"/>
      <c r="L8" s="32"/>
      <c r="M8" s="32"/>
    </row>
    <row r="9" spans="1:14" ht="21" customHeight="1" x14ac:dyDescent="0.15">
      <c r="A9" s="12">
        <v>7</v>
      </c>
      <c r="B9" s="18"/>
      <c r="C9" s="18"/>
      <c r="D9" s="18"/>
      <c r="E9" s="9"/>
      <c r="F9" s="20"/>
      <c r="G9" s="21"/>
      <c r="H9" s="35" t="str">
        <f t="shared" si="0"/>
        <v/>
      </c>
      <c r="I9" s="22"/>
      <c r="J9" s="12"/>
      <c r="K9" s="23"/>
      <c r="L9" s="32"/>
      <c r="M9" s="32"/>
    </row>
    <row r="10" spans="1:14" ht="21" customHeight="1" x14ac:dyDescent="0.15">
      <c r="A10" s="12">
        <v>8</v>
      </c>
      <c r="B10" s="18"/>
      <c r="C10" s="18"/>
      <c r="D10" s="18"/>
      <c r="E10" s="9"/>
      <c r="F10" s="20"/>
      <c r="G10" s="21"/>
      <c r="H10" s="35" t="str">
        <f t="shared" si="0"/>
        <v/>
      </c>
      <c r="I10" s="22"/>
      <c r="J10" s="12"/>
      <c r="K10" s="23"/>
      <c r="L10" s="32"/>
      <c r="M10" s="32"/>
    </row>
    <row r="11" spans="1:14" ht="21" customHeight="1" x14ac:dyDescent="0.15">
      <c r="A11" s="12">
        <v>9</v>
      </c>
      <c r="B11" s="18"/>
      <c r="C11" s="18"/>
      <c r="D11" s="18"/>
      <c r="E11" s="9"/>
      <c r="F11" s="20"/>
      <c r="G11" s="21"/>
      <c r="H11" s="35" t="str">
        <f t="shared" si="0"/>
        <v/>
      </c>
      <c r="I11" s="22"/>
      <c r="J11" s="12"/>
      <c r="K11" s="23"/>
      <c r="L11" s="32"/>
      <c r="M11" s="32"/>
    </row>
    <row r="12" spans="1:14" ht="21" customHeight="1" x14ac:dyDescent="0.15">
      <c r="A12" s="12">
        <v>10</v>
      </c>
      <c r="B12" s="18"/>
      <c r="C12" s="18"/>
      <c r="D12" s="18"/>
      <c r="E12" s="9"/>
      <c r="F12" s="20"/>
      <c r="G12" s="21"/>
      <c r="H12" s="35" t="str">
        <f t="shared" si="0"/>
        <v/>
      </c>
      <c r="I12" s="22"/>
      <c r="J12" s="12"/>
      <c r="K12" s="23"/>
      <c r="L12" s="32"/>
      <c r="M12" s="32"/>
    </row>
    <row r="13" spans="1:14" ht="21" customHeight="1" x14ac:dyDescent="0.15">
      <c r="A13" s="12">
        <v>11</v>
      </c>
      <c r="B13" s="18"/>
      <c r="C13" s="18"/>
      <c r="D13" s="18"/>
      <c r="E13" s="9"/>
      <c r="F13" s="20"/>
      <c r="G13" s="21"/>
      <c r="H13" s="35" t="str">
        <f t="shared" si="0"/>
        <v/>
      </c>
      <c r="I13" s="22"/>
      <c r="J13" s="12"/>
      <c r="K13" s="23"/>
      <c r="L13" s="32"/>
      <c r="M13" s="32"/>
    </row>
    <row r="14" spans="1:14" ht="21" customHeight="1" x14ac:dyDescent="0.15">
      <c r="A14" s="12">
        <v>12</v>
      </c>
      <c r="B14" s="18"/>
      <c r="C14" s="18"/>
      <c r="D14" s="18"/>
      <c r="E14" s="9"/>
      <c r="F14" s="20"/>
      <c r="G14" s="21"/>
      <c r="H14" s="35" t="str">
        <f t="shared" si="0"/>
        <v/>
      </c>
      <c r="I14" s="22"/>
      <c r="J14" s="12"/>
      <c r="K14" s="23"/>
      <c r="L14" s="32"/>
      <c r="M14" s="32"/>
    </row>
    <row r="15" spans="1:14" ht="21" customHeight="1" x14ac:dyDescent="0.15">
      <c r="A15" s="12">
        <v>13</v>
      </c>
      <c r="B15" s="18"/>
      <c r="C15" s="18"/>
      <c r="D15" s="18"/>
      <c r="E15" s="9"/>
      <c r="F15" s="20"/>
      <c r="G15" s="21"/>
      <c r="H15" s="35" t="str">
        <f>IF(G15="","",(F15*100000000+G15)-7*INT((F15*100000000+G15)/7))</f>
        <v/>
      </c>
      <c r="I15" s="22"/>
      <c r="J15" s="12"/>
      <c r="K15" s="23"/>
      <c r="L15" s="32"/>
      <c r="M15" s="32"/>
    </row>
    <row r="16" spans="1:14" ht="21" customHeight="1" x14ac:dyDescent="0.15">
      <c r="A16" s="12">
        <v>14</v>
      </c>
      <c r="B16" s="18"/>
      <c r="C16" s="18"/>
      <c r="D16" s="18"/>
      <c r="E16" s="9"/>
      <c r="F16" s="20"/>
      <c r="G16" s="21"/>
      <c r="H16" s="35" t="str">
        <f t="shared" si="0"/>
        <v/>
      </c>
      <c r="I16" s="22"/>
      <c r="J16" s="12"/>
      <c r="K16" s="23"/>
      <c r="L16" s="32"/>
      <c r="M16" s="32"/>
    </row>
    <row r="17" spans="1:13" ht="21" customHeight="1" x14ac:dyDescent="0.15">
      <c r="A17" s="12">
        <v>15</v>
      </c>
      <c r="B17" s="18"/>
      <c r="C17" s="18"/>
      <c r="D17" s="18"/>
      <c r="E17" s="9"/>
      <c r="F17" s="20"/>
      <c r="G17" s="21"/>
      <c r="H17" s="35" t="str">
        <f t="shared" si="0"/>
        <v/>
      </c>
      <c r="I17" s="22"/>
      <c r="J17" s="12"/>
      <c r="K17" s="23"/>
      <c r="L17" s="32"/>
      <c r="M17" s="32"/>
    </row>
    <row r="18" spans="1:13" ht="21" customHeight="1" x14ac:dyDescent="0.15">
      <c r="A18" s="12">
        <v>16</v>
      </c>
      <c r="B18" s="18"/>
      <c r="C18" s="18"/>
      <c r="D18" s="18"/>
      <c r="E18" s="9"/>
      <c r="F18" s="20"/>
      <c r="G18" s="21"/>
      <c r="H18" s="35" t="str">
        <f t="shared" si="0"/>
        <v/>
      </c>
      <c r="I18" s="22"/>
      <c r="J18" s="12"/>
      <c r="K18" s="23"/>
      <c r="L18" s="32"/>
      <c r="M18" s="32"/>
    </row>
    <row r="19" spans="1:13" ht="21" customHeight="1" x14ac:dyDescent="0.15">
      <c r="A19" s="12">
        <v>17</v>
      </c>
      <c r="B19" s="18"/>
      <c r="C19" s="18"/>
      <c r="D19" s="18"/>
      <c r="E19" s="9"/>
      <c r="F19" s="20"/>
      <c r="G19" s="21"/>
      <c r="H19" s="35" t="str">
        <f t="shared" si="0"/>
        <v/>
      </c>
      <c r="I19" s="22"/>
      <c r="J19" s="12"/>
      <c r="K19" s="23"/>
      <c r="L19" s="32"/>
      <c r="M19" s="32"/>
    </row>
    <row r="20" spans="1:13" ht="21" customHeight="1" x14ac:dyDescent="0.15">
      <c r="A20" s="12">
        <v>18</v>
      </c>
      <c r="B20" s="18"/>
      <c r="C20" s="18"/>
      <c r="D20" s="18"/>
      <c r="E20" s="9"/>
      <c r="F20" s="20"/>
      <c r="G20" s="21"/>
      <c r="H20" s="35" t="str">
        <f t="shared" si="0"/>
        <v/>
      </c>
      <c r="I20" s="22"/>
      <c r="J20" s="12"/>
      <c r="K20" s="23"/>
      <c r="L20" s="32"/>
      <c r="M20" s="32"/>
    </row>
    <row r="21" spans="1:13" ht="21" customHeight="1" x14ac:dyDescent="0.15">
      <c r="A21" s="12">
        <v>19</v>
      </c>
      <c r="B21" s="18"/>
      <c r="C21" s="18"/>
      <c r="D21" s="18"/>
      <c r="E21" s="9"/>
      <c r="F21" s="20"/>
      <c r="G21" s="21"/>
      <c r="H21" s="35" t="str">
        <f t="shared" si="0"/>
        <v/>
      </c>
      <c r="I21" s="22"/>
      <c r="J21" s="12"/>
      <c r="K21" s="23"/>
      <c r="L21" s="32"/>
      <c r="M21" s="32"/>
    </row>
    <row r="22" spans="1:13" ht="21" customHeight="1" x14ac:dyDescent="0.15">
      <c r="A22" s="12">
        <v>20</v>
      </c>
      <c r="B22" s="18"/>
      <c r="C22" s="18"/>
      <c r="D22" s="18"/>
      <c r="E22" s="9"/>
      <c r="F22" s="20"/>
      <c r="G22" s="21"/>
      <c r="H22" s="35" t="str">
        <f t="shared" si="0"/>
        <v/>
      </c>
      <c r="I22" s="22"/>
      <c r="J22" s="12"/>
      <c r="K22" s="23"/>
      <c r="L22" s="32"/>
      <c r="M22" s="32"/>
    </row>
    <row r="23" spans="1:13" ht="21" customHeight="1" x14ac:dyDescent="0.15">
      <c r="A23" s="12">
        <v>21</v>
      </c>
      <c r="B23" s="18"/>
      <c r="C23" s="18"/>
      <c r="D23" s="18"/>
      <c r="E23" s="9"/>
      <c r="F23" s="20"/>
      <c r="G23" s="21"/>
      <c r="H23" s="35" t="str">
        <f t="shared" si="0"/>
        <v/>
      </c>
      <c r="I23" s="22"/>
      <c r="J23" s="12"/>
      <c r="K23" s="23"/>
      <c r="L23" s="32"/>
      <c r="M23" s="32"/>
    </row>
    <row r="24" spans="1:13" ht="21" customHeight="1" x14ac:dyDescent="0.15">
      <c r="A24" s="12">
        <v>22</v>
      </c>
      <c r="B24" s="18"/>
      <c r="C24" s="18"/>
      <c r="D24" s="18"/>
      <c r="E24" s="9"/>
      <c r="F24" s="20"/>
      <c r="G24" s="21"/>
      <c r="H24" s="35" t="str">
        <f t="shared" si="0"/>
        <v/>
      </c>
      <c r="I24" s="22"/>
      <c r="J24" s="12"/>
      <c r="K24" s="23"/>
      <c r="L24" s="32"/>
      <c r="M24" s="32"/>
    </row>
    <row r="25" spans="1:13" ht="21" customHeight="1" x14ac:dyDescent="0.15">
      <c r="A25" s="12">
        <v>23</v>
      </c>
      <c r="B25" s="18"/>
      <c r="C25" s="18"/>
      <c r="D25" s="18"/>
      <c r="E25" s="9"/>
      <c r="F25" s="20"/>
      <c r="G25" s="21"/>
      <c r="H25" s="35" t="str">
        <f t="shared" si="0"/>
        <v/>
      </c>
      <c r="I25" s="22"/>
      <c r="J25" s="12"/>
      <c r="K25" s="23"/>
      <c r="L25" s="32"/>
      <c r="M25" s="32"/>
    </row>
    <row r="26" spans="1:13" ht="21" customHeight="1" x14ac:dyDescent="0.15">
      <c r="A26" s="12">
        <v>24</v>
      </c>
      <c r="B26" s="18"/>
      <c r="C26" s="18"/>
      <c r="D26" s="18"/>
      <c r="E26" s="9"/>
      <c r="F26" s="20"/>
      <c r="G26" s="21"/>
      <c r="H26" s="35" t="str">
        <f t="shared" si="0"/>
        <v/>
      </c>
      <c r="I26" s="22"/>
      <c r="J26" s="12"/>
      <c r="K26" s="23"/>
      <c r="L26" s="32"/>
      <c r="M26" s="32"/>
    </row>
    <row r="27" spans="1:13" ht="21" customHeight="1" x14ac:dyDescent="0.15">
      <c r="A27" s="12">
        <v>25</v>
      </c>
      <c r="B27" s="18"/>
      <c r="C27" s="18"/>
      <c r="D27" s="18"/>
      <c r="E27" s="9"/>
      <c r="F27" s="20"/>
      <c r="G27" s="21"/>
      <c r="H27" s="35" t="str">
        <f t="shared" si="0"/>
        <v/>
      </c>
      <c r="I27" s="22"/>
      <c r="J27" s="12"/>
      <c r="K27" s="23"/>
      <c r="L27" s="32"/>
      <c r="M27" s="32"/>
    </row>
    <row r="28" spans="1:13" ht="21" customHeight="1" x14ac:dyDescent="0.15">
      <c r="A28" s="12">
        <v>26</v>
      </c>
      <c r="B28" s="18"/>
      <c r="C28" s="18"/>
      <c r="D28" s="18"/>
      <c r="E28" s="9"/>
      <c r="F28" s="20"/>
      <c r="G28" s="21"/>
      <c r="H28" s="35" t="str">
        <f t="shared" si="0"/>
        <v/>
      </c>
      <c r="I28" s="22"/>
      <c r="J28" s="12"/>
      <c r="K28" s="23"/>
      <c r="L28" s="32"/>
      <c r="M28" s="32"/>
    </row>
    <row r="29" spans="1:13" ht="21" customHeight="1" x14ac:dyDescent="0.15">
      <c r="A29" s="12">
        <v>27</v>
      </c>
      <c r="B29" s="18"/>
      <c r="C29" s="18"/>
      <c r="D29" s="18"/>
      <c r="E29" s="9"/>
      <c r="F29" s="20"/>
      <c r="G29" s="21"/>
      <c r="H29" s="35" t="str">
        <f t="shared" si="0"/>
        <v/>
      </c>
      <c r="I29" s="22"/>
      <c r="J29" s="12"/>
      <c r="K29" s="23"/>
      <c r="L29" s="32"/>
      <c r="M29" s="32"/>
    </row>
    <row r="30" spans="1:13" ht="21" customHeight="1" x14ac:dyDescent="0.15">
      <c r="A30" s="12">
        <v>28</v>
      </c>
      <c r="B30" s="18"/>
      <c r="C30" s="18"/>
      <c r="D30" s="18"/>
      <c r="E30" s="9"/>
      <c r="F30" s="20"/>
      <c r="G30" s="21"/>
      <c r="H30" s="35" t="str">
        <f t="shared" si="0"/>
        <v/>
      </c>
      <c r="I30" s="22"/>
      <c r="J30" s="12"/>
      <c r="K30" s="23"/>
      <c r="L30" s="32"/>
      <c r="M30" s="32"/>
    </row>
    <row r="31" spans="1:13" ht="21" customHeight="1" x14ac:dyDescent="0.15">
      <c r="A31" s="12">
        <v>29</v>
      </c>
      <c r="B31" s="18"/>
      <c r="C31" s="18"/>
      <c r="D31" s="18"/>
      <c r="E31" s="9"/>
      <c r="F31" s="20"/>
      <c r="G31" s="21"/>
      <c r="H31" s="35" t="str">
        <f t="shared" si="0"/>
        <v/>
      </c>
      <c r="I31" s="22"/>
      <c r="J31" s="12"/>
      <c r="K31" s="23"/>
      <c r="L31" s="32"/>
      <c r="M31" s="32"/>
    </row>
    <row r="32" spans="1:13" ht="21" customHeight="1" x14ac:dyDescent="0.15">
      <c r="A32" s="12">
        <v>30</v>
      </c>
      <c r="B32" s="18"/>
      <c r="C32" s="18"/>
      <c r="D32" s="18"/>
      <c r="E32" s="9"/>
      <c r="F32" s="20"/>
      <c r="G32" s="21"/>
      <c r="H32" s="35" t="str">
        <f t="shared" si="0"/>
        <v/>
      </c>
      <c r="I32" s="22"/>
      <c r="J32" s="12"/>
      <c r="K32" s="23"/>
      <c r="L32" s="32"/>
      <c r="M32" s="32"/>
    </row>
    <row r="33" spans="1:13" ht="21" customHeight="1" x14ac:dyDescent="0.15">
      <c r="A33" s="12">
        <v>31</v>
      </c>
      <c r="B33" s="18"/>
      <c r="C33" s="18"/>
      <c r="D33" s="18"/>
      <c r="E33" s="9"/>
      <c r="F33" s="20"/>
      <c r="G33" s="21"/>
      <c r="H33" s="35" t="str">
        <f t="shared" si="0"/>
        <v/>
      </c>
      <c r="I33" s="22"/>
      <c r="J33" s="12"/>
      <c r="K33" s="23"/>
      <c r="L33" s="32"/>
      <c r="M33" s="32"/>
    </row>
    <row r="34" spans="1:13" ht="21" customHeight="1" x14ac:dyDescent="0.15">
      <c r="A34" s="12">
        <v>32</v>
      </c>
      <c r="B34" s="18"/>
      <c r="C34" s="18"/>
      <c r="D34" s="18"/>
      <c r="E34" s="9"/>
      <c r="F34" s="20"/>
      <c r="G34" s="21"/>
      <c r="H34" s="35" t="str">
        <f t="shared" si="0"/>
        <v/>
      </c>
      <c r="I34" s="22"/>
      <c r="J34" s="12"/>
      <c r="K34" s="23"/>
      <c r="L34" s="32"/>
      <c r="M34" s="32"/>
    </row>
    <row r="35" spans="1:13" ht="21" customHeight="1" x14ac:dyDescent="0.15">
      <c r="A35" s="12">
        <v>33</v>
      </c>
      <c r="B35" s="18"/>
      <c r="C35" s="18"/>
      <c r="D35" s="18"/>
      <c r="E35" s="9"/>
      <c r="F35" s="20"/>
      <c r="G35" s="21"/>
      <c r="H35" s="35" t="str">
        <f t="shared" si="0"/>
        <v/>
      </c>
      <c r="I35" s="22"/>
      <c r="J35" s="12"/>
      <c r="K35" s="23"/>
      <c r="L35" s="32"/>
      <c r="M35" s="32"/>
    </row>
    <row r="36" spans="1:13" ht="21" customHeight="1" x14ac:dyDescent="0.15">
      <c r="A36" s="12">
        <v>34</v>
      </c>
      <c r="B36" s="18"/>
      <c r="C36" s="18"/>
      <c r="D36" s="18"/>
      <c r="E36" s="9"/>
      <c r="F36" s="20"/>
      <c r="G36" s="21"/>
      <c r="H36" s="35" t="str">
        <f t="shared" si="0"/>
        <v/>
      </c>
      <c r="I36" s="22"/>
      <c r="J36" s="12"/>
      <c r="K36" s="23"/>
      <c r="L36" s="32"/>
      <c r="M36" s="32"/>
    </row>
    <row r="37" spans="1:13" ht="21" customHeight="1" x14ac:dyDescent="0.15">
      <c r="A37" s="12">
        <v>35</v>
      </c>
      <c r="B37" s="18"/>
      <c r="C37" s="18"/>
      <c r="D37" s="18"/>
      <c r="E37" s="9"/>
      <c r="F37" s="20"/>
      <c r="G37" s="21"/>
      <c r="H37" s="35" t="str">
        <f t="shared" si="0"/>
        <v/>
      </c>
      <c r="I37" s="22"/>
      <c r="J37" s="12"/>
      <c r="K37" s="23"/>
      <c r="L37" s="32"/>
      <c r="M37" s="32"/>
    </row>
    <row r="38" spans="1:13" ht="21" customHeight="1" x14ac:dyDescent="0.15">
      <c r="A38" s="12">
        <v>36</v>
      </c>
      <c r="B38" s="18"/>
      <c r="C38" s="18"/>
      <c r="D38" s="18"/>
      <c r="E38" s="9"/>
      <c r="F38" s="20"/>
      <c r="G38" s="21"/>
      <c r="H38" s="35" t="str">
        <f t="shared" si="0"/>
        <v/>
      </c>
      <c r="I38" s="22"/>
      <c r="J38" s="12"/>
      <c r="K38" s="23"/>
      <c r="L38" s="32"/>
      <c r="M38" s="32"/>
    </row>
    <row r="39" spans="1:13" ht="21" customHeight="1" x14ac:dyDescent="0.15">
      <c r="A39" s="12">
        <v>37</v>
      </c>
      <c r="B39" s="18"/>
      <c r="C39" s="18"/>
      <c r="D39" s="18"/>
      <c r="E39" s="9"/>
      <c r="F39" s="25"/>
      <c r="G39" s="26"/>
      <c r="H39" s="35" t="str">
        <f t="shared" si="0"/>
        <v/>
      </c>
      <c r="I39" s="22"/>
      <c r="J39" s="12"/>
      <c r="K39" s="23"/>
      <c r="L39" s="32"/>
      <c r="M39" s="32"/>
    </row>
    <row r="40" spans="1:13" ht="21" customHeight="1" x14ac:dyDescent="0.15">
      <c r="A40" s="12">
        <v>38</v>
      </c>
      <c r="B40" s="18"/>
      <c r="C40" s="18"/>
      <c r="D40" s="18"/>
      <c r="E40" s="9"/>
      <c r="F40" s="25"/>
      <c r="G40" s="26"/>
      <c r="H40" s="35" t="str">
        <f t="shared" si="0"/>
        <v/>
      </c>
      <c r="I40" s="22"/>
      <c r="J40" s="12"/>
      <c r="K40" s="23"/>
      <c r="L40" s="32"/>
      <c r="M40" s="32"/>
    </row>
    <row r="41" spans="1:13" ht="21" customHeight="1" x14ac:dyDescent="0.15">
      <c r="A41" s="12">
        <v>39</v>
      </c>
      <c r="B41" s="18"/>
      <c r="C41" s="18"/>
      <c r="D41" s="18"/>
      <c r="E41" s="9"/>
      <c r="F41" s="20"/>
      <c r="G41" s="21"/>
      <c r="H41" s="35" t="str">
        <f t="shared" si="0"/>
        <v/>
      </c>
      <c r="I41" s="22"/>
      <c r="J41" s="12"/>
      <c r="K41" s="23"/>
      <c r="L41" s="32"/>
      <c r="M41" s="32"/>
    </row>
    <row r="42" spans="1:13" ht="21" customHeight="1" x14ac:dyDescent="0.15">
      <c r="A42" s="12">
        <v>40</v>
      </c>
      <c r="B42" s="18"/>
      <c r="C42" s="18"/>
      <c r="D42" s="18"/>
      <c r="E42" s="9"/>
      <c r="F42" s="20"/>
      <c r="G42" s="21"/>
      <c r="H42" s="35" t="str">
        <f t="shared" si="0"/>
        <v/>
      </c>
      <c r="I42" s="22"/>
      <c r="J42" s="12"/>
      <c r="K42" s="23"/>
      <c r="L42" s="32"/>
      <c r="M42" s="71"/>
    </row>
    <row r="43" spans="1:13" ht="21" customHeight="1" x14ac:dyDescent="0.15">
      <c r="A43" s="12">
        <v>41</v>
      </c>
      <c r="B43" s="18"/>
      <c r="C43" s="18"/>
      <c r="D43" s="18"/>
      <c r="E43" s="9"/>
      <c r="F43" s="20"/>
      <c r="G43" s="21"/>
      <c r="H43" s="35" t="str">
        <f>IF(G43="","",(F43*100000000+G43)-7*INT((F43*100000000+G43)/7))</f>
        <v/>
      </c>
      <c r="I43" s="22"/>
      <c r="J43" s="12"/>
      <c r="K43" s="23"/>
      <c r="L43" s="32"/>
      <c r="M43" s="32"/>
    </row>
    <row r="44" spans="1:13" ht="21" customHeight="1" x14ac:dyDescent="0.15">
      <c r="A44" s="12">
        <v>42</v>
      </c>
      <c r="B44" s="18"/>
      <c r="C44" s="18"/>
      <c r="D44" s="18"/>
      <c r="E44" s="9"/>
      <c r="F44" s="20"/>
      <c r="G44" s="21"/>
      <c r="H44" s="35" t="str">
        <f>IF(G44="","",(F44*100000000+G44)-7*INT((F44*100000000+G44)/7))</f>
        <v/>
      </c>
      <c r="I44" s="22"/>
      <c r="J44" s="12"/>
      <c r="K44" s="23"/>
      <c r="L44" s="32"/>
      <c r="M44" s="32"/>
    </row>
    <row r="45" spans="1:13" ht="21" customHeight="1" x14ac:dyDescent="0.15">
      <c r="A45" s="12">
        <v>43</v>
      </c>
      <c r="B45" s="18"/>
      <c r="C45" s="18"/>
      <c r="D45" s="18"/>
      <c r="E45" s="9"/>
      <c r="F45" s="25"/>
      <c r="G45" s="26"/>
      <c r="H45" s="35" t="str">
        <f>IF(G45="","",(F45*100000000+G45)-7*INT((F45*100000000+G45)/7))</f>
        <v/>
      </c>
      <c r="I45" s="22"/>
      <c r="J45" s="12"/>
      <c r="K45" s="23"/>
      <c r="L45" s="32"/>
      <c r="M45" s="32"/>
    </row>
    <row r="46" spans="1:13" ht="21" customHeight="1" x14ac:dyDescent="0.15">
      <c r="A46" s="12">
        <v>44</v>
      </c>
      <c r="B46" s="18"/>
      <c r="C46" s="18"/>
      <c r="D46" s="18"/>
      <c r="E46" s="9"/>
      <c r="F46" s="25"/>
      <c r="G46" s="26"/>
      <c r="H46" s="35" t="str">
        <f>IF(G46="","",(F46*100000000+G46)-7*INT((F46*100000000+G46)/7))</f>
        <v/>
      </c>
      <c r="I46" s="22"/>
      <c r="J46" s="12"/>
      <c r="K46" s="23"/>
      <c r="L46" s="32"/>
      <c r="M46" s="32"/>
    </row>
    <row r="47" spans="1:13" ht="21" customHeight="1" x14ac:dyDescent="0.15">
      <c r="A47" s="12">
        <v>45</v>
      </c>
      <c r="B47" s="18"/>
      <c r="C47" s="18"/>
      <c r="D47" s="18"/>
      <c r="E47" s="9"/>
      <c r="F47" s="20"/>
      <c r="G47" s="21"/>
      <c r="H47" s="35" t="str">
        <f>IF(G47="","",(F47*100000000+G47)-7*INT((F47*100000000+G47)/7))</f>
        <v/>
      </c>
      <c r="I47" s="22"/>
      <c r="J47" s="12"/>
      <c r="K47" s="23"/>
      <c r="L47" s="32"/>
      <c r="M47" s="32"/>
    </row>
    <row r="48" spans="1:13" ht="21" customHeight="1" x14ac:dyDescent="0.15">
      <c r="A48" s="12">
        <v>46</v>
      </c>
      <c r="B48" s="18"/>
      <c r="C48" s="18"/>
      <c r="D48" s="18"/>
      <c r="E48" s="9"/>
      <c r="F48" s="20"/>
      <c r="G48" s="21"/>
      <c r="H48" s="35" t="str">
        <f t="shared" ref="H48:H125" si="1">IF(G48="","",(F48*100000000+G48)-7*INT((F48*100000000+G48)/7))</f>
        <v/>
      </c>
      <c r="I48" s="22"/>
      <c r="J48" s="12"/>
      <c r="K48" s="23"/>
      <c r="L48" s="32"/>
      <c r="M48" s="32"/>
    </row>
    <row r="49" spans="1:13" ht="21" customHeight="1" x14ac:dyDescent="0.15">
      <c r="A49" s="12">
        <v>47</v>
      </c>
      <c r="B49" s="18"/>
      <c r="C49" s="18"/>
      <c r="D49" s="18"/>
      <c r="E49" s="9"/>
      <c r="F49" s="20"/>
      <c r="G49" s="21"/>
      <c r="H49" s="35" t="str">
        <f t="shared" si="1"/>
        <v/>
      </c>
      <c r="I49" s="22"/>
      <c r="J49" s="12"/>
      <c r="K49" s="23"/>
      <c r="L49" s="32"/>
      <c r="M49" s="32"/>
    </row>
    <row r="50" spans="1:13" ht="21" customHeight="1" x14ac:dyDescent="0.15">
      <c r="A50" s="12">
        <v>48</v>
      </c>
      <c r="B50" s="18"/>
      <c r="C50" s="18"/>
      <c r="D50" s="18"/>
      <c r="E50" s="9"/>
      <c r="F50" s="20"/>
      <c r="G50" s="21"/>
      <c r="H50" s="35" t="str">
        <f t="shared" si="1"/>
        <v/>
      </c>
      <c r="I50" s="22"/>
      <c r="J50" s="12"/>
      <c r="K50" s="23"/>
      <c r="L50" s="32"/>
      <c r="M50" s="32"/>
    </row>
    <row r="51" spans="1:13" ht="21" customHeight="1" x14ac:dyDescent="0.15">
      <c r="A51" s="12">
        <v>49</v>
      </c>
      <c r="B51" s="18"/>
      <c r="C51" s="18"/>
      <c r="D51" s="18"/>
      <c r="E51" s="9"/>
      <c r="F51" s="20"/>
      <c r="G51" s="21"/>
      <c r="H51" s="35" t="str">
        <f t="shared" si="1"/>
        <v/>
      </c>
      <c r="I51" s="22"/>
      <c r="J51" s="12"/>
      <c r="K51" s="23"/>
      <c r="L51" s="32"/>
      <c r="M51" s="32"/>
    </row>
    <row r="52" spans="1:13" ht="21" customHeight="1" x14ac:dyDescent="0.15">
      <c r="A52" s="12">
        <v>50</v>
      </c>
      <c r="B52" s="18"/>
      <c r="C52" s="18"/>
      <c r="D52" s="18"/>
      <c r="E52" s="9"/>
      <c r="F52" s="20"/>
      <c r="G52" s="21"/>
      <c r="H52" s="35" t="str">
        <f t="shared" si="1"/>
        <v/>
      </c>
      <c r="I52" s="22"/>
      <c r="J52" s="12"/>
      <c r="K52" s="23"/>
      <c r="L52" s="32"/>
      <c r="M52" s="32"/>
    </row>
    <row r="53" spans="1:13" ht="21" customHeight="1" x14ac:dyDescent="0.15">
      <c r="A53" s="12">
        <v>51</v>
      </c>
      <c r="B53" s="18"/>
      <c r="C53" s="18"/>
      <c r="D53" s="18"/>
      <c r="E53" s="9"/>
      <c r="F53" s="20"/>
      <c r="G53" s="21"/>
      <c r="H53" s="35" t="str">
        <f t="shared" si="1"/>
        <v/>
      </c>
      <c r="I53" s="22"/>
      <c r="J53" s="12"/>
      <c r="K53" s="23"/>
      <c r="L53" s="32"/>
      <c r="M53" s="32"/>
    </row>
    <row r="54" spans="1:13" ht="21" customHeight="1" x14ac:dyDescent="0.15">
      <c r="A54" s="12">
        <v>52</v>
      </c>
      <c r="B54" s="18"/>
      <c r="C54" s="18"/>
      <c r="D54" s="18"/>
      <c r="E54" s="9"/>
      <c r="F54" s="20"/>
      <c r="G54" s="21"/>
      <c r="H54" s="35" t="str">
        <f t="shared" si="1"/>
        <v/>
      </c>
      <c r="I54" s="22"/>
      <c r="J54" s="12"/>
      <c r="K54" s="23"/>
      <c r="L54" s="32"/>
      <c r="M54" s="32"/>
    </row>
    <row r="55" spans="1:13" ht="21" customHeight="1" x14ac:dyDescent="0.15">
      <c r="A55" s="12">
        <v>53</v>
      </c>
      <c r="B55" s="18"/>
      <c r="C55" s="18"/>
      <c r="D55" s="18"/>
      <c r="E55" s="9"/>
      <c r="F55" s="20"/>
      <c r="G55" s="21"/>
      <c r="H55" s="35" t="str">
        <f>IF(G55="","",(F55*100000000+G55)-7*INT((F55*100000000+G55)/7))</f>
        <v/>
      </c>
      <c r="I55" s="22"/>
      <c r="J55" s="12"/>
      <c r="K55" s="23"/>
      <c r="L55" s="32"/>
      <c r="M55" s="32"/>
    </row>
    <row r="56" spans="1:13" ht="21" customHeight="1" x14ac:dyDescent="0.15">
      <c r="A56" s="12">
        <v>54</v>
      </c>
      <c r="B56" s="18"/>
      <c r="C56" s="18"/>
      <c r="D56" s="18"/>
      <c r="E56" s="9"/>
      <c r="F56" s="20"/>
      <c r="G56" s="21"/>
      <c r="H56" s="35" t="str">
        <f t="shared" si="1"/>
        <v/>
      </c>
      <c r="I56" s="22"/>
      <c r="J56" s="12"/>
      <c r="K56" s="23"/>
      <c r="L56" s="32"/>
      <c r="M56" s="32"/>
    </row>
    <row r="57" spans="1:13" ht="21" customHeight="1" x14ac:dyDescent="0.15">
      <c r="A57" s="12">
        <v>55</v>
      </c>
      <c r="B57" s="18"/>
      <c r="C57" s="18"/>
      <c r="D57" s="18"/>
      <c r="E57" s="9"/>
      <c r="F57" s="20"/>
      <c r="G57" s="21"/>
      <c r="H57" s="35" t="str">
        <f t="shared" si="1"/>
        <v/>
      </c>
      <c r="I57" s="22"/>
      <c r="J57" s="12"/>
      <c r="K57" s="23"/>
      <c r="L57" s="32"/>
      <c r="M57" s="32"/>
    </row>
    <row r="58" spans="1:13" ht="21" customHeight="1" x14ac:dyDescent="0.15">
      <c r="A58" s="12">
        <v>56</v>
      </c>
      <c r="B58" s="18"/>
      <c r="C58" s="18"/>
      <c r="D58" s="18"/>
      <c r="E58" s="9"/>
      <c r="F58" s="20"/>
      <c r="G58" s="21"/>
      <c r="H58" s="35" t="str">
        <f t="shared" si="1"/>
        <v/>
      </c>
      <c r="I58" s="22"/>
      <c r="J58" s="12"/>
      <c r="K58" s="23"/>
      <c r="L58" s="32"/>
      <c r="M58" s="32"/>
    </row>
    <row r="59" spans="1:13" ht="21" customHeight="1" x14ac:dyDescent="0.15">
      <c r="A59" s="12">
        <v>57</v>
      </c>
      <c r="B59" s="18"/>
      <c r="C59" s="18"/>
      <c r="D59" s="18"/>
      <c r="E59" s="9"/>
      <c r="F59" s="20"/>
      <c r="G59" s="21"/>
      <c r="H59" s="35" t="str">
        <f t="shared" si="1"/>
        <v/>
      </c>
      <c r="I59" s="22"/>
      <c r="J59" s="12"/>
      <c r="K59" s="23"/>
      <c r="L59" s="32"/>
      <c r="M59" s="32"/>
    </row>
    <row r="60" spans="1:13" ht="21" customHeight="1" x14ac:dyDescent="0.15">
      <c r="A60" s="12">
        <v>58</v>
      </c>
      <c r="B60" s="18"/>
      <c r="C60" s="18"/>
      <c r="D60" s="18"/>
      <c r="E60" s="9"/>
      <c r="F60" s="20"/>
      <c r="G60" s="21"/>
      <c r="H60" s="35" t="str">
        <f t="shared" si="1"/>
        <v/>
      </c>
      <c r="I60" s="22"/>
      <c r="J60" s="12"/>
      <c r="K60" s="23"/>
      <c r="L60" s="32"/>
      <c r="M60" s="32"/>
    </row>
    <row r="61" spans="1:13" ht="21" customHeight="1" x14ac:dyDescent="0.15">
      <c r="A61" s="12">
        <v>59</v>
      </c>
      <c r="B61" s="18"/>
      <c r="C61" s="18"/>
      <c r="D61" s="18"/>
      <c r="E61" s="9"/>
      <c r="F61" s="20"/>
      <c r="G61" s="21"/>
      <c r="H61" s="35" t="str">
        <f t="shared" si="1"/>
        <v/>
      </c>
      <c r="I61" s="22"/>
      <c r="J61" s="12"/>
      <c r="K61" s="23"/>
      <c r="L61" s="32"/>
      <c r="M61" s="32"/>
    </row>
    <row r="62" spans="1:13" ht="21" customHeight="1" x14ac:dyDescent="0.15">
      <c r="A62" s="12">
        <v>60</v>
      </c>
      <c r="B62" s="18"/>
      <c r="C62" s="18"/>
      <c r="D62" s="18"/>
      <c r="E62" s="9"/>
      <c r="F62" s="20"/>
      <c r="G62" s="21"/>
      <c r="H62" s="35" t="str">
        <f t="shared" si="1"/>
        <v/>
      </c>
      <c r="I62" s="22"/>
      <c r="J62" s="12"/>
      <c r="K62" s="23"/>
      <c r="L62" s="32"/>
      <c r="M62" s="32"/>
    </row>
    <row r="63" spans="1:13" ht="21" customHeight="1" x14ac:dyDescent="0.15">
      <c r="A63" s="12">
        <v>61</v>
      </c>
      <c r="B63" s="18"/>
      <c r="C63" s="18"/>
      <c r="D63" s="18"/>
      <c r="E63" s="9"/>
      <c r="F63" s="20"/>
      <c r="G63" s="21"/>
      <c r="H63" s="35" t="str">
        <f t="shared" si="1"/>
        <v/>
      </c>
      <c r="I63" s="22"/>
      <c r="J63" s="12"/>
      <c r="K63" s="23"/>
      <c r="L63" s="32"/>
      <c r="M63" s="32"/>
    </row>
    <row r="64" spans="1:13" ht="21" customHeight="1" x14ac:dyDescent="0.15">
      <c r="A64" s="12">
        <v>62</v>
      </c>
      <c r="B64" s="18"/>
      <c r="C64" s="18"/>
      <c r="D64" s="18"/>
      <c r="E64" s="9"/>
      <c r="F64" s="20"/>
      <c r="G64" s="21"/>
      <c r="H64" s="35" t="str">
        <f t="shared" si="1"/>
        <v/>
      </c>
      <c r="I64" s="22"/>
      <c r="J64" s="12"/>
      <c r="K64" s="23"/>
      <c r="L64" s="32"/>
      <c r="M64" s="32"/>
    </row>
    <row r="65" spans="1:14" ht="21" customHeight="1" x14ac:dyDescent="0.15">
      <c r="A65" s="12">
        <v>63</v>
      </c>
      <c r="B65" s="18"/>
      <c r="C65" s="18"/>
      <c r="D65" s="18"/>
      <c r="E65" s="9"/>
      <c r="F65" s="20"/>
      <c r="G65" s="21"/>
      <c r="H65" s="35" t="str">
        <f t="shared" si="1"/>
        <v/>
      </c>
      <c r="I65" s="22"/>
      <c r="J65" s="12"/>
      <c r="K65" s="23"/>
      <c r="L65" s="32"/>
      <c r="M65" s="32"/>
    </row>
    <row r="66" spans="1:14" ht="21" customHeight="1" x14ac:dyDescent="0.15">
      <c r="A66" s="12">
        <v>64</v>
      </c>
      <c r="B66" s="18"/>
      <c r="C66" s="18"/>
      <c r="D66" s="18"/>
      <c r="E66" s="9"/>
      <c r="F66" s="20"/>
      <c r="G66" s="21"/>
      <c r="H66" s="35" t="str">
        <f t="shared" si="1"/>
        <v/>
      </c>
      <c r="I66" s="22"/>
      <c r="J66" s="12"/>
      <c r="K66" s="23"/>
      <c r="L66" s="32"/>
      <c r="M66" s="32"/>
    </row>
    <row r="67" spans="1:14" ht="21" customHeight="1" x14ac:dyDescent="0.15">
      <c r="A67" s="12">
        <v>65</v>
      </c>
      <c r="B67" s="18"/>
      <c r="C67" s="18"/>
      <c r="D67" s="18"/>
      <c r="E67" s="9"/>
      <c r="F67" s="20"/>
      <c r="G67" s="21"/>
      <c r="H67" s="35" t="str">
        <f t="shared" si="1"/>
        <v/>
      </c>
      <c r="I67" s="22"/>
      <c r="J67" s="12"/>
      <c r="K67" s="23"/>
      <c r="L67" s="32"/>
      <c r="M67" s="32"/>
    </row>
    <row r="68" spans="1:14" ht="21" customHeight="1" x14ac:dyDescent="0.15">
      <c r="A68" s="12">
        <v>66</v>
      </c>
      <c r="B68" s="18"/>
      <c r="C68" s="18"/>
      <c r="D68" s="18"/>
      <c r="E68" s="9"/>
      <c r="F68" s="20"/>
      <c r="G68" s="21"/>
      <c r="H68" s="35" t="str">
        <f t="shared" si="1"/>
        <v/>
      </c>
      <c r="I68" s="22"/>
      <c r="J68" s="12"/>
      <c r="K68" s="23"/>
      <c r="L68" s="32"/>
      <c r="M68" s="32"/>
    </row>
    <row r="69" spans="1:14" ht="21" customHeight="1" x14ac:dyDescent="0.15">
      <c r="A69" s="12">
        <v>67</v>
      </c>
      <c r="B69" s="18"/>
      <c r="C69" s="18"/>
      <c r="D69" s="18"/>
      <c r="E69" s="9"/>
      <c r="F69" s="20"/>
      <c r="G69" s="21"/>
      <c r="H69" s="35" t="str">
        <f t="shared" si="1"/>
        <v/>
      </c>
      <c r="I69" s="22"/>
      <c r="J69" s="12"/>
      <c r="K69" s="23"/>
      <c r="L69" s="32"/>
      <c r="M69" s="32"/>
    </row>
    <row r="70" spans="1:14" ht="21" customHeight="1" x14ac:dyDescent="0.15">
      <c r="A70" s="12">
        <v>68</v>
      </c>
      <c r="B70" s="18"/>
      <c r="C70" s="18"/>
      <c r="D70" s="18"/>
      <c r="E70" s="9"/>
      <c r="F70" s="20"/>
      <c r="G70" s="21"/>
      <c r="H70" s="35" t="str">
        <f t="shared" si="1"/>
        <v/>
      </c>
      <c r="I70" s="22"/>
      <c r="J70" s="12"/>
      <c r="K70" s="23"/>
      <c r="L70" s="32"/>
      <c r="M70" s="32"/>
    </row>
    <row r="71" spans="1:14" ht="21" customHeight="1" x14ac:dyDescent="0.15">
      <c r="A71" s="12">
        <v>69</v>
      </c>
      <c r="B71" s="18"/>
      <c r="C71" s="18"/>
      <c r="D71" s="18"/>
      <c r="E71" s="9"/>
      <c r="F71" s="20"/>
      <c r="G71" s="21"/>
      <c r="H71" s="35" t="str">
        <f t="shared" si="1"/>
        <v/>
      </c>
      <c r="I71" s="22"/>
      <c r="J71" s="12"/>
      <c r="K71" s="23"/>
      <c r="L71" s="32"/>
      <c r="M71" s="32"/>
    </row>
    <row r="72" spans="1:14" ht="21" customHeight="1" x14ac:dyDescent="0.15">
      <c r="A72" s="12">
        <v>70</v>
      </c>
      <c r="B72" s="18"/>
      <c r="C72" s="18"/>
      <c r="D72" s="18"/>
      <c r="E72" s="9"/>
      <c r="F72" s="20"/>
      <c r="G72" s="21"/>
      <c r="H72" s="35" t="str">
        <f t="shared" si="1"/>
        <v/>
      </c>
      <c r="I72" s="22"/>
      <c r="J72" s="12"/>
      <c r="K72" s="23"/>
      <c r="L72" s="32"/>
      <c r="M72" s="32"/>
    </row>
    <row r="73" spans="1:14" ht="21" customHeight="1" x14ac:dyDescent="0.15">
      <c r="A73" s="12">
        <v>71</v>
      </c>
      <c r="B73" s="18"/>
      <c r="C73" s="18"/>
      <c r="D73" s="18"/>
      <c r="E73" s="9"/>
      <c r="F73" s="20"/>
      <c r="G73" s="21"/>
      <c r="H73" s="35" t="str">
        <f t="shared" si="1"/>
        <v/>
      </c>
      <c r="I73" s="22"/>
      <c r="J73" s="12"/>
      <c r="K73" s="23"/>
      <c r="L73" s="32"/>
      <c r="M73" s="32"/>
    </row>
    <row r="74" spans="1:14" ht="21" customHeight="1" x14ac:dyDescent="0.15">
      <c r="A74" s="12">
        <v>72</v>
      </c>
      <c r="B74" s="18"/>
      <c r="C74" s="18"/>
      <c r="D74" s="18"/>
      <c r="E74" s="9"/>
      <c r="F74" s="20"/>
      <c r="G74" s="21"/>
      <c r="H74" s="35" t="str">
        <f t="shared" si="1"/>
        <v/>
      </c>
      <c r="I74" s="22"/>
      <c r="J74" s="12"/>
      <c r="K74" s="23"/>
      <c r="L74" s="32"/>
      <c r="M74" s="32"/>
    </row>
    <row r="75" spans="1:14" ht="21" customHeight="1" x14ac:dyDescent="0.15">
      <c r="A75" s="12">
        <v>73</v>
      </c>
      <c r="B75" s="18"/>
      <c r="C75" s="18"/>
      <c r="D75" s="18"/>
      <c r="E75" s="9"/>
      <c r="F75" s="20"/>
      <c r="G75" s="21"/>
      <c r="H75" s="35" t="str">
        <f t="shared" si="1"/>
        <v/>
      </c>
      <c r="I75" s="22"/>
      <c r="J75" s="12"/>
      <c r="K75" s="23"/>
      <c r="L75" s="32"/>
      <c r="M75" s="32"/>
    </row>
    <row r="76" spans="1:14" ht="21" customHeight="1" x14ac:dyDescent="0.15">
      <c r="A76" s="12">
        <v>74</v>
      </c>
      <c r="B76" s="18"/>
      <c r="C76" s="18"/>
      <c r="D76" s="18"/>
      <c r="E76" s="9"/>
      <c r="F76" s="20"/>
      <c r="G76" s="21"/>
      <c r="H76" s="35" t="str">
        <f t="shared" si="1"/>
        <v/>
      </c>
      <c r="I76" s="22"/>
      <c r="J76" s="12"/>
      <c r="K76" s="23"/>
      <c r="L76" s="32"/>
      <c r="M76" s="45"/>
    </row>
    <row r="77" spans="1:14" ht="21" customHeight="1" x14ac:dyDescent="0.15">
      <c r="A77" s="12">
        <v>75</v>
      </c>
      <c r="B77" s="18"/>
      <c r="C77" s="18"/>
      <c r="D77" s="18"/>
      <c r="E77" s="9"/>
      <c r="F77" s="20"/>
      <c r="G77" s="21"/>
      <c r="H77" s="35" t="str">
        <f t="shared" si="1"/>
        <v/>
      </c>
      <c r="I77" s="22"/>
      <c r="J77" s="12"/>
      <c r="K77" s="23"/>
      <c r="L77" s="32"/>
      <c r="M77" s="45"/>
    </row>
    <row r="78" spans="1:14" ht="21" customHeight="1" x14ac:dyDescent="0.15">
      <c r="A78" s="12">
        <v>76</v>
      </c>
      <c r="B78" s="18"/>
      <c r="C78" s="18"/>
      <c r="D78" s="18"/>
      <c r="E78" s="9"/>
      <c r="F78" s="20"/>
      <c r="G78" s="21"/>
      <c r="H78" s="35" t="str">
        <f t="shared" si="1"/>
        <v/>
      </c>
      <c r="I78" s="22"/>
      <c r="J78" s="12"/>
      <c r="K78" s="23"/>
      <c r="L78" s="32"/>
      <c r="M78" s="32"/>
    </row>
    <row r="79" spans="1:14" ht="21" customHeight="1" x14ac:dyDescent="0.15">
      <c r="A79" s="12">
        <v>77</v>
      </c>
      <c r="B79" s="18"/>
      <c r="C79" s="18"/>
      <c r="D79" s="18"/>
      <c r="E79" s="9"/>
      <c r="F79" s="20"/>
      <c r="G79" s="21"/>
      <c r="H79" s="35" t="str">
        <f t="shared" si="1"/>
        <v/>
      </c>
      <c r="I79" s="22"/>
      <c r="J79" s="12"/>
      <c r="K79" s="23"/>
      <c r="L79" s="32"/>
      <c r="M79" s="32"/>
      <c r="N79" s="14"/>
    </row>
    <row r="80" spans="1:14" ht="21" customHeight="1" x14ac:dyDescent="0.15">
      <c r="A80" s="12">
        <v>78</v>
      </c>
      <c r="B80" s="18"/>
      <c r="C80" s="18"/>
      <c r="D80" s="18"/>
      <c r="E80" s="9"/>
      <c r="F80" s="25"/>
      <c r="G80" s="26"/>
      <c r="H80" s="35" t="str">
        <f t="shared" si="1"/>
        <v/>
      </c>
      <c r="I80" s="22"/>
      <c r="J80" s="12"/>
      <c r="K80" s="23"/>
      <c r="L80" s="32"/>
      <c r="M80" s="32"/>
    </row>
    <row r="81" spans="1:14" ht="21" customHeight="1" x14ac:dyDescent="0.15">
      <c r="A81" s="12">
        <v>79</v>
      </c>
      <c r="B81" s="18"/>
      <c r="C81" s="18"/>
      <c r="D81" s="18"/>
      <c r="E81" s="9"/>
      <c r="F81" s="20"/>
      <c r="G81" s="21"/>
      <c r="H81" s="35" t="str">
        <f t="shared" si="1"/>
        <v/>
      </c>
      <c r="I81" s="22"/>
      <c r="J81" s="12"/>
      <c r="K81" s="23"/>
      <c r="L81" s="32"/>
      <c r="M81" s="45"/>
    </row>
    <row r="82" spans="1:14" ht="21" customHeight="1" x14ac:dyDescent="0.15">
      <c r="A82" s="12">
        <v>80</v>
      </c>
      <c r="B82" s="18"/>
      <c r="C82" s="18"/>
      <c r="D82" s="18"/>
      <c r="E82" s="9"/>
      <c r="F82" s="20"/>
      <c r="G82" s="21"/>
      <c r="H82" s="35" t="str">
        <f t="shared" si="1"/>
        <v/>
      </c>
      <c r="I82" s="22"/>
      <c r="J82" s="12"/>
      <c r="K82" s="23"/>
      <c r="L82" s="32"/>
      <c r="M82" s="32"/>
    </row>
    <row r="83" spans="1:14" ht="21" customHeight="1" x14ac:dyDescent="0.15">
      <c r="A83" s="12">
        <v>81</v>
      </c>
      <c r="B83" s="18"/>
      <c r="C83" s="18"/>
      <c r="D83" s="18"/>
      <c r="E83" s="9"/>
      <c r="F83" s="20"/>
      <c r="G83" s="21"/>
      <c r="H83" s="35" t="str">
        <f t="shared" si="1"/>
        <v/>
      </c>
      <c r="I83" s="22"/>
      <c r="J83" s="12"/>
      <c r="K83" s="23"/>
      <c r="L83" s="32"/>
      <c r="M83" s="32"/>
      <c r="N83" s="14"/>
    </row>
    <row r="84" spans="1:14" ht="21" customHeight="1" x14ac:dyDescent="0.15">
      <c r="A84" s="12">
        <v>82</v>
      </c>
      <c r="B84" s="18"/>
      <c r="C84" s="18"/>
      <c r="D84" s="18"/>
      <c r="E84" s="9"/>
      <c r="F84" s="20"/>
      <c r="G84" s="21"/>
      <c r="H84" s="35" t="str">
        <f t="shared" si="1"/>
        <v/>
      </c>
      <c r="I84" s="22"/>
      <c r="J84" s="12"/>
      <c r="K84" s="23"/>
      <c r="L84" s="32"/>
      <c r="M84" s="32"/>
    </row>
    <row r="85" spans="1:14" ht="21" customHeight="1" x14ac:dyDescent="0.15">
      <c r="A85" s="12">
        <v>83</v>
      </c>
      <c r="B85" s="18"/>
      <c r="C85" s="18"/>
      <c r="D85" s="18"/>
      <c r="E85" s="9"/>
      <c r="F85" s="20"/>
      <c r="G85" s="21"/>
      <c r="H85" s="35" t="str">
        <f t="shared" si="1"/>
        <v/>
      </c>
      <c r="I85" s="22"/>
      <c r="J85" s="12"/>
      <c r="K85" s="23"/>
      <c r="L85" s="32"/>
      <c r="M85" s="32"/>
    </row>
    <row r="86" spans="1:14" ht="21" customHeight="1" x14ac:dyDescent="0.15">
      <c r="A86" s="12">
        <v>84</v>
      </c>
      <c r="B86" s="18"/>
      <c r="C86" s="18"/>
      <c r="D86" s="18"/>
      <c r="E86" s="9"/>
      <c r="F86" s="20"/>
      <c r="G86" s="21"/>
      <c r="H86" s="35" t="str">
        <f t="shared" si="1"/>
        <v/>
      </c>
      <c r="I86" s="22"/>
      <c r="J86" s="12"/>
      <c r="K86" s="23"/>
      <c r="L86" s="32"/>
      <c r="M86" s="32"/>
    </row>
    <row r="87" spans="1:14" ht="21" customHeight="1" x14ac:dyDescent="0.15">
      <c r="A87" s="12">
        <v>85</v>
      </c>
      <c r="B87" s="18"/>
      <c r="C87" s="18"/>
      <c r="D87" s="18"/>
      <c r="E87" s="9"/>
      <c r="F87" s="20"/>
      <c r="G87" s="21"/>
      <c r="H87" s="35" t="str">
        <f t="shared" si="1"/>
        <v/>
      </c>
      <c r="I87" s="22"/>
      <c r="J87" s="12"/>
      <c r="K87" s="23"/>
      <c r="L87" s="32"/>
      <c r="M87" s="32"/>
    </row>
    <row r="88" spans="1:14" ht="21" customHeight="1" x14ac:dyDescent="0.15">
      <c r="A88" s="12">
        <v>86</v>
      </c>
      <c r="B88" s="18"/>
      <c r="C88" s="18"/>
      <c r="D88" s="18"/>
      <c r="E88" s="9"/>
      <c r="F88" s="20"/>
      <c r="G88" s="21"/>
      <c r="H88" s="35" t="str">
        <f t="shared" si="1"/>
        <v/>
      </c>
      <c r="I88" s="22"/>
      <c r="J88" s="12"/>
      <c r="K88" s="23"/>
      <c r="L88" s="32"/>
      <c r="M88" s="32"/>
    </row>
    <row r="89" spans="1:14" ht="21" customHeight="1" x14ac:dyDescent="0.15">
      <c r="A89" s="12">
        <v>87</v>
      </c>
      <c r="B89" s="18"/>
      <c r="C89" s="18"/>
      <c r="D89" s="18"/>
      <c r="E89" s="9"/>
      <c r="F89" s="20"/>
      <c r="G89" s="21"/>
      <c r="H89" s="35" t="str">
        <f t="shared" si="1"/>
        <v/>
      </c>
      <c r="I89" s="22"/>
      <c r="J89" s="12"/>
      <c r="K89" s="23"/>
      <c r="L89" s="32"/>
      <c r="M89" s="32"/>
    </row>
    <row r="90" spans="1:14" ht="21" customHeight="1" x14ac:dyDescent="0.15">
      <c r="A90" s="12">
        <v>88</v>
      </c>
      <c r="B90" s="18"/>
      <c r="C90" s="18"/>
      <c r="D90" s="18"/>
      <c r="E90" s="9"/>
      <c r="F90" s="20"/>
      <c r="G90" s="21"/>
      <c r="H90" s="35" t="str">
        <f t="shared" si="1"/>
        <v/>
      </c>
      <c r="I90" s="22"/>
      <c r="J90" s="12"/>
      <c r="K90" s="23"/>
      <c r="L90" s="32"/>
      <c r="M90" s="32"/>
    </row>
    <row r="91" spans="1:14" ht="21" customHeight="1" x14ac:dyDescent="0.15">
      <c r="A91" s="12">
        <v>89</v>
      </c>
      <c r="B91" s="18"/>
      <c r="C91" s="18"/>
      <c r="D91" s="18"/>
      <c r="E91" s="9"/>
      <c r="F91" s="20"/>
      <c r="G91" s="21"/>
      <c r="H91" s="35" t="str">
        <f t="shared" si="1"/>
        <v/>
      </c>
      <c r="I91" s="22"/>
      <c r="J91" s="12"/>
      <c r="K91" s="23"/>
      <c r="L91" s="32"/>
      <c r="M91" s="32"/>
    </row>
    <row r="92" spans="1:14" ht="21" customHeight="1" x14ac:dyDescent="0.15">
      <c r="A92" s="12">
        <v>90</v>
      </c>
      <c r="B92" s="18"/>
      <c r="C92" s="18"/>
      <c r="D92" s="18"/>
      <c r="E92" s="70"/>
      <c r="F92" s="20"/>
      <c r="G92" s="21"/>
      <c r="H92" s="35" t="str">
        <f t="shared" si="1"/>
        <v/>
      </c>
      <c r="I92" s="22"/>
      <c r="J92" s="12"/>
      <c r="K92" s="23"/>
      <c r="L92" s="32"/>
      <c r="M92" s="32"/>
    </row>
    <row r="93" spans="1:14" ht="21" customHeight="1" x14ac:dyDescent="0.15">
      <c r="A93" s="12">
        <v>91</v>
      </c>
      <c r="B93" s="18"/>
      <c r="C93" s="18"/>
      <c r="D93" s="18"/>
      <c r="E93" s="9"/>
      <c r="F93" s="20"/>
      <c r="G93" s="21"/>
      <c r="H93" s="35" t="str">
        <f t="shared" si="1"/>
        <v/>
      </c>
      <c r="I93" s="22"/>
      <c r="J93" s="12"/>
      <c r="K93" s="23"/>
      <c r="L93" s="32"/>
      <c r="M93" s="32"/>
    </row>
    <row r="94" spans="1:14" ht="21" customHeight="1" x14ac:dyDescent="0.15">
      <c r="A94" s="12">
        <v>92</v>
      </c>
      <c r="B94" s="18"/>
      <c r="C94" s="18"/>
      <c r="D94" s="18"/>
      <c r="E94" s="9"/>
      <c r="F94" s="20"/>
      <c r="G94" s="21"/>
      <c r="H94" s="35" t="str">
        <f t="shared" si="1"/>
        <v/>
      </c>
      <c r="I94" s="22"/>
      <c r="J94" s="12"/>
      <c r="K94" s="23"/>
      <c r="L94" s="32"/>
      <c r="M94" s="32"/>
    </row>
    <row r="95" spans="1:14" ht="21" customHeight="1" x14ac:dyDescent="0.15">
      <c r="A95" s="12">
        <v>93</v>
      </c>
      <c r="B95" s="18"/>
      <c r="C95" s="18"/>
      <c r="D95" s="18"/>
      <c r="E95" s="9"/>
      <c r="F95" s="20"/>
      <c r="G95" s="21"/>
      <c r="H95" s="35" t="str">
        <f t="shared" si="1"/>
        <v/>
      </c>
      <c r="I95" s="22"/>
      <c r="J95" s="12"/>
      <c r="K95" s="23"/>
      <c r="L95" s="32"/>
      <c r="M95" s="32"/>
    </row>
    <row r="96" spans="1:14" ht="21" customHeight="1" x14ac:dyDescent="0.15">
      <c r="A96" s="12">
        <v>94</v>
      </c>
      <c r="B96" s="18"/>
      <c r="C96" s="18"/>
      <c r="D96" s="18"/>
      <c r="E96" s="9"/>
      <c r="F96" s="20"/>
      <c r="G96" s="21"/>
      <c r="H96" s="35" t="str">
        <f t="shared" si="1"/>
        <v/>
      </c>
      <c r="I96" s="22"/>
      <c r="J96" s="12"/>
      <c r="K96" s="23"/>
      <c r="L96" s="32"/>
      <c r="M96" s="32"/>
    </row>
    <row r="97" spans="1:13" ht="21" customHeight="1" x14ac:dyDescent="0.15">
      <c r="A97" s="12">
        <v>95</v>
      </c>
      <c r="B97" s="18"/>
      <c r="C97" s="18"/>
      <c r="D97" s="18"/>
      <c r="E97" s="9"/>
      <c r="F97" s="20"/>
      <c r="G97" s="21"/>
      <c r="H97" s="35" t="str">
        <f t="shared" si="1"/>
        <v/>
      </c>
      <c r="I97" s="22"/>
      <c r="J97" s="12"/>
      <c r="K97" s="23"/>
      <c r="L97" s="32"/>
      <c r="M97" s="32"/>
    </row>
    <row r="98" spans="1:13" ht="21" customHeight="1" x14ac:dyDescent="0.15">
      <c r="A98" s="12">
        <v>96</v>
      </c>
      <c r="B98" s="18"/>
      <c r="C98" s="18"/>
      <c r="D98" s="18"/>
      <c r="E98" s="9"/>
      <c r="F98" s="20"/>
      <c r="G98" s="21"/>
      <c r="H98" s="35" t="str">
        <f t="shared" si="1"/>
        <v/>
      </c>
      <c r="I98" s="22"/>
      <c r="J98" s="12"/>
      <c r="K98" s="23"/>
      <c r="L98" s="32"/>
      <c r="M98" s="32"/>
    </row>
    <row r="99" spans="1:13" ht="21" customHeight="1" x14ac:dyDescent="0.15">
      <c r="A99" s="12">
        <v>97</v>
      </c>
      <c r="B99" s="18"/>
      <c r="C99" s="18"/>
      <c r="D99" s="18"/>
      <c r="E99" s="9"/>
      <c r="F99" s="20"/>
      <c r="G99" s="21"/>
      <c r="H99" s="35" t="str">
        <f t="shared" si="1"/>
        <v/>
      </c>
      <c r="I99" s="22"/>
      <c r="J99" s="12"/>
      <c r="K99" s="23"/>
      <c r="L99" s="32"/>
      <c r="M99" s="32"/>
    </row>
    <row r="100" spans="1:13" ht="21" customHeight="1" x14ac:dyDescent="0.15">
      <c r="A100" s="12">
        <v>98</v>
      </c>
      <c r="B100" s="18"/>
      <c r="C100" s="18"/>
      <c r="D100" s="18"/>
      <c r="E100" s="9"/>
      <c r="F100" s="20"/>
      <c r="G100" s="21"/>
      <c r="H100" s="35" t="str">
        <f t="shared" si="1"/>
        <v/>
      </c>
      <c r="I100" s="22"/>
      <c r="J100" s="12"/>
      <c r="K100" s="23"/>
      <c r="L100" s="32"/>
      <c r="M100" s="32"/>
    </row>
    <row r="101" spans="1:13" ht="21" customHeight="1" x14ac:dyDescent="0.15">
      <c r="A101" s="12">
        <v>99</v>
      </c>
      <c r="B101" s="18"/>
      <c r="C101" s="18"/>
      <c r="D101" s="18"/>
      <c r="E101" s="9"/>
      <c r="F101" s="20"/>
      <c r="G101" s="21"/>
      <c r="H101" s="35" t="str">
        <f t="shared" si="1"/>
        <v/>
      </c>
      <c r="I101" s="22"/>
      <c r="J101" s="12"/>
      <c r="K101" s="23"/>
      <c r="L101" s="32"/>
      <c r="M101" s="32"/>
    </row>
    <row r="102" spans="1:13" ht="21" customHeight="1" x14ac:dyDescent="0.15">
      <c r="A102" s="12">
        <v>100</v>
      </c>
      <c r="B102" s="18"/>
      <c r="C102" s="18"/>
      <c r="D102" s="18"/>
      <c r="E102" s="9"/>
      <c r="F102" s="20"/>
      <c r="G102" s="21"/>
      <c r="H102" s="35" t="str">
        <f t="shared" si="1"/>
        <v/>
      </c>
      <c r="I102" s="22"/>
      <c r="J102" s="12"/>
      <c r="K102" s="23"/>
      <c r="L102" s="32"/>
      <c r="M102" s="32"/>
    </row>
    <row r="103" spans="1:13" ht="21" customHeight="1" x14ac:dyDescent="0.15">
      <c r="A103" s="12">
        <v>101</v>
      </c>
      <c r="B103" s="18"/>
      <c r="C103" s="18"/>
      <c r="D103" s="18"/>
      <c r="E103" s="9"/>
      <c r="F103" s="20"/>
      <c r="G103" s="21"/>
      <c r="H103" s="35" t="str">
        <f t="shared" si="1"/>
        <v/>
      </c>
      <c r="I103" s="22"/>
      <c r="J103" s="12"/>
      <c r="K103" s="23"/>
      <c r="L103" s="32"/>
      <c r="M103" s="32"/>
    </row>
    <row r="104" spans="1:13" ht="21" customHeight="1" x14ac:dyDescent="0.15">
      <c r="A104" s="12">
        <v>102</v>
      </c>
      <c r="B104" s="18"/>
      <c r="C104" s="18"/>
      <c r="D104" s="18"/>
      <c r="E104" s="9"/>
      <c r="F104" s="20"/>
      <c r="G104" s="21"/>
      <c r="H104" s="35" t="str">
        <f t="shared" si="1"/>
        <v/>
      </c>
      <c r="I104" s="22"/>
      <c r="J104" s="12"/>
      <c r="K104" s="23"/>
      <c r="L104" s="32"/>
      <c r="M104" s="32"/>
    </row>
    <row r="105" spans="1:13" ht="21" customHeight="1" x14ac:dyDescent="0.15">
      <c r="A105" s="12">
        <v>103</v>
      </c>
      <c r="B105" s="18"/>
      <c r="C105" s="18"/>
      <c r="D105" s="18"/>
      <c r="E105" s="9"/>
      <c r="F105" s="20"/>
      <c r="G105" s="21"/>
      <c r="H105" s="35" t="str">
        <f t="shared" si="1"/>
        <v/>
      </c>
      <c r="I105" s="22"/>
      <c r="J105" s="12"/>
      <c r="K105" s="23"/>
      <c r="L105" s="32"/>
      <c r="M105" s="32"/>
    </row>
    <row r="106" spans="1:13" ht="21" customHeight="1" x14ac:dyDescent="0.15">
      <c r="A106" s="12">
        <v>104</v>
      </c>
      <c r="B106" s="18"/>
      <c r="C106" s="18"/>
      <c r="D106" s="18"/>
      <c r="E106" s="9"/>
      <c r="F106" s="20"/>
      <c r="G106" s="21"/>
      <c r="H106" s="35" t="str">
        <f t="shared" si="1"/>
        <v/>
      </c>
      <c r="I106" s="22"/>
      <c r="J106" s="12"/>
      <c r="K106" s="23"/>
      <c r="L106" s="32"/>
      <c r="M106" s="32"/>
    </row>
    <row r="107" spans="1:13" ht="21" customHeight="1" x14ac:dyDescent="0.15">
      <c r="A107" s="12">
        <v>105</v>
      </c>
      <c r="B107" s="18"/>
      <c r="C107" s="18"/>
      <c r="D107" s="18"/>
      <c r="E107" s="9"/>
      <c r="F107" s="20"/>
      <c r="G107" s="21"/>
      <c r="H107" s="35" t="str">
        <f t="shared" si="1"/>
        <v/>
      </c>
      <c r="I107" s="22"/>
      <c r="J107" s="12"/>
      <c r="K107" s="23"/>
      <c r="L107" s="32"/>
      <c r="M107" s="32"/>
    </row>
    <row r="108" spans="1:13" ht="21" customHeight="1" x14ac:dyDescent="0.15">
      <c r="A108" s="12">
        <v>106</v>
      </c>
      <c r="B108" s="18"/>
      <c r="C108" s="18"/>
      <c r="D108" s="18"/>
      <c r="E108" s="9"/>
      <c r="F108" s="20"/>
      <c r="G108" s="21"/>
      <c r="H108" s="35" t="str">
        <f t="shared" si="1"/>
        <v/>
      </c>
      <c r="I108" s="22"/>
      <c r="J108" s="12"/>
      <c r="K108" s="23"/>
      <c r="L108" s="32"/>
      <c r="M108" s="32"/>
    </row>
    <row r="109" spans="1:13" ht="21" customHeight="1" x14ac:dyDescent="0.15">
      <c r="A109" s="12">
        <v>107</v>
      </c>
      <c r="B109" s="18"/>
      <c r="C109" s="18"/>
      <c r="D109" s="18"/>
      <c r="E109" s="9"/>
      <c r="F109" s="20"/>
      <c r="G109" s="21"/>
      <c r="H109" s="35" t="str">
        <f t="shared" si="1"/>
        <v/>
      </c>
      <c r="I109" s="22"/>
      <c r="J109" s="12"/>
      <c r="K109" s="23"/>
      <c r="L109" s="32"/>
      <c r="M109" s="32"/>
    </row>
    <row r="110" spans="1:13" ht="21" customHeight="1" x14ac:dyDescent="0.15">
      <c r="A110" s="12">
        <v>108</v>
      </c>
      <c r="B110" s="18"/>
      <c r="C110" s="18"/>
      <c r="D110" s="18"/>
      <c r="E110" s="9"/>
      <c r="F110" s="20"/>
      <c r="G110" s="21"/>
      <c r="H110" s="35" t="str">
        <f t="shared" si="1"/>
        <v/>
      </c>
      <c r="I110" s="22"/>
      <c r="J110" s="12"/>
      <c r="K110" s="23"/>
      <c r="L110" s="32"/>
      <c r="M110" s="32"/>
    </row>
    <row r="111" spans="1:13" ht="21" customHeight="1" x14ac:dyDescent="0.15">
      <c r="A111" s="12">
        <v>109</v>
      </c>
      <c r="B111" s="18"/>
      <c r="C111" s="18"/>
      <c r="D111" s="18"/>
      <c r="E111" s="9"/>
      <c r="F111" s="20"/>
      <c r="G111" s="21"/>
      <c r="H111" s="35" t="str">
        <f t="shared" si="1"/>
        <v/>
      </c>
      <c r="I111" s="22"/>
      <c r="J111" s="12"/>
      <c r="K111" s="23"/>
      <c r="L111" s="32"/>
      <c r="M111" s="32"/>
    </row>
    <row r="112" spans="1:13" ht="21" customHeight="1" x14ac:dyDescent="0.15">
      <c r="A112" s="12">
        <v>110</v>
      </c>
      <c r="B112" s="18"/>
      <c r="C112" s="18"/>
      <c r="D112" s="18"/>
      <c r="E112" s="9"/>
      <c r="F112" s="20"/>
      <c r="G112" s="21"/>
      <c r="H112" s="35" t="str">
        <f t="shared" si="1"/>
        <v/>
      </c>
      <c r="I112" s="22"/>
      <c r="J112" s="12"/>
      <c r="K112" s="23"/>
      <c r="L112" s="32"/>
      <c r="M112" s="32"/>
    </row>
    <row r="113" spans="1:13" ht="21" customHeight="1" x14ac:dyDescent="0.15">
      <c r="A113" s="12">
        <v>111</v>
      </c>
      <c r="B113" s="18"/>
      <c r="C113" s="18"/>
      <c r="D113" s="18"/>
      <c r="E113" s="9"/>
      <c r="F113" s="20"/>
      <c r="G113" s="21"/>
      <c r="H113" s="35" t="str">
        <f t="shared" si="1"/>
        <v/>
      </c>
      <c r="I113" s="22"/>
      <c r="J113" s="12"/>
      <c r="K113" s="23"/>
      <c r="L113" s="32"/>
      <c r="M113" s="32"/>
    </row>
    <row r="114" spans="1:13" ht="21" customHeight="1" x14ac:dyDescent="0.15">
      <c r="A114" s="12">
        <v>112</v>
      </c>
      <c r="B114" s="18"/>
      <c r="C114" s="18"/>
      <c r="D114" s="18"/>
      <c r="E114" s="9"/>
      <c r="F114" s="20"/>
      <c r="G114" s="21"/>
      <c r="H114" s="35" t="str">
        <f t="shared" si="1"/>
        <v/>
      </c>
      <c r="I114" s="22"/>
      <c r="J114" s="12"/>
      <c r="K114" s="23"/>
      <c r="L114" s="32"/>
      <c r="M114" s="32"/>
    </row>
    <row r="115" spans="1:13" ht="21" customHeight="1" x14ac:dyDescent="0.15">
      <c r="A115" s="12">
        <v>113</v>
      </c>
      <c r="B115" s="18"/>
      <c r="C115" s="18"/>
      <c r="D115" s="18"/>
      <c r="E115" s="9"/>
      <c r="F115" s="20"/>
      <c r="G115" s="21"/>
      <c r="H115" s="35" t="str">
        <f t="shared" si="1"/>
        <v/>
      </c>
      <c r="I115" s="22"/>
      <c r="J115" s="12"/>
      <c r="K115" s="23"/>
      <c r="L115" s="32"/>
      <c r="M115" s="32"/>
    </row>
    <row r="116" spans="1:13" ht="21" customHeight="1" x14ac:dyDescent="0.15">
      <c r="A116" s="12">
        <v>114</v>
      </c>
      <c r="B116" s="18"/>
      <c r="C116" s="18"/>
      <c r="D116" s="18"/>
      <c r="E116" s="9"/>
      <c r="F116" s="20"/>
      <c r="G116" s="21"/>
      <c r="H116" s="35" t="str">
        <f t="shared" si="1"/>
        <v/>
      </c>
      <c r="I116" s="22"/>
      <c r="J116" s="12"/>
      <c r="K116" s="23"/>
      <c r="L116" s="32"/>
      <c r="M116" s="32"/>
    </row>
    <row r="117" spans="1:13" ht="21" customHeight="1" x14ac:dyDescent="0.15">
      <c r="A117" s="12">
        <v>115</v>
      </c>
      <c r="B117" s="18"/>
      <c r="C117" s="18"/>
      <c r="D117" s="18"/>
      <c r="E117" s="9"/>
      <c r="F117" s="20"/>
      <c r="G117" s="21"/>
      <c r="H117" s="35" t="str">
        <f t="shared" si="1"/>
        <v/>
      </c>
      <c r="I117" s="22"/>
      <c r="J117" s="12"/>
      <c r="K117" s="23"/>
      <c r="L117" s="32"/>
      <c r="M117" s="32"/>
    </row>
    <row r="118" spans="1:13" ht="21" customHeight="1" x14ac:dyDescent="0.15">
      <c r="A118" s="12">
        <v>116</v>
      </c>
      <c r="B118" s="18"/>
      <c r="C118" s="18"/>
      <c r="D118" s="18"/>
      <c r="E118" s="9"/>
      <c r="F118" s="20"/>
      <c r="G118" s="21"/>
      <c r="H118" s="35" t="str">
        <f t="shared" si="1"/>
        <v/>
      </c>
      <c r="I118" s="22"/>
      <c r="J118" s="12"/>
      <c r="K118" s="23"/>
      <c r="L118" s="32"/>
      <c r="M118" s="32"/>
    </row>
    <row r="119" spans="1:13" ht="21" customHeight="1" x14ac:dyDescent="0.15">
      <c r="A119" s="12">
        <v>117</v>
      </c>
      <c r="B119" s="18"/>
      <c r="C119" s="18"/>
      <c r="D119" s="18"/>
      <c r="E119" s="9"/>
      <c r="F119" s="20"/>
      <c r="G119" s="21"/>
      <c r="H119" s="35" t="str">
        <f t="shared" si="1"/>
        <v/>
      </c>
      <c r="I119" s="22"/>
      <c r="J119" s="12"/>
      <c r="K119" s="23"/>
      <c r="L119" s="32"/>
      <c r="M119" s="32"/>
    </row>
    <row r="120" spans="1:13" ht="21" customHeight="1" x14ac:dyDescent="0.15">
      <c r="A120" s="12">
        <v>118</v>
      </c>
      <c r="B120" s="18"/>
      <c r="C120" s="18"/>
      <c r="D120" s="18"/>
      <c r="E120" s="9"/>
      <c r="F120" s="20"/>
      <c r="G120" s="21"/>
      <c r="H120" s="35" t="str">
        <f t="shared" si="1"/>
        <v/>
      </c>
      <c r="I120" s="22"/>
      <c r="J120" s="12"/>
      <c r="K120" s="23"/>
      <c r="L120" s="32"/>
      <c r="M120" s="32"/>
    </row>
    <row r="121" spans="1:13" ht="21" customHeight="1" x14ac:dyDescent="0.15">
      <c r="A121" s="12">
        <v>119</v>
      </c>
      <c r="B121" s="18"/>
      <c r="C121" s="18"/>
      <c r="D121" s="18"/>
      <c r="E121" s="9"/>
      <c r="F121" s="20"/>
      <c r="G121" s="21"/>
      <c r="H121" s="35" t="str">
        <f t="shared" si="1"/>
        <v/>
      </c>
      <c r="I121" s="22"/>
      <c r="J121" s="12"/>
      <c r="K121" s="23"/>
      <c r="L121" s="32"/>
      <c r="M121" s="32"/>
    </row>
    <row r="122" spans="1:13" ht="21" customHeight="1" x14ac:dyDescent="0.15">
      <c r="A122" s="12">
        <v>120</v>
      </c>
      <c r="B122" s="18"/>
      <c r="C122" s="18"/>
      <c r="D122" s="18"/>
      <c r="E122" s="9"/>
      <c r="F122" s="20"/>
      <c r="G122" s="21"/>
      <c r="H122" s="35" t="str">
        <f t="shared" si="1"/>
        <v/>
      </c>
      <c r="I122" s="22"/>
      <c r="J122" s="12"/>
      <c r="K122" s="23"/>
      <c r="L122" s="32"/>
      <c r="M122" s="32"/>
    </row>
    <row r="123" spans="1:13" ht="21" customHeight="1" x14ac:dyDescent="0.15">
      <c r="A123" s="12">
        <v>121</v>
      </c>
      <c r="B123" s="18"/>
      <c r="C123" s="18"/>
      <c r="D123" s="18"/>
      <c r="E123" s="9"/>
      <c r="F123" s="20"/>
      <c r="G123" s="21"/>
      <c r="H123" s="35" t="str">
        <f t="shared" si="1"/>
        <v/>
      </c>
      <c r="I123" s="22"/>
      <c r="J123" s="12"/>
      <c r="K123" s="23"/>
      <c r="L123" s="32"/>
      <c r="M123" s="32"/>
    </row>
    <row r="124" spans="1:13" ht="21" customHeight="1" x14ac:dyDescent="0.15">
      <c r="A124" s="12">
        <v>122</v>
      </c>
      <c r="B124" s="18"/>
      <c r="C124" s="18"/>
      <c r="D124" s="18"/>
      <c r="E124" s="9"/>
      <c r="F124" s="20"/>
      <c r="G124" s="21"/>
      <c r="H124" s="35" t="str">
        <f t="shared" si="1"/>
        <v/>
      </c>
      <c r="I124" s="22"/>
      <c r="J124" s="12"/>
      <c r="K124" s="23"/>
      <c r="L124" s="32"/>
      <c r="M124" s="32"/>
    </row>
    <row r="125" spans="1:13" ht="21" customHeight="1" x14ac:dyDescent="0.15">
      <c r="A125" s="12">
        <v>123</v>
      </c>
      <c r="B125" s="18"/>
      <c r="C125" s="18"/>
      <c r="D125" s="18"/>
      <c r="E125" s="9"/>
      <c r="F125" s="20"/>
      <c r="G125" s="21"/>
      <c r="H125" s="35" t="str">
        <f t="shared" si="1"/>
        <v/>
      </c>
      <c r="I125" s="22"/>
      <c r="J125" s="12"/>
      <c r="K125" s="23"/>
      <c r="L125" s="32"/>
      <c r="M125" s="72"/>
    </row>
    <row r="126" spans="1:13" ht="21" customHeight="1" x14ac:dyDescent="0.15">
      <c r="A126" s="12">
        <v>124</v>
      </c>
      <c r="B126" s="18"/>
      <c r="C126" s="18"/>
      <c r="D126" s="18"/>
      <c r="E126" s="9"/>
      <c r="F126" s="20"/>
      <c r="G126" s="21"/>
      <c r="H126" s="35" t="str">
        <f>IF(G126="","",(F126*100000000+G126)-7*INT((F126*100000000+G126)/7))</f>
        <v/>
      </c>
      <c r="I126" s="22"/>
      <c r="J126" s="12"/>
      <c r="K126" s="23"/>
      <c r="L126" s="32"/>
      <c r="M126" s="32"/>
    </row>
    <row r="127" spans="1:13" ht="21" customHeight="1" x14ac:dyDescent="0.15">
      <c r="A127" s="12">
        <v>125</v>
      </c>
      <c r="B127" s="18"/>
      <c r="C127" s="18"/>
      <c r="D127" s="18"/>
      <c r="E127" s="9"/>
      <c r="F127" s="20"/>
      <c r="G127" s="21"/>
      <c r="H127" s="35" t="str">
        <f>IF(G127="","",(F127*100000000+G127)-7*INT((F127*100000000+G127)/7))</f>
        <v/>
      </c>
      <c r="I127" s="22"/>
      <c r="J127" s="12"/>
      <c r="K127" s="23"/>
      <c r="L127" s="32"/>
      <c r="M127" s="32"/>
    </row>
    <row r="128" spans="1:13" ht="21" customHeight="1" x14ac:dyDescent="0.15">
      <c r="A128" s="12">
        <v>126</v>
      </c>
      <c r="B128" s="18"/>
      <c r="C128" s="18"/>
      <c r="D128" s="18"/>
      <c r="E128" s="9"/>
      <c r="F128" s="20"/>
      <c r="G128" s="21"/>
      <c r="H128" s="35" t="str">
        <f>IF(G128="","",(F128*100000000+G128)-7*INT((F128*100000000+G128)/7))</f>
        <v/>
      </c>
      <c r="I128" s="22"/>
      <c r="J128" s="12"/>
      <c r="K128" s="23"/>
      <c r="L128" s="32"/>
      <c r="M128" s="32"/>
    </row>
    <row r="129" spans="1:13" ht="21" customHeight="1" x14ac:dyDescent="0.15">
      <c r="A129" s="12">
        <v>127</v>
      </c>
      <c r="B129" s="18"/>
      <c r="C129" s="18"/>
      <c r="D129" s="18"/>
      <c r="E129" s="9"/>
      <c r="F129" s="20"/>
      <c r="G129" s="21"/>
      <c r="H129" s="35" t="str">
        <f>IF(G129="","",(F129*100000000+G129)-7*INT((F129*100000000+G129)/7))</f>
        <v/>
      </c>
      <c r="I129" s="22"/>
      <c r="J129" s="12"/>
      <c r="K129" s="23"/>
      <c r="L129" s="32"/>
      <c r="M129" s="32"/>
    </row>
    <row r="130" spans="1:13" ht="21" customHeight="1" x14ac:dyDescent="0.15">
      <c r="A130" s="12">
        <v>128</v>
      </c>
      <c r="B130" s="18"/>
      <c r="C130" s="18"/>
      <c r="D130" s="18"/>
      <c r="E130" s="9"/>
      <c r="F130" s="20"/>
      <c r="G130" s="21"/>
      <c r="H130" s="35" t="str">
        <f>IF(G130="","",(F130*100000000+G130)-7*INT((F130*100000000+G130)/7))</f>
        <v/>
      </c>
      <c r="I130" s="22"/>
      <c r="J130" s="12"/>
      <c r="K130" s="23"/>
      <c r="L130" s="32"/>
      <c r="M130" s="32"/>
    </row>
    <row r="131" spans="1:13" ht="21" customHeight="1" x14ac:dyDescent="0.15">
      <c r="A131" s="12">
        <v>129</v>
      </c>
      <c r="B131" s="18"/>
      <c r="C131" s="18"/>
      <c r="D131" s="18"/>
      <c r="E131" s="9"/>
      <c r="F131" s="20"/>
      <c r="G131" s="21"/>
      <c r="H131" s="35" t="str">
        <f t="shared" ref="H131:H194" si="2">IF(G131="","",(F131*100000000+G131)-7*INT((F131*100000000+G131)/7))</f>
        <v/>
      </c>
      <c r="I131" s="22"/>
      <c r="J131" s="12"/>
      <c r="K131" s="23"/>
      <c r="L131" s="32"/>
      <c r="M131" s="32"/>
    </row>
    <row r="132" spans="1:13" ht="21" customHeight="1" x14ac:dyDescent="0.15">
      <c r="A132" s="12">
        <v>130</v>
      </c>
      <c r="B132" s="18"/>
      <c r="C132" s="18"/>
      <c r="D132" s="18"/>
      <c r="E132" s="9"/>
      <c r="F132" s="20"/>
      <c r="G132" s="21"/>
      <c r="H132" s="35" t="str">
        <f t="shared" si="2"/>
        <v/>
      </c>
      <c r="I132" s="22"/>
      <c r="J132" s="12"/>
      <c r="K132" s="23"/>
      <c r="L132" s="32"/>
      <c r="M132" s="32"/>
    </row>
    <row r="133" spans="1:13" ht="21" customHeight="1" x14ac:dyDescent="0.15">
      <c r="A133" s="12">
        <v>131</v>
      </c>
      <c r="B133" s="18"/>
      <c r="C133" s="18"/>
      <c r="D133" s="18"/>
      <c r="E133" s="9"/>
      <c r="F133" s="20"/>
      <c r="G133" s="21"/>
      <c r="H133" s="35" t="str">
        <f t="shared" si="2"/>
        <v/>
      </c>
      <c r="I133" s="22"/>
      <c r="J133" s="12"/>
      <c r="K133" s="23"/>
      <c r="L133" s="32"/>
      <c r="M133" s="32"/>
    </row>
    <row r="134" spans="1:13" ht="21" customHeight="1" x14ac:dyDescent="0.15">
      <c r="A134" s="12">
        <v>132</v>
      </c>
      <c r="B134" s="18"/>
      <c r="C134" s="18"/>
      <c r="D134" s="18"/>
      <c r="E134" s="9"/>
      <c r="F134" s="20"/>
      <c r="G134" s="21"/>
      <c r="H134" s="35" t="str">
        <f t="shared" si="2"/>
        <v/>
      </c>
      <c r="I134" s="22"/>
      <c r="J134" s="12"/>
      <c r="K134" s="23"/>
      <c r="L134" s="32"/>
      <c r="M134" s="32"/>
    </row>
    <row r="135" spans="1:13" ht="21" customHeight="1" x14ac:dyDescent="0.15">
      <c r="A135" s="12">
        <v>133</v>
      </c>
      <c r="B135" s="18"/>
      <c r="C135" s="18"/>
      <c r="D135" s="18"/>
      <c r="E135" s="9"/>
      <c r="F135" s="20"/>
      <c r="G135" s="21"/>
      <c r="H135" s="35" t="str">
        <f t="shared" si="2"/>
        <v/>
      </c>
      <c r="I135" s="22"/>
      <c r="J135" s="12"/>
      <c r="K135" s="23"/>
      <c r="L135" s="32"/>
      <c r="M135" s="32"/>
    </row>
    <row r="136" spans="1:13" ht="21" customHeight="1" x14ac:dyDescent="0.15">
      <c r="A136" s="12">
        <v>134</v>
      </c>
      <c r="B136" s="18"/>
      <c r="C136" s="18"/>
      <c r="D136" s="18"/>
      <c r="E136" s="9"/>
      <c r="F136" s="20"/>
      <c r="G136" s="21"/>
      <c r="H136" s="35" t="str">
        <f t="shared" si="2"/>
        <v/>
      </c>
      <c r="I136" s="22"/>
      <c r="J136" s="12"/>
      <c r="K136" s="23"/>
      <c r="L136" s="32"/>
      <c r="M136" s="32"/>
    </row>
    <row r="137" spans="1:13" ht="21" customHeight="1" x14ac:dyDescent="0.15">
      <c r="A137" s="12">
        <v>135</v>
      </c>
      <c r="B137" s="18"/>
      <c r="C137" s="18"/>
      <c r="D137" s="18"/>
      <c r="E137" s="9"/>
      <c r="F137" s="20"/>
      <c r="G137" s="21"/>
      <c r="H137" s="35" t="str">
        <f t="shared" si="2"/>
        <v/>
      </c>
      <c r="I137" s="22"/>
      <c r="J137" s="12"/>
      <c r="K137" s="23"/>
      <c r="L137" s="32"/>
      <c r="M137" s="32"/>
    </row>
    <row r="138" spans="1:13" ht="21" customHeight="1" x14ac:dyDescent="0.15">
      <c r="A138" s="12">
        <v>136</v>
      </c>
      <c r="B138" s="18"/>
      <c r="C138" s="18"/>
      <c r="D138" s="18"/>
      <c r="E138" s="9"/>
      <c r="F138" s="20"/>
      <c r="G138" s="21"/>
      <c r="H138" s="35" t="str">
        <f t="shared" si="2"/>
        <v/>
      </c>
      <c r="I138" s="22"/>
      <c r="J138" s="12"/>
      <c r="K138" s="23"/>
      <c r="L138" s="32"/>
      <c r="M138" s="32"/>
    </row>
    <row r="139" spans="1:13" ht="21" customHeight="1" x14ac:dyDescent="0.15">
      <c r="A139" s="12">
        <v>137</v>
      </c>
      <c r="B139" s="18"/>
      <c r="C139" s="18"/>
      <c r="D139" s="18"/>
      <c r="E139" s="9"/>
      <c r="F139" s="20"/>
      <c r="G139" s="21"/>
      <c r="H139" s="35" t="str">
        <f t="shared" si="2"/>
        <v/>
      </c>
      <c r="I139" s="22"/>
      <c r="J139" s="12"/>
      <c r="K139" s="23"/>
      <c r="L139" s="32"/>
      <c r="M139" s="32"/>
    </row>
    <row r="140" spans="1:13" ht="21" customHeight="1" x14ac:dyDescent="0.15">
      <c r="A140" s="12">
        <v>138</v>
      </c>
      <c r="B140" s="18"/>
      <c r="C140" s="18"/>
      <c r="D140" s="18"/>
      <c r="E140" s="9"/>
      <c r="F140" s="20"/>
      <c r="G140" s="21"/>
      <c r="H140" s="35" t="str">
        <f t="shared" si="2"/>
        <v/>
      </c>
      <c r="I140" s="22"/>
      <c r="J140" s="12"/>
      <c r="K140" s="23"/>
      <c r="L140" s="32"/>
      <c r="M140" s="32"/>
    </row>
    <row r="141" spans="1:13" ht="21" customHeight="1" x14ac:dyDescent="0.15">
      <c r="A141" s="12">
        <v>139</v>
      </c>
      <c r="B141" s="18"/>
      <c r="C141" s="18"/>
      <c r="D141" s="18"/>
      <c r="E141" s="9"/>
      <c r="F141" s="20"/>
      <c r="G141" s="21"/>
      <c r="H141" s="35" t="str">
        <f t="shared" si="2"/>
        <v/>
      </c>
      <c r="I141" s="22"/>
      <c r="J141" s="12"/>
      <c r="K141" s="23"/>
      <c r="L141" s="32"/>
      <c r="M141" s="32"/>
    </row>
    <row r="142" spans="1:13" ht="21" customHeight="1" x14ac:dyDescent="0.15">
      <c r="A142" s="12">
        <v>140</v>
      </c>
      <c r="B142" s="18"/>
      <c r="C142" s="18"/>
      <c r="D142" s="18"/>
      <c r="E142" s="9"/>
      <c r="F142" s="20"/>
      <c r="G142" s="21"/>
      <c r="H142" s="35" t="str">
        <f t="shared" si="2"/>
        <v/>
      </c>
      <c r="I142" s="22"/>
      <c r="J142" s="12"/>
      <c r="K142" s="23"/>
      <c r="L142" s="32"/>
      <c r="M142" s="32"/>
    </row>
    <row r="143" spans="1:13" ht="21" customHeight="1" x14ac:dyDescent="0.15">
      <c r="A143" s="12">
        <v>141</v>
      </c>
      <c r="B143" s="18"/>
      <c r="C143" s="18"/>
      <c r="D143" s="18"/>
      <c r="E143" s="9"/>
      <c r="F143" s="20"/>
      <c r="G143" s="21"/>
      <c r="H143" s="35" t="str">
        <f t="shared" si="2"/>
        <v/>
      </c>
      <c r="I143" s="22"/>
      <c r="J143" s="12"/>
      <c r="K143" s="23"/>
      <c r="L143" s="32"/>
      <c r="M143" s="32"/>
    </row>
    <row r="144" spans="1:13" ht="21" customHeight="1" x14ac:dyDescent="0.15">
      <c r="A144" s="12">
        <v>142</v>
      </c>
      <c r="B144" s="18"/>
      <c r="C144" s="18"/>
      <c r="D144" s="18"/>
      <c r="E144" s="9"/>
      <c r="F144" s="20"/>
      <c r="G144" s="21"/>
      <c r="H144" s="35" t="str">
        <f t="shared" si="2"/>
        <v/>
      </c>
      <c r="I144" s="22"/>
      <c r="J144" s="12"/>
      <c r="K144" s="23"/>
      <c r="L144" s="47"/>
      <c r="M144" s="48"/>
    </row>
    <row r="145" spans="1:14" ht="21" customHeight="1" x14ac:dyDescent="0.15">
      <c r="A145" s="12">
        <v>143</v>
      </c>
      <c r="B145" s="18"/>
      <c r="C145" s="18"/>
      <c r="D145" s="18"/>
      <c r="E145" s="9"/>
      <c r="F145" s="20"/>
      <c r="G145" s="21"/>
      <c r="H145" s="35" t="str">
        <f t="shared" si="2"/>
        <v/>
      </c>
      <c r="I145" s="22"/>
      <c r="J145" s="12"/>
      <c r="K145" s="23"/>
      <c r="L145" s="32"/>
      <c r="M145" s="32"/>
    </row>
    <row r="146" spans="1:14" ht="21" customHeight="1" x14ac:dyDescent="0.15">
      <c r="A146" s="12">
        <v>144</v>
      </c>
      <c r="B146" s="18"/>
      <c r="C146" s="18"/>
      <c r="D146" s="18"/>
      <c r="E146" s="9"/>
      <c r="F146" s="20"/>
      <c r="G146" s="21"/>
      <c r="H146" s="35" t="str">
        <f t="shared" si="2"/>
        <v/>
      </c>
      <c r="I146" s="22"/>
      <c r="J146" s="12"/>
      <c r="K146" s="23"/>
      <c r="L146" s="32"/>
      <c r="M146" s="32"/>
    </row>
    <row r="147" spans="1:14" ht="21" customHeight="1" x14ac:dyDescent="0.15">
      <c r="A147" s="12">
        <v>145</v>
      </c>
      <c r="B147" s="18"/>
      <c r="C147" s="18"/>
      <c r="D147" s="18"/>
      <c r="E147" s="9"/>
      <c r="F147" s="25"/>
      <c r="G147" s="26"/>
      <c r="H147" s="35" t="str">
        <f t="shared" si="2"/>
        <v/>
      </c>
      <c r="I147" s="22"/>
      <c r="J147" s="12"/>
      <c r="K147" s="23"/>
      <c r="L147" s="32"/>
      <c r="M147" s="32"/>
    </row>
    <row r="148" spans="1:14" ht="21" customHeight="1" x14ac:dyDescent="0.15">
      <c r="A148" s="12">
        <v>146</v>
      </c>
      <c r="B148" s="18"/>
      <c r="C148" s="18"/>
      <c r="D148" s="18"/>
      <c r="E148" s="9"/>
      <c r="F148" s="25"/>
      <c r="G148" s="26"/>
      <c r="H148" s="35" t="str">
        <f t="shared" si="2"/>
        <v/>
      </c>
      <c r="I148" s="22"/>
      <c r="J148" s="12"/>
      <c r="K148" s="23"/>
      <c r="L148" s="32"/>
      <c r="M148" s="32"/>
    </row>
    <row r="149" spans="1:14" ht="21" customHeight="1" x14ac:dyDescent="0.15">
      <c r="A149" s="12">
        <v>147</v>
      </c>
      <c r="B149" s="18"/>
      <c r="C149" s="18"/>
      <c r="D149" s="18"/>
      <c r="E149" s="9"/>
      <c r="F149" s="20"/>
      <c r="G149" s="21"/>
      <c r="H149" s="35" t="str">
        <f t="shared" si="2"/>
        <v/>
      </c>
      <c r="I149" s="22"/>
      <c r="J149" s="12"/>
      <c r="K149" s="23"/>
      <c r="L149" s="32"/>
      <c r="M149" s="32"/>
    </row>
    <row r="150" spans="1:14" ht="21" customHeight="1" x14ac:dyDescent="0.15">
      <c r="A150" s="12">
        <v>148</v>
      </c>
      <c r="B150" s="18"/>
      <c r="C150" s="18"/>
      <c r="D150" s="18"/>
      <c r="E150" s="9"/>
      <c r="F150" s="20"/>
      <c r="G150" s="21"/>
      <c r="H150" s="35" t="str">
        <f t="shared" si="2"/>
        <v/>
      </c>
      <c r="I150" s="22"/>
      <c r="J150" s="12"/>
      <c r="K150" s="23"/>
      <c r="L150" s="32"/>
      <c r="M150" s="32"/>
    </row>
    <row r="151" spans="1:14" ht="21" customHeight="1" x14ac:dyDescent="0.15">
      <c r="A151" s="12">
        <v>149</v>
      </c>
      <c r="B151" s="18"/>
      <c r="C151" s="18"/>
      <c r="D151" s="18"/>
      <c r="E151" s="9"/>
      <c r="F151" s="20"/>
      <c r="G151" s="21"/>
      <c r="H151" s="35" t="str">
        <f t="shared" si="2"/>
        <v/>
      </c>
      <c r="I151" s="22"/>
      <c r="J151" s="12"/>
      <c r="K151" s="23"/>
      <c r="L151" s="32"/>
      <c r="M151" s="32"/>
    </row>
    <row r="152" spans="1:14" ht="21" customHeight="1" x14ac:dyDescent="0.15">
      <c r="A152" s="12">
        <v>150</v>
      </c>
      <c r="B152" s="18"/>
      <c r="C152" s="18"/>
      <c r="D152" s="18"/>
      <c r="E152" s="9"/>
      <c r="F152" s="20"/>
      <c r="G152" s="21"/>
      <c r="H152" s="35" t="str">
        <f t="shared" si="2"/>
        <v/>
      </c>
      <c r="I152" s="22"/>
      <c r="J152" s="12"/>
      <c r="K152" s="23"/>
      <c r="L152" s="32"/>
      <c r="M152" s="32"/>
      <c r="N152" s="14"/>
    </row>
    <row r="153" spans="1:14" ht="21" customHeight="1" x14ac:dyDescent="0.15">
      <c r="A153" s="12">
        <v>151</v>
      </c>
      <c r="B153" s="18"/>
      <c r="C153" s="18"/>
      <c r="D153" s="18"/>
      <c r="E153" s="9"/>
      <c r="F153" s="20"/>
      <c r="G153" s="21"/>
      <c r="H153" s="35" t="str">
        <f t="shared" si="2"/>
        <v/>
      </c>
      <c r="I153" s="22"/>
      <c r="J153" s="12"/>
      <c r="K153" s="23"/>
      <c r="L153" s="32"/>
      <c r="M153" s="32"/>
    </row>
    <row r="154" spans="1:14" ht="21" customHeight="1" x14ac:dyDescent="0.15">
      <c r="A154" s="12">
        <v>152</v>
      </c>
      <c r="B154" s="18"/>
      <c r="C154" s="18"/>
      <c r="D154" s="18"/>
      <c r="E154" s="9"/>
      <c r="F154" s="20"/>
      <c r="G154" s="21"/>
      <c r="H154" s="35" t="str">
        <f t="shared" si="2"/>
        <v/>
      </c>
      <c r="I154" s="22"/>
      <c r="J154" s="12"/>
      <c r="K154" s="23"/>
      <c r="L154" s="32"/>
      <c r="M154" s="32"/>
    </row>
    <row r="155" spans="1:14" ht="21" customHeight="1" x14ac:dyDescent="0.15">
      <c r="A155" s="12">
        <v>153</v>
      </c>
      <c r="B155" s="18"/>
      <c r="C155" s="18"/>
      <c r="D155" s="18"/>
      <c r="E155" s="9"/>
      <c r="F155" s="20"/>
      <c r="G155" s="21"/>
      <c r="H155" s="35" t="str">
        <f t="shared" si="2"/>
        <v/>
      </c>
      <c r="I155" s="22"/>
      <c r="J155" s="12"/>
      <c r="K155" s="23"/>
      <c r="L155" s="32"/>
      <c r="M155" s="32"/>
    </row>
    <row r="156" spans="1:14" ht="21" customHeight="1" x14ac:dyDescent="0.15">
      <c r="A156" s="12">
        <v>154</v>
      </c>
      <c r="B156" s="18"/>
      <c r="C156" s="18"/>
      <c r="D156" s="18"/>
      <c r="E156" s="9"/>
      <c r="F156" s="20"/>
      <c r="G156" s="21"/>
      <c r="H156" s="35" t="str">
        <f t="shared" si="2"/>
        <v/>
      </c>
      <c r="I156" s="22"/>
      <c r="J156" s="12"/>
      <c r="K156" s="23"/>
      <c r="L156" s="32"/>
      <c r="M156" s="32"/>
    </row>
    <row r="157" spans="1:14" ht="21" customHeight="1" x14ac:dyDescent="0.15">
      <c r="A157" s="12">
        <v>155</v>
      </c>
      <c r="B157" s="18"/>
      <c r="C157" s="18"/>
      <c r="D157" s="18"/>
      <c r="E157" s="9"/>
      <c r="F157" s="20"/>
      <c r="G157" s="21"/>
      <c r="H157" s="35" t="str">
        <f>IF(G157="","",(F157*100000000+G157)-7*INT((F157*100000000+G157)/7))</f>
        <v/>
      </c>
      <c r="I157" s="22"/>
      <c r="J157" s="12"/>
      <c r="K157" s="23"/>
      <c r="L157" s="32"/>
      <c r="M157" s="32"/>
    </row>
    <row r="158" spans="1:14" ht="21" customHeight="1" x14ac:dyDescent="0.15">
      <c r="A158" s="12">
        <v>156</v>
      </c>
      <c r="B158" s="18"/>
      <c r="C158" s="18"/>
      <c r="D158" s="18"/>
      <c r="E158" s="9"/>
      <c r="F158" s="20"/>
      <c r="G158" s="21"/>
      <c r="H158" s="35" t="str">
        <f t="shared" si="2"/>
        <v/>
      </c>
      <c r="I158" s="22"/>
      <c r="J158" s="12"/>
      <c r="K158" s="23"/>
      <c r="L158" s="32"/>
      <c r="M158" s="32"/>
    </row>
    <row r="159" spans="1:14" ht="21" customHeight="1" x14ac:dyDescent="0.15">
      <c r="A159" s="12">
        <v>157</v>
      </c>
      <c r="B159" s="18"/>
      <c r="C159" s="18"/>
      <c r="D159" s="18"/>
      <c r="E159" s="9"/>
      <c r="F159" s="20"/>
      <c r="G159" s="21"/>
      <c r="H159" s="35" t="str">
        <f t="shared" si="2"/>
        <v/>
      </c>
      <c r="I159" s="22"/>
      <c r="J159" s="12"/>
      <c r="K159" s="23"/>
      <c r="L159" s="32"/>
      <c r="M159" s="32"/>
    </row>
    <row r="160" spans="1:14" ht="21" customHeight="1" x14ac:dyDescent="0.15">
      <c r="A160" s="12">
        <v>158</v>
      </c>
      <c r="B160" s="18"/>
      <c r="C160" s="18"/>
      <c r="D160" s="18"/>
      <c r="E160" s="9"/>
      <c r="F160" s="20"/>
      <c r="G160" s="21"/>
      <c r="H160" s="35" t="str">
        <f t="shared" si="2"/>
        <v/>
      </c>
      <c r="I160" s="22"/>
      <c r="J160" s="12"/>
      <c r="K160" s="23"/>
      <c r="L160" s="32"/>
      <c r="M160" s="32"/>
    </row>
    <row r="161" spans="1:13" ht="21" customHeight="1" x14ac:dyDescent="0.15">
      <c r="A161" s="12">
        <v>159</v>
      </c>
      <c r="B161" s="18"/>
      <c r="C161" s="18"/>
      <c r="D161" s="18"/>
      <c r="E161" s="9"/>
      <c r="F161" s="20"/>
      <c r="G161" s="21"/>
      <c r="H161" s="35" t="str">
        <f t="shared" si="2"/>
        <v/>
      </c>
      <c r="I161" s="22"/>
      <c r="J161" s="12"/>
      <c r="K161" s="23"/>
      <c r="L161" s="32"/>
      <c r="M161" s="32"/>
    </row>
    <row r="162" spans="1:13" ht="21" customHeight="1" x14ac:dyDescent="0.15">
      <c r="A162" s="12">
        <v>160</v>
      </c>
      <c r="B162" s="18"/>
      <c r="C162" s="18"/>
      <c r="D162" s="18"/>
      <c r="E162" s="9"/>
      <c r="F162" s="20"/>
      <c r="G162" s="21"/>
      <c r="H162" s="35" t="str">
        <f t="shared" si="2"/>
        <v/>
      </c>
      <c r="I162" s="22"/>
      <c r="J162" s="12"/>
      <c r="K162" s="23"/>
      <c r="L162" s="32"/>
      <c r="M162" s="32"/>
    </row>
    <row r="163" spans="1:13" ht="21" customHeight="1" x14ac:dyDescent="0.15">
      <c r="A163" s="12">
        <v>161</v>
      </c>
      <c r="B163" s="18"/>
      <c r="C163" s="18"/>
      <c r="D163" s="18"/>
      <c r="E163" s="9"/>
      <c r="F163" s="20"/>
      <c r="G163" s="21"/>
      <c r="H163" s="35" t="str">
        <f t="shared" si="2"/>
        <v/>
      </c>
      <c r="I163" s="22"/>
      <c r="J163" s="12"/>
      <c r="K163" s="23"/>
      <c r="L163" s="32"/>
      <c r="M163" s="32"/>
    </row>
    <row r="164" spans="1:13" ht="21" customHeight="1" x14ac:dyDescent="0.15">
      <c r="A164" s="12">
        <v>162</v>
      </c>
      <c r="B164" s="18"/>
      <c r="C164" s="18"/>
      <c r="D164" s="18"/>
      <c r="E164" s="9"/>
      <c r="F164" s="20"/>
      <c r="G164" s="21"/>
      <c r="H164" s="35" t="str">
        <f t="shared" si="2"/>
        <v/>
      </c>
      <c r="I164" s="22"/>
      <c r="J164" s="12"/>
      <c r="K164" s="23"/>
      <c r="L164" s="32"/>
      <c r="M164" s="32"/>
    </row>
    <row r="165" spans="1:13" ht="21" customHeight="1" x14ac:dyDescent="0.15">
      <c r="A165" s="12">
        <v>163</v>
      </c>
      <c r="B165" s="18"/>
      <c r="C165" s="18"/>
      <c r="D165" s="18"/>
      <c r="E165" s="9"/>
      <c r="F165" s="20"/>
      <c r="G165" s="21"/>
      <c r="H165" s="35" t="str">
        <f t="shared" si="2"/>
        <v/>
      </c>
      <c r="I165" s="22"/>
      <c r="J165" s="12"/>
      <c r="K165" s="23"/>
      <c r="L165" s="32"/>
      <c r="M165" s="32"/>
    </row>
    <row r="166" spans="1:13" ht="21" customHeight="1" x14ac:dyDescent="0.15">
      <c r="A166" s="12">
        <v>164</v>
      </c>
      <c r="B166" s="18"/>
      <c r="C166" s="18"/>
      <c r="D166" s="18"/>
      <c r="E166" s="9"/>
      <c r="F166" s="20"/>
      <c r="G166" s="21"/>
      <c r="H166" s="35" t="str">
        <f t="shared" si="2"/>
        <v/>
      </c>
      <c r="I166" s="22"/>
      <c r="J166" s="12"/>
      <c r="K166" s="23"/>
      <c r="L166" s="32"/>
      <c r="M166" s="32"/>
    </row>
    <row r="167" spans="1:13" ht="21" customHeight="1" x14ac:dyDescent="0.15">
      <c r="A167" s="12">
        <v>165</v>
      </c>
      <c r="B167" s="18"/>
      <c r="C167" s="18"/>
      <c r="D167" s="18"/>
      <c r="E167" s="9"/>
      <c r="F167" s="20"/>
      <c r="G167" s="21"/>
      <c r="H167" s="35" t="str">
        <f t="shared" si="2"/>
        <v/>
      </c>
      <c r="I167" s="22"/>
      <c r="J167" s="12"/>
      <c r="K167" s="23"/>
      <c r="L167" s="32"/>
      <c r="M167" s="32"/>
    </row>
    <row r="168" spans="1:13" ht="21" customHeight="1" x14ac:dyDescent="0.15">
      <c r="A168" s="12">
        <v>166</v>
      </c>
      <c r="B168" s="18"/>
      <c r="C168" s="18"/>
      <c r="D168" s="18"/>
      <c r="E168" s="9"/>
      <c r="F168" s="20"/>
      <c r="G168" s="21"/>
      <c r="H168" s="35" t="str">
        <f t="shared" si="2"/>
        <v/>
      </c>
      <c r="I168" s="22"/>
      <c r="J168" s="12"/>
      <c r="K168" s="23"/>
      <c r="L168" s="32"/>
      <c r="M168" s="32"/>
    </row>
    <row r="169" spans="1:13" ht="21" customHeight="1" x14ac:dyDescent="0.15">
      <c r="A169" s="12">
        <v>167</v>
      </c>
      <c r="B169" s="18"/>
      <c r="C169" s="18"/>
      <c r="D169" s="18"/>
      <c r="E169" s="9"/>
      <c r="F169" s="20"/>
      <c r="G169" s="21"/>
      <c r="H169" s="35" t="str">
        <f t="shared" si="2"/>
        <v/>
      </c>
      <c r="I169" s="22"/>
      <c r="J169" s="12"/>
      <c r="K169" s="23"/>
      <c r="L169" s="32"/>
      <c r="M169" s="32"/>
    </row>
    <row r="170" spans="1:13" ht="21" customHeight="1" x14ac:dyDescent="0.15">
      <c r="A170" s="12">
        <v>168</v>
      </c>
      <c r="B170" s="18"/>
      <c r="C170" s="18"/>
      <c r="D170" s="18"/>
      <c r="E170" s="9"/>
      <c r="F170" s="20"/>
      <c r="G170" s="21"/>
      <c r="H170" s="35" t="str">
        <f t="shared" si="2"/>
        <v/>
      </c>
      <c r="I170" s="22"/>
      <c r="J170" s="12"/>
      <c r="K170" s="23"/>
      <c r="L170" s="32"/>
      <c r="M170" s="32"/>
    </row>
    <row r="171" spans="1:13" ht="21" customHeight="1" x14ac:dyDescent="0.15">
      <c r="A171" s="12">
        <v>169</v>
      </c>
      <c r="B171" s="18"/>
      <c r="C171" s="18"/>
      <c r="D171" s="18"/>
      <c r="E171" s="9"/>
      <c r="F171" s="20"/>
      <c r="G171" s="21"/>
      <c r="H171" s="35" t="str">
        <f t="shared" si="2"/>
        <v/>
      </c>
      <c r="I171" s="22"/>
      <c r="J171" s="12"/>
      <c r="K171" s="23"/>
      <c r="L171" s="32"/>
      <c r="M171" s="32"/>
    </row>
    <row r="172" spans="1:13" ht="21" customHeight="1" x14ac:dyDescent="0.15">
      <c r="A172" s="12">
        <v>170</v>
      </c>
      <c r="B172" s="18"/>
      <c r="C172" s="18"/>
      <c r="D172" s="18"/>
      <c r="E172" s="9"/>
      <c r="F172" s="20"/>
      <c r="G172" s="21"/>
      <c r="H172" s="35" t="str">
        <f t="shared" si="2"/>
        <v/>
      </c>
      <c r="I172" s="22"/>
      <c r="J172" s="12"/>
      <c r="K172" s="23"/>
      <c r="L172" s="32"/>
      <c r="M172" s="32"/>
    </row>
    <row r="173" spans="1:13" ht="21" customHeight="1" x14ac:dyDescent="0.15">
      <c r="A173" s="12">
        <v>171</v>
      </c>
      <c r="B173" s="18"/>
      <c r="C173" s="18"/>
      <c r="D173" s="18"/>
      <c r="E173" s="50"/>
      <c r="F173" s="20"/>
      <c r="G173" s="21"/>
      <c r="H173" s="35" t="str">
        <f t="shared" si="2"/>
        <v/>
      </c>
      <c r="I173" s="22"/>
      <c r="J173" s="12"/>
      <c r="K173" s="23"/>
      <c r="L173" s="32"/>
      <c r="M173" s="32"/>
    </row>
    <row r="174" spans="1:13" ht="21" customHeight="1" x14ac:dyDescent="0.15">
      <c r="A174" s="12">
        <v>172</v>
      </c>
      <c r="B174" s="18"/>
      <c r="C174" s="18"/>
      <c r="D174" s="18"/>
      <c r="E174" s="9"/>
      <c r="F174" s="20"/>
      <c r="G174" s="21"/>
      <c r="H174" s="35" t="str">
        <f t="shared" si="2"/>
        <v/>
      </c>
      <c r="I174" s="22"/>
      <c r="J174" s="12"/>
      <c r="K174" s="23"/>
      <c r="L174" s="32"/>
      <c r="M174" s="32"/>
    </row>
    <row r="175" spans="1:13" ht="21" customHeight="1" x14ac:dyDescent="0.15">
      <c r="A175" s="12">
        <v>173</v>
      </c>
      <c r="B175" s="18"/>
      <c r="C175" s="18"/>
      <c r="D175" s="18"/>
      <c r="E175" s="9"/>
      <c r="F175" s="20"/>
      <c r="G175" s="21"/>
      <c r="H175" s="35" t="str">
        <f t="shared" si="2"/>
        <v/>
      </c>
      <c r="I175" s="22"/>
      <c r="J175" s="12"/>
      <c r="K175" s="23"/>
      <c r="L175" s="32"/>
      <c r="M175" s="32"/>
    </row>
    <row r="176" spans="1:13" ht="21" customHeight="1" x14ac:dyDescent="0.15">
      <c r="A176" s="12">
        <v>174</v>
      </c>
      <c r="B176" s="18"/>
      <c r="C176" s="18"/>
      <c r="D176" s="18"/>
      <c r="E176" s="9"/>
      <c r="F176" s="20"/>
      <c r="G176" s="21"/>
      <c r="H176" s="35" t="str">
        <f t="shared" si="2"/>
        <v/>
      </c>
      <c r="I176" s="22"/>
      <c r="J176" s="12"/>
      <c r="K176" s="23"/>
      <c r="L176" s="32"/>
      <c r="M176" s="32"/>
    </row>
    <row r="177" spans="1:13" ht="21" customHeight="1" x14ac:dyDescent="0.15">
      <c r="A177" s="12">
        <v>175</v>
      </c>
      <c r="B177" s="18"/>
      <c r="C177" s="18"/>
      <c r="D177" s="18"/>
      <c r="E177" s="9"/>
      <c r="F177" s="20"/>
      <c r="G177" s="21"/>
      <c r="H177" s="35" t="str">
        <f t="shared" si="2"/>
        <v/>
      </c>
      <c r="I177" s="22"/>
      <c r="J177" s="12"/>
      <c r="K177" s="23"/>
      <c r="L177" s="32"/>
      <c r="M177" s="32"/>
    </row>
    <row r="178" spans="1:13" ht="21" customHeight="1" x14ac:dyDescent="0.15">
      <c r="A178" s="12">
        <v>176</v>
      </c>
      <c r="B178" s="18"/>
      <c r="C178" s="18"/>
      <c r="D178" s="18"/>
      <c r="E178" s="9"/>
      <c r="F178" s="20"/>
      <c r="G178" s="21"/>
      <c r="H178" s="35" t="str">
        <f t="shared" si="2"/>
        <v/>
      </c>
      <c r="I178" s="22"/>
      <c r="J178" s="12"/>
      <c r="K178" s="23"/>
      <c r="L178" s="32"/>
      <c r="M178" s="32"/>
    </row>
    <row r="179" spans="1:13" ht="21" customHeight="1" x14ac:dyDescent="0.15">
      <c r="A179" s="12">
        <v>177</v>
      </c>
      <c r="B179" s="18"/>
      <c r="C179" s="18"/>
      <c r="D179" s="18"/>
      <c r="E179" s="9"/>
      <c r="F179" s="20"/>
      <c r="G179" s="21"/>
      <c r="H179" s="35" t="str">
        <f t="shared" si="2"/>
        <v/>
      </c>
      <c r="I179" s="22"/>
      <c r="J179" s="12"/>
      <c r="K179" s="23"/>
      <c r="L179" s="32"/>
      <c r="M179" s="32"/>
    </row>
    <row r="180" spans="1:13" ht="21" customHeight="1" x14ac:dyDescent="0.15">
      <c r="A180" s="12">
        <v>178</v>
      </c>
      <c r="B180" s="18"/>
      <c r="C180" s="18"/>
      <c r="D180" s="18"/>
      <c r="E180" s="9"/>
      <c r="F180" s="20"/>
      <c r="G180" s="21"/>
      <c r="H180" s="35" t="str">
        <f t="shared" si="2"/>
        <v/>
      </c>
      <c r="I180" s="22"/>
      <c r="J180" s="12"/>
      <c r="K180" s="23"/>
      <c r="L180" s="32"/>
      <c r="M180" s="32"/>
    </row>
    <row r="181" spans="1:13" ht="21" customHeight="1" x14ac:dyDescent="0.15">
      <c r="A181" s="12">
        <v>179</v>
      </c>
      <c r="B181" s="18"/>
      <c r="C181" s="18"/>
      <c r="D181" s="18"/>
      <c r="E181" s="9"/>
      <c r="F181" s="25"/>
      <c r="G181" s="26"/>
      <c r="H181" s="35" t="str">
        <f t="shared" si="2"/>
        <v/>
      </c>
      <c r="I181" s="22"/>
      <c r="J181" s="12"/>
      <c r="K181" s="23"/>
      <c r="L181" s="32"/>
      <c r="M181" s="32"/>
    </row>
    <row r="182" spans="1:13" ht="21" customHeight="1" x14ac:dyDescent="0.15">
      <c r="A182" s="12">
        <v>180</v>
      </c>
      <c r="B182" s="18"/>
      <c r="C182" s="18"/>
      <c r="D182" s="18"/>
      <c r="E182" s="9"/>
      <c r="F182" s="25"/>
      <c r="G182" s="26"/>
      <c r="H182" s="35" t="str">
        <f t="shared" si="2"/>
        <v/>
      </c>
      <c r="I182" s="22"/>
      <c r="J182" s="12"/>
      <c r="K182" s="23"/>
      <c r="L182" s="32"/>
      <c r="M182" s="32"/>
    </row>
    <row r="183" spans="1:13" ht="21" customHeight="1" x14ac:dyDescent="0.15">
      <c r="A183" s="12">
        <v>181</v>
      </c>
      <c r="B183" s="18"/>
      <c r="C183" s="18"/>
      <c r="D183" s="18"/>
      <c r="E183" s="9"/>
      <c r="F183" s="20"/>
      <c r="G183" s="21"/>
      <c r="H183" s="35" t="str">
        <f t="shared" si="2"/>
        <v/>
      </c>
      <c r="I183" s="22"/>
      <c r="J183" s="12"/>
      <c r="K183" s="23"/>
      <c r="L183" s="32"/>
      <c r="M183" s="32"/>
    </row>
    <row r="184" spans="1:13" ht="21" customHeight="1" x14ac:dyDescent="0.15">
      <c r="A184" s="12">
        <v>182</v>
      </c>
      <c r="B184" s="18"/>
      <c r="C184" s="18"/>
      <c r="D184" s="18"/>
      <c r="E184" s="9"/>
      <c r="F184" s="20"/>
      <c r="G184" s="21"/>
      <c r="H184" s="35" t="str">
        <f t="shared" si="2"/>
        <v/>
      </c>
      <c r="I184" s="22"/>
      <c r="J184" s="12"/>
      <c r="K184" s="23"/>
      <c r="L184" s="32"/>
      <c r="M184" s="32"/>
    </row>
    <row r="185" spans="1:13" ht="21" customHeight="1" x14ac:dyDescent="0.15">
      <c r="A185" s="12">
        <v>183</v>
      </c>
      <c r="B185" s="18"/>
      <c r="C185" s="18"/>
      <c r="D185" s="18"/>
      <c r="E185" s="9"/>
      <c r="F185" s="20"/>
      <c r="G185" s="21"/>
      <c r="H185" s="35" t="str">
        <f t="shared" si="2"/>
        <v/>
      </c>
      <c r="I185" s="22"/>
      <c r="J185" s="12"/>
      <c r="K185" s="23"/>
      <c r="L185" s="32"/>
      <c r="M185" s="32"/>
    </row>
    <row r="186" spans="1:13" ht="21" customHeight="1" x14ac:dyDescent="0.15">
      <c r="A186" s="12">
        <v>184</v>
      </c>
      <c r="B186" s="18"/>
      <c r="C186" s="18"/>
      <c r="D186" s="18"/>
      <c r="E186" s="9"/>
      <c r="F186" s="20"/>
      <c r="G186" s="21"/>
      <c r="H186" s="35" t="str">
        <f t="shared" si="2"/>
        <v/>
      </c>
      <c r="I186" s="22"/>
      <c r="J186" s="12"/>
      <c r="K186" s="23"/>
      <c r="L186" s="32"/>
      <c r="M186" s="32"/>
    </row>
    <row r="187" spans="1:13" ht="21" customHeight="1" x14ac:dyDescent="0.15">
      <c r="A187" s="12">
        <v>185</v>
      </c>
      <c r="B187" s="18"/>
      <c r="C187" s="18"/>
      <c r="D187" s="18"/>
      <c r="E187" s="9"/>
      <c r="F187" s="20"/>
      <c r="G187" s="21"/>
      <c r="H187" s="35" t="str">
        <f t="shared" si="2"/>
        <v/>
      </c>
      <c r="I187" s="22"/>
      <c r="J187" s="12"/>
      <c r="K187" s="23"/>
      <c r="L187" s="32"/>
      <c r="M187" s="32"/>
    </row>
    <row r="188" spans="1:13" ht="21" customHeight="1" x14ac:dyDescent="0.15">
      <c r="A188" s="12">
        <v>186</v>
      </c>
      <c r="B188" s="18"/>
      <c r="C188" s="18"/>
      <c r="D188" s="18"/>
      <c r="E188" s="9"/>
      <c r="F188" s="20"/>
      <c r="G188" s="21"/>
      <c r="H188" s="35" t="str">
        <f t="shared" si="2"/>
        <v/>
      </c>
      <c r="I188" s="22"/>
      <c r="J188" s="12"/>
      <c r="K188" s="23"/>
      <c r="L188" s="32"/>
      <c r="M188" s="32"/>
    </row>
    <row r="189" spans="1:13" ht="21" customHeight="1" x14ac:dyDescent="0.15">
      <c r="A189" s="12">
        <v>187</v>
      </c>
      <c r="B189" s="18"/>
      <c r="C189" s="18"/>
      <c r="D189" s="18"/>
      <c r="E189" s="9"/>
      <c r="F189" s="20"/>
      <c r="G189" s="21"/>
      <c r="H189" s="35" t="str">
        <f t="shared" si="2"/>
        <v/>
      </c>
      <c r="I189" s="22"/>
      <c r="J189" s="12"/>
      <c r="K189" s="23"/>
      <c r="L189" s="32"/>
      <c r="M189" s="32"/>
    </row>
    <row r="190" spans="1:13" ht="21" customHeight="1" x14ac:dyDescent="0.15">
      <c r="A190" s="12">
        <v>188</v>
      </c>
      <c r="B190" s="18"/>
      <c r="C190" s="18"/>
      <c r="D190" s="18"/>
      <c r="E190" s="9"/>
      <c r="F190" s="20"/>
      <c r="G190" s="21"/>
      <c r="H190" s="35" t="str">
        <f t="shared" si="2"/>
        <v/>
      </c>
      <c r="I190" s="22"/>
      <c r="J190" s="12"/>
      <c r="K190" s="23"/>
      <c r="L190" s="32"/>
      <c r="M190" s="32"/>
    </row>
    <row r="191" spans="1:13" ht="21" customHeight="1" x14ac:dyDescent="0.15">
      <c r="A191" s="12">
        <v>189</v>
      </c>
      <c r="B191" s="18"/>
      <c r="C191" s="18"/>
      <c r="D191" s="18"/>
      <c r="E191" s="9"/>
      <c r="F191" s="20"/>
      <c r="G191" s="21"/>
      <c r="H191" s="35" t="str">
        <f t="shared" si="2"/>
        <v/>
      </c>
      <c r="I191" s="22"/>
      <c r="J191" s="12"/>
      <c r="K191" s="23"/>
      <c r="L191" s="32"/>
      <c r="M191" s="32"/>
    </row>
    <row r="192" spans="1:13" ht="21" customHeight="1" x14ac:dyDescent="0.15">
      <c r="A192" s="12">
        <v>190</v>
      </c>
      <c r="B192" s="18"/>
      <c r="C192" s="18"/>
      <c r="D192" s="18"/>
      <c r="E192" s="9"/>
      <c r="F192" s="20"/>
      <c r="G192" s="21"/>
      <c r="H192" s="35" t="str">
        <f t="shared" si="2"/>
        <v/>
      </c>
      <c r="I192" s="22"/>
      <c r="J192" s="12"/>
      <c r="K192" s="23"/>
      <c r="L192" s="32"/>
      <c r="M192" s="32"/>
    </row>
    <row r="193" spans="1:14" ht="21" customHeight="1" x14ac:dyDescent="0.15">
      <c r="A193" s="12">
        <v>191</v>
      </c>
      <c r="B193" s="18"/>
      <c r="C193" s="18"/>
      <c r="D193" s="18"/>
      <c r="E193" s="9"/>
      <c r="F193" s="20"/>
      <c r="G193" s="21"/>
      <c r="H193" s="35" t="str">
        <f t="shared" si="2"/>
        <v/>
      </c>
      <c r="I193" s="22"/>
      <c r="J193" s="12"/>
      <c r="K193" s="23"/>
      <c r="L193" s="32"/>
      <c r="M193" s="32"/>
    </row>
    <row r="194" spans="1:14" ht="21" customHeight="1" x14ac:dyDescent="0.15">
      <c r="A194" s="12">
        <v>192</v>
      </c>
      <c r="B194" s="18"/>
      <c r="C194" s="18"/>
      <c r="D194" s="18"/>
      <c r="E194" s="9"/>
      <c r="F194" s="20"/>
      <c r="G194" s="21"/>
      <c r="H194" s="35" t="str">
        <f t="shared" si="2"/>
        <v/>
      </c>
      <c r="I194" s="22"/>
      <c r="J194" s="12"/>
      <c r="K194" s="23"/>
      <c r="L194" s="32"/>
      <c r="M194" s="32"/>
    </row>
    <row r="195" spans="1:14" ht="21" customHeight="1" x14ac:dyDescent="0.15">
      <c r="A195" s="12">
        <v>193</v>
      </c>
      <c r="B195" s="18"/>
      <c r="C195" s="18"/>
      <c r="D195" s="18"/>
      <c r="E195" s="9"/>
      <c r="F195" s="20"/>
      <c r="G195" s="21"/>
      <c r="H195" s="35" t="str">
        <f t="shared" ref="H195:H227" si="3">IF(G195="","",(F195*100000000+G195)-7*INT((F195*100000000+G195)/7))</f>
        <v/>
      </c>
      <c r="I195" s="22"/>
      <c r="J195" s="12"/>
      <c r="K195" s="23"/>
      <c r="L195" s="32"/>
      <c r="M195" s="32"/>
    </row>
    <row r="196" spans="1:14" ht="21" customHeight="1" x14ac:dyDescent="0.15">
      <c r="A196" s="12">
        <v>194</v>
      </c>
      <c r="B196" s="18"/>
      <c r="C196" s="18"/>
      <c r="D196" s="18"/>
      <c r="E196" s="9"/>
      <c r="F196" s="20"/>
      <c r="G196" s="21"/>
      <c r="H196" s="35" t="str">
        <f t="shared" si="3"/>
        <v/>
      </c>
      <c r="I196" s="22"/>
      <c r="J196" s="12"/>
      <c r="K196" s="23"/>
      <c r="L196" s="32"/>
      <c r="M196" s="32"/>
    </row>
    <row r="197" spans="1:14" ht="21" customHeight="1" x14ac:dyDescent="0.15">
      <c r="A197" s="12">
        <v>195</v>
      </c>
      <c r="B197" s="18"/>
      <c r="C197" s="18"/>
      <c r="D197" s="18"/>
      <c r="E197" s="9"/>
      <c r="F197" s="20"/>
      <c r="G197" s="21"/>
      <c r="H197" s="35" t="str">
        <f t="shared" si="3"/>
        <v/>
      </c>
      <c r="I197" s="22"/>
      <c r="J197" s="12"/>
      <c r="K197" s="23"/>
      <c r="L197" s="47"/>
      <c r="M197" s="51"/>
    </row>
    <row r="198" spans="1:14" ht="21" customHeight="1" x14ac:dyDescent="0.15">
      <c r="A198" s="12">
        <v>196</v>
      </c>
      <c r="B198" s="18"/>
      <c r="C198" s="18"/>
      <c r="D198" s="18"/>
      <c r="E198" s="9"/>
      <c r="F198" s="20"/>
      <c r="G198" s="21"/>
      <c r="H198" s="35" t="str">
        <f t="shared" si="3"/>
        <v/>
      </c>
      <c r="I198" s="22"/>
      <c r="J198" s="12"/>
      <c r="K198" s="23"/>
      <c r="L198" s="32"/>
      <c r="M198" s="32"/>
    </row>
    <row r="199" spans="1:14" ht="21" customHeight="1" x14ac:dyDescent="0.15">
      <c r="A199" s="12">
        <v>197</v>
      </c>
      <c r="B199" s="18"/>
      <c r="C199" s="18"/>
      <c r="D199" s="18"/>
      <c r="E199" s="9"/>
      <c r="F199" s="20"/>
      <c r="G199" s="21"/>
      <c r="H199" s="35" t="str">
        <f t="shared" si="3"/>
        <v/>
      </c>
      <c r="I199" s="22"/>
      <c r="J199" s="12"/>
      <c r="K199" s="23"/>
      <c r="L199" s="32"/>
      <c r="M199" s="32"/>
    </row>
    <row r="200" spans="1:14" ht="21" customHeight="1" x14ac:dyDescent="0.15">
      <c r="A200" s="12">
        <v>198</v>
      </c>
      <c r="B200" s="18"/>
      <c r="C200" s="18"/>
      <c r="D200" s="18"/>
      <c r="E200" s="9"/>
      <c r="F200" s="25"/>
      <c r="G200" s="26"/>
      <c r="H200" s="35" t="str">
        <f t="shared" si="3"/>
        <v/>
      </c>
      <c r="I200" s="22"/>
      <c r="J200" s="12"/>
      <c r="K200" s="23"/>
      <c r="L200" s="32"/>
      <c r="M200" s="32"/>
      <c r="N200" s="14"/>
    </row>
    <row r="201" spans="1:14" ht="21" customHeight="1" x14ac:dyDescent="0.15">
      <c r="A201" s="12">
        <v>199</v>
      </c>
      <c r="B201" s="18"/>
      <c r="C201" s="18"/>
      <c r="D201" s="18"/>
      <c r="E201" s="9"/>
      <c r="F201" s="25"/>
      <c r="G201" s="26"/>
      <c r="H201" s="35" t="str">
        <f t="shared" si="3"/>
        <v/>
      </c>
      <c r="I201" s="22"/>
      <c r="J201" s="12"/>
      <c r="K201" s="23"/>
      <c r="L201" s="32"/>
      <c r="M201" s="32"/>
    </row>
    <row r="202" spans="1:14" ht="21" customHeight="1" x14ac:dyDescent="0.15">
      <c r="A202" s="12">
        <v>200</v>
      </c>
      <c r="B202" s="18"/>
      <c r="C202" s="18"/>
      <c r="D202" s="18"/>
      <c r="E202" s="9"/>
      <c r="F202" s="20"/>
      <c r="G202" s="21"/>
      <c r="H202" s="35" t="str">
        <f t="shared" si="3"/>
        <v/>
      </c>
      <c r="I202" s="22"/>
      <c r="J202" s="12"/>
      <c r="K202" s="23"/>
      <c r="L202" s="32"/>
      <c r="M202" s="32"/>
    </row>
    <row r="203" spans="1:14" ht="21" customHeight="1" x14ac:dyDescent="0.15">
      <c r="A203" s="12">
        <v>201</v>
      </c>
      <c r="B203" s="18"/>
      <c r="C203" s="18"/>
      <c r="D203" s="18"/>
      <c r="E203" s="9"/>
      <c r="F203" s="20"/>
      <c r="G203" s="21"/>
      <c r="H203" s="35" t="str">
        <f t="shared" si="3"/>
        <v/>
      </c>
      <c r="I203" s="22"/>
      <c r="J203" s="12"/>
      <c r="K203" s="23"/>
      <c r="L203" s="32"/>
      <c r="M203" s="32"/>
    </row>
    <row r="204" spans="1:14" ht="21" customHeight="1" x14ac:dyDescent="0.15">
      <c r="A204" s="12">
        <v>202</v>
      </c>
      <c r="B204" s="18"/>
      <c r="C204" s="18"/>
      <c r="D204" s="18"/>
      <c r="E204" s="9"/>
      <c r="F204" s="20"/>
      <c r="G204" s="21"/>
      <c r="H204" s="35" t="str">
        <f t="shared" si="3"/>
        <v/>
      </c>
      <c r="I204" s="22"/>
      <c r="J204" s="12"/>
      <c r="K204" s="23"/>
      <c r="L204" s="32"/>
      <c r="M204" s="32"/>
    </row>
    <row r="205" spans="1:14" ht="21" customHeight="1" x14ac:dyDescent="0.15">
      <c r="A205" s="12">
        <v>203</v>
      </c>
      <c r="B205" s="18"/>
      <c r="C205" s="18"/>
      <c r="D205" s="18"/>
      <c r="E205" s="9"/>
      <c r="F205" s="20"/>
      <c r="G205" s="21"/>
      <c r="H205" s="35" t="str">
        <f t="shared" si="3"/>
        <v/>
      </c>
      <c r="I205" s="22"/>
      <c r="J205" s="12"/>
      <c r="K205" s="23"/>
      <c r="L205" s="32"/>
      <c r="M205" s="32"/>
    </row>
    <row r="206" spans="1:14" ht="21" customHeight="1" x14ac:dyDescent="0.15">
      <c r="A206" s="12">
        <v>204</v>
      </c>
      <c r="B206" s="18"/>
      <c r="C206" s="18"/>
      <c r="D206" s="18"/>
      <c r="E206" s="9"/>
      <c r="F206" s="20"/>
      <c r="G206" s="21"/>
      <c r="H206" s="35" t="str">
        <f t="shared" si="3"/>
        <v/>
      </c>
      <c r="I206" s="22"/>
      <c r="J206" s="12"/>
      <c r="K206" s="23"/>
      <c r="L206" s="32"/>
      <c r="M206" s="32"/>
    </row>
    <row r="207" spans="1:14" ht="21" customHeight="1" x14ac:dyDescent="0.15">
      <c r="A207" s="12">
        <v>205</v>
      </c>
      <c r="B207" s="18"/>
      <c r="C207" s="18"/>
      <c r="D207" s="18"/>
      <c r="E207" s="9"/>
      <c r="F207" s="20"/>
      <c r="G207" s="21"/>
      <c r="H207" s="35" t="str">
        <f t="shared" si="3"/>
        <v/>
      </c>
      <c r="I207" s="22"/>
      <c r="J207" s="12"/>
      <c r="K207" s="23"/>
      <c r="L207" s="32"/>
      <c r="M207" s="32"/>
    </row>
    <row r="208" spans="1:14" ht="21" customHeight="1" x14ac:dyDescent="0.15">
      <c r="A208" s="12">
        <v>206</v>
      </c>
      <c r="B208" s="18"/>
      <c r="C208" s="18"/>
      <c r="D208" s="18"/>
      <c r="E208" s="9"/>
      <c r="F208" s="20"/>
      <c r="G208" s="21"/>
      <c r="H208" s="35" t="str">
        <f t="shared" si="3"/>
        <v/>
      </c>
      <c r="I208" s="22"/>
      <c r="J208" s="12"/>
      <c r="K208" s="23"/>
      <c r="L208" s="32"/>
      <c r="M208" s="32"/>
    </row>
    <row r="209" spans="1:13" ht="21" customHeight="1" x14ac:dyDescent="0.15">
      <c r="A209" s="12">
        <v>207</v>
      </c>
      <c r="B209" s="18"/>
      <c r="C209" s="18"/>
      <c r="D209" s="18"/>
      <c r="E209" s="9"/>
      <c r="F209" s="20"/>
      <c r="G209" s="21"/>
      <c r="H209" s="35" t="str">
        <f t="shared" si="3"/>
        <v/>
      </c>
      <c r="I209" s="22"/>
      <c r="J209" s="12"/>
      <c r="K209" s="23"/>
      <c r="L209" s="32"/>
      <c r="M209" s="32"/>
    </row>
    <row r="210" spans="1:13" ht="21" customHeight="1" x14ac:dyDescent="0.15">
      <c r="A210" s="12">
        <v>208</v>
      </c>
      <c r="B210" s="18"/>
      <c r="C210" s="18"/>
      <c r="D210" s="18"/>
      <c r="E210" s="9"/>
      <c r="F210" s="20"/>
      <c r="G210" s="21"/>
      <c r="H210" s="35" t="str">
        <f>IF(G210="","",(F210*100000000+G210)-7*INT((F210*100000000+G210)/7))</f>
        <v/>
      </c>
      <c r="I210" s="22"/>
      <c r="J210" s="12"/>
      <c r="K210" s="23"/>
      <c r="L210" s="32"/>
      <c r="M210" s="32"/>
    </row>
    <row r="211" spans="1:13" ht="21" customHeight="1" x14ac:dyDescent="0.15">
      <c r="A211" s="12">
        <v>209</v>
      </c>
      <c r="B211" s="18"/>
      <c r="C211" s="18"/>
      <c r="D211" s="18"/>
      <c r="E211" s="9"/>
      <c r="F211" s="20"/>
      <c r="G211" s="21"/>
      <c r="H211" s="35" t="str">
        <f t="shared" si="3"/>
        <v/>
      </c>
      <c r="I211" s="22"/>
      <c r="J211" s="12"/>
      <c r="K211" s="23"/>
      <c r="L211" s="32"/>
      <c r="M211" s="32"/>
    </row>
    <row r="212" spans="1:13" ht="21" customHeight="1" x14ac:dyDescent="0.15">
      <c r="A212" s="12">
        <v>210</v>
      </c>
      <c r="B212" s="18"/>
      <c r="C212" s="18"/>
      <c r="D212" s="18"/>
      <c r="E212" s="9"/>
      <c r="F212" s="20"/>
      <c r="G212" s="21"/>
      <c r="H212" s="35" t="str">
        <f t="shared" si="3"/>
        <v/>
      </c>
      <c r="I212" s="22"/>
      <c r="J212" s="12"/>
      <c r="K212" s="23"/>
      <c r="L212" s="32"/>
      <c r="M212" s="32"/>
    </row>
    <row r="213" spans="1:13" ht="21" customHeight="1" x14ac:dyDescent="0.15">
      <c r="A213" s="12">
        <v>211</v>
      </c>
      <c r="B213" s="18"/>
      <c r="C213" s="18"/>
      <c r="D213" s="18"/>
      <c r="E213" s="9"/>
      <c r="F213" s="20"/>
      <c r="G213" s="21"/>
      <c r="H213" s="35" t="str">
        <f t="shared" si="3"/>
        <v/>
      </c>
      <c r="I213" s="22"/>
      <c r="J213" s="12"/>
      <c r="K213" s="23"/>
      <c r="L213" s="32"/>
      <c r="M213" s="32"/>
    </row>
    <row r="214" spans="1:13" ht="21" customHeight="1" x14ac:dyDescent="0.15">
      <c r="A214" s="12">
        <v>212</v>
      </c>
      <c r="B214" s="18"/>
      <c r="C214" s="18"/>
      <c r="D214" s="18"/>
      <c r="E214" s="9"/>
      <c r="F214" s="20"/>
      <c r="G214" s="21"/>
      <c r="H214" s="35" t="str">
        <f t="shared" si="3"/>
        <v/>
      </c>
      <c r="I214" s="22"/>
      <c r="J214" s="12"/>
      <c r="K214" s="23"/>
      <c r="L214" s="32"/>
      <c r="M214" s="32"/>
    </row>
    <row r="215" spans="1:13" ht="21" customHeight="1" x14ac:dyDescent="0.15">
      <c r="A215" s="12">
        <v>213</v>
      </c>
      <c r="B215" s="18"/>
      <c r="C215" s="18"/>
      <c r="D215" s="18"/>
      <c r="E215" s="9"/>
      <c r="F215" s="20"/>
      <c r="G215" s="21"/>
      <c r="H215" s="35" t="str">
        <f t="shared" si="3"/>
        <v/>
      </c>
      <c r="I215" s="22"/>
      <c r="J215" s="12"/>
      <c r="K215" s="23"/>
      <c r="L215" s="32"/>
      <c r="M215" s="32"/>
    </row>
    <row r="216" spans="1:13" ht="21" customHeight="1" x14ac:dyDescent="0.15">
      <c r="A216" s="12">
        <v>214</v>
      </c>
      <c r="B216" s="18"/>
      <c r="C216" s="18"/>
      <c r="D216" s="18"/>
      <c r="E216" s="9"/>
      <c r="F216" s="20"/>
      <c r="G216" s="21"/>
      <c r="H216" s="35" t="str">
        <f t="shared" si="3"/>
        <v/>
      </c>
      <c r="I216" s="22"/>
      <c r="J216" s="12"/>
      <c r="K216" s="23"/>
      <c r="L216" s="32"/>
      <c r="M216" s="32"/>
    </row>
    <row r="217" spans="1:13" ht="21" customHeight="1" x14ac:dyDescent="0.15">
      <c r="A217" s="12">
        <v>215</v>
      </c>
      <c r="B217" s="18"/>
      <c r="C217" s="18"/>
      <c r="D217" s="18"/>
      <c r="E217" s="9"/>
      <c r="F217" s="20"/>
      <c r="G217" s="21"/>
      <c r="H217" s="35" t="str">
        <f t="shared" si="3"/>
        <v/>
      </c>
      <c r="I217" s="22"/>
      <c r="J217" s="12"/>
      <c r="K217" s="23"/>
      <c r="L217" s="32"/>
      <c r="M217" s="32"/>
    </row>
    <row r="218" spans="1:13" ht="21" customHeight="1" x14ac:dyDescent="0.15">
      <c r="A218" s="12">
        <v>216</v>
      </c>
      <c r="B218" s="18"/>
      <c r="C218" s="18"/>
      <c r="D218" s="18"/>
      <c r="E218" s="9"/>
      <c r="F218" s="20"/>
      <c r="G218" s="21"/>
      <c r="H218" s="35" t="str">
        <f t="shared" si="3"/>
        <v/>
      </c>
      <c r="I218" s="22"/>
      <c r="J218" s="12"/>
      <c r="K218" s="23"/>
      <c r="L218" s="32"/>
      <c r="M218" s="32"/>
    </row>
    <row r="219" spans="1:13" ht="21" customHeight="1" x14ac:dyDescent="0.15">
      <c r="A219" s="12">
        <v>217</v>
      </c>
      <c r="B219" s="18"/>
      <c r="C219" s="18"/>
      <c r="D219" s="18"/>
      <c r="E219" s="9"/>
      <c r="F219" s="20"/>
      <c r="G219" s="21"/>
      <c r="H219" s="35" t="str">
        <f t="shared" si="3"/>
        <v/>
      </c>
      <c r="I219" s="22"/>
      <c r="J219" s="12"/>
      <c r="K219" s="23"/>
      <c r="L219" s="32"/>
      <c r="M219" s="32"/>
    </row>
    <row r="220" spans="1:13" ht="21" customHeight="1" x14ac:dyDescent="0.15">
      <c r="A220" s="12">
        <v>218</v>
      </c>
      <c r="B220" s="18"/>
      <c r="C220" s="18"/>
      <c r="D220" s="18"/>
      <c r="E220" s="9"/>
      <c r="F220" s="20"/>
      <c r="G220" s="21"/>
      <c r="H220" s="35" t="str">
        <f t="shared" si="3"/>
        <v/>
      </c>
      <c r="I220" s="22"/>
      <c r="J220" s="12"/>
      <c r="K220" s="23"/>
      <c r="L220" s="32"/>
      <c r="M220" s="32"/>
    </row>
    <row r="221" spans="1:13" ht="21" customHeight="1" x14ac:dyDescent="0.15">
      <c r="A221" s="12">
        <v>219</v>
      </c>
      <c r="B221" s="18"/>
      <c r="C221" s="18"/>
      <c r="D221" s="18"/>
      <c r="E221" s="9"/>
      <c r="F221" s="20"/>
      <c r="G221" s="21"/>
      <c r="H221" s="35" t="str">
        <f t="shared" si="3"/>
        <v/>
      </c>
      <c r="I221" s="22"/>
      <c r="J221" s="12"/>
      <c r="K221" s="23"/>
      <c r="L221" s="32"/>
      <c r="M221" s="32"/>
    </row>
    <row r="222" spans="1:13" ht="21" customHeight="1" x14ac:dyDescent="0.15">
      <c r="A222" s="12">
        <v>220</v>
      </c>
      <c r="B222" s="18"/>
      <c r="C222" s="18"/>
      <c r="D222" s="18"/>
      <c r="E222" s="9"/>
      <c r="F222" s="20"/>
      <c r="G222" s="21"/>
      <c r="H222" s="35" t="str">
        <f t="shared" si="3"/>
        <v/>
      </c>
      <c r="I222" s="22"/>
      <c r="J222" s="12"/>
      <c r="K222" s="23"/>
      <c r="L222" s="32"/>
      <c r="M222" s="32"/>
    </row>
    <row r="223" spans="1:13" ht="21" customHeight="1" x14ac:dyDescent="0.15">
      <c r="A223" s="12">
        <v>221</v>
      </c>
      <c r="B223" s="18"/>
      <c r="C223" s="18"/>
      <c r="D223" s="18"/>
      <c r="E223" s="9"/>
      <c r="F223" s="20"/>
      <c r="G223" s="21"/>
      <c r="H223" s="35" t="str">
        <f t="shared" si="3"/>
        <v/>
      </c>
      <c r="I223" s="22"/>
      <c r="J223" s="12"/>
      <c r="K223" s="23"/>
      <c r="L223" s="32"/>
      <c r="M223" s="32"/>
    </row>
    <row r="224" spans="1:13" ht="21" customHeight="1" x14ac:dyDescent="0.15">
      <c r="A224" s="12">
        <v>222</v>
      </c>
      <c r="B224" s="18"/>
      <c r="C224" s="18"/>
      <c r="D224" s="18"/>
      <c r="E224" s="9"/>
      <c r="F224" s="20"/>
      <c r="G224" s="21"/>
      <c r="H224" s="35" t="str">
        <f t="shared" si="3"/>
        <v/>
      </c>
      <c r="I224" s="22"/>
      <c r="J224" s="12"/>
      <c r="K224" s="23"/>
      <c r="L224" s="32"/>
      <c r="M224" s="32"/>
    </row>
    <row r="225" spans="1:13" ht="21" customHeight="1" x14ac:dyDescent="0.15">
      <c r="A225" s="12">
        <v>223</v>
      </c>
      <c r="B225" s="18"/>
      <c r="C225" s="18"/>
      <c r="D225" s="18"/>
      <c r="E225" s="9"/>
      <c r="F225" s="20"/>
      <c r="G225" s="21"/>
      <c r="H225" s="35" t="str">
        <f t="shared" si="3"/>
        <v/>
      </c>
      <c r="I225" s="22"/>
      <c r="J225" s="12"/>
      <c r="K225" s="23"/>
      <c r="L225" s="32"/>
      <c r="M225" s="32"/>
    </row>
    <row r="226" spans="1:13" ht="21" customHeight="1" x14ac:dyDescent="0.15">
      <c r="A226" s="12">
        <v>224</v>
      </c>
      <c r="B226" s="18"/>
      <c r="C226" s="18"/>
      <c r="D226" s="18"/>
      <c r="E226" s="50"/>
      <c r="F226" s="20"/>
      <c r="G226" s="21"/>
      <c r="H226" s="35" t="str">
        <f t="shared" si="3"/>
        <v/>
      </c>
      <c r="I226" s="22"/>
      <c r="J226" s="12"/>
      <c r="K226" s="23"/>
      <c r="L226" s="32"/>
      <c r="M226" s="32"/>
    </row>
    <row r="227" spans="1:13" ht="21" customHeight="1" x14ac:dyDescent="0.15">
      <c r="A227" s="12">
        <v>225</v>
      </c>
      <c r="B227" s="18"/>
      <c r="C227" s="18"/>
      <c r="D227" s="18"/>
      <c r="E227" s="9"/>
      <c r="F227" s="20"/>
      <c r="G227" s="21"/>
      <c r="H227" s="35" t="str">
        <f t="shared" si="3"/>
        <v/>
      </c>
      <c r="I227" s="22"/>
      <c r="J227" s="12"/>
      <c r="K227" s="23"/>
      <c r="L227" s="32"/>
      <c r="M227" s="32"/>
    </row>
    <row r="228" spans="1:13" x14ac:dyDescent="0.15">
      <c r="A228" s="12"/>
      <c r="B228" s="18"/>
      <c r="C228" s="18"/>
      <c r="D228" s="18"/>
      <c r="E228" s="9"/>
      <c r="F228" s="38"/>
      <c r="G228" s="39"/>
      <c r="H228" s="40"/>
      <c r="I228" s="12"/>
      <c r="J228" s="12"/>
      <c r="K228" s="23"/>
      <c r="L228" s="29"/>
      <c r="M228" s="12"/>
    </row>
    <row r="229" spans="1:13" x14ac:dyDescent="0.15">
      <c r="A229" s="12"/>
      <c r="B229" s="18"/>
      <c r="C229" s="18"/>
      <c r="D229" s="18"/>
      <c r="E229" s="9"/>
      <c r="F229" s="38"/>
      <c r="G229" s="39"/>
      <c r="H229" s="40"/>
      <c r="I229" s="12"/>
      <c r="J229" s="12"/>
      <c r="K229" s="23"/>
      <c r="L229" s="29"/>
      <c r="M229" s="12"/>
    </row>
    <row r="230" spans="1:13" x14ac:dyDescent="0.15">
      <c r="A230" s="12"/>
      <c r="B230" s="18"/>
      <c r="C230" s="18"/>
      <c r="D230" s="18"/>
      <c r="E230" s="9"/>
      <c r="F230" s="38"/>
      <c r="G230" s="39"/>
      <c r="H230" s="40"/>
      <c r="I230" s="12"/>
      <c r="J230" s="12"/>
      <c r="K230" s="23"/>
      <c r="L230" s="29"/>
      <c r="M230" s="12"/>
    </row>
    <row r="231" spans="1:13" x14ac:dyDescent="0.15">
      <c r="A231" s="12"/>
      <c r="B231" s="18"/>
      <c r="C231" s="18"/>
      <c r="D231" s="18"/>
      <c r="E231" s="9"/>
      <c r="F231" s="38"/>
      <c r="G231" s="39"/>
      <c r="H231" s="40"/>
      <c r="I231" s="12"/>
      <c r="J231" s="12"/>
      <c r="K231" s="23"/>
      <c r="L231" s="29"/>
      <c r="M231" s="12"/>
    </row>
    <row r="232" spans="1:13" x14ac:dyDescent="0.15">
      <c r="A232" s="12"/>
      <c r="B232" s="18"/>
      <c r="C232" s="18"/>
      <c r="D232" s="18"/>
      <c r="E232" s="9"/>
      <c r="F232" s="38"/>
      <c r="G232" s="39"/>
      <c r="H232" s="40"/>
      <c r="I232" s="12"/>
      <c r="J232" s="12"/>
      <c r="K232" s="23"/>
      <c r="L232" s="29"/>
      <c r="M232" s="12"/>
    </row>
    <row r="233" spans="1:13" x14ac:dyDescent="0.15">
      <c r="A233" s="12"/>
      <c r="B233" s="18"/>
      <c r="C233" s="18"/>
      <c r="D233" s="18"/>
      <c r="E233" s="9"/>
      <c r="F233" s="38"/>
      <c r="G233" s="39"/>
      <c r="H233" s="40"/>
      <c r="I233" s="12"/>
      <c r="J233" s="12"/>
      <c r="K233" s="23"/>
      <c r="L233" s="29"/>
      <c r="M233" s="12"/>
    </row>
    <row r="234" spans="1:13" x14ac:dyDescent="0.15">
      <c r="A234" s="12"/>
      <c r="B234" s="18"/>
      <c r="C234" s="18"/>
      <c r="D234" s="18"/>
      <c r="E234" s="9"/>
      <c r="F234" s="38"/>
      <c r="G234" s="39"/>
      <c r="H234" s="40"/>
      <c r="I234" s="12"/>
      <c r="J234" s="12"/>
      <c r="K234" s="23"/>
      <c r="L234" s="29"/>
      <c r="M234" s="12"/>
    </row>
    <row r="235" spans="1:13" x14ac:dyDescent="0.15">
      <c r="A235" s="12"/>
      <c r="B235" s="18"/>
      <c r="C235" s="18"/>
      <c r="D235" s="18"/>
      <c r="E235" s="9"/>
      <c r="F235" s="38"/>
      <c r="G235" s="39"/>
      <c r="H235" s="40"/>
      <c r="I235" s="12"/>
      <c r="J235" s="12"/>
      <c r="K235" s="23"/>
      <c r="L235" s="29"/>
      <c r="M235" s="12"/>
    </row>
    <row r="236" spans="1:13" x14ac:dyDescent="0.15">
      <c r="A236" s="12"/>
      <c r="B236" s="18"/>
      <c r="C236" s="18"/>
      <c r="D236" s="18"/>
      <c r="E236" s="9"/>
      <c r="F236" s="38"/>
      <c r="G236" s="39"/>
      <c r="H236" s="40"/>
      <c r="I236" s="12"/>
      <c r="J236" s="12"/>
      <c r="K236" s="23"/>
      <c r="L236" s="29"/>
      <c r="M236" s="12"/>
    </row>
    <row r="237" spans="1:13" x14ac:dyDescent="0.15">
      <c r="A237" s="12"/>
      <c r="B237" s="18"/>
      <c r="C237" s="18"/>
      <c r="D237" s="18"/>
      <c r="E237" s="9"/>
      <c r="F237" s="38"/>
      <c r="G237" s="39"/>
      <c r="H237" s="40"/>
      <c r="I237" s="12"/>
      <c r="J237" s="12"/>
      <c r="K237" s="23"/>
      <c r="L237" s="29"/>
      <c r="M237" s="12"/>
    </row>
    <row r="238" spans="1:13" x14ac:dyDescent="0.15">
      <c r="A238" s="12"/>
      <c r="B238" s="18"/>
      <c r="C238" s="18"/>
      <c r="D238" s="18"/>
      <c r="E238" s="9"/>
      <c r="F238" s="38"/>
      <c r="G238" s="39"/>
      <c r="H238" s="40"/>
      <c r="I238" s="12"/>
      <c r="J238" s="12"/>
      <c r="K238" s="23"/>
      <c r="L238" s="29"/>
      <c r="M238" s="12"/>
    </row>
    <row r="239" spans="1:13" x14ac:dyDescent="0.15">
      <c r="A239" s="12"/>
      <c r="B239" s="18"/>
      <c r="C239" s="18"/>
      <c r="D239" s="18"/>
      <c r="E239" s="9"/>
      <c r="F239" s="38"/>
      <c r="G239" s="39"/>
      <c r="H239" s="40"/>
      <c r="I239" s="12"/>
      <c r="J239" s="12"/>
      <c r="K239" s="23"/>
      <c r="L239" s="29"/>
      <c r="M239" s="12"/>
    </row>
    <row r="240" spans="1:13" x14ac:dyDescent="0.15">
      <c r="A240" s="12"/>
      <c r="B240" s="18"/>
      <c r="C240" s="18"/>
      <c r="D240" s="18"/>
      <c r="E240" s="9"/>
      <c r="F240" s="38"/>
      <c r="G240" s="39"/>
      <c r="H240" s="40"/>
      <c r="I240" s="12"/>
      <c r="J240" s="12"/>
      <c r="K240" s="23"/>
      <c r="L240" s="29"/>
      <c r="M240" s="12"/>
    </row>
    <row r="241" spans="1:13" x14ac:dyDescent="0.15">
      <c r="A241" s="12"/>
      <c r="B241" s="18"/>
      <c r="C241" s="18"/>
      <c r="D241" s="18"/>
      <c r="E241" s="9"/>
      <c r="F241" s="38"/>
      <c r="G241" s="39"/>
      <c r="H241" s="40"/>
      <c r="I241" s="12"/>
      <c r="J241" s="12"/>
      <c r="K241" s="23"/>
      <c r="L241" s="29"/>
      <c r="M241" s="12"/>
    </row>
    <row r="242" spans="1:13" x14ac:dyDescent="0.15">
      <c r="A242" s="12"/>
      <c r="B242" s="18"/>
      <c r="C242" s="18"/>
      <c r="D242" s="18"/>
      <c r="E242" s="9"/>
      <c r="F242" s="38"/>
      <c r="G242" s="39"/>
      <c r="H242" s="40"/>
      <c r="I242" s="12"/>
      <c r="J242" s="12"/>
      <c r="K242" s="23"/>
      <c r="L242" s="29"/>
      <c r="M242" s="12"/>
    </row>
    <row r="243" spans="1:13" x14ac:dyDescent="0.15">
      <c r="A243" s="12"/>
      <c r="B243" s="18"/>
      <c r="C243" s="18"/>
      <c r="D243" s="18"/>
      <c r="E243" s="9"/>
      <c r="F243" s="38"/>
      <c r="G243" s="39"/>
      <c r="H243" s="40"/>
      <c r="I243" s="12"/>
      <c r="J243" s="12"/>
      <c r="K243" s="23"/>
      <c r="L243" s="29"/>
      <c r="M243" s="12"/>
    </row>
    <row r="244" spans="1:13" x14ac:dyDescent="0.15">
      <c r="A244" s="12"/>
      <c r="B244" s="18"/>
      <c r="C244" s="18"/>
      <c r="D244" s="18"/>
      <c r="E244" s="9"/>
      <c r="F244" s="38"/>
      <c r="G244" s="39"/>
      <c r="H244" s="40"/>
      <c r="I244" s="12"/>
      <c r="J244" s="12"/>
      <c r="K244" s="23"/>
      <c r="L244" s="29"/>
      <c r="M244" s="12"/>
    </row>
    <row r="245" spans="1:13" x14ac:dyDescent="0.15">
      <c r="A245" s="12"/>
      <c r="B245" s="18"/>
      <c r="C245" s="18"/>
      <c r="D245" s="18"/>
      <c r="E245" s="9"/>
      <c r="F245" s="38"/>
      <c r="G245" s="39"/>
      <c r="H245" s="40"/>
      <c r="I245" s="12"/>
      <c r="J245" s="12"/>
      <c r="K245" s="23"/>
      <c r="L245" s="29"/>
      <c r="M245" s="12"/>
    </row>
    <row r="246" spans="1:13" x14ac:dyDescent="0.15">
      <c r="A246" s="12"/>
      <c r="B246" s="18"/>
      <c r="C246" s="18"/>
      <c r="D246" s="18"/>
      <c r="E246" s="9"/>
      <c r="F246" s="38"/>
      <c r="G246" s="39"/>
      <c r="H246" s="40"/>
      <c r="I246" s="12"/>
      <c r="J246" s="12"/>
      <c r="K246" s="23"/>
      <c r="L246" s="29"/>
      <c r="M246" s="12"/>
    </row>
    <row r="247" spans="1:13" x14ac:dyDescent="0.15">
      <c r="A247" s="12"/>
      <c r="B247" s="18"/>
      <c r="C247" s="18"/>
      <c r="D247" s="18"/>
      <c r="E247" s="9"/>
      <c r="F247" s="38"/>
      <c r="G247" s="39"/>
      <c r="H247" s="40"/>
      <c r="I247" s="12"/>
      <c r="J247" s="12"/>
      <c r="K247" s="23"/>
      <c r="L247" s="29"/>
      <c r="M247" s="12"/>
    </row>
    <row r="248" spans="1:13" x14ac:dyDescent="0.15">
      <c r="A248" s="12"/>
      <c r="B248" s="18"/>
      <c r="C248" s="18"/>
      <c r="D248" s="18"/>
      <c r="E248" s="9"/>
      <c r="F248" s="38"/>
      <c r="G248" s="39"/>
      <c r="H248" s="40"/>
      <c r="I248" s="12"/>
      <c r="J248" s="12"/>
      <c r="K248" s="23"/>
      <c r="L248" s="29"/>
      <c r="M248" s="12"/>
    </row>
    <row r="249" spans="1:13" x14ac:dyDescent="0.15">
      <c r="A249" s="12"/>
      <c r="B249" s="18"/>
      <c r="C249" s="18"/>
      <c r="D249" s="18"/>
      <c r="E249" s="9"/>
      <c r="F249" s="38"/>
      <c r="G249" s="39"/>
      <c r="H249" s="40"/>
      <c r="I249" s="12"/>
      <c r="J249" s="12"/>
      <c r="K249" s="23"/>
      <c r="L249" s="29"/>
      <c r="M249" s="12"/>
    </row>
    <row r="250" spans="1:13" x14ac:dyDescent="0.15">
      <c r="A250" s="12"/>
      <c r="B250" s="18"/>
      <c r="C250" s="18"/>
      <c r="D250" s="18"/>
      <c r="E250" s="9"/>
      <c r="F250" s="38"/>
      <c r="G250" s="39"/>
      <c r="H250" s="40"/>
      <c r="I250" s="12"/>
      <c r="J250" s="12"/>
      <c r="K250" s="23"/>
      <c r="L250" s="29"/>
      <c r="M250" s="12"/>
    </row>
    <row r="251" spans="1:13" x14ac:dyDescent="0.15">
      <c r="A251" s="12"/>
      <c r="B251" s="18"/>
      <c r="C251" s="18"/>
      <c r="D251" s="18"/>
      <c r="E251" s="9"/>
      <c r="F251" s="38"/>
      <c r="G251" s="39"/>
      <c r="H251" s="40"/>
      <c r="I251" s="12"/>
      <c r="J251" s="12"/>
      <c r="K251" s="23"/>
      <c r="L251" s="29"/>
      <c r="M251" s="12"/>
    </row>
    <row r="252" spans="1:13" x14ac:dyDescent="0.15">
      <c r="A252" s="12"/>
      <c r="B252" s="18"/>
      <c r="C252" s="18"/>
      <c r="D252" s="18"/>
      <c r="E252" s="9"/>
      <c r="F252" s="38"/>
      <c r="G252" s="39"/>
      <c r="H252" s="40"/>
      <c r="I252" s="12"/>
      <c r="J252" s="12"/>
      <c r="K252" s="23"/>
      <c r="L252" s="29"/>
      <c r="M252" s="12"/>
    </row>
    <row r="253" spans="1:13" x14ac:dyDescent="0.15">
      <c r="A253" s="12"/>
      <c r="B253" s="18"/>
      <c r="C253" s="18"/>
      <c r="D253" s="18"/>
      <c r="E253" s="9"/>
      <c r="F253" s="38"/>
      <c r="G253" s="39"/>
      <c r="H253" s="40"/>
      <c r="I253" s="12"/>
      <c r="J253" s="12"/>
      <c r="K253" s="23"/>
      <c r="L253" s="29"/>
      <c r="M253" s="12"/>
    </row>
    <row r="254" spans="1:13" x14ac:dyDescent="0.15">
      <c r="A254" s="12"/>
      <c r="B254" s="18"/>
      <c r="C254" s="18"/>
      <c r="D254" s="18"/>
      <c r="E254" s="9"/>
      <c r="F254" s="38"/>
      <c r="G254" s="39"/>
      <c r="H254" s="40"/>
      <c r="I254" s="12"/>
      <c r="J254" s="12"/>
      <c r="K254" s="23"/>
      <c r="L254" s="29"/>
      <c r="M254" s="12"/>
    </row>
    <row r="255" spans="1:13" x14ac:dyDescent="0.15">
      <c r="A255" s="12"/>
      <c r="B255" s="18"/>
      <c r="C255" s="18"/>
      <c r="D255" s="18"/>
      <c r="E255" s="9"/>
      <c r="F255" s="38"/>
      <c r="G255" s="39"/>
      <c r="H255" s="40"/>
      <c r="I255" s="12"/>
      <c r="J255" s="12"/>
      <c r="K255" s="23"/>
      <c r="L255" s="29"/>
      <c r="M255" s="12"/>
    </row>
    <row r="256" spans="1:13" x14ac:dyDescent="0.15">
      <c r="A256" s="12"/>
      <c r="B256" s="18"/>
      <c r="C256" s="18"/>
      <c r="D256" s="18"/>
      <c r="E256" s="9"/>
      <c r="F256" s="38"/>
      <c r="G256" s="39"/>
      <c r="H256" s="40"/>
      <c r="I256" s="12"/>
      <c r="J256" s="12"/>
      <c r="K256" s="23"/>
      <c r="L256" s="29"/>
      <c r="M256" s="12"/>
    </row>
    <row r="257" spans="1:13" x14ac:dyDescent="0.15">
      <c r="A257" s="12"/>
      <c r="B257" s="18"/>
      <c r="C257" s="18"/>
      <c r="D257" s="18"/>
      <c r="E257" s="9"/>
      <c r="F257" s="38"/>
      <c r="G257" s="39"/>
      <c r="H257" s="40"/>
      <c r="I257" s="12"/>
      <c r="J257" s="12"/>
      <c r="K257" s="23"/>
      <c r="L257" s="29"/>
      <c r="M257" s="12"/>
    </row>
    <row r="258" spans="1:13" x14ac:dyDescent="0.15">
      <c r="A258" s="12"/>
      <c r="B258" s="18"/>
      <c r="C258" s="18"/>
      <c r="D258" s="18"/>
      <c r="E258" s="9"/>
      <c r="F258" s="38"/>
      <c r="G258" s="39"/>
      <c r="H258" s="40"/>
      <c r="I258" s="12"/>
      <c r="J258" s="12"/>
      <c r="K258" s="23"/>
      <c r="L258" s="29"/>
      <c r="M258" s="12"/>
    </row>
    <row r="259" spans="1:13" x14ac:dyDescent="0.15">
      <c r="A259" s="12"/>
      <c r="B259" s="18"/>
      <c r="C259" s="18"/>
      <c r="D259" s="18"/>
      <c r="E259" s="9"/>
      <c r="F259" s="38"/>
      <c r="G259" s="39"/>
      <c r="H259" s="12"/>
      <c r="I259" s="12"/>
      <c r="J259" s="12"/>
      <c r="K259" s="23"/>
      <c r="L259" s="29"/>
      <c r="M259" s="12"/>
    </row>
    <row r="260" spans="1:13" x14ac:dyDescent="0.15">
      <c r="A260" s="12"/>
      <c r="B260" s="18"/>
      <c r="C260" s="18"/>
      <c r="D260" s="18"/>
      <c r="E260" s="9"/>
      <c r="F260" s="38"/>
      <c r="G260" s="39"/>
      <c r="H260" s="12"/>
      <c r="I260" s="12"/>
      <c r="J260" s="12"/>
      <c r="K260" s="23"/>
      <c r="L260" s="29"/>
      <c r="M260" s="12"/>
    </row>
    <row r="261" spans="1:13" x14ac:dyDescent="0.15">
      <c r="A261" s="12"/>
      <c r="B261" s="18"/>
      <c r="C261" s="18"/>
      <c r="D261" s="18"/>
      <c r="E261" s="9"/>
      <c r="F261" s="38"/>
      <c r="G261" s="39"/>
      <c r="H261" s="12"/>
      <c r="I261" s="12"/>
      <c r="J261" s="12"/>
      <c r="K261" s="23"/>
      <c r="L261" s="29"/>
      <c r="M261" s="12"/>
    </row>
    <row r="262" spans="1:13" x14ac:dyDescent="0.15">
      <c r="A262" s="12"/>
      <c r="B262" s="18"/>
      <c r="C262" s="18"/>
      <c r="D262" s="18"/>
      <c r="E262" s="9"/>
      <c r="F262" s="38"/>
      <c r="G262" s="39"/>
      <c r="H262" s="12"/>
      <c r="I262" s="12"/>
      <c r="J262" s="12"/>
      <c r="K262" s="23"/>
      <c r="L262" s="29"/>
      <c r="M262" s="12"/>
    </row>
    <row r="263" spans="1:13" x14ac:dyDescent="0.15">
      <c r="A263" s="12"/>
      <c r="B263" s="18"/>
      <c r="C263" s="18"/>
      <c r="D263" s="18"/>
      <c r="E263" s="9"/>
      <c r="F263" s="38"/>
      <c r="G263" s="39"/>
      <c r="H263" s="12"/>
      <c r="I263" s="12"/>
      <c r="J263" s="12"/>
      <c r="K263" s="23"/>
      <c r="L263" s="29"/>
      <c r="M263" s="12"/>
    </row>
    <row r="264" spans="1:13" x14ac:dyDescent="0.15">
      <c r="A264" s="12"/>
      <c r="B264" s="18"/>
      <c r="C264" s="18"/>
      <c r="D264" s="18"/>
      <c r="E264" s="9"/>
      <c r="F264" s="38"/>
      <c r="G264" s="39"/>
      <c r="H264" s="12"/>
      <c r="I264" s="12"/>
      <c r="J264" s="12"/>
      <c r="K264" s="23"/>
      <c r="L264" s="29"/>
      <c r="M264" s="12"/>
    </row>
    <row r="265" spans="1:13" x14ac:dyDescent="0.15">
      <c r="A265" s="12"/>
      <c r="B265" s="18"/>
      <c r="C265" s="18"/>
      <c r="D265" s="18"/>
      <c r="E265" s="9"/>
      <c r="F265" s="38"/>
      <c r="G265" s="39"/>
      <c r="H265" s="12"/>
      <c r="I265" s="12"/>
      <c r="J265" s="12"/>
      <c r="K265" s="23"/>
      <c r="L265" s="29"/>
      <c r="M265" s="12"/>
    </row>
    <row r="266" spans="1:13" x14ac:dyDescent="0.15">
      <c r="A266" s="12"/>
      <c r="B266" s="18"/>
      <c r="C266" s="18"/>
      <c r="D266" s="18"/>
      <c r="E266" s="9"/>
      <c r="F266" s="38"/>
      <c r="G266" s="39"/>
      <c r="H266" s="12"/>
      <c r="I266" s="12"/>
      <c r="J266" s="12"/>
      <c r="K266" s="23"/>
      <c r="L266" s="29"/>
      <c r="M266" s="12"/>
    </row>
    <row r="267" spans="1:13" x14ac:dyDescent="0.15">
      <c r="A267" s="12"/>
      <c r="B267" s="18"/>
      <c r="C267" s="18"/>
      <c r="D267" s="18"/>
      <c r="E267" s="9"/>
      <c r="F267" s="38"/>
      <c r="G267" s="39"/>
      <c r="H267" s="12"/>
      <c r="I267" s="12"/>
      <c r="J267" s="12"/>
      <c r="K267" s="23"/>
      <c r="L267" s="29"/>
      <c r="M267" s="12"/>
    </row>
    <row r="268" spans="1:13" x14ac:dyDescent="0.15">
      <c r="A268" s="12"/>
      <c r="B268" s="18"/>
      <c r="C268" s="18"/>
      <c r="D268" s="18"/>
      <c r="E268" s="9"/>
      <c r="F268" s="38"/>
      <c r="G268" s="39"/>
      <c r="H268" s="12"/>
      <c r="I268" s="12"/>
      <c r="J268" s="12"/>
      <c r="K268" s="23"/>
      <c r="L268" s="29"/>
      <c r="M268" s="12"/>
    </row>
    <row r="269" spans="1:13" x14ac:dyDescent="0.15">
      <c r="A269" s="12"/>
      <c r="B269" s="18"/>
      <c r="C269" s="18"/>
      <c r="D269" s="18"/>
      <c r="E269" s="9"/>
      <c r="F269" s="38"/>
      <c r="G269" s="39"/>
      <c r="H269" s="12"/>
      <c r="I269" s="12"/>
      <c r="J269" s="12"/>
      <c r="K269" s="23"/>
      <c r="L269" s="29"/>
      <c r="M269" s="12"/>
    </row>
    <row r="270" spans="1:13" x14ac:dyDescent="0.15">
      <c r="A270" s="12"/>
      <c r="B270" s="18"/>
      <c r="C270" s="18"/>
      <c r="D270" s="18"/>
      <c r="E270" s="9"/>
      <c r="F270" s="38"/>
      <c r="G270" s="39"/>
      <c r="H270" s="12"/>
      <c r="I270" s="12"/>
      <c r="J270" s="12"/>
      <c r="K270" s="23"/>
      <c r="L270" s="29"/>
      <c r="M270" s="12"/>
    </row>
    <row r="271" spans="1:13" x14ac:dyDescent="0.15">
      <c r="A271" s="12"/>
      <c r="B271" s="18"/>
      <c r="C271" s="18"/>
      <c r="D271" s="18"/>
      <c r="E271" s="9"/>
      <c r="F271" s="38"/>
      <c r="G271" s="39"/>
      <c r="H271" s="12"/>
      <c r="I271" s="12"/>
      <c r="J271" s="12"/>
      <c r="K271" s="23"/>
      <c r="L271" s="29"/>
      <c r="M271" s="12"/>
    </row>
    <row r="272" spans="1:13" x14ac:dyDescent="0.15">
      <c r="A272" s="12"/>
      <c r="B272" s="18"/>
      <c r="C272" s="18"/>
      <c r="D272" s="18"/>
      <c r="E272" s="9"/>
      <c r="F272" s="38"/>
      <c r="G272" s="39"/>
      <c r="H272" s="12"/>
      <c r="I272" s="12"/>
      <c r="J272" s="12"/>
      <c r="K272" s="23"/>
      <c r="L272" s="29"/>
      <c r="M272" s="12"/>
    </row>
    <row r="273" spans="1:13" x14ac:dyDescent="0.15">
      <c r="A273" s="12"/>
      <c r="B273" s="18"/>
      <c r="C273" s="18"/>
      <c r="D273" s="18"/>
      <c r="E273" s="9"/>
      <c r="F273" s="38"/>
      <c r="G273" s="39"/>
      <c r="H273" s="12"/>
      <c r="I273" s="12"/>
      <c r="J273" s="12"/>
      <c r="K273" s="23"/>
      <c r="L273" s="29"/>
      <c r="M273" s="12"/>
    </row>
    <row r="274" spans="1:13" x14ac:dyDescent="0.15">
      <c r="A274" s="12"/>
      <c r="B274" s="18"/>
      <c r="C274" s="18"/>
      <c r="D274" s="18"/>
      <c r="E274" s="9"/>
      <c r="F274" s="38"/>
      <c r="G274" s="39"/>
      <c r="H274" s="12"/>
      <c r="I274" s="12"/>
      <c r="J274" s="12"/>
      <c r="K274" s="23"/>
      <c r="L274" s="29"/>
      <c r="M274" s="12"/>
    </row>
    <row r="275" spans="1:13" x14ac:dyDescent="0.15">
      <c r="A275" s="12"/>
      <c r="B275" s="18"/>
      <c r="C275" s="18"/>
      <c r="D275" s="18"/>
      <c r="E275" s="9"/>
      <c r="F275" s="38"/>
      <c r="G275" s="39"/>
      <c r="H275" s="12"/>
      <c r="I275" s="12"/>
      <c r="J275" s="12"/>
      <c r="K275" s="23"/>
      <c r="L275" s="29"/>
      <c r="M275" s="12"/>
    </row>
    <row r="276" spans="1:13" x14ac:dyDescent="0.15">
      <c r="A276" s="12"/>
      <c r="B276" s="18"/>
      <c r="C276" s="18"/>
      <c r="D276" s="18"/>
      <c r="E276" s="9"/>
      <c r="F276" s="38"/>
      <c r="G276" s="39"/>
      <c r="H276" s="12"/>
      <c r="I276" s="12"/>
      <c r="J276" s="12"/>
      <c r="K276" s="23"/>
      <c r="L276" s="29"/>
      <c r="M276" s="12"/>
    </row>
    <row r="277" spans="1:13" x14ac:dyDescent="0.15">
      <c r="A277" s="12"/>
      <c r="B277" s="18"/>
      <c r="C277" s="18"/>
      <c r="D277" s="18"/>
      <c r="E277" s="9"/>
      <c r="F277" s="38"/>
      <c r="G277" s="39"/>
      <c r="H277" s="12"/>
      <c r="I277" s="12"/>
      <c r="J277" s="12"/>
      <c r="K277" s="23"/>
      <c r="L277" s="29"/>
      <c r="M277" s="12"/>
    </row>
    <row r="278" spans="1:13" x14ac:dyDescent="0.15">
      <c r="A278" s="12"/>
      <c r="B278" s="18"/>
      <c r="C278" s="18"/>
      <c r="D278" s="18"/>
      <c r="E278" s="9"/>
      <c r="F278" s="38"/>
      <c r="G278" s="39"/>
      <c r="H278" s="12"/>
      <c r="I278" s="12"/>
      <c r="J278" s="12"/>
      <c r="K278" s="23"/>
      <c r="L278" s="29"/>
      <c r="M278" s="12"/>
    </row>
    <row r="279" spans="1:13" x14ac:dyDescent="0.15">
      <c r="A279" s="12"/>
      <c r="B279" s="18"/>
      <c r="C279" s="18"/>
      <c r="D279" s="18"/>
      <c r="E279" s="9"/>
      <c r="F279" s="38"/>
      <c r="G279" s="39"/>
      <c r="H279" s="12"/>
      <c r="I279" s="12"/>
      <c r="J279" s="12"/>
      <c r="K279" s="23"/>
      <c r="L279" s="29"/>
      <c r="M279" s="12"/>
    </row>
    <row r="280" spans="1:13" x14ac:dyDescent="0.15">
      <c r="A280" s="12"/>
      <c r="B280" s="18"/>
      <c r="C280" s="18"/>
      <c r="D280" s="18"/>
      <c r="E280" s="9"/>
      <c r="F280" s="38"/>
      <c r="G280" s="39"/>
      <c r="H280" s="12"/>
      <c r="I280" s="12"/>
      <c r="J280" s="12"/>
      <c r="K280" s="23"/>
      <c r="L280" s="29"/>
      <c r="M280" s="12"/>
    </row>
    <row r="281" spans="1:13" x14ac:dyDescent="0.15">
      <c r="A281" s="12"/>
      <c r="B281" s="18"/>
      <c r="C281" s="18"/>
      <c r="D281" s="18"/>
      <c r="E281" s="9"/>
      <c r="F281" s="38"/>
      <c r="G281" s="39"/>
      <c r="H281" s="12"/>
      <c r="I281" s="12"/>
      <c r="J281" s="12"/>
      <c r="K281" s="23"/>
      <c r="L281" s="29"/>
      <c r="M281" s="12"/>
    </row>
    <row r="282" spans="1:13" x14ac:dyDescent="0.15">
      <c r="A282" s="12"/>
      <c r="B282" s="18"/>
      <c r="C282" s="18"/>
      <c r="D282" s="18"/>
      <c r="E282" s="9"/>
      <c r="F282" s="38"/>
      <c r="G282" s="39"/>
      <c r="H282" s="12"/>
      <c r="I282" s="12"/>
      <c r="J282" s="12"/>
      <c r="K282" s="23"/>
      <c r="L282" s="29"/>
      <c r="M282" s="12"/>
    </row>
    <row r="283" spans="1:13" x14ac:dyDescent="0.15">
      <c r="A283" s="12"/>
      <c r="B283" s="18"/>
      <c r="C283" s="18"/>
      <c r="D283" s="18"/>
      <c r="E283" s="9"/>
      <c r="F283" s="38"/>
      <c r="G283" s="39"/>
      <c r="H283" s="12"/>
      <c r="I283" s="12"/>
      <c r="J283" s="12"/>
      <c r="K283" s="23"/>
      <c r="L283" s="29"/>
      <c r="M283" s="12"/>
    </row>
    <row r="284" spans="1:13" x14ac:dyDescent="0.15">
      <c r="A284" s="12"/>
      <c r="B284" s="18"/>
      <c r="C284" s="18"/>
      <c r="D284" s="18"/>
      <c r="E284" s="9"/>
      <c r="F284" s="38"/>
      <c r="G284" s="39"/>
      <c r="H284" s="12"/>
      <c r="I284" s="12"/>
      <c r="J284" s="12"/>
      <c r="K284" s="23"/>
      <c r="L284" s="29"/>
      <c r="M284" s="12"/>
    </row>
    <row r="285" spans="1:13" x14ac:dyDescent="0.15">
      <c r="A285" s="12"/>
      <c r="B285" s="18"/>
      <c r="C285" s="18"/>
      <c r="D285" s="18"/>
      <c r="E285" s="9"/>
      <c r="F285" s="38"/>
      <c r="G285" s="39"/>
      <c r="H285" s="12"/>
      <c r="I285" s="12"/>
      <c r="J285" s="12"/>
      <c r="K285" s="23"/>
      <c r="L285" s="29"/>
      <c r="M285" s="12"/>
    </row>
    <row r="286" spans="1:13" x14ac:dyDescent="0.15">
      <c r="A286" s="12"/>
      <c r="B286" s="18"/>
      <c r="C286" s="18"/>
      <c r="D286" s="18"/>
      <c r="E286" s="9"/>
      <c r="F286" s="38"/>
      <c r="G286" s="39"/>
      <c r="H286" s="12"/>
      <c r="I286" s="12"/>
      <c r="J286" s="12"/>
      <c r="K286" s="23"/>
      <c r="L286" s="29"/>
      <c r="M286" s="12"/>
    </row>
    <row r="287" spans="1:13" x14ac:dyDescent="0.15">
      <c r="A287" s="12"/>
      <c r="B287" s="18"/>
      <c r="C287" s="18"/>
      <c r="D287" s="18"/>
      <c r="E287" s="9"/>
      <c r="F287" s="38"/>
      <c r="G287" s="39"/>
      <c r="H287" s="12"/>
      <c r="I287" s="12"/>
      <c r="J287" s="12"/>
      <c r="K287" s="23"/>
      <c r="L287" s="29"/>
      <c r="M287" s="12"/>
    </row>
    <row r="288" spans="1:13" x14ac:dyDescent="0.15">
      <c r="A288" s="12"/>
      <c r="B288" s="18"/>
      <c r="C288" s="18"/>
      <c r="D288" s="18"/>
      <c r="E288" s="9"/>
      <c r="F288" s="38"/>
      <c r="G288" s="39"/>
      <c r="H288" s="12"/>
      <c r="I288" s="12"/>
      <c r="J288" s="12"/>
      <c r="K288" s="23"/>
      <c r="L288" s="29"/>
      <c r="M288" s="12"/>
    </row>
    <row r="289" spans="1:13" x14ac:dyDescent="0.15">
      <c r="A289" s="12"/>
      <c r="B289" s="18"/>
      <c r="C289" s="18"/>
      <c r="D289" s="18"/>
      <c r="E289" s="9"/>
      <c r="F289" s="38"/>
      <c r="G289" s="39"/>
      <c r="H289" s="12"/>
      <c r="I289" s="12"/>
      <c r="J289" s="12"/>
      <c r="K289" s="23"/>
      <c r="L289" s="29"/>
      <c r="M289" s="12"/>
    </row>
    <row r="290" spans="1:13" x14ac:dyDescent="0.15">
      <c r="A290" s="12"/>
      <c r="B290" s="18"/>
      <c r="C290" s="18"/>
      <c r="D290" s="18"/>
      <c r="E290" s="9"/>
      <c r="F290" s="38"/>
      <c r="G290" s="39"/>
      <c r="H290" s="12"/>
      <c r="I290" s="12"/>
      <c r="J290" s="12"/>
      <c r="K290" s="23"/>
      <c r="L290" s="29"/>
      <c r="M290" s="12"/>
    </row>
    <row r="291" spans="1:13" x14ac:dyDescent="0.15">
      <c r="A291" s="12"/>
      <c r="B291" s="18"/>
      <c r="C291" s="18"/>
      <c r="D291" s="18"/>
      <c r="E291" s="9"/>
      <c r="F291" s="38"/>
      <c r="G291" s="39"/>
      <c r="H291" s="12"/>
      <c r="I291" s="12"/>
      <c r="J291" s="12"/>
      <c r="K291" s="23"/>
      <c r="L291" s="29"/>
      <c r="M291" s="12"/>
    </row>
    <row r="292" spans="1:13" x14ac:dyDescent="0.15">
      <c r="A292" s="12"/>
      <c r="B292" s="18"/>
      <c r="C292" s="18"/>
      <c r="D292" s="18"/>
      <c r="E292" s="9"/>
      <c r="F292" s="38"/>
      <c r="G292" s="39"/>
      <c r="H292" s="12"/>
      <c r="I292" s="12"/>
      <c r="J292" s="12"/>
      <c r="K292" s="23"/>
      <c r="L292" s="29"/>
      <c r="M292" s="12"/>
    </row>
    <row r="293" spans="1:13" x14ac:dyDescent="0.15">
      <c r="A293" s="12"/>
      <c r="B293" s="18"/>
      <c r="C293" s="18"/>
      <c r="D293" s="18"/>
      <c r="E293" s="9"/>
      <c r="F293" s="38"/>
      <c r="G293" s="39"/>
      <c r="H293" s="12"/>
      <c r="I293" s="12"/>
      <c r="J293" s="12"/>
      <c r="K293" s="23"/>
      <c r="L293" s="29"/>
      <c r="M293" s="12"/>
    </row>
    <row r="294" spans="1:13" x14ac:dyDescent="0.15">
      <c r="A294" s="12"/>
      <c r="B294" s="18"/>
      <c r="C294" s="18"/>
      <c r="D294" s="18"/>
      <c r="E294" s="9"/>
      <c r="F294" s="38"/>
      <c r="G294" s="39"/>
      <c r="H294" s="12"/>
      <c r="I294" s="12"/>
      <c r="J294" s="12"/>
      <c r="K294" s="23"/>
      <c r="L294" s="29"/>
      <c r="M294" s="12"/>
    </row>
    <row r="295" spans="1:13" x14ac:dyDescent="0.15">
      <c r="A295" s="12"/>
      <c r="B295" s="18"/>
      <c r="C295" s="18"/>
      <c r="D295" s="18"/>
      <c r="E295" s="9"/>
      <c r="F295" s="38"/>
      <c r="G295" s="39"/>
      <c r="H295" s="12"/>
      <c r="I295" s="12"/>
      <c r="J295" s="12"/>
      <c r="K295" s="23"/>
      <c r="L295" s="29"/>
      <c r="M295" s="12"/>
    </row>
    <row r="296" spans="1:13" x14ac:dyDescent="0.15">
      <c r="A296" s="12"/>
      <c r="B296" s="18"/>
      <c r="C296" s="18"/>
      <c r="D296" s="18"/>
      <c r="E296" s="9"/>
      <c r="F296" s="38"/>
      <c r="G296" s="39"/>
      <c r="H296" s="12"/>
      <c r="I296" s="12"/>
      <c r="J296" s="12"/>
      <c r="K296" s="23"/>
      <c r="L296" s="29"/>
      <c r="M296" s="12"/>
    </row>
    <row r="297" spans="1:13" x14ac:dyDescent="0.15">
      <c r="A297" s="12"/>
      <c r="B297" s="18"/>
      <c r="C297" s="18"/>
      <c r="D297" s="18"/>
      <c r="E297" s="9"/>
      <c r="F297" s="38"/>
      <c r="G297" s="39"/>
      <c r="H297" s="12"/>
      <c r="I297" s="12"/>
      <c r="J297" s="12"/>
      <c r="K297" s="23"/>
      <c r="L297" s="29"/>
      <c r="M297" s="12"/>
    </row>
    <row r="298" spans="1:13" x14ac:dyDescent="0.15">
      <c r="A298" s="12"/>
      <c r="B298" s="18"/>
      <c r="C298" s="18"/>
      <c r="D298" s="18"/>
      <c r="E298" s="9"/>
      <c r="F298" s="38"/>
      <c r="G298" s="39"/>
      <c r="H298" s="12"/>
      <c r="I298" s="12"/>
      <c r="J298" s="12"/>
      <c r="K298" s="23"/>
      <c r="L298" s="29"/>
      <c r="M298" s="12"/>
    </row>
    <row r="299" spans="1:13" x14ac:dyDescent="0.15">
      <c r="A299" s="12"/>
      <c r="B299" s="18"/>
      <c r="C299" s="18"/>
      <c r="D299" s="18"/>
      <c r="E299" s="9"/>
      <c r="F299" s="38"/>
      <c r="G299" s="39"/>
      <c r="H299" s="12"/>
      <c r="I299" s="12"/>
      <c r="J299" s="12"/>
      <c r="K299" s="23"/>
      <c r="L299" s="29"/>
      <c r="M299" s="12"/>
    </row>
    <row r="300" spans="1:13" x14ac:dyDescent="0.15">
      <c r="A300" s="12"/>
      <c r="B300" s="18"/>
      <c r="C300" s="18"/>
      <c r="D300" s="18"/>
      <c r="E300" s="9"/>
      <c r="F300" s="38"/>
      <c r="G300" s="39"/>
      <c r="H300" s="12"/>
      <c r="I300" s="12"/>
      <c r="J300" s="12"/>
      <c r="K300" s="23"/>
      <c r="L300" s="29"/>
      <c r="M300" s="12"/>
    </row>
    <row r="301" spans="1:13" x14ac:dyDescent="0.15">
      <c r="A301" s="12"/>
      <c r="B301" s="18"/>
      <c r="C301" s="18"/>
      <c r="D301" s="18"/>
      <c r="E301" s="9"/>
      <c r="F301" s="38"/>
      <c r="G301" s="39"/>
      <c r="H301" s="12"/>
      <c r="I301" s="12"/>
      <c r="J301" s="12"/>
      <c r="K301" s="23"/>
      <c r="L301" s="29"/>
      <c r="M301" s="12"/>
    </row>
    <row r="302" spans="1:13" x14ac:dyDescent="0.15">
      <c r="A302" s="12"/>
      <c r="B302" s="18"/>
      <c r="C302" s="18"/>
      <c r="D302" s="18"/>
      <c r="E302" s="9"/>
      <c r="F302" s="38"/>
      <c r="G302" s="39"/>
      <c r="H302" s="12"/>
      <c r="I302" s="12"/>
      <c r="J302" s="12"/>
      <c r="K302" s="23"/>
      <c r="L302" s="29"/>
      <c r="M302" s="12"/>
    </row>
    <row r="303" spans="1:13" x14ac:dyDescent="0.15">
      <c r="A303" s="12"/>
      <c r="B303" s="18"/>
      <c r="C303" s="18"/>
      <c r="D303" s="18"/>
      <c r="E303" s="9"/>
      <c r="F303" s="38"/>
      <c r="G303" s="39"/>
      <c r="H303" s="12"/>
      <c r="I303" s="12"/>
      <c r="J303" s="12"/>
      <c r="K303" s="23"/>
      <c r="L303" s="29"/>
      <c r="M303" s="12"/>
    </row>
    <row r="304" spans="1:13" x14ac:dyDescent="0.15">
      <c r="A304" s="12"/>
      <c r="B304" s="18"/>
      <c r="C304" s="18"/>
      <c r="D304" s="18"/>
      <c r="E304" s="9"/>
      <c r="F304" s="38"/>
      <c r="G304" s="39"/>
      <c r="H304" s="12"/>
      <c r="I304" s="12"/>
      <c r="J304" s="12"/>
      <c r="K304" s="23"/>
      <c r="L304" s="29"/>
      <c r="M304" s="12"/>
    </row>
    <row r="305" spans="1:15" x14ac:dyDescent="0.15">
      <c r="A305" s="12"/>
      <c r="B305" s="18"/>
      <c r="C305" s="18"/>
      <c r="D305" s="18"/>
      <c r="E305" s="9"/>
      <c r="F305" s="38"/>
      <c r="G305" s="39"/>
      <c r="H305" s="12"/>
      <c r="I305" s="12"/>
      <c r="J305" s="12"/>
      <c r="K305" s="23"/>
      <c r="L305" s="29"/>
      <c r="M305" s="12"/>
    </row>
    <row r="306" spans="1:15" x14ac:dyDescent="0.15">
      <c r="A306" s="12"/>
      <c r="B306" s="18"/>
      <c r="C306" s="18"/>
      <c r="D306" s="18"/>
      <c r="E306" s="9"/>
      <c r="F306" s="38"/>
      <c r="G306" s="39"/>
      <c r="H306" s="12"/>
      <c r="I306" s="12"/>
      <c r="J306" s="12"/>
      <c r="K306" s="23"/>
      <c r="L306" s="29"/>
      <c r="M306" s="12"/>
    </row>
    <row r="307" spans="1:15" x14ac:dyDescent="0.15">
      <c r="A307" s="12"/>
      <c r="B307" s="18"/>
      <c r="C307" s="18"/>
      <c r="D307" s="18"/>
      <c r="E307" s="9"/>
      <c r="F307" s="38"/>
      <c r="G307" s="39"/>
      <c r="H307" s="12"/>
      <c r="I307" s="12"/>
      <c r="J307" s="12"/>
      <c r="K307" s="23"/>
      <c r="L307" s="29"/>
      <c r="M307" s="12"/>
    </row>
    <row r="308" spans="1:15" x14ac:dyDescent="0.15">
      <c r="A308" s="12"/>
      <c r="B308" s="18"/>
      <c r="C308" s="18"/>
      <c r="D308" s="18"/>
      <c r="E308" s="9"/>
      <c r="F308" s="38"/>
      <c r="G308" s="39"/>
      <c r="H308" s="12"/>
      <c r="I308" s="12"/>
      <c r="J308" s="12"/>
      <c r="K308" s="23"/>
      <c r="L308" s="29"/>
      <c r="M308" s="12"/>
    </row>
    <row r="309" spans="1:15" x14ac:dyDescent="0.15">
      <c r="A309" s="12"/>
      <c r="B309" s="18"/>
      <c r="C309" s="18"/>
      <c r="D309" s="18"/>
      <c r="E309" s="9"/>
      <c r="F309" s="38"/>
      <c r="G309" s="39"/>
      <c r="H309" s="12"/>
      <c r="I309" s="12"/>
      <c r="J309" s="12"/>
      <c r="K309" s="23"/>
      <c r="L309" s="29"/>
      <c r="M309" s="12"/>
    </row>
    <row r="310" spans="1:15" x14ac:dyDescent="0.15">
      <c r="A310" s="12"/>
      <c r="B310" s="18"/>
      <c r="C310" s="18"/>
      <c r="D310" s="18"/>
      <c r="E310" s="9"/>
      <c r="F310" s="38"/>
      <c r="G310" s="39"/>
      <c r="H310" s="12"/>
      <c r="I310" s="12"/>
      <c r="J310" s="12"/>
      <c r="K310" s="23"/>
      <c r="L310" s="29"/>
      <c r="M310" s="12"/>
    </row>
    <row r="311" spans="1:15" x14ac:dyDescent="0.15">
      <c r="A311" s="12"/>
      <c r="B311" s="18"/>
      <c r="C311" s="18"/>
      <c r="D311" s="18"/>
      <c r="E311" s="9"/>
      <c r="F311" s="38"/>
      <c r="G311" s="39"/>
      <c r="H311" s="12"/>
      <c r="I311" s="12"/>
      <c r="J311" s="12"/>
      <c r="K311" s="23"/>
      <c r="L311" s="29"/>
      <c r="M311" s="12"/>
    </row>
    <row r="312" spans="1:15" x14ac:dyDescent="0.15">
      <c r="A312" s="12"/>
      <c r="B312" s="18"/>
      <c r="C312" s="18"/>
      <c r="D312" s="18"/>
      <c r="E312" s="9"/>
      <c r="F312" s="38"/>
      <c r="G312" s="39"/>
      <c r="H312" s="12"/>
      <c r="I312" s="12"/>
      <c r="J312" s="12"/>
      <c r="K312" s="23"/>
      <c r="L312" s="29"/>
      <c r="M312" s="12"/>
    </row>
    <row r="313" spans="1:15" x14ac:dyDescent="0.15">
      <c r="A313" s="12"/>
      <c r="B313" s="18"/>
      <c r="C313" s="18"/>
      <c r="D313" s="18"/>
      <c r="E313" s="9"/>
      <c r="F313" s="38"/>
      <c r="G313" s="39"/>
      <c r="H313" s="12"/>
      <c r="I313" s="12"/>
      <c r="J313" s="12"/>
      <c r="K313" s="23"/>
      <c r="L313" s="29"/>
      <c r="M313" s="12"/>
    </row>
    <row r="314" spans="1:15" x14ac:dyDescent="0.15">
      <c r="A314" s="12"/>
      <c r="B314" s="18"/>
      <c r="C314" s="18"/>
      <c r="D314" s="18"/>
      <c r="E314" s="9"/>
      <c r="F314" s="38"/>
      <c r="G314" s="39"/>
      <c r="H314" s="12"/>
      <c r="I314" s="12"/>
      <c r="J314" s="12"/>
      <c r="K314" s="23"/>
      <c r="L314" s="29"/>
      <c r="M314" s="12"/>
    </row>
    <row r="315" spans="1:15" x14ac:dyDescent="0.15">
      <c r="A315" s="12"/>
      <c r="B315" s="18"/>
      <c r="C315" s="18"/>
      <c r="D315" s="18"/>
      <c r="E315" s="9"/>
      <c r="F315" s="38"/>
      <c r="G315" s="39"/>
      <c r="H315" s="12"/>
      <c r="I315" s="12"/>
      <c r="J315" s="12"/>
      <c r="K315" s="23"/>
      <c r="L315" s="29"/>
      <c r="M315" s="12"/>
    </row>
    <row r="316" spans="1:15" x14ac:dyDescent="0.15">
      <c r="A316" s="12"/>
      <c r="B316" s="18"/>
      <c r="C316" s="18"/>
      <c r="D316" s="18"/>
      <c r="E316" s="9"/>
      <c r="F316" s="38"/>
      <c r="G316" s="39"/>
      <c r="H316" s="12"/>
      <c r="I316" s="12"/>
      <c r="J316" s="12"/>
      <c r="K316" s="23"/>
      <c r="L316" s="29"/>
      <c r="M316" s="12"/>
    </row>
    <row r="317" spans="1:15" x14ac:dyDescent="0.15">
      <c r="A317" s="12"/>
      <c r="B317" s="18"/>
      <c r="C317" s="18"/>
      <c r="D317" s="18"/>
      <c r="E317" s="9"/>
      <c r="F317" s="38"/>
      <c r="G317" s="39"/>
      <c r="H317" s="12"/>
      <c r="I317" s="12"/>
      <c r="J317" s="12"/>
      <c r="K317" s="23"/>
      <c r="L317" s="29"/>
      <c r="M317" s="12"/>
    </row>
    <row r="318" spans="1:15" x14ac:dyDescent="0.15">
      <c r="A318" s="12"/>
      <c r="B318" s="18"/>
      <c r="C318" s="18"/>
      <c r="D318" s="18"/>
      <c r="E318" s="9"/>
      <c r="F318" s="38"/>
      <c r="G318" s="39"/>
      <c r="H318" s="12"/>
      <c r="I318" s="12"/>
      <c r="J318" s="12"/>
      <c r="K318" s="23"/>
      <c r="L318" s="29"/>
      <c r="M318" s="12"/>
    </row>
    <row r="319" spans="1:15" x14ac:dyDescent="0.15">
      <c r="A319" s="12"/>
      <c r="B319" s="18"/>
      <c r="C319" s="18"/>
      <c r="D319" s="18"/>
      <c r="E319" s="9"/>
      <c r="F319" s="38"/>
      <c r="G319" s="39"/>
      <c r="H319" s="12"/>
      <c r="I319" s="12"/>
      <c r="J319" s="12"/>
      <c r="K319" s="23"/>
      <c r="L319" s="29"/>
      <c r="M319" s="12"/>
    </row>
    <row r="320" spans="1:15" x14ac:dyDescent="0.15">
      <c r="A320" s="12"/>
      <c r="B320" s="18"/>
      <c r="C320" s="18"/>
      <c r="D320" s="18"/>
      <c r="E320" s="9"/>
      <c r="F320" s="38"/>
      <c r="G320" s="39"/>
      <c r="H320" s="12"/>
      <c r="I320" s="12"/>
      <c r="J320" s="12"/>
      <c r="K320" s="23"/>
      <c r="L320" s="29"/>
      <c r="M320" s="12"/>
      <c r="O320" s="6" t="s">
        <v>38</v>
      </c>
    </row>
    <row r="321" spans="1:13" x14ac:dyDescent="0.15">
      <c r="A321" s="12"/>
      <c r="B321" s="18"/>
      <c r="C321" s="18"/>
      <c r="D321" s="18"/>
      <c r="E321" s="9"/>
      <c r="F321" s="38"/>
      <c r="G321" s="39"/>
      <c r="H321" s="12"/>
      <c r="I321" s="12"/>
      <c r="J321" s="12"/>
      <c r="K321" s="23"/>
      <c r="L321" s="29"/>
      <c r="M321" s="12"/>
    </row>
    <row r="322" spans="1:13" x14ac:dyDescent="0.15">
      <c r="A322" s="12"/>
      <c r="B322" s="18"/>
      <c r="C322" s="18"/>
      <c r="D322" s="18"/>
      <c r="E322" s="9"/>
      <c r="F322" s="38"/>
      <c r="G322" s="39"/>
      <c r="H322" s="12"/>
      <c r="I322" s="12"/>
      <c r="J322" s="12"/>
      <c r="K322" s="23"/>
      <c r="L322" s="29"/>
      <c r="M322" s="12"/>
    </row>
    <row r="323" spans="1:13" x14ac:dyDescent="0.15">
      <c r="A323" s="12"/>
      <c r="B323" s="18"/>
      <c r="C323" s="18"/>
      <c r="D323" s="18"/>
      <c r="E323" s="9"/>
      <c r="F323" s="38"/>
      <c r="G323" s="39"/>
      <c r="H323" s="12"/>
      <c r="I323" s="12"/>
      <c r="J323" s="12"/>
      <c r="K323" s="23"/>
      <c r="L323" s="29"/>
      <c r="M323" s="12"/>
    </row>
    <row r="324" spans="1:13" x14ac:dyDescent="0.15">
      <c r="A324" s="12"/>
      <c r="B324" s="18"/>
      <c r="C324" s="18"/>
      <c r="D324" s="18"/>
      <c r="E324" s="9"/>
      <c r="F324" s="38"/>
      <c r="G324" s="39"/>
      <c r="H324" s="12"/>
      <c r="I324" s="12"/>
      <c r="J324" s="12"/>
      <c r="K324" s="23"/>
      <c r="L324" s="29"/>
      <c r="M324" s="12"/>
    </row>
    <row r="325" spans="1:13" x14ac:dyDescent="0.15">
      <c r="A325" s="12"/>
      <c r="B325" s="18"/>
      <c r="C325" s="18"/>
      <c r="D325" s="18"/>
      <c r="E325" s="9"/>
      <c r="F325" s="38"/>
      <c r="G325" s="39"/>
      <c r="H325" s="12"/>
      <c r="I325" s="12"/>
      <c r="J325" s="12"/>
      <c r="K325" s="23"/>
      <c r="L325" s="29"/>
      <c r="M325" s="12"/>
    </row>
    <row r="326" spans="1:13" x14ac:dyDescent="0.15">
      <c r="A326" s="12"/>
      <c r="B326" s="18"/>
      <c r="C326" s="18"/>
      <c r="D326" s="18"/>
      <c r="E326" s="9"/>
      <c r="F326" s="38"/>
      <c r="G326" s="39"/>
      <c r="H326" s="12" t="str">
        <f t="shared" ref="H326:H380" si="4">IF(G326="","",MOD(F326*100000000+G326,7))</f>
        <v/>
      </c>
      <c r="I326" s="12"/>
      <c r="J326" s="12"/>
      <c r="K326" s="23"/>
      <c r="L326" s="29"/>
      <c r="M326" s="12"/>
    </row>
    <row r="327" spans="1:13" x14ac:dyDescent="0.15">
      <c r="A327" s="12"/>
      <c r="B327" s="18"/>
      <c r="C327" s="18"/>
      <c r="D327" s="18"/>
      <c r="E327" s="9"/>
      <c r="F327" s="38"/>
      <c r="G327" s="39"/>
      <c r="H327" s="12" t="str">
        <f t="shared" si="4"/>
        <v/>
      </c>
      <c r="I327" s="12"/>
      <c r="J327" s="12"/>
      <c r="K327" s="23"/>
      <c r="L327" s="29"/>
      <c r="M327" s="12"/>
    </row>
    <row r="328" spans="1:13" x14ac:dyDescent="0.15">
      <c r="A328" s="12"/>
      <c r="B328" s="18"/>
      <c r="C328" s="18"/>
      <c r="D328" s="18"/>
      <c r="E328" s="9"/>
      <c r="F328" s="38"/>
      <c r="G328" s="39"/>
      <c r="H328" s="12" t="str">
        <f t="shared" si="4"/>
        <v/>
      </c>
      <c r="I328" s="12"/>
      <c r="J328" s="12"/>
      <c r="K328" s="23"/>
      <c r="L328" s="29"/>
      <c r="M328" s="12"/>
    </row>
    <row r="329" spans="1:13" x14ac:dyDescent="0.15">
      <c r="A329" s="12"/>
      <c r="B329" s="18"/>
      <c r="C329" s="18"/>
      <c r="D329" s="18"/>
      <c r="E329" s="9"/>
      <c r="F329" s="38"/>
      <c r="G329" s="39"/>
      <c r="H329" s="12" t="str">
        <f t="shared" si="4"/>
        <v/>
      </c>
      <c r="I329" s="12"/>
      <c r="J329" s="12"/>
      <c r="K329" s="23"/>
      <c r="L329" s="29"/>
      <c r="M329" s="12"/>
    </row>
    <row r="330" spans="1:13" x14ac:dyDescent="0.15">
      <c r="A330" s="12"/>
      <c r="B330" s="18"/>
      <c r="C330" s="18"/>
      <c r="D330" s="18"/>
      <c r="E330" s="9"/>
      <c r="F330" s="38"/>
      <c r="G330" s="39"/>
      <c r="H330" s="12" t="str">
        <f t="shared" si="4"/>
        <v/>
      </c>
      <c r="I330" s="12"/>
      <c r="J330" s="12"/>
      <c r="K330" s="23"/>
      <c r="L330" s="29"/>
      <c r="M330" s="12"/>
    </row>
    <row r="331" spans="1:13" x14ac:dyDescent="0.15">
      <c r="A331" s="12"/>
      <c r="B331" s="18"/>
      <c r="C331" s="18"/>
      <c r="D331" s="18"/>
      <c r="E331" s="9"/>
      <c r="F331" s="38"/>
      <c r="G331" s="39"/>
      <c r="H331" s="12" t="str">
        <f t="shared" si="4"/>
        <v/>
      </c>
      <c r="I331" s="12"/>
      <c r="J331" s="12"/>
      <c r="K331" s="23"/>
      <c r="L331" s="29"/>
      <c r="M331" s="12"/>
    </row>
    <row r="332" spans="1:13" x14ac:dyDescent="0.15">
      <c r="A332" s="12"/>
      <c r="B332" s="18"/>
      <c r="C332" s="18"/>
      <c r="D332" s="18"/>
      <c r="E332" s="9"/>
      <c r="F332" s="38"/>
      <c r="G332" s="39"/>
      <c r="H332" s="12" t="str">
        <f t="shared" si="4"/>
        <v/>
      </c>
      <c r="I332" s="12"/>
      <c r="J332" s="12"/>
      <c r="K332" s="23"/>
      <c r="L332" s="29"/>
      <c r="M332" s="12"/>
    </row>
    <row r="333" spans="1:13" x14ac:dyDescent="0.15">
      <c r="A333" s="12"/>
      <c r="B333" s="18"/>
      <c r="C333" s="18"/>
      <c r="D333" s="18"/>
      <c r="E333" s="9"/>
      <c r="F333" s="38"/>
      <c r="G333" s="39"/>
      <c r="H333" s="12" t="str">
        <f t="shared" si="4"/>
        <v/>
      </c>
      <c r="I333" s="12"/>
      <c r="J333" s="12"/>
      <c r="K333" s="23"/>
      <c r="L333" s="29"/>
      <c r="M333" s="12"/>
    </row>
    <row r="334" spans="1:13" x14ac:dyDescent="0.15">
      <c r="A334" s="12"/>
      <c r="B334" s="18"/>
      <c r="C334" s="18"/>
      <c r="D334" s="18"/>
      <c r="E334" s="9"/>
      <c r="F334" s="38"/>
      <c r="G334" s="39"/>
      <c r="H334" s="12" t="str">
        <f t="shared" si="4"/>
        <v/>
      </c>
      <c r="I334" s="12"/>
      <c r="J334" s="12"/>
      <c r="K334" s="23"/>
      <c r="L334" s="29"/>
      <c r="M334" s="12"/>
    </row>
    <row r="335" spans="1:13" x14ac:dyDescent="0.15">
      <c r="A335" s="12"/>
      <c r="B335" s="18"/>
      <c r="C335" s="18"/>
      <c r="D335" s="18"/>
      <c r="E335" s="9"/>
      <c r="F335" s="38"/>
      <c r="G335" s="39"/>
      <c r="H335" s="12" t="str">
        <f t="shared" si="4"/>
        <v/>
      </c>
      <c r="I335" s="12"/>
      <c r="J335" s="12"/>
      <c r="K335" s="23"/>
      <c r="L335" s="29"/>
      <c r="M335" s="12"/>
    </row>
    <row r="336" spans="1:13" x14ac:dyDescent="0.15">
      <c r="A336" s="12"/>
      <c r="B336" s="18"/>
      <c r="C336" s="18"/>
      <c r="D336" s="18"/>
      <c r="E336" s="9"/>
      <c r="F336" s="38"/>
      <c r="G336" s="39"/>
      <c r="H336" s="12" t="str">
        <f t="shared" si="4"/>
        <v/>
      </c>
      <c r="I336" s="12"/>
      <c r="J336" s="12"/>
      <c r="K336" s="23"/>
      <c r="L336" s="29"/>
      <c r="M336" s="12"/>
    </row>
    <row r="337" spans="1:13" x14ac:dyDescent="0.15">
      <c r="A337" s="12"/>
      <c r="B337" s="18"/>
      <c r="C337" s="18"/>
      <c r="D337" s="18"/>
      <c r="E337" s="9"/>
      <c r="F337" s="38"/>
      <c r="G337" s="39"/>
      <c r="H337" s="12" t="str">
        <f t="shared" si="4"/>
        <v/>
      </c>
      <c r="I337" s="12"/>
      <c r="J337" s="12"/>
      <c r="K337" s="23"/>
      <c r="L337" s="29"/>
      <c r="M337" s="12"/>
    </row>
    <row r="338" spans="1:13" x14ac:dyDescent="0.15">
      <c r="A338" s="12"/>
      <c r="B338" s="18"/>
      <c r="C338" s="18"/>
      <c r="D338" s="18"/>
      <c r="E338" s="9"/>
      <c r="F338" s="38"/>
      <c r="G338" s="39"/>
      <c r="H338" s="12" t="str">
        <f t="shared" si="4"/>
        <v/>
      </c>
      <c r="I338" s="12"/>
      <c r="J338" s="12"/>
      <c r="K338" s="23"/>
      <c r="L338" s="29"/>
      <c r="M338" s="12"/>
    </row>
    <row r="339" spans="1:13" x14ac:dyDescent="0.15">
      <c r="A339" s="12"/>
      <c r="B339" s="18"/>
      <c r="C339" s="18"/>
      <c r="D339" s="18"/>
      <c r="E339" s="9"/>
      <c r="F339" s="38"/>
      <c r="G339" s="39"/>
      <c r="H339" s="12" t="str">
        <f t="shared" si="4"/>
        <v/>
      </c>
      <c r="I339" s="12"/>
      <c r="J339" s="12"/>
      <c r="K339" s="23"/>
      <c r="L339" s="29"/>
      <c r="M339" s="12"/>
    </row>
    <row r="340" spans="1:13" x14ac:dyDescent="0.15">
      <c r="A340" s="12"/>
      <c r="B340" s="18"/>
      <c r="C340" s="18"/>
      <c r="D340" s="18"/>
      <c r="E340" s="9"/>
      <c r="F340" s="38"/>
      <c r="G340" s="39"/>
      <c r="H340" s="12" t="str">
        <f t="shared" si="4"/>
        <v/>
      </c>
      <c r="I340" s="12"/>
      <c r="J340" s="12"/>
      <c r="K340" s="23"/>
      <c r="L340" s="29"/>
      <c r="M340" s="12"/>
    </row>
    <row r="341" spans="1:13" x14ac:dyDescent="0.15">
      <c r="A341" s="12"/>
      <c r="B341" s="18"/>
      <c r="C341" s="18"/>
      <c r="D341" s="18"/>
      <c r="E341" s="9"/>
      <c r="F341" s="38"/>
      <c r="G341" s="39"/>
      <c r="H341" s="12" t="str">
        <f t="shared" si="4"/>
        <v/>
      </c>
      <c r="I341" s="12"/>
      <c r="J341" s="12"/>
      <c r="K341" s="23"/>
      <c r="L341" s="29"/>
      <c r="M341" s="12"/>
    </row>
    <row r="342" spans="1:13" x14ac:dyDescent="0.15">
      <c r="A342" s="12"/>
      <c r="B342" s="18"/>
      <c r="C342" s="18"/>
      <c r="D342" s="18"/>
      <c r="E342" s="9"/>
      <c r="F342" s="38"/>
      <c r="G342" s="39"/>
      <c r="H342" s="12" t="str">
        <f t="shared" si="4"/>
        <v/>
      </c>
      <c r="I342" s="12"/>
      <c r="J342" s="12"/>
      <c r="K342" s="23"/>
      <c r="L342" s="29"/>
      <c r="M342" s="12"/>
    </row>
    <row r="343" spans="1:13" x14ac:dyDescent="0.15">
      <c r="A343" s="12"/>
      <c r="B343" s="18"/>
      <c r="C343" s="18"/>
      <c r="D343" s="18"/>
      <c r="E343" s="9"/>
      <c r="F343" s="38"/>
      <c r="G343" s="39"/>
      <c r="H343" s="12" t="str">
        <f t="shared" si="4"/>
        <v/>
      </c>
      <c r="I343" s="12"/>
      <c r="J343" s="12"/>
      <c r="K343" s="23"/>
      <c r="L343" s="29"/>
      <c r="M343" s="12"/>
    </row>
    <row r="344" spans="1:13" x14ac:dyDescent="0.15">
      <c r="A344" s="12"/>
      <c r="B344" s="18"/>
      <c r="C344" s="18"/>
      <c r="D344" s="18"/>
      <c r="E344" s="9"/>
      <c r="F344" s="38"/>
      <c r="G344" s="39"/>
      <c r="H344" s="12" t="str">
        <f t="shared" si="4"/>
        <v/>
      </c>
      <c r="I344" s="12"/>
      <c r="J344" s="12"/>
      <c r="K344" s="23"/>
      <c r="L344" s="29"/>
      <c r="M344" s="12"/>
    </row>
    <row r="345" spans="1:13" x14ac:dyDescent="0.15">
      <c r="A345" s="12"/>
      <c r="B345" s="18"/>
      <c r="C345" s="18"/>
      <c r="D345" s="18"/>
      <c r="E345" s="9"/>
      <c r="F345" s="38"/>
      <c r="G345" s="39"/>
      <c r="H345" s="12" t="str">
        <f t="shared" si="4"/>
        <v/>
      </c>
      <c r="I345" s="12"/>
      <c r="J345" s="12"/>
      <c r="K345" s="23"/>
      <c r="L345" s="29"/>
      <c r="M345" s="12"/>
    </row>
    <row r="346" spans="1:13" x14ac:dyDescent="0.15">
      <c r="A346" s="12"/>
      <c r="B346" s="18"/>
      <c r="C346" s="18"/>
      <c r="D346" s="18"/>
      <c r="E346" s="9"/>
      <c r="F346" s="38"/>
      <c r="G346" s="39"/>
      <c r="H346" s="12" t="str">
        <f t="shared" si="4"/>
        <v/>
      </c>
      <c r="I346" s="12"/>
      <c r="J346" s="12"/>
      <c r="K346" s="23"/>
      <c r="L346" s="29"/>
      <c r="M346" s="12"/>
    </row>
    <row r="347" spans="1:13" x14ac:dyDescent="0.15">
      <c r="A347" s="12"/>
      <c r="B347" s="18"/>
      <c r="C347" s="18"/>
      <c r="D347" s="18"/>
      <c r="E347" s="9"/>
      <c r="F347" s="38"/>
      <c r="G347" s="39"/>
      <c r="H347" s="12" t="str">
        <f t="shared" si="4"/>
        <v/>
      </c>
      <c r="I347" s="12"/>
      <c r="J347" s="12"/>
      <c r="K347" s="23"/>
      <c r="L347" s="29"/>
      <c r="M347" s="12"/>
    </row>
    <row r="348" spans="1:13" x14ac:dyDescent="0.15">
      <c r="A348" s="12"/>
      <c r="B348" s="18"/>
      <c r="C348" s="18"/>
      <c r="D348" s="18"/>
      <c r="E348" s="9"/>
      <c r="F348" s="38"/>
      <c r="G348" s="39"/>
      <c r="H348" s="12" t="str">
        <f t="shared" si="4"/>
        <v/>
      </c>
      <c r="I348" s="12"/>
      <c r="J348" s="12"/>
      <c r="K348" s="23"/>
      <c r="L348" s="29"/>
      <c r="M348" s="12"/>
    </row>
    <row r="349" spans="1:13" x14ac:dyDescent="0.15">
      <c r="A349" s="12"/>
      <c r="B349" s="18"/>
      <c r="C349" s="18"/>
      <c r="D349" s="18"/>
      <c r="E349" s="9"/>
      <c r="F349" s="38"/>
      <c r="G349" s="39"/>
      <c r="H349" s="12" t="str">
        <f t="shared" si="4"/>
        <v/>
      </c>
      <c r="I349" s="12"/>
      <c r="J349" s="12"/>
      <c r="K349" s="23"/>
      <c r="L349" s="29"/>
      <c r="M349" s="12"/>
    </row>
    <row r="350" spans="1:13" x14ac:dyDescent="0.15">
      <c r="A350" s="12"/>
      <c r="B350" s="18"/>
      <c r="C350" s="18"/>
      <c r="D350" s="18"/>
      <c r="E350" s="9"/>
      <c r="F350" s="38"/>
      <c r="G350" s="39"/>
      <c r="H350" s="12" t="str">
        <f t="shared" si="4"/>
        <v/>
      </c>
      <c r="I350" s="12"/>
      <c r="J350" s="12"/>
      <c r="K350" s="23"/>
      <c r="L350" s="29"/>
      <c r="M350" s="12"/>
    </row>
    <row r="351" spans="1:13" x14ac:dyDescent="0.15">
      <c r="A351" s="12"/>
      <c r="B351" s="18"/>
      <c r="C351" s="18"/>
      <c r="D351" s="18"/>
      <c r="E351" s="9"/>
      <c r="F351" s="38"/>
      <c r="G351" s="39"/>
      <c r="H351" s="12" t="str">
        <f t="shared" si="4"/>
        <v/>
      </c>
      <c r="I351" s="12"/>
      <c r="J351" s="12"/>
      <c r="K351" s="23"/>
      <c r="L351" s="29"/>
      <c r="M351" s="12"/>
    </row>
    <row r="352" spans="1:13" x14ac:dyDescent="0.15">
      <c r="A352" s="12"/>
      <c r="B352" s="18"/>
      <c r="C352" s="18"/>
      <c r="D352" s="18"/>
      <c r="E352" s="9"/>
      <c r="F352" s="38"/>
      <c r="G352" s="39"/>
      <c r="H352" s="12" t="str">
        <f t="shared" si="4"/>
        <v/>
      </c>
      <c r="I352" s="12"/>
      <c r="J352" s="12"/>
      <c r="K352" s="23"/>
      <c r="L352" s="29"/>
      <c r="M352" s="12"/>
    </row>
    <row r="353" spans="1:13" x14ac:dyDescent="0.15">
      <c r="A353" s="12"/>
      <c r="B353" s="18"/>
      <c r="C353" s="18"/>
      <c r="D353" s="18"/>
      <c r="E353" s="9"/>
      <c r="F353" s="38"/>
      <c r="G353" s="39"/>
      <c r="H353" s="12" t="str">
        <f t="shared" si="4"/>
        <v/>
      </c>
      <c r="I353" s="12"/>
      <c r="J353" s="12"/>
      <c r="K353" s="23"/>
      <c r="L353" s="29"/>
      <c r="M353" s="12"/>
    </row>
    <row r="354" spans="1:13" x14ac:dyDescent="0.15">
      <c r="A354" s="12"/>
      <c r="B354" s="18"/>
      <c r="C354" s="18"/>
      <c r="D354" s="18"/>
      <c r="E354" s="9"/>
      <c r="F354" s="38"/>
      <c r="G354" s="39"/>
      <c r="H354" s="12" t="str">
        <f t="shared" si="4"/>
        <v/>
      </c>
      <c r="I354" s="12"/>
      <c r="J354" s="12"/>
      <c r="K354" s="23"/>
      <c r="L354" s="29"/>
      <c r="M354" s="12"/>
    </row>
    <row r="355" spans="1:13" x14ac:dyDescent="0.15">
      <c r="A355" s="12"/>
      <c r="B355" s="18"/>
      <c r="C355" s="18"/>
      <c r="D355" s="18"/>
      <c r="E355" s="9"/>
      <c r="F355" s="38"/>
      <c r="G355" s="39"/>
      <c r="H355" s="12" t="str">
        <f t="shared" si="4"/>
        <v/>
      </c>
      <c r="I355" s="12"/>
      <c r="J355" s="12"/>
      <c r="K355" s="23"/>
      <c r="L355" s="29"/>
      <c r="M355" s="12"/>
    </row>
    <row r="356" spans="1:13" x14ac:dyDescent="0.15">
      <c r="A356" s="12"/>
      <c r="B356" s="18"/>
      <c r="C356" s="18"/>
      <c r="D356" s="18"/>
      <c r="E356" s="9"/>
      <c r="F356" s="38"/>
      <c r="G356" s="39"/>
      <c r="H356" s="12" t="str">
        <f t="shared" si="4"/>
        <v/>
      </c>
      <c r="I356" s="12"/>
      <c r="J356" s="12"/>
      <c r="K356" s="23"/>
      <c r="L356" s="29"/>
      <c r="M356" s="12"/>
    </row>
    <row r="357" spans="1:13" x14ac:dyDescent="0.15">
      <c r="A357" s="12"/>
      <c r="B357" s="18"/>
      <c r="C357" s="18"/>
      <c r="D357" s="18"/>
      <c r="E357" s="9"/>
      <c r="F357" s="38"/>
      <c r="G357" s="39"/>
      <c r="H357" s="12" t="str">
        <f t="shared" si="4"/>
        <v/>
      </c>
      <c r="I357" s="12"/>
      <c r="J357" s="12"/>
      <c r="K357" s="23"/>
      <c r="L357" s="29"/>
      <c r="M357" s="12"/>
    </row>
    <row r="358" spans="1:13" x14ac:dyDescent="0.15">
      <c r="A358" s="12"/>
      <c r="B358" s="18"/>
      <c r="C358" s="18"/>
      <c r="D358" s="18"/>
      <c r="E358" s="9"/>
      <c r="F358" s="38"/>
      <c r="G358" s="39"/>
      <c r="H358" s="12" t="str">
        <f t="shared" si="4"/>
        <v/>
      </c>
      <c r="I358" s="12"/>
      <c r="J358" s="12"/>
      <c r="K358" s="23"/>
      <c r="L358" s="29"/>
      <c r="M358" s="12"/>
    </row>
    <row r="359" spans="1:13" x14ac:dyDescent="0.15">
      <c r="A359" s="12"/>
      <c r="B359" s="18"/>
      <c r="C359" s="18"/>
      <c r="D359" s="18"/>
      <c r="E359" s="9"/>
      <c r="F359" s="38"/>
      <c r="G359" s="39"/>
      <c r="H359" s="12" t="str">
        <f t="shared" si="4"/>
        <v/>
      </c>
      <c r="I359" s="12"/>
      <c r="J359" s="12"/>
      <c r="K359" s="23"/>
      <c r="L359" s="29"/>
      <c r="M359" s="12"/>
    </row>
    <row r="360" spans="1:13" x14ac:dyDescent="0.15">
      <c r="A360" s="12"/>
      <c r="B360" s="18"/>
      <c r="C360" s="18"/>
      <c r="D360" s="18"/>
      <c r="E360" s="9"/>
      <c r="F360" s="38"/>
      <c r="G360" s="39"/>
      <c r="H360" s="12" t="str">
        <f t="shared" si="4"/>
        <v/>
      </c>
      <c r="I360" s="12"/>
      <c r="J360" s="12"/>
      <c r="K360" s="23"/>
      <c r="L360" s="29"/>
      <c r="M360" s="12"/>
    </row>
    <row r="361" spans="1:13" x14ac:dyDescent="0.15">
      <c r="A361" s="12"/>
      <c r="B361" s="18"/>
      <c r="C361" s="18"/>
      <c r="D361" s="18"/>
      <c r="E361" s="9"/>
      <c r="F361" s="38"/>
      <c r="G361" s="39"/>
      <c r="H361" s="12" t="str">
        <f t="shared" si="4"/>
        <v/>
      </c>
      <c r="I361" s="12"/>
      <c r="J361" s="12"/>
      <c r="K361" s="23"/>
      <c r="L361" s="29"/>
      <c r="M361" s="12"/>
    </row>
    <row r="362" spans="1:13" x14ac:dyDescent="0.15">
      <c r="A362" s="12"/>
      <c r="B362" s="18"/>
      <c r="C362" s="18"/>
      <c r="D362" s="18"/>
      <c r="E362" s="9"/>
      <c r="F362" s="38"/>
      <c r="G362" s="39"/>
      <c r="H362" s="12" t="str">
        <f t="shared" si="4"/>
        <v/>
      </c>
      <c r="I362" s="12"/>
      <c r="J362" s="12"/>
      <c r="K362" s="23"/>
      <c r="L362" s="29"/>
      <c r="M362" s="12"/>
    </row>
    <row r="363" spans="1:13" x14ac:dyDescent="0.15">
      <c r="A363" s="12"/>
      <c r="B363" s="18"/>
      <c r="C363" s="18"/>
      <c r="D363" s="18"/>
      <c r="E363" s="9"/>
      <c r="F363" s="38"/>
      <c r="G363" s="39"/>
      <c r="H363" s="12" t="str">
        <f t="shared" si="4"/>
        <v/>
      </c>
      <c r="I363" s="12"/>
      <c r="J363" s="12"/>
      <c r="K363" s="23"/>
      <c r="L363" s="29"/>
      <c r="M363" s="12"/>
    </row>
    <row r="364" spans="1:13" x14ac:dyDescent="0.15">
      <c r="A364" s="12"/>
      <c r="B364" s="18"/>
      <c r="C364" s="18"/>
      <c r="D364" s="18"/>
      <c r="E364" s="9"/>
      <c r="F364" s="38"/>
      <c r="G364" s="39"/>
      <c r="H364" s="12" t="str">
        <f t="shared" si="4"/>
        <v/>
      </c>
      <c r="I364" s="12"/>
      <c r="J364" s="12"/>
      <c r="K364" s="23"/>
      <c r="L364" s="29"/>
      <c r="M364" s="12"/>
    </row>
    <row r="365" spans="1:13" x14ac:dyDescent="0.15">
      <c r="A365" s="12"/>
      <c r="B365" s="18"/>
      <c r="C365" s="18"/>
      <c r="D365" s="18"/>
      <c r="E365" s="9"/>
      <c r="F365" s="38"/>
      <c r="G365" s="39"/>
      <c r="H365" s="12" t="str">
        <f t="shared" si="4"/>
        <v/>
      </c>
      <c r="I365" s="12"/>
      <c r="J365" s="12"/>
      <c r="K365" s="23"/>
      <c r="L365" s="29"/>
      <c r="M365" s="12"/>
    </row>
    <row r="366" spans="1:13" x14ac:dyDescent="0.15">
      <c r="A366" s="12"/>
      <c r="B366" s="18"/>
      <c r="C366" s="18"/>
      <c r="D366" s="18"/>
      <c r="E366" s="9"/>
      <c r="F366" s="38"/>
      <c r="G366" s="39"/>
      <c r="H366" s="12" t="str">
        <f t="shared" si="4"/>
        <v/>
      </c>
      <c r="I366" s="12"/>
      <c r="J366" s="12"/>
      <c r="K366" s="23"/>
      <c r="L366" s="29"/>
      <c r="M366" s="12"/>
    </row>
    <row r="367" spans="1:13" x14ac:dyDescent="0.15">
      <c r="A367" s="12"/>
      <c r="B367" s="18"/>
      <c r="C367" s="18"/>
      <c r="D367" s="18"/>
      <c r="E367" s="9"/>
      <c r="F367" s="38"/>
      <c r="G367" s="39"/>
      <c r="H367" s="12" t="str">
        <f t="shared" si="4"/>
        <v/>
      </c>
      <c r="I367" s="12"/>
      <c r="J367" s="12"/>
      <c r="K367" s="23"/>
      <c r="L367" s="29"/>
      <c r="M367" s="12"/>
    </row>
    <row r="368" spans="1:13" x14ac:dyDescent="0.15">
      <c r="A368" s="12"/>
      <c r="B368" s="18"/>
      <c r="C368" s="18"/>
      <c r="D368" s="18"/>
      <c r="E368" s="9"/>
      <c r="F368" s="38"/>
      <c r="G368" s="39"/>
      <c r="H368" s="12" t="str">
        <f t="shared" si="4"/>
        <v/>
      </c>
      <c r="I368" s="12"/>
      <c r="J368" s="12"/>
      <c r="K368" s="23"/>
      <c r="L368" s="29"/>
      <c r="M368" s="12"/>
    </row>
    <row r="369" spans="1:13" x14ac:dyDescent="0.15">
      <c r="A369" s="12"/>
      <c r="B369" s="18"/>
      <c r="C369" s="18"/>
      <c r="D369" s="18"/>
      <c r="E369" s="9"/>
      <c r="F369" s="38"/>
      <c r="G369" s="39"/>
      <c r="H369" s="12" t="str">
        <f t="shared" si="4"/>
        <v/>
      </c>
      <c r="I369" s="12"/>
      <c r="J369" s="12"/>
      <c r="K369" s="23"/>
      <c r="L369" s="29"/>
      <c r="M369" s="12"/>
    </row>
    <row r="370" spans="1:13" x14ac:dyDescent="0.15">
      <c r="A370" s="12"/>
      <c r="B370" s="18"/>
      <c r="C370" s="18"/>
      <c r="D370" s="18"/>
      <c r="E370" s="9"/>
      <c r="F370" s="38"/>
      <c r="G370" s="39"/>
      <c r="H370" s="12" t="str">
        <f t="shared" si="4"/>
        <v/>
      </c>
      <c r="I370" s="12"/>
      <c r="J370" s="12"/>
      <c r="K370" s="23"/>
      <c r="L370" s="29"/>
      <c r="M370" s="12"/>
    </row>
    <row r="371" spans="1:13" x14ac:dyDescent="0.15">
      <c r="A371" s="12"/>
      <c r="B371" s="18"/>
      <c r="C371" s="18"/>
      <c r="D371" s="18"/>
      <c r="E371" s="9"/>
      <c r="F371" s="38"/>
      <c r="G371" s="39"/>
      <c r="H371" s="12" t="str">
        <f t="shared" si="4"/>
        <v/>
      </c>
      <c r="I371" s="12"/>
      <c r="J371" s="12"/>
      <c r="K371" s="23"/>
      <c r="L371" s="29"/>
      <c r="M371" s="12"/>
    </row>
    <row r="372" spans="1:13" x14ac:dyDescent="0.15">
      <c r="A372" s="12"/>
      <c r="B372" s="18"/>
      <c r="C372" s="18"/>
      <c r="D372" s="18"/>
      <c r="E372" s="9"/>
      <c r="F372" s="38"/>
      <c r="G372" s="39"/>
      <c r="H372" s="12" t="str">
        <f t="shared" si="4"/>
        <v/>
      </c>
      <c r="I372" s="12"/>
      <c r="J372" s="12"/>
      <c r="K372" s="23"/>
      <c r="L372" s="29"/>
      <c r="M372" s="12"/>
    </row>
    <row r="373" spans="1:13" x14ac:dyDescent="0.15">
      <c r="A373" s="12"/>
      <c r="B373" s="18"/>
      <c r="C373" s="18"/>
      <c r="D373" s="18"/>
      <c r="E373" s="9"/>
      <c r="F373" s="38"/>
      <c r="G373" s="39"/>
      <c r="H373" s="12" t="str">
        <f t="shared" si="4"/>
        <v/>
      </c>
      <c r="I373" s="12"/>
      <c r="J373" s="12"/>
      <c r="K373" s="23"/>
      <c r="L373" s="29"/>
      <c r="M373" s="12"/>
    </row>
    <row r="374" spans="1:13" x14ac:dyDescent="0.15">
      <c r="A374" s="12"/>
      <c r="B374" s="18"/>
      <c r="C374" s="18"/>
      <c r="D374" s="18"/>
      <c r="E374" s="9"/>
      <c r="F374" s="38"/>
      <c r="G374" s="39"/>
      <c r="H374" s="12" t="str">
        <f t="shared" si="4"/>
        <v/>
      </c>
      <c r="I374" s="12"/>
      <c r="J374" s="12"/>
      <c r="K374" s="23"/>
      <c r="L374" s="29"/>
      <c r="M374" s="12"/>
    </row>
    <row r="375" spans="1:13" x14ac:dyDescent="0.15">
      <c r="A375" s="12"/>
      <c r="B375" s="18"/>
      <c r="C375" s="18"/>
      <c r="D375" s="18"/>
      <c r="E375" s="9"/>
      <c r="F375" s="38"/>
      <c r="G375" s="39"/>
      <c r="H375" s="12" t="str">
        <f t="shared" si="4"/>
        <v/>
      </c>
      <c r="I375" s="12"/>
      <c r="J375" s="12"/>
      <c r="K375" s="23"/>
      <c r="L375" s="29"/>
      <c r="M375" s="12"/>
    </row>
    <row r="376" spans="1:13" x14ac:dyDescent="0.15">
      <c r="A376" s="12"/>
      <c r="B376" s="18"/>
      <c r="C376" s="18"/>
      <c r="D376" s="18"/>
      <c r="E376" s="9"/>
      <c r="F376" s="38"/>
      <c r="G376" s="39"/>
      <c r="H376" s="12" t="str">
        <f t="shared" si="4"/>
        <v/>
      </c>
      <c r="I376" s="12"/>
      <c r="J376" s="12"/>
      <c r="K376" s="23"/>
      <c r="L376" s="29"/>
      <c r="M376" s="12"/>
    </row>
    <row r="377" spans="1:13" x14ac:dyDescent="0.15">
      <c r="A377" s="12"/>
      <c r="B377" s="18"/>
      <c r="C377" s="18"/>
      <c r="D377" s="18"/>
      <c r="E377" s="9"/>
      <c r="F377" s="38"/>
      <c r="G377" s="39"/>
      <c r="H377" s="12" t="str">
        <f t="shared" si="4"/>
        <v/>
      </c>
      <c r="I377" s="12"/>
      <c r="J377" s="12"/>
      <c r="K377" s="23"/>
      <c r="L377" s="29"/>
      <c r="M377" s="12"/>
    </row>
    <row r="378" spans="1:13" x14ac:dyDescent="0.15">
      <c r="A378" s="12"/>
      <c r="B378" s="18"/>
      <c r="C378" s="18"/>
      <c r="D378" s="18"/>
      <c r="E378" s="9"/>
      <c r="F378" s="38"/>
      <c r="G378" s="39"/>
      <c r="H378" s="12" t="str">
        <f t="shared" si="4"/>
        <v/>
      </c>
      <c r="I378" s="12"/>
      <c r="J378" s="12"/>
      <c r="K378" s="23"/>
      <c r="L378" s="29"/>
      <c r="M378" s="12"/>
    </row>
    <row r="379" spans="1:13" x14ac:dyDescent="0.15">
      <c r="A379" s="12"/>
      <c r="B379" s="18"/>
      <c r="C379" s="18"/>
      <c r="D379" s="18"/>
      <c r="E379" s="9"/>
      <c r="F379" s="38"/>
      <c r="G379" s="39"/>
      <c r="H379" s="12" t="str">
        <f t="shared" si="4"/>
        <v/>
      </c>
      <c r="I379" s="12"/>
      <c r="J379" s="12"/>
      <c r="K379" s="23"/>
      <c r="L379" s="29"/>
      <c r="M379" s="12"/>
    </row>
    <row r="380" spans="1:13" x14ac:dyDescent="0.15">
      <c r="A380" s="12"/>
      <c r="B380" s="18"/>
      <c r="C380" s="18"/>
      <c r="D380" s="18"/>
      <c r="E380" s="9"/>
      <c r="F380" s="38"/>
      <c r="G380" s="39"/>
      <c r="H380" s="12" t="str">
        <f t="shared" si="4"/>
        <v/>
      </c>
      <c r="I380" s="12"/>
      <c r="J380" s="12"/>
      <c r="K380" s="23"/>
      <c r="L380" s="29"/>
      <c r="M380" s="12"/>
    </row>
    <row r="381" spans="1:13" x14ac:dyDescent="0.15">
      <c r="A381" s="12"/>
      <c r="B381" s="18"/>
      <c r="C381" s="18"/>
      <c r="D381" s="18"/>
      <c r="E381" s="9"/>
      <c r="F381" s="38"/>
      <c r="G381" s="39"/>
      <c r="H381" s="12" t="str">
        <f t="shared" ref="H381:H387" si="5">IF(G381="","",MOD(F381*100000000+G381,7))</f>
        <v/>
      </c>
      <c r="I381" s="12"/>
      <c r="J381" s="12"/>
      <c r="K381" s="23"/>
      <c r="L381" s="29"/>
      <c r="M381" s="12"/>
    </row>
    <row r="382" spans="1:13" x14ac:dyDescent="0.15">
      <c r="A382" s="12"/>
      <c r="B382" s="18"/>
      <c r="C382" s="18"/>
      <c r="D382" s="18"/>
      <c r="E382" s="9"/>
      <c r="F382" s="38"/>
      <c r="G382" s="39"/>
      <c r="H382" s="12" t="str">
        <f t="shared" si="5"/>
        <v/>
      </c>
      <c r="I382" s="12"/>
      <c r="J382" s="12"/>
      <c r="K382" s="23"/>
      <c r="L382" s="29"/>
      <c r="M382" s="12"/>
    </row>
    <row r="383" spans="1:13" x14ac:dyDescent="0.15">
      <c r="A383" s="12"/>
      <c r="B383" s="18"/>
      <c r="C383" s="18"/>
      <c r="D383" s="18"/>
      <c r="E383" s="9"/>
      <c r="F383" s="38"/>
      <c r="G383" s="39"/>
      <c r="H383" s="12" t="str">
        <f t="shared" si="5"/>
        <v/>
      </c>
      <c r="I383" s="12"/>
      <c r="J383" s="12"/>
      <c r="K383" s="23"/>
      <c r="L383" s="29"/>
      <c r="M383" s="12"/>
    </row>
    <row r="384" spans="1:13" x14ac:dyDescent="0.15">
      <c r="A384" s="12"/>
      <c r="B384" s="18"/>
      <c r="C384" s="18"/>
      <c r="D384" s="18"/>
      <c r="E384" s="9"/>
      <c r="F384" s="38"/>
      <c r="G384" s="39"/>
      <c r="H384" s="12" t="str">
        <f t="shared" si="5"/>
        <v/>
      </c>
      <c r="I384" s="12"/>
      <c r="J384" s="12"/>
      <c r="K384" s="23"/>
      <c r="L384" s="29"/>
      <c r="M384" s="12"/>
    </row>
    <row r="385" spans="1:13" x14ac:dyDescent="0.15">
      <c r="A385" s="12"/>
      <c r="B385" s="18"/>
      <c r="C385" s="18"/>
      <c r="D385" s="18"/>
      <c r="E385" s="9"/>
      <c r="F385" s="38"/>
      <c r="G385" s="39"/>
      <c r="H385" s="12" t="str">
        <f t="shared" si="5"/>
        <v/>
      </c>
      <c r="I385" s="12"/>
      <c r="J385" s="12"/>
      <c r="K385" s="23"/>
      <c r="L385" s="29"/>
      <c r="M385" s="12"/>
    </row>
    <row r="386" spans="1:13" x14ac:dyDescent="0.15">
      <c r="A386" s="12"/>
      <c r="B386" s="18"/>
      <c r="C386" s="18"/>
      <c r="D386" s="18"/>
      <c r="E386" s="9"/>
      <c r="F386" s="38"/>
      <c r="G386" s="39"/>
      <c r="H386" s="12" t="str">
        <f t="shared" si="5"/>
        <v/>
      </c>
      <c r="I386" s="12"/>
      <c r="J386" s="12"/>
      <c r="K386" s="23"/>
      <c r="L386" s="29"/>
      <c r="M386" s="12"/>
    </row>
    <row r="387" spans="1:13" x14ac:dyDescent="0.15">
      <c r="A387" s="12"/>
      <c r="B387" s="18"/>
      <c r="C387" s="18"/>
      <c r="D387" s="18"/>
      <c r="E387" s="9"/>
      <c r="F387" s="38"/>
      <c r="G387" s="39"/>
      <c r="H387" s="12" t="str">
        <f t="shared" si="5"/>
        <v/>
      </c>
      <c r="I387" s="12"/>
      <c r="J387" s="12"/>
      <c r="K387" s="23"/>
      <c r="L387" s="29"/>
      <c r="M387" s="12"/>
    </row>
    <row r="388" spans="1:13" x14ac:dyDescent="0.1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</row>
    <row r="389" spans="1:13" x14ac:dyDescent="0.1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</row>
    <row r="390" spans="1:13" x14ac:dyDescent="0.1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</row>
    <row r="391" spans="1:13" x14ac:dyDescent="0.1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</row>
    <row r="392" spans="1:13" x14ac:dyDescent="0.1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</row>
    <row r="393" spans="1:13" x14ac:dyDescent="0.1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</row>
    <row r="394" spans="1:13" x14ac:dyDescent="0.1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</row>
    <row r="395" spans="1:13" x14ac:dyDescent="0.1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</row>
    <row r="396" spans="1:13" x14ac:dyDescent="0.1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</row>
    <row r="397" spans="1:13" x14ac:dyDescent="0.1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</row>
    <row r="398" spans="1:13" x14ac:dyDescent="0.1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</row>
    <row r="399" spans="1:13" x14ac:dyDescent="0.1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</row>
    <row r="400" spans="1:13" x14ac:dyDescent="0.1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</row>
    <row r="401" spans="1:13" x14ac:dyDescent="0.1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</row>
    <row r="402" spans="1:13" x14ac:dyDescent="0.1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</row>
    <row r="403" spans="1:13" x14ac:dyDescent="0.1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</row>
    <row r="404" spans="1:13" x14ac:dyDescent="0.1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</row>
    <row r="405" spans="1:13" x14ac:dyDescent="0.1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</row>
    <row r="406" spans="1:13" x14ac:dyDescent="0.1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</row>
    <row r="407" spans="1:13" x14ac:dyDescent="0.1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</row>
    <row r="408" spans="1:13" x14ac:dyDescent="0.1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</row>
    <row r="409" spans="1:13" x14ac:dyDescent="0.1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</row>
    <row r="410" spans="1:13" x14ac:dyDescent="0.1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</row>
    <row r="411" spans="1:13" x14ac:dyDescent="0.1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</row>
    <row r="412" spans="1:13" x14ac:dyDescent="0.1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</row>
    <row r="413" spans="1:13" x14ac:dyDescent="0.1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</row>
    <row r="414" spans="1:13" x14ac:dyDescent="0.1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</row>
    <row r="415" spans="1:13" x14ac:dyDescent="0.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</row>
    <row r="416" spans="1:13" x14ac:dyDescent="0.1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</row>
    <row r="417" spans="1:13" x14ac:dyDescent="0.1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</row>
    <row r="418" spans="1:13" x14ac:dyDescent="0.1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</row>
    <row r="419" spans="1:13" x14ac:dyDescent="0.1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</row>
    <row r="420" spans="1:13" x14ac:dyDescent="0.1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</row>
    <row r="421" spans="1:13" x14ac:dyDescent="0.1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</row>
    <row r="422" spans="1:13" x14ac:dyDescent="0.1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</row>
    <row r="423" spans="1:13" x14ac:dyDescent="0.1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</row>
    <row r="424" spans="1:13" x14ac:dyDescent="0.1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</row>
    <row r="425" spans="1:13" x14ac:dyDescent="0.1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</row>
    <row r="426" spans="1:13" x14ac:dyDescent="0.1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</row>
    <row r="427" spans="1:13" x14ac:dyDescent="0.1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</row>
    <row r="428" spans="1:13" x14ac:dyDescent="0.1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</row>
    <row r="429" spans="1:13" x14ac:dyDescent="0.1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</row>
    <row r="430" spans="1:13" x14ac:dyDescent="0.1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</row>
    <row r="431" spans="1:13" x14ac:dyDescent="0.1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</row>
    <row r="432" spans="1:13" x14ac:dyDescent="0.1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</row>
    <row r="433" spans="1:13" x14ac:dyDescent="0.1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</row>
    <row r="434" spans="1:13" x14ac:dyDescent="0.1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</row>
    <row r="435" spans="1:13" x14ac:dyDescent="0.1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</row>
    <row r="436" spans="1:13" x14ac:dyDescent="0.1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</row>
    <row r="437" spans="1:13" x14ac:dyDescent="0.1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</row>
    <row r="438" spans="1:13" x14ac:dyDescent="0.1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</row>
    <row r="439" spans="1:13" x14ac:dyDescent="0.1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</row>
    <row r="440" spans="1:13" x14ac:dyDescent="0.1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</row>
    <row r="441" spans="1:13" x14ac:dyDescent="0.1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</row>
    <row r="442" spans="1:13" x14ac:dyDescent="0.1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</row>
    <row r="443" spans="1:13" x14ac:dyDescent="0.1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</row>
    <row r="444" spans="1:13" x14ac:dyDescent="0.1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</row>
    <row r="445" spans="1:13" x14ac:dyDescent="0.1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</row>
    <row r="446" spans="1:13" x14ac:dyDescent="0.1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</row>
    <row r="447" spans="1:13" x14ac:dyDescent="0.1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</row>
    <row r="448" spans="1:13" x14ac:dyDescent="0.1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</row>
    <row r="449" spans="1:13" x14ac:dyDescent="0.1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</row>
    <row r="450" spans="1:13" x14ac:dyDescent="0.1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</row>
    <row r="451" spans="1:13" x14ac:dyDescent="0.1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</row>
    <row r="452" spans="1:13" x14ac:dyDescent="0.1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</row>
    <row r="453" spans="1:13" x14ac:dyDescent="0.1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</row>
    <row r="454" spans="1:13" x14ac:dyDescent="0.1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</row>
    <row r="455" spans="1:13" x14ac:dyDescent="0.1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</row>
    <row r="456" spans="1:13" x14ac:dyDescent="0.1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</row>
    <row r="457" spans="1:13" x14ac:dyDescent="0.1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</row>
    <row r="458" spans="1:13" x14ac:dyDescent="0.1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</row>
    <row r="459" spans="1:13" x14ac:dyDescent="0.1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</row>
    <row r="460" spans="1:13" x14ac:dyDescent="0.1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</row>
    <row r="461" spans="1:13" x14ac:dyDescent="0.1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</row>
    <row r="462" spans="1:13" x14ac:dyDescent="0.1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</row>
    <row r="463" spans="1:13" x14ac:dyDescent="0.1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</row>
    <row r="464" spans="1:13" x14ac:dyDescent="0.1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</row>
    <row r="465" spans="1:13" x14ac:dyDescent="0.1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</row>
    <row r="466" spans="1:13" x14ac:dyDescent="0.1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</row>
    <row r="467" spans="1:13" x14ac:dyDescent="0.1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</row>
    <row r="468" spans="1:13" x14ac:dyDescent="0.1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</row>
    <row r="469" spans="1:13" x14ac:dyDescent="0.1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</row>
    <row r="470" spans="1:13" x14ac:dyDescent="0.1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</row>
    <row r="471" spans="1:13" x14ac:dyDescent="0.1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</row>
    <row r="472" spans="1:13" x14ac:dyDescent="0.1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</row>
    <row r="473" spans="1:13" x14ac:dyDescent="0.1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</row>
    <row r="474" spans="1:13" x14ac:dyDescent="0.1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</row>
    <row r="475" spans="1:13" x14ac:dyDescent="0.1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</row>
    <row r="476" spans="1:13" x14ac:dyDescent="0.1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</row>
    <row r="477" spans="1:13" x14ac:dyDescent="0.1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</row>
    <row r="478" spans="1:13" x14ac:dyDescent="0.1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</row>
    <row r="479" spans="1:13" x14ac:dyDescent="0.1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</row>
    <row r="480" spans="1:13" x14ac:dyDescent="0.1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</row>
    <row r="481" spans="1:13" x14ac:dyDescent="0.1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</row>
    <row r="482" spans="1:13" x14ac:dyDescent="0.1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</row>
    <row r="483" spans="1:13" x14ac:dyDescent="0.1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</row>
    <row r="484" spans="1:13" x14ac:dyDescent="0.1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</row>
    <row r="485" spans="1:13" x14ac:dyDescent="0.1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</row>
    <row r="486" spans="1:13" x14ac:dyDescent="0.1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</row>
    <row r="487" spans="1:13" x14ac:dyDescent="0.1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</row>
    <row r="488" spans="1:13" x14ac:dyDescent="0.1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</row>
    <row r="489" spans="1:13" x14ac:dyDescent="0.1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</row>
    <row r="490" spans="1:13" x14ac:dyDescent="0.1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</row>
    <row r="491" spans="1:13" x14ac:dyDescent="0.1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</row>
    <row r="492" spans="1:13" x14ac:dyDescent="0.1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</row>
    <row r="493" spans="1:13" x14ac:dyDescent="0.1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</row>
    <row r="494" spans="1:13" x14ac:dyDescent="0.1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</row>
    <row r="495" spans="1:13" x14ac:dyDescent="0.1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</row>
    <row r="496" spans="1:13" x14ac:dyDescent="0.1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</row>
    <row r="497" spans="1:13" x14ac:dyDescent="0.1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</row>
    <row r="498" spans="1:13" x14ac:dyDescent="0.1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</row>
    <row r="499" spans="1:13" x14ac:dyDescent="0.1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</row>
    <row r="500" spans="1:13" x14ac:dyDescent="0.1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</row>
    <row r="501" spans="1:13" x14ac:dyDescent="0.1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</row>
    <row r="502" spans="1:13" x14ac:dyDescent="0.1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</row>
    <row r="503" spans="1:13" x14ac:dyDescent="0.1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</row>
    <row r="504" spans="1:13" x14ac:dyDescent="0.1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</row>
    <row r="505" spans="1:13" x14ac:dyDescent="0.1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</row>
    <row r="506" spans="1:13" x14ac:dyDescent="0.1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</row>
    <row r="507" spans="1:13" x14ac:dyDescent="0.1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</row>
    <row r="508" spans="1:13" x14ac:dyDescent="0.1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</row>
    <row r="509" spans="1:13" x14ac:dyDescent="0.1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</row>
    <row r="510" spans="1:13" x14ac:dyDescent="0.1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</row>
    <row r="511" spans="1:13" x14ac:dyDescent="0.1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</row>
    <row r="512" spans="1:13" x14ac:dyDescent="0.1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</row>
    <row r="513" spans="1:13" x14ac:dyDescent="0.1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</row>
    <row r="514" spans="1:13" x14ac:dyDescent="0.1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</row>
    <row r="515" spans="1:13" x14ac:dyDescent="0.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</row>
    <row r="516" spans="1:13" x14ac:dyDescent="0.1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</row>
    <row r="517" spans="1:13" x14ac:dyDescent="0.1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</row>
    <row r="518" spans="1:13" x14ac:dyDescent="0.1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</row>
    <row r="519" spans="1:13" x14ac:dyDescent="0.1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</row>
    <row r="520" spans="1:13" x14ac:dyDescent="0.1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</row>
    <row r="521" spans="1:13" x14ac:dyDescent="0.1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</row>
    <row r="522" spans="1:13" x14ac:dyDescent="0.1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</row>
    <row r="523" spans="1:13" x14ac:dyDescent="0.1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</row>
    <row r="524" spans="1:13" x14ac:dyDescent="0.1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</row>
    <row r="525" spans="1:13" x14ac:dyDescent="0.1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</row>
    <row r="526" spans="1:13" x14ac:dyDescent="0.1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</row>
    <row r="527" spans="1:13" x14ac:dyDescent="0.1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</row>
    <row r="528" spans="1:13" x14ac:dyDescent="0.1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</row>
    <row r="529" spans="1:13" x14ac:dyDescent="0.1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</row>
    <row r="530" spans="1:13" x14ac:dyDescent="0.1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</row>
    <row r="531" spans="1:13" x14ac:dyDescent="0.1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</row>
    <row r="532" spans="1:13" x14ac:dyDescent="0.1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</row>
    <row r="533" spans="1:13" x14ac:dyDescent="0.1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</row>
    <row r="534" spans="1:13" x14ac:dyDescent="0.1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</row>
    <row r="535" spans="1:13" x14ac:dyDescent="0.1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</row>
    <row r="536" spans="1:13" x14ac:dyDescent="0.1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</row>
    <row r="537" spans="1:13" x14ac:dyDescent="0.1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</row>
    <row r="538" spans="1:13" x14ac:dyDescent="0.1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</row>
    <row r="539" spans="1:13" x14ac:dyDescent="0.1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</row>
    <row r="540" spans="1:13" x14ac:dyDescent="0.1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</row>
    <row r="541" spans="1:13" x14ac:dyDescent="0.1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</row>
    <row r="542" spans="1:13" x14ac:dyDescent="0.1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</row>
    <row r="543" spans="1:13" x14ac:dyDescent="0.1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</row>
    <row r="544" spans="1:13" x14ac:dyDescent="0.1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</row>
    <row r="545" spans="1:13" x14ac:dyDescent="0.1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</row>
    <row r="546" spans="1:13" x14ac:dyDescent="0.1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</row>
    <row r="547" spans="1:13" x14ac:dyDescent="0.1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</row>
    <row r="548" spans="1:13" x14ac:dyDescent="0.1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</row>
    <row r="549" spans="1:13" x14ac:dyDescent="0.1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</row>
    <row r="550" spans="1:13" x14ac:dyDescent="0.1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</row>
    <row r="551" spans="1:13" x14ac:dyDescent="0.1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</row>
    <row r="552" spans="1:13" x14ac:dyDescent="0.1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</row>
    <row r="553" spans="1:13" x14ac:dyDescent="0.1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</row>
    <row r="554" spans="1:13" x14ac:dyDescent="0.1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</row>
    <row r="555" spans="1:13" x14ac:dyDescent="0.1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</row>
    <row r="556" spans="1:13" x14ac:dyDescent="0.1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</row>
    <row r="557" spans="1:13" x14ac:dyDescent="0.1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</row>
    <row r="558" spans="1:13" x14ac:dyDescent="0.1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</row>
    <row r="559" spans="1:13" x14ac:dyDescent="0.1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</row>
    <row r="560" spans="1:13" x14ac:dyDescent="0.1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</row>
    <row r="561" spans="1:13" x14ac:dyDescent="0.1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</row>
    <row r="562" spans="1:13" x14ac:dyDescent="0.1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</row>
    <row r="563" spans="1:13" x14ac:dyDescent="0.1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</row>
    <row r="564" spans="1:13" x14ac:dyDescent="0.1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</row>
    <row r="565" spans="1:13" x14ac:dyDescent="0.1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</row>
    <row r="566" spans="1:13" x14ac:dyDescent="0.1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</row>
    <row r="567" spans="1:13" x14ac:dyDescent="0.1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</row>
    <row r="568" spans="1:13" x14ac:dyDescent="0.1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</row>
    <row r="569" spans="1:13" x14ac:dyDescent="0.1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</row>
    <row r="570" spans="1:13" x14ac:dyDescent="0.1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</row>
    <row r="571" spans="1:13" x14ac:dyDescent="0.1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</row>
    <row r="572" spans="1:13" x14ac:dyDescent="0.1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</row>
    <row r="573" spans="1:13" x14ac:dyDescent="0.1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</row>
    <row r="574" spans="1:13" x14ac:dyDescent="0.1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</row>
    <row r="575" spans="1:13" x14ac:dyDescent="0.1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</row>
    <row r="576" spans="1:13" x14ac:dyDescent="0.1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</row>
    <row r="577" spans="1:13" x14ac:dyDescent="0.1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</row>
    <row r="578" spans="1:13" x14ac:dyDescent="0.1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</row>
    <row r="579" spans="1:13" x14ac:dyDescent="0.1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</row>
    <row r="580" spans="1:13" x14ac:dyDescent="0.1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</row>
    <row r="581" spans="1:13" x14ac:dyDescent="0.1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</row>
    <row r="582" spans="1:13" x14ac:dyDescent="0.1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</row>
    <row r="583" spans="1:13" x14ac:dyDescent="0.1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</row>
    <row r="584" spans="1:13" x14ac:dyDescent="0.1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</row>
    <row r="585" spans="1:13" x14ac:dyDescent="0.1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</row>
    <row r="586" spans="1:13" x14ac:dyDescent="0.1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</row>
    <row r="587" spans="1:13" x14ac:dyDescent="0.1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</row>
    <row r="588" spans="1:13" x14ac:dyDescent="0.1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</row>
    <row r="589" spans="1:13" x14ac:dyDescent="0.1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</row>
    <row r="590" spans="1:13" x14ac:dyDescent="0.1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</row>
    <row r="591" spans="1:13" x14ac:dyDescent="0.1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</row>
    <row r="592" spans="1:13" x14ac:dyDescent="0.1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</row>
    <row r="593" spans="1:13" x14ac:dyDescent="0.1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</row>
    <row r="594" spans="1:13" x14ac:dyDescent="0.1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</row>
    <row r="595" spans="1:13" x14ac:dyDescent="0.1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</row>
    <row r="596" spans="1:13" x14ac:dyDescent="0.1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</row>
    <row r="597" spans="1:13" x14ac:dyDescent="0.1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</row>
    <row r="598" spans="1:13" x14ac:dyDescent="0.1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</row>
    <row r="599" spans="1:13" x14ac:dyDescent="0.1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</row>
    <row r="600" spans="1:13" x14ac:dyDescent="0.1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</row>
    <row r="601" spans="1:13" x14ac:dyDescent="0.1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</row>
    <row r="602" spans="1:13" x14ac:dyDescent="0.1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</row>
    <row r="603" spans="1:13" x14ac:dyDescent="0.1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</row>
    <row r="604" spans="1:13" x14ac:dyDescent="0.1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</row>
    <row r="605" spans="1:13" x14ac:dyDescent="0.1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</row>
    <row r="606" spans="1:13" x14ac:dyDescent="0.1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</row>
    <row r="607" spans="1:13" x14ac:dyDescent="0.1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</row>
    <row r="608" spans="1:13" x14ac:dyDescent="0.1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</row>
    <row r="609" spans="1:13" x14ac:dyDescent="0.1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</row>
    <row r="610" spans="1:13" x14ac:dyDescent="0.1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</row>
    <row r="611" spans="1:13" x14ac:dyDescent="0.1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</row>
    <row r="612" spans="1:13" x14ac:dyDescent="0.1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</row>
    <row r="613" spans="1:13" x14ac:dyDescent="0.1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</row>
    <row r="614" spans="1:13" x14ac:dyDescent="0.1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</row>
    <row r="615" spans="1:13" x14ac:dyDescent="0.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</row>
    <row r="616" spans="1:13" x14ac:dyDescent="0.1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</row>
    <row r="617" spans="1:13" x14ac:dyDescent="0.1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</row>
    <row r="618" spans="1:13" x14ac:dyDescent="0.1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</row>
    <row r="619" spans="1:13" x14ac:dyDescent="0.1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</row>
    <row r="620" spans="1:13" x14ac:dyDescent="0.1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</row>
    <row r="621" spans="1:13" x14ac:dyDescent="0.1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</row>
    <row r="622" spans="1:13" x14ac:dyDescent="0.1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</row>
    <row r="623" spans="1:13" x14ac:dyDescent="0.1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</row>
    <row r="624" spans="1:13" x14ac:dyDescent="0.1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</row>
    <row r="625" spans="1:13" x14ac:dyDescent="0.1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</row>
    <row r="626" spans="1:13" x14ac:dyDescent="0.1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</row>
    <row r="627" spans="1:13" x14ac:dyDescent="0.1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</row>
    <row r="628" spans="1:13" x14ac:dyDescent="0.1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</row>
    <row r="629" spans="1:13" x14ac:dyDescent="0.1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</row>
    <row r="630" spans="1:13" x14ac:dyDescent="0.1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</row>
    <row r="631" spans="1:13" x14ac:dyDescent="0.1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</row>
    <row r="632" spans="1:13" x14ac:dyDescent="0.1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</row>
    <row r="633" spans="1:13" x14ac:dyDescent="0.1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</row>
    <row r="634" spans="1:13" x14ac:dyDescent="0.1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</row>
    <row r="635" spans="1:13" x14ac:dyDescent="0.1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</row>
    <row r="636" spans="1:13" x14ac:dyDescent="0.1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</row>
    <row r="637" spans="1:13" x14ac:dyDescent="0.1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</row>
    <row r="638" spans="1:13" x14ac:dyDescent="0.1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</row>
    <row r="639" spans="1:13" x14ac:dyDescent="0.1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</row>
    <row r="640" spans="1:13" x14ac:dyDescent="0.1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</row>
    <row r="641" spans="1:13" x14ac:dyDescent="0.1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</row>
    <row r="642" spans="1:13" x14ac:dyDescent="0.1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</row>
    <row r="643" spans="1:13" x14ac:dyDescent="0.1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</row>
    <row r="644" spans="1:13" x14ac:dyDescent="0.1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</row>
    <row r="645" spans="1:13" x14ac:dyDescent="0.1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</row>
    <row r="646" spans="1:13" x14ac:dyDescent="0.1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</row>
    <row r="647" spans="1:13" x14ac:dyDescent="0.1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</row>
    <row r="648" spans="1:13" x14ac:dyDescent="0.1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</row>
    <row r="649" spans="1:13" x14ac:dyDescent="0.1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</row>
    <row r="650" spans="1:13" x14ac:dyDescent="0.1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</row>
    <row r="651" spans="1:13" x14ac:dyDescent="0.1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</row>
    <row r="652" spans="1:13" x14ac:dyDescent="0.1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</row>
    <row r="653" spans="1:13" x14ac:dyDescent="0.1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</row>
    <row r="654" spans="1:13" x14ac:dyDescent="0.1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</row>
    <row r="655" spans="1:13" x14ac:dyDescent="0.1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</row>
    <row r="656" spans="1:13" x14ac:dyDescent="0.1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</row>
    <row r="657" spans="1:13" x14ac:dyDescent="0.1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</row>
    <row r="658" spans="1:13" x14ac:dyDescent="0.1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</row>
    <row r="659" spans="1:13" x14ac:dyDescent="0.1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</row>
    <row r="660" spans="1:13" x14ac:dyDescent="0.1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</row>
    <row r="661" spans="1:13" x14ac:dyDescent="0.1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</row>
    <row r="662" spans="1:13" x14ac:dyDescent="0.1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</row>
    <row r="663" spans="1:13" x14ac:dyDescent="0.1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</row>
    <row r="664" spans="1:13" x14ac:dyDescent="0.1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</row>
    <row r="665" spans="1:13" x14ac:dyDescent="0.1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</row>
    <row r="666" spans="1:13" x14ac:dyDescent="0.1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</row>
    <row r="667" spans="1:13" x14ac:dyDescent="0.1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</row>
    <row r="668" spans="1:13" x14ac:dyDescent="0.1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</row>
    <row r="669" spans="1:13" x14ac:dyDescent="0.1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</row>
    <row r="670" spans="1:13" x14ac:dyDescent="0.1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</row>
    <row r="671" spans="1:13" x14ac:dyDescent="0.1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</row>
    <row r="672" spans="1:13" x14ac:dyDescent="0.1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</row>
    <row r="673" spans="1:13" x14ac:dyDescent="0.1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</row>
    <row r="674" spans="1:13" x14ac:dyDescent="0.1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</row>
    <row r="675" spans="1:13" x14ac:dyDescent="0.1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</row>
    <row r="676" spans="1:13" x14ac:dyDescent="0.1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</row>
    <row r="677" spans="1:13" x14ac:dyDescent="0.1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</row>
    <row r="678" spans="1:13" x14ac:dyDescent="0.1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</row>
    <row r="679" spans="1:13" x14ac:dyDescent="0.1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</row>
    <row r="680" spans="1:13" x14ac:dyDescent="0.1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</row>
    <row r="681" spans="1:13" x14ac:dyDescent="0.1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</row>
    <row r="682" spans="1:13" x14ac:dyDescent="0.1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</row>
    <row r="683" spans="1:13" x14ac:dyDescent="0.1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</row>
    <row r="684" spans="1:13" x14ac:dyDescent="0.1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</row>
    <row r="685" spans="1:13" x14ac:dyDescent="0.1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</row>
    <row r="686" spans="1:13" x14ac:dyDescent="0.1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</row>
    <row r="687" spans="1:13" x14ac:dyDescent="0.1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</row>
    <row r="688" spans="1:13" x14ac:dyDescent="0.1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</row>
    <row r="689" spans="1:13" x14ac:dyDescent="0.1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</row>
    <row r="690" spans="1:13" x14ac:dyDescent="0.1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</row>
    <row r="691" spans="1:13" x14ac:dyDescent="0.1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</row>
    <row r="692" spans="1:13" x14ac:dyDescent="0.1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</row>
    <row r="693" spans="1:13" x14ac:dyDescent="0.1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</row>
    <row r="694" spans="1:13" x14ac:dyDescent="0.1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</row>
    <row r="695" spans="1:13" x14ac:dyDescent="0.1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</row>
    <row r="696" spans="1:13" x14ac:dyDescent="0.1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</row>
    <row r="697" spans="1:13" x14ac:dyDescent="0.1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</row>
    <row r="698" spans="1:13" x14ac:dyDescent="0.1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</row>
    <row r="699" spans="1:13" x14ac:dyDescent="0.1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</row>
    <row r="700" spans="1:13" x14ac:dyDescent="0.1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</row>
    <row r="701" spans="1:13" x14ac:dyDescent="0.1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</row>
    <row r="702" spans="1:13" x14ac:dyDescent="0.1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</row>
    <row r="703" spans="1:13" x14ac:dyDescent="0.1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</row>
    <row r="704" spans="1:13" x14ac:dyDescent="0.1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</row>
    <row r="705" spans="1:13" x14ac:dyDescent="0.1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</row>
    <row r="706" spans="1:13" x14ac:dyDescent="0.1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</row>
    <row r="707" spans="1:13" x14ac:dyDescent="0.1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</row>
    <row r="708" spans="1:13" x14ac:dyDescent="0.1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</row>
    <row r="709" spans="1:13" x14ac:dyDescent="0.1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</row>
    <row r="710" spans="1:13" x14ac:dyDescent="0.1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</row>
    <row r="711" spans="1:13" x14ac:dyDescent="0.1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</row>
    <row r="712" spans="1:13" x14ac:dyDescent="0.1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</row>
    <row r="713" spans="1:13" x14ac:dyDescent="0.1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</row>
    <row r="714" spans="1:13" x14ac:dyDescent="0.1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</row>
    <row r="715" spans="1:13" x14ac:dyDescent="0.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</row>
    <row r="716" spans="1:13" x14ac:dyDescent="0.1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</row>
    <row r="717" spans="1:13" x14ac:dyDescent="0.1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</row>
    <row r="718" spans="1:13" x14ac:dyDescent="0.1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</row>
    <row r="719" spans="1:13" x14ac:dyDescent="0.1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</row>
    <row r="720" spans="1:13" x14ac:dyDescent="0.1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</row>
    <row r="721" spans="1:13" x14ac:dyDescent="0.1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</row>
    <row r="722" spans="1:13" x14ac:dyDescent="0.1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</row>
    <row r="723" spans="1:13" x14ac:dyDescent="0.1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</row>
    <row r="724" spans="1:13" x14ac:dyDescent="0.1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</row>
    <row r="725" spans="1:13" x14ac:dyDescent="0.1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</row>
    <row r="726" spans="1:13" x14ac:dyDescent="0.1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</row>
    <row r="727" spans="1:13" x14ac:dyDescent="0.1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</row>
    <row r="728" spans="1:13" x14ac:dyDescent="0.1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</row>
    <row r="729" spans="1:13" x14ac:dyDescent="0.1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</row>
    <row r="730" spans="1:13" x14ac:dyDescent="0.1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</row>
    <row r="731" spans="1:13" x14ac:dyDescent="0.1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</row>
    <row r="732" spans="1:13" x14ac:dyDescent="0.1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</row>
    <row r="733" spans="1:13" x14ac:dyDescent="0.1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</row>
    <row r="734" spans="1:13" x14ac:dyDescent="0.1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</row>
    <row r="735" spans="1:13" x14ac:dyDescent="0.1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</row>
    <row r="736" spans="1:13" x14ac:dyDescent="0.1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</row>
    <row r="737" spans="1:13" x14ac:dyDescent="0.1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</row>
    <row r="738" spans="1:13" x14ac:dyDescent="0.1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</row>
    <row r="739" spans="1:13" x14ac:dyDescent="0.1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</row>
    <row r="740" spans="1:13" x14ac:dyDescent="0.1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</row>
    <row r="741" spans="1:13" x14ac:dyDescent="0.1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</row>
    <row r="742" spans="1:13" x14ac:dyDescent="0.1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</row>
    <row r="743" spans="1:13" x14ac:dyDescent="0.1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</row>
    <row r="744" spans="1:13" x14ac:dyDescent="0.1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</row>
    <row r="745" spans="1:13" x14ac:dyDescent="0.1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</row>
    <row r="746" spans="1:13" x14ac:dyDescent="0.1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</row>
    <row r="747" spans="1:13" x14ac:dyDescent="0.1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</row>
    <row r="748" spans="1:13" x14ac:dyDescent="0.1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</row>
    <row r="749" spans="1:13" x14ac:dyDescent="0.1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</row>
    <row r="750" spans="1:13" x14ac:dyDescent="0.1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</row>
    <row r="751" spans="1:13" x14ac:dyDescent="0.1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</row>
    <row r="752" spans="1:13" x14ac:dyDescent="0.1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</row>
    <row r="753" spans="1:13" x14ac:dyDescent="0.1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</row>
    <row r="754" spans="1:13" x14ac:dyDescent="0.1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</row>
    <row r="755" spans="1:13" x14ac:dyDescent="0.1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</row>
    <row r="756" spans="1:13" x14ac:dyDescent="0.1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</row>
    <row r="757" spans="1:13" x14ac:dyDescent="0.1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</row>
    <row r="758" spans="1:13" x14ac:dyDescent="0.1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</row>
    <row r="759" spans="1:13" x14ac:dyDescent="0.1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</row>
    <row r="760" spans="1:13" x14ac:dyDescent="0.1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</row>
    <row r="761" spans="1:13" x14ac:dyDescent="0.1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</row>
    <row r="762" spans="1:13" x14ac:dyDescent="0.1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</row>
    <row r="763" spans="1:13" x14ac:dyDescent="0.1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</row>
    <row r="764" spans="1:13" x14ac:dyDescent="0.1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</row>
    <row r="765" spans="1:13" x14ac:dyDescent="0.1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</row>
    <row r="766" spans="1:13" x14ac:dyDescent="0.1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</row>
    <row r="767" spans="1:13" x14ac:dyDescent="0.1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</row>
    <row r="768" spans="1:13" x14ac:dyDescent="0.1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</row>
    <row r="769" spans="1:13" x14ac:dyDescent="0.1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</row>
    <row r="770" spans="1:13" x14ac:dyDescent="0.1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</row>
    <row r="771" spans="1:13" x14ac:dyDescent="0.1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</row>
    <row r="772" spans="1:13" x14ac:dyDescent="0.1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</row>
    <row r="773" spans="1:13" x14ac:dyDescent="0.1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</row>
    <row r="774" spans="1:13" x14ac:dyDescent="0.1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</row>
    <row r="775" spans="1:13" x14ac:dyDescent="0.1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</row>
    <row r="776" spans="1:13" x14ac:dyDescent="0.1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</row>
    <row r="777" spans="1:13" x14ac:dyDescent="0.1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</row>
    <row r="778" spans="1:13" x14ac:dyDescent="0.1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</row>
    <row r="779" spans="1:13" x14ac:dyDescent="0.1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</row>
    <row r="780" spans="1:13" x14ac:dyDescent="0.1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</row>
    <row r="781" spans="1:13" x14ac:dyDescent="0.1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</row>
    <row r="782" spans="1:13" x14ac:dyDescent="0.1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</row>
    <row r="783" spans="1:13" x14ac:dyDescent="0.1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</row>
    <row r="784" spans="1:13" x14ac:dyDescent="0.1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</row>
    <row r="785" spans="1:13" x14ac:dyDescent="0.1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</row>
    <row r="786" spans="1:13" x14ac:dyDescent="0.1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</row>
    <row r="787" spans="1:13" x14ac:dyDescent="0.1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</row>
    <row r="788" spans="1:13" x14ac:dyDescent="0.1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</row>
    <row r="789" spans="1:13" x14ac:dyDescent="0.1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</row>
    <row r="790" spans="1:13" x14ac:dyDescent="0.1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</row>
    <row r="791" spans="1:13" x14ac:dyDescent="0.1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</row>
    <row r="792" spans="1:13" x14ac:dyDescent="0.1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</row>
    <row r="793" spans="1:13" x14ac:dyDescent="0.1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</row>
    <row r="794" spans="1:13" x14ac:dyDescent="0.1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</row>
    <row r="795" spans="1:13" x14ac:dyDescent="0.1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</row>
    <row r="796" spans="1:13" x14ac:dyDescent="0.1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</row>
    <row r="797" spans="1:13" x14ac:dyDescent="0.1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</row>
    <row r="798" spans="1:13" x14ac:dyDescent="0.1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</row>
    <row r="799" spans="1:13" x14ac:dyDescent="0.1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</row>
    <row r="800" spans="1:13" x14ac:dyDescent="0.1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</row>
    <row r="801" spans="1:13" x14ac:dyDescent="0.1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</row>
    <row r="802" spans="1:13" x14ac:dyDescent="0.1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</row>
    <row r="803" spans="1:13" x14ac:dyDescent="0.1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</row>
    <row r="804" spans="1:13" x14ac:dyDescent="0.1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</row>
    <row r="805" spans="1:13" x14ac:dyDescent="0.1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</row>
    <row r="806" spans="1:13" x14ac:dyDescent="0.1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</row>
    <row r="807" spans="1:13" x14ac:dyDescent="0.1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</row>
    <row r="808" spans="1:13" x14ac:dyDescent="0.1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</row>
    <row r="809" spans="1:13" x14ac:dyDescent="0.1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</row>
    <row r="810" spans="1:13" x14ac:dyDescent="0.1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</row>
    <row r="811" spans="1:13" x14ac:dyDescent="0.1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</row>
    <row r="812" spans="1:13" x14ac:dyDescent="0.1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</row>
    <row r="813" spans="1:13" x14ac:dyDescent="0.1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</row>
    <row r="814" spans="1:13" x14ac:dyDescent="0.1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</row>
    <row r="815" spans="1:13" x14ac:dyDescent="0.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</row>
    <row r="816" spans="1:13" x14ac:dyDescent="0.1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</row>
    <row r="817" spans="1:13" x14ac:dyDescent="0.1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</row>
    <row r="818" spans="1:13" x14ac:dyDescent="0.1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</row>
    <row r="819" spans="1:13" x14ac:dyDescent="0.1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</row>
    <row r="820" spans="1:13" x14ac:dyDescent="0.1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</row>
    <row r="821" spans="1:13" x14ac:dyDescent="0.1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</row>
    <row r="822" spans="1:13" x14ac:dyDescent="0.1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</row>
    <row r="823" spans="1:13" x14ac:dyDescent="0.1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</row>
    <row r="824" spans="1:13" x14ac:dyDescent="0.1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</row>
    <row r="825" spans="1:13" x14ac:dyDescent="0.1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</row>
    <row r="826" spans="1:13" x14ac:dyDescent="0.1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</row>
    <row r="827" spans="1:13" x14ac:dyDescent="0.1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</row>
    <row r="828" spans="1:13" x14ac:dyDescent="0.1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</row>
    <row r="829" spans="1:13" x14ac:dyDescent="0.1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</row>
    <row r="830" spans="1:13" x14ac:dyDescent="0.1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</row>
    <row r="831" spans="1:13" x14ac:dyDescent="0.1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</row>
    <row r="832" spans="1:13" x14ac:dyDescent="0.1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</row>
    <row r="833" spans="1:13" x14ac:dyDescent="0.1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</row>
    <row r="834" spans="1:13" x14ac:dyDescent="0.1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</row>
    <row r="835" spans="1:13" x14ac:dyDescent="0.1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</row>
    <row r="836" spans="1:13" x14ac:dyDescent="0.1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</row>
    <row r="837" spans="1:13" x14ac:dyDescent="0.1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</row>
    <row r="838" spans="1:13" x14ac:dyDescent="0.1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</row>
    <row r="839" spans="1:13" x14ac:dyDescent="0.1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</row>
    <row r="840" spans="1:13" x14ac:dyDescent="0.1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</row>
    <row r="841" spans="1:13" x14ac:dyDescent="0.1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</row>
    <row r="842" spans="1:13" x14ac:dyDescent="0.1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</row>
    <row r="843" spans="1:13" x14ac:dyDescent="0.1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</row>
    <row r="844" spans="1:13" x14ac:dyDescent="0.1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</row>
    <row r="845" spans="1:13" x14ac:dyDescent="0.1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</row>
    <row r="846" spans="1:13" x14ac:dyDescent="0.1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</row>
    <row r="847" spans="1:13" x14ac:dyDescent="0.1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</row>
    <row r="848" spans="1:13" x14ac:dyDescent="0.1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</row>
    <row r="849" spans="1:13" x14ac:dyDescent="0.1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</row>
    <row r="850" spans="1:13" x14ac:dyDescent="0.1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</row>
    <row r="851" spans="1:13" x14ac:dyDescent="0.1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</row>
    <row r="852" spans="1:13" x14ac:dyDescent="0.1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</row>
    <row r="853" spans="1:13" x14ac:dyDescent="0.1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</row>
    <row r="854" spans="1:13" x14ac:dyDescent="0.1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</row>
    <row r="855" spans="1:13" x14ac:dyDescent="0.1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</row>
    <row r="856" spans="1:13" x14ac:dyDescent="0.1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</row>
    <row r="857" spans="1:13" x14ac:dyDescent="0.1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</row>
    <row r="858" spans="1:13" x14ac:dyDescent="0.1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</row>
    <row r="859" spans="1:13" x14ac:dyDescent="0.1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</row>
    <row r="860" spans="1:13" x14ac:dyDescent="0.1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</row>
    <row r="861" spans="1:13" x14ac:dyDescent="0.1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</row>
    <row r="862" spans="1:13" x14ac:dyDescent="0.1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</row>
    <row r="863" spans="1:13" x14ac:dyDescent="0.1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</row>
    <row r="864" spans="1:13" x14ac:dyDescent="0.1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</row>
    <row r="865" spans="1:13" x14ac:dyDescent="0.1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</row>
    <row r="866" spans="1:13" x14ac:dyDescent="0.1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</row>
    <row r="867" spans="1:13" x14ac:dyDescent="0.1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</row>
    <row r="868" spans="1:13" x14ac:dyDescent="0.1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</row>
    <row r="869" spans="1:13" x14ac:dyDescent="0.1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</row>
    <row r="870" spans="1:13" x14ac:dyDescent="0.1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</row>
    <row r="871" spans="1:13" x14ac:dyDescent="0.1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</row>
    <row r="872" spans="1:13" x14ac:dyDescent="0.1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</row>
    <row r="873" spans="1:13" x14ac:dyDescent="0.1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</row>
    <row r="874" spans="1:13" x14ac:dyDescent="0.1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</row>
    <row r="875" spans="1:13" x14ac:dyDescent="0.1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</row>
    <row r="876" spans="1:13" x14ac:dyDescent="0.1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</row>
    <row r="877" spans="1:13" x14ac:dyDescent="0.1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</row>
    <row r="878" spans="1:13" x14ac:dyDescent="0.1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</row>
    <row r="879" spans="1:13" x14ac:dyDescent="0.1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</row>
    <row r="880" spans="1:13" x14ac:dyDescent="0.1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</row>
    <row r="881" spans="1:13" x14ac:dyDescent="0.1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</row>
    <row r="882" spans="1:13" x14ac:dyDescent="0.1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</row>
    <row r="883" spans="1:13" x14ac:dyDescent="0.1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</row>
    <row r="884" spans="1:13" x14ac:dyDescent="0.1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</row>
    <row r="885" spans="1:13" x14ac:dyDescent="0.1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</row>
    <row r="886" spans="1:13" x14ac:dyDescent="0.1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</row>
    <row r="887" spans="1:13" x14ac:dyDescent="0.1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</row>
    <row r="888" spans="1:13" x14ac:dyDescent="0.1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</row>
    <row r="889" spans="1:13" x14ac:dyDescent="0.1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</row>
    <row r="890" spans="1:13" x14ac:dyDescent="0.1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</row>
    <row r="891" spans="1:13" x14ac:dyDescent="0.1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</row>
    <row r="892" spans="1:13" x14ac:dyDescent="0.1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</row>
    <row r="893" spans="1:13" x14ac:dyDescent="0.1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</row>
    <row r="894" spans="1:13" x14ac:dyDescent="0.1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</row>
    <row r="895" spans="1:13" x14ac:dyDescent="0.1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</row>
    <row r="896" spans="1:13" x14ac:dyDescent="0.1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</row>
    <row r="897" spans="1:13" x14ac:dyDescent="0.1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</row>
    <row r="898" spans="1:13" x14ac:dyDescent="0.1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</row>
    <row r="899" spans="1:13" x14ac:dyDescent="0.1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</row>
    <row r="900" spans="1:13" x14ac:dyDescent="0.1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</row>
    <row r="901" spans="1:13" x14ac:dyDescent="0.1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</row>
    <row r="902" spans="1:13" x14ac:dyDescent="0.1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</row>
    <row r="903" spans="1:13" x14ac:dyDescent="0.1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</row>
    <row r="904" spans="1:13" x14ac:dyDescent="0.1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</row>
    <row r="905" spans="1:13" x14ac:dyDescent="0.1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</row>
    <row r="906" spans="1:13" x14ac:dyDescent="0.1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</row>
    <row r="907" spans="1:13" x14ac:dyDescent="0.1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</row>
    <row r="908" spans="1:13" x14ac:dyDescent="0.1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</row>
    <row r="909" spans="1:13" x14ac:dyDescent="0.1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</row>
    <row r="910" spans="1:13" x14ac:dyDescent="0.1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</row>
    <row r="911" spans="1:13" x14ac:dyDescent="0.1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</row>
    <row r="912" spans="1:13" x14ac:dyDescent="0.1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</row>
    <row r="913" spans="1:13" x14ac:dyDescent="0.1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</row>
    <row r="914" spans="1:13" x14ac:dyDescent="0.1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</row>
    <row r="915" spans="1:13" x14ac:dyDescent="0.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</row>
    <row r="916" spans="1:13" x14ac:dyDescent="0.1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</row>
    <row r="917" spans="1:13" x14ac:dyDescent="0.1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</row>
    <row r="918" spans="1:13" x14ac:dyDescent="0.1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</row>
    <row r="919" spans="1:13" x14ac:dyDescent="0.1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</row>
    <row r="920" spans="1:13" x14ac:dyDescent="0.1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</row>
    <row r="921" spans="1:13" x14ac:dyDescent="0.1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</row>
    <row r="922" spans="1:13" x14ac:dyDescent="0.1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</row>
    <row r="923" spans="1:13" x14ac:dyDescent="0.1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</row>
    <row r="924" spans="1:13" x14ac:dyDescent="0.1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</row>
    <row r="925" spans="1:13" x14ac:dyDescent="0.1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</row>
    <row r="926" spans="1:13" x14ac:dyDescent="0.1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</row>
    <row r="927" spans="1:13" x14ac:dyDescent="0.1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</row>
    <row r="928" spans="1:13" x14ac:dyDescent="0.1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</row>
    <row r="929" spans="1:13" x14ac:dyDescent="0.1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</row>
    <row r="930" spans="1:13" x14ac:dyDescent="0.1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</row>
    <row r="931" spans="1:13" x14ac:dyDescent="0.1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</row>
    <row r="932" spans="1:13" x14ac:dyDescent="0.1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</row>
    <row r="933" spans="1:13" x14ac:dyDescent="0.1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</row>
    <row r="934" spans="1:13" x14ac:dyDescent="0.1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</row>
    <row r="935" spans="1:13" x14ac:dyDescent="0.1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</row>
    <row r="936" spans="1:13" x14ac:dyDescent="0.1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</row>
    <row r="937" spans="1:13" x14ac:dyDescent="0.1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</row>
    <row r="938" spans="1:13" x14ac:dyDescent="0.1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</row>
    <row r="939" spans="1:13" x14ac:dyDescent="0.1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</row>
    <row r="940" spans="1:13" x14ac:dyDescent="0.1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</row>
    <row r="941" spans="1:13" x14ac:dyDescent="0.1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</row>
    <row r="942" spans="1:13" x14ac:dyDescent="0.1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</row>
    <row r="943" spans="1:13" x14ac:dyDescent="0.1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</row>
    <row r="944" spans="1:13" x14ac:dyDescent="0.1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</row>
    <row r="945" spans="1:13" x14ac:dyDescent="0.1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</row>
    <row r="946" spans="1:13" x14ac:dyDescent="0.1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</row>
    <row r="947" spans="1:13" x14ac:dyDescent="0.1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</row>
    <row r="948" spans="1:13" x14ac:dyDescent="0.1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</row>
    <row r="949" spans="1:13" x14ac:dyDescent="0.1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</row>
    <row r="950" spans="1:13" x14ac:dyDescent="0.1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</row>
    <row r="951" spans="1:13" x14ac:dyDescent="0.1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</row>
    <row r="952" spans="1:13" x14ac:dyDescent="0.1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</row>
    <row r="953" spans="1:13" x14ac:dyDescent="0.1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</row>
    <row r="954" spans="1:13" x14ac:dyDescent="0.1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</row>
    <row r="955" spans="1:13" x14ac:dyDescent="0.1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</row>
    <row r="956" spans="1:13" x14ac:dyDescent="0.1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</row>
    <row r="957" spans="1:13" x14ac:dyDescent="0.1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</row>
    <row r="958" spans="1:13" x14ac:dyDescent="0.1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</row>
    <row r="959" spans="1:13" x14ac:dyDescent="0.1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</row>
    <row r="960" spans="1:13" x14ac:dyDescent="0.1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</row>
    <row r="961" spans="1:13" x14ac:dyDescent="0.1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</row>
    <row r="962" spans="1:13" x14ac:dyDescent="0.1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</row>
    <row r="963" spans="1:13" x14ac:dyDescent="0.1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</row>
    <row r="964" spans="1:13" x14ac:dyDescent="0.1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</row>
    <row r="965" spans="1:13" x14ac:dyDescent="0.1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</row>
    <row r="966" spans="1:13" x14ac:dyDescent="0.1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</row>
    <row r="967" spans="1:13" x14ac:dyDescent="0.1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</row>
    <row r="968" spans="1:13" x14ac:dyDescent="0.1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</row>
    <row r="969" spans="1:13" x14ac:dyDescent="0.1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</row>
    <row r="970" spans="1:13" x14ac:dyDescent="0.1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</row>
    <row r="971" spans="1:13" x14ac:dyDescent="0.1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</row>
    <row r="972" spans="1:13" x14ac:dyDescent="0.1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</row>
    <row r="973" spans="1:13" x14ac:dyDescent="0.1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</row>
    <row r="974" spans="1:13" x14ac:dyDescent="0.1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</row>
    <row r="975" spans="1:13" x14ac:dyDescent="0.1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</row>
    <row r="976" spans="1:13" x14ac:dyDescent="0.1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</row>
    <row r="977" spans="1:13" x14ac:dyDescent="0.1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</row>
    <row r="978" spans="1:13" x14ac:dyDescent="0.1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</row>
    <row r="979" spans="1:13" x14ac:dyDescent="0.1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</row>
    <row r="980" spans="1:13" x14ac:dyDescent="0.1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</row>
    <row r="981" spans="1:13" x14ac:dyDescent="0.1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</row>
    <row r="982" spans="1:13" x14ac:dyDescent="0.1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</row>
    <row r="983" spans="1:13" x14ac:dyDescent="0.1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</row>
    <row r="984" spans="1:13" x14ac:dyDescent="0.1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</row>
    <row r="985" spans="1:13" x14ac:dyDescent="0.1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</row>
    <row r="986" spans="1:13" x14ac:dyDescent="0.1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</row>
    <row r="987" spans="1:13" x14ac:dyDescent="0.1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</row>
    <row r="988" spans="1:13" x14ac:dyDescent="0.1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</row>
    <row r="989" spans="1:13" x14ac:dyDescent="0.1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</row>
    <row r="990" spans="1:13" x14ac:dyDescent="0.1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</row>
    <row r="991" spans="1:13" x14ac:dyDescent="0.1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</row>
    <row r="992" spans="1:13" x14ac:dyDescent="0.1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</row>
    <row r="993" spans="1:13" x14ac:dyDescent="0.1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</row>
  </sheetData>
  <mergeCells count="2">
    <mergeCell ref="F2:H2"/>
    <mergeCell ref="A1:L1"/>
  </mergeCells>
  <phoneticPr fontId="1"/>
  <dataValidations count="2">
    <dataValidation imeMode="on" allowBlank="1" showInputMessage="1" showErrorMessage="1" sqref="C388:D65536 C1:D1 C3:E387" xr:uid="{C14377E0-F49F-483E-9BED-D81CEE225304}"/>
    <dataValidation imeMode="disabled" allowBlank="1" showInputMessage="1" showErrorMessage="1" sqref="I275:J329 K363:K387 K274:K329 I330:K362 I364:J387 F228:H387 I228:K273 F3:K227 A3:B387" xr:uid="{6F54FD98-DED4-4FD5-A2A1-C2180CDFED74}"/>
  </dataValidations>
  <printOptions horizontalCentered="1" verticalCentered="1"/>
  <pageMargins left="0.39370078740157483" right="0.39370078740157483" top="0.59055118110236227" bottom="0" header="0" footer="0"/>
  <pageSetup paperSize="9"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5DB88-1F7F-4AF9-AEAE-FFFDDD728F54}">
  <sheetPr>
    <tabColor rgb="FFFFC000"/>
  </sheetPr>
  <dimension ref="A1:N355"/>
  <sheetViews>
    <sheetView zoomScaleNormal="100" workbookViewId="0">
      <selection activeCell="M1" sqref="M1"/>
    </sheetView>
  </sheetViews>
  <sheetFormatPr defaultRowHeight="14.25" x14ac:dyDescent="0.15"/>
  <cols>
    <col min="1" max="1" width="5.25" style="6" customWidth="1"/>
    <col min="2" max="2" width="7" style="6" customWidth="1"/>
    <col min="3" max="4" width="4" style="6" customWidth="1"/>
    <col min="5" max="5" width="23.5" style="6" customWidth="1"/>
    <col min="6" max="6" width="6.25" style="6" customWidth="1"/>
    <col min="7" max="7" width="10.5" style="6" customWidth="1"/>
    <col min="8" max="8" width="2.125" style="6" customWidth="1"/>
    <col min="9" max="9" width="7" style="6" customWidth="1"/>
    <col min="10" max="10" width="5" style="6" customWidth="1"/>
    <col min="11" max="11" width="10.375" style="6" customWidth="1"/>
    <col min="12" max="12" width="7.5" style="6" customWidth="1"/>
    <col min="13" max="13" width="15" style="6" bestFit="1" customWidth="1"/>
    <col min="14" max="16384" width="9" style="6"/>
  </cols>
  <sheetData>
    <row r="1" spans="1:14" ht="25.5" customHeight="1" x14ac:dyDescent="0.15">
      <c r="A1" s="76" t="str">
        <f>[1]Sheet1!$B$2&amp;"年度家電リサイクル一覧表　（Ｂグループ）　　※発送済み"</f>
        <v>2026年度家電リサイクル一覧表　（Ｂグループ）　　※発送済み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1:14" s="8" customFormat="1" ht="21" customHeight="1" x14ac:dyDescent="0.15">
      <c r="A2" s="7" t="s">
        <v>1</v>
      </c>
      <c r="B2" s="7" t="s">
        <v>5</v>
      </c>
      <c r="C2" s="7" t="s">
        <v>16</v>
      </c>
      <c r="D2" s="7" t="s">
        <v>17</v>
      </c>
      <c r="E2" s="7" t="s">
        <v>6</v>
      </c>
      <c r="F2" s="77" t="s">
        <v>0</v>
      </c>
      <c r="G2" s="78"/>
      <c r="H2" s="79"/>
      <c r="I2" s="7" t="s">
        <v>2</v>
      </c>
      <c r="J2" s="7" t="s">
        <v>3</v>
      </c>
      <c r="K2" s="17" t="s">
        <v>4</v>
      </c>
      <c r="L2" s="7" t="s">
        <v>15</v>
      </c>
      <c r="M2" s="7" t="s">
        <v>39</v>
      </c>
    </row>
    <row r="3" spans="1:14" ht="21" customHeight="1" x14ac:dyDescent="0.15">
      <c r="A3" s="12">
        <v>1</v>
      </c>
      <c r="B3" s="18"/>
      <c r="C3" s="18"/>
      <c r="D3" s="18"/>
      <c r="E3" s="9"/>
      <c r="F3" s="25"/>
      <c r="G3" s="26"/>
      <c r="H3" s="35" t="str">
        <f t="shared" ref="H3:H66" si="0">IF(G3="","",(F3*100000000+G3)-7*INT((F3*100000000+G3)/7))</f>
        <v/>
      </c>
      <c r="I3" s="22"/>
      <c r="J3" s="12"/>
      <c r="K3" s="23"/>
      <c r="L3" s="32"/>
      <c r="M3" s="32"/>
    </row>
    <row r="4" spans="1:14" ht="21" customHeight="1" x14ac:dyDescent="0.15">
      <c r="A4" s="12">
        <v>2</v>
      </c>
      <c r="B4" s="18"/>
      <c r="C4" s="18"/>
      <c r="D4" s="18"/>
      <c r="E4" s="9"/>
      <c r="F4" s="25"/>
      <c r="G4" s="26"/>
      <c r="H4" s="35" t="str">
        <f t="shared" si="0"/>
        <v/>
      </c>
      <c r="I4" s="22"/>
      <c r="J4" s="12"/>
      <c r="K4" s="23"/>
      <c r="L4" s="32"/>
      <c r="M4" s="32"/>
    </row>
    <row r="5" spans="1:14" ht="21" customHeight="1" x14ac:dyDescent="0.15">
      <c r="A5" s="12">
        <v>3</v>
      </c>
      <c r="B5" s="18"/>
      <c r="C5" s="18"/>
      <c r="D5" s="18"/>
      <c r="E5" s="9"/>
      <c r="F5" s="20"/>
      <c r="G5" s="26"/>
      <c r="H5" s="35" t="str">
        <f t="shared" si="0"/>
        <v/>
      </c>
      <c r="I5" s="22"/>
      <c r="J5" s="12"/>
      <c r="K5" s="23"/>
      <c r="L5" s="32"/>
      <c r="M5" s="32"/>
      <c r="N5" s="14"/>
    </row>
    <row r="6" spans="1:14" ht="21" customHeight="1" x14ac:dyDescent="0.15">
      <c r="A6" s="12">
        <v>4</v>
      </c>
      <c r="B6" s="18"/>
      <c r="C6" s="18"/>
      <c r="D6" s="18"/>
      <c r="E6" s="9"/>
      <c r="F6" s="20"/>
      <c r="G6" s="26"/>
      <c r="H6" s="35" t="str">
        <f t="shared" si="0"/>
        <v/>
      </c>
      <c r="I6" s="22"/>
      <c r="J6" s="12"/>
      <c r="K6" s="23"/>
      <c r="L6" s="32"/>
      <c r="M6" s="32"/>
    </row>
    <row r="7" spans="1:14" ht="21" customHeight="1" x14ac:dyDescent="0.15">
      <c r="A7" s="12">
        <v>5</v>
      </c>
      <c r="B7" s="18"/>
      <c r="C7" s="18"/>
      <c r="D7" s="18"/>
      <c r="E7" s="9"/>
      <c r="F7" s="20"/>
      <c r="G7" s="21"/>
      <c r="H7" s="35" t="str">
        <f t="shared" si="0"/>
        <v/>
      </c>
      <c r="I7" s="22"/>
      <c r="J7" s="12"/>
      <c r="K7" s="23"/>
      <c r="L7" s="32"/>
      <c r="M7" s="32"/>
    </row>
    <row r="8" spans="1:14" ht="21" customHeight="1" x14ac:dyDescent="0.15">
      <c r="A8" s="12">
        <v>6</v>
      </c>
      <c r="B8" s="18"/>
      <c r="C8" s="18"/>
      <c r="D8" s="18"/>
      <c r="E8" s="9"/>
      <c r="F8" s="20"/>
      <c r="G8" s="21"/>
      <c r="H8" s="35" t="str">
        <f t="shared" si="0"/>
        <v/>
      </c>
      <c r="I8" s="22"/>
      <c r="J8" s="12"/>
      <c r="K8" s="23"/>
      <c r="L8" s="32"/>
      <c r="M8" s="32"/>
    </row>
    <row r="9" spans="1:14" ht="21" customHeight="1" x14ac:dyDescent="0.15">
      <c r="A9" s="12">
        <v>7</v>
      </c>
      <c r="B9" s="18"/>
      <c r="C9" s="18"/>
      <c r="D9" s="18"/>
      <c r="E9" s="9"/>
      <c r="F9" s="20"/>
      <c r="G9" s="21"/>
      <c r="H9" s="35" t="str">
        <f t="shared" si="0"/>
        <v/>
      </c>
      <c r="I9" s="22"/>
      <c r="J9" s="12"/>
      <c r="K9" s="23"/>
      <c r="L9" s="32"/>
      <c r="M9" s="32"/>
    </row>
    <row r="10" spans="1:14" ht="21" customHeight="1" x14ac:dyDescent="0.15">
      <c r="A10" s="12">
        <v>8</v>
      </c>
      <c r="B10" s="18"/>
      <c r="C10" s="18"/>
      <c r="D10" s="18"/>
      <c r="E10" s="9"/>
      <c r="F10" s="20"/>
      <c r="G10" s="21"/>
      <c r="H10" s="35" t="str">
        <f t="shared" si="0"/>
        <v/>
      </c>
      <c r="I10" s="22"/>
      <c r="J10" s="12"/>
      <c r="K10" s="23"/>
      <c r="L10" s="32"/>
      <c r="M10" s="32"/>
    </row>
    <row r="11" spans="1:14" ht="21" customHeight="1" x14ac:dyDescent="0.15">
      <c r="A11" s="12">
        <v>9</v>
      </c>
      <c r="B11" s="18"/>
      <c r="C11" s="18"/>
      <c r="D11" s="18"/>
      <c r="E11" s="9"/>
      <c r="F11" s="20"/>
      <c r="G11" s="21"/>
      <c r="H11" s="35" t="str">
        <f t="shared" si="0"/>
        <v/>
      </c>
      <c r="I11" s="22"/>
      <c r="J11" s="12"/>
      <c r="K11" s="23"/>
      <c r="L11" s="32"/>
      <c r="M11" s="32"/>
    </row>
    <row r="12" spans="1:14" ht="21" customHeight="1" x14ac:dyDescent="0.15">
      <c r="A12" s="12">
        <v>10</v>
      </c>
      <c r="B12" s="18"/>
      <c r="C12" s="18"/>
      <c r="D12" s="18"/>
      <c r="E12" s="9"/>
      <c r="F12" s="20"/>
      <c r="G12" s="21"/>
      <c r="H12" s="35" t="str">
        <f t="shared" si="0"/>
        <v/>
      </c>
      <c r="I12" s="22"/>
      <c r="J12" s="12"/>
      <c r="K12" s="23"/>
      <c r="L12" s="32"/>
      <c r="M12" s="32"/>
    </row>
    <row r="13" spans="1:14" ht="21" customHeight="1" x14ac:dyDescent="0.15">
      <c r="A13" s="12">
        <v>11</v>
      </c>
      <c r="B13" s="18"/>
      <c r="C13" s="18"/>
      <c r="D13" s="18"/>
      <c r="E13" s="9"/>
      <c r="F13" s="20"/>
      <c r="G13" s="21"/>
      <c r="H13" s="35" t="str">
        <f t="shared" si="0"/>
        <v/>
      </c>
      <c r="I13" s="22"/>
      <c r="J13" s="12"/>
      <c r="K13" s="23"/>
      <c r="L13" s="32"/>
      <c r="M13" s="32"/>
    </row>
    <row r="14" spans="1:14" ht="21" customHeight="1" x14ac:dyDescent="0.15">
      <c r="A14" s="12">
        <v>12</v>
      </c>
      <c r="B14" s="18"/>
      <c r="C14" s="18"/>
      <c r="D14" s="18"/>
      <c r="E14" s="9"/>
      <c r="F14" s="20"/>
      <c r="G14" s="21"/>
      <c r="H14" s="35" t="str">
        <f t="shared" si="0"/>
        <v/>
      </c>
      <c r="I14" s="22"/>
      <c r="J14" s="12"/>
      <c r="K14" s="23"/>
      <c r="L14" s="32"/>
      <c r="M14" s="32"/>
    </row>
    <row r="15" spans="1:14" ht="21" customHeight="1" x14ac:dyDescent="0.15">
      <c r="A15" s="12">
        <v>13</v>
      </c>
      <c r="B15" s="18"/>
      <c r="C15" s="18"/>
      <c r="D15" s="18"/>
      <c r="E15" s="9"/>
      <c r="F15" s="20"/>
      <c r="G15" s="21"/>
      <c r="H15" s="35" t="str">
        <f t="shared" si="0"/>
        <v/>
      </c>
      <c r="I15" s="22"/>
      <c r="J15" s="12"/>
      <c r="K15" s="23"/>
      <c r="L15" s="32"/>
      <c r="M15" s="32"/>
    </row>
    <row r="16" spans="1:14" ht="21" customHeight="1" x14ac:dyDescent="0.15">
      <c r="A16" s="12">
        <v>14</v>
      </c>
      <c r="B16" s="18"/>
      <c r="C16" s="18"/>
      <c r="D16" s="18"/>
      <c r="E16" s="9"/>
      <c r="F16" s="20"/>
      <c r="G16" s="21"/>
      <c r="H16" s="35" t="str">
        <f t="shared" si="0"/>
        <v/>
      </c>
      <c r="I16" s="22"/>
      <c r="J16" s="12"/>
      <c r="K16" s="23"/>
      <c r="L16" s="32"/>
      <c r="M16" s="32"/>
    </row>
    <row r="17" spans="1:13" ht="21" customHeight="1" x14ac:dyDescent="0.15">
      <c r="A17" s="12">
        <v>15</v>
      </c>
      <c r="B17" s="18"/>
      <c r="C17" s="18"/>
      <c r="D17" s="18"/>
      <c r="E17" s="9"/>
      <c r="F17" s="20"/>
      <c r="G17" s="21"/>
      <c r="H17" s="35" t="str">
        <f t="shared" si="0"/>
        <v/>
      </c>
      <c r="I17" s="22"/>
      <c r="J17" s="12"/>
      <c r="K17" s="23"/>
      <c r="L17" s="32"/>
      <c r="M17" s="32"/>
    </row>
    <row r="18" spans="1:13" ht="21" customHeight="1" x14ac:dyDescent="0.15">
      <c r="A18" s="12">
        <v>16</v>
      </c>
      <c r="B18" s="18"/>
      <c r="C18" s="18"/>
      <c r="D18" s="18"/>
      <c r="E18" s="9"/>
      <c r="F18" s="20"/>
      <c r="G18" s="21"/>
      <c r="H18" s="35" t="str">
        <f t="shared" si="0"/>
        <v/>
      </c>
      <c r="I18" s="22"/>
      <c r="J18" s="12"/>
      <c r="K18" s="23"/>
      <c r="L18" s="32"/>
      <c r="M18" s="32"/>
    </row>
    <row r="19" spans="1:13" ht="21" customHeight="1" x14ac:dyDescent="0.15">
      <c r="A19" s="12">
        <v>17</v>
      </c>
      <c r="B19" s="18"/>
      <c r="C19" s="18"/>
      <c r="D19" s="18"/>
      <c r="E19" s="9"/>
      <c r="F19" s="20"/>
      <c r="G19" s="21"/>
      <c r="H19" s="35" t="str">
        <f t="shared" si="0"/>
        <v/>
      </c>
      <c r="I19" s="22"/>
      <c r="J19" s="12"/>
      <c r="K19" s="23"/>
      <c r="L19" s="32"/>
      <c r="M19" s="32"/>
    </row>
    <row r="20" spans="1:13" ht="21" customHeight="1" x14ac:dyDescent="0.15">
      <c r="A20" s="12">
        <v>18</v>
      </c>
      <c r="B20" s="18"/>
      <c r="C20" s="18"/>
      <c r="D20" s="18"/>
      <c r="E20" s="9"/>
      <c r="F20" s="20"/>
      <c r="G20" s="21"/>
      <c r="H20" s="35" t="str">
        <f t="shared" si="0"/>
        <v/>
      </c>
      <c r="I20" s="22"/>
      <c r="J20" s="12"/>
      <c r="K20" s="23"/>
      <c r="L20" s="32"/>
      <c r="M20" s="32"/>
    </row>
    <row r="21" spans="1:13" ht="21" customHeight="1" x14ac:dyDescent="0.15">
      <c r="A21" s="12">
        <v>19</v>
      </c>
      <c r="B21" s="18"/>
      <c r="C21" s="18"/>
      <c r="D21" s="18"/>
      <c r="E21" s="9"/>
      <c r="F21" s="20"/>
      <c r="G21" s="21"/>
      <c r="H21" s="35" t="str">
        <f t="shared" si="0"/>
        <v/>
      </c>
      <c r="I21" s="22"/>
      <c r="J21" s="12"/>
      <c r="K21" s="23"/>
      <c r="L21" s="32"/>
      <c r="M21" s="32"/>
    </row>
    <row r="22" spans="1:13" ht="21" customHeight="1" x14ac:dyDescent="0.15">
      <c r="A22" s="12">
        <v>20</v>
      </c>
      <c r="B22" s="18"/>
      <c r="C22" s="18"/>
      <c r="D22" s="18"/>
      <c r="E22" s="9"/>
      <c r="F22" s="20"/>
      <c r="G22" s="21"/>
      <c r="H22" s="35" t="str">
        <f t="shared" si="0"/>
        <v/>
      </c>
      <c r="I22" s="22"/>
      <c r="J22" s="12"/>
      <c r="K22" s="23"/>
      <c r="L22" s="32"/>
      <c r="M22" s="32"/>
    </row>
    <row r="23" spans="1:13" ht="21" customHeight="1" x14ac:dyDescent="0.15">
      <c r="A23" s="12">
        <v>21</v>
      </c>
      <c r="B23" s="18"/>
      <c r="C23" s="18"/>
      <c r="D23" s="18"/>
      <c r="E23" s="9"/>
      <c r="F23" s="20"/>
      <c r="G23" s="21"/>
      <c r="H23" s="35" t="str">
        <f t="shared" si="0"/>
        <v/>
      </c>
      <c r="I23" s="22"/>
      <c r="J23" s="12"/>
      <c r="K23" s="23"/>
      <c r="L23" s="32"/>
      <c r="M23" s="52"/>
    </row>
    <row r="24" spans="1:13" ht="21" customHeight="1" x14ac:dyDescent="0.15">
      <c r="A24" s="12">
        <v>22</v>
      </c>
      <c r="B24" s="18"/>
      <c r="C24" s="18"/>
      <c r="D24" s="18"/>
      <c r="E24" s="9"/>
      <c r="F24" s="25"/>
      <c r="G24" s="26"/>
      <c r="H24" s="35" t="str">
        <f t="shared" si="0"/>
        <v/>
      </c>
      <c r="I24" s="22"/>
      <c r="J24" s="12"/>
      <c r="K24" s="23"/>
      <c r="L24" s="32"/>
      <c r="M24" s="32"/>
    </row>
    <row r="25" spans="1:13" ht="21" customHeight="1" x14ac:dyDescent="0.15">
      <c r="A25" s="12">
        <v>23</v>
      </c>
      <c r="B25" s="18"/>
      <c r="C25" s="18"/>
      <c r="D25" s="18"/>
      <c r="E25" s="9"/>
      <c r="F25" s="25"/>
      <c r="G25" s="26"/>
      <c r="H25" s="35" t="str">
        <f t="shared" si="0"/>
        <v/>
      </c>
      <c r="I25" s="22"/>
      <c r="J25" s="12"/>
      <c r="K25" s="23"/>
      <c r="L25" s="32"/>
      <c r="M25" s="32"/>
    </row>
    <row r="26" spans="1:13" ht="21" customHeight="1" x14ac:dyDescent="0.15">
      <c r="A26" s="12">
        <v>24</v>
      </c>
      <c r="B26" s="18"/>
      <c r="C26" s="18"/>
      <c r="D26" s="18"/>
      <c r="E26" s="9"/>
      <c r="F26" s="20"/>
      <c r="G26" s="26"/>
      <c r="H26" s="35" t="str">
        <f t="shared" si="0"/>
        <v/>
      </c>
      <c r="I26" s="22"/>
      <c r="J26" s="12"/>
      <c r="K26" s="23"/>
      <c r="L26" s="32"/>
      <c r="M26" s="32"/>
    </row>
    <row r="27" spans="1:13" ht="21" customHeight="1" x14ac:dyDescent="0.15">
      <c r="A27" s="12">
        <v>25</v>
      </c>
      <c r="B27" s="18"/>
      <c r="C27" s="18"/>
      <c r="D27" s="18"/>
      <c r="E27" s="9"/>
      <c r="F27" s="20"/>
      <c r="G27" s="26"/>
      <c r="H27" s="35" t="str">
        <f t="shared" si="0"/>
        <v/>
      </c>
      <c r="I27" s="22"/>
      <c r="J27" s="12"/>
      <c r="K27" s="23"/>
      <c r="L27" s="32"/>
      <c r="M27" s="48"/>
    </row>
    <row r="28" spans="1:13" ht="21" customHeight="1" x14ac:dyDescent="0.15">
      <c r="A28" s="12">
        <v>26</v>
      </c>
      <c r="B28" s="18"/>
      <c r="C28" s="18"/>
      <c r="D28" s="18"/>
      <c r="E28" s="9"/>
      <c r="F28" s="20"/>
      <c r="G28" s="26"/>
      <c r="H28" s="35" t="str">
        <f t="shared" si="0"/>
        <v/>
      </c>
      <c r="I28" s="22"/>
      <c r="J28" s="12"/>
      <c r="K28" s="23"/>
      <c r="L28" s="32"/>
      <c r="M28" s="32"/>
    </row>
    <row r="29" spans="1:13" ht="21" customHeight="1" x14ac:dyDescent="0.15">
      <c r="A29" s="12">
        <v>27</v>
      </c>
      <c r="B29" s="18"/>
      <c r="C29" s="18"/>
      <c r="D29" s="18"/>
      <c r="E29" s="9"/>
      <c r="F29" s="20"/>
      <c r="G29" s="26"/>
      <c r="H29" s="35" t="str">
        <f t="shared" si="0"/>
        <v/>
      </c>
      <c r="I29" s="22"/>
      <c r="J29" s="12"/>
      <c r="K29" s="23"/>
      <c r="L29" s="32"/>
      <c r="M29" s="32"/>
    </row>
    <row r="30" spans="1:13" ht="21" customHeight="1" x14ac:dyDescent="0.15">
      <c r="A30" s="12">
        <v>28</v>
      </c>
      <c r="B30" s="18"/>
      <c r="C30" s="18"/>
      <c r="D30" s="18"/>
      <c r="E30" s="9"/>
      <c r="F30" s="20"/>
      <c r="G30" s="26"/>
      <c r="H30" s="35" t="str">
        <f t="shared" si="0"/>
        <v/>
      </c>
      <c r="I30" s="22"/>
      <c r="J30" s="12"/>
      <c r="K30" s="23"/>
      <c r="L30" s="32"/>
      <c r="M30" s="32"/>
    </row>
    <row r="31" spans="1:13" ht="21" customHeight="1" x14ac:dyDescent="0.15">
      <c r="A31" s="12">
        <v>29</v>
      </c>
      <c r="B31" s="18"/>
      <c r="C31" s="18"/>
      <c r="D31" s="18"/>
      <c r="E31" s="9"/>
      <c r="F31" s="20"/>
      <c r="G31" s="26"/>
      <c r="H31" s="35" t="str">
        <f t="shared" si="0"/>
        <v/>
      </c>
      <c r="I31" s="22"/>
      <c r="J31" s="12"/>
      <c r="K31" s="23"/>
      <c r="L31" s="32"/>
      <c r="M31" s="32"/>
    </row>
    <row r="32" spans="1:13" ht="21" customHeight="1" x14ac:dyDescent="0.15">
      <c r="A32" s="12">
        <v>30</v>
      </c>
      <c r="B32" s="18"/>
      <c r="C32" s="18"/>
      <c r="D32" s="18"/>
      <c r="E32" s="9"/>
      <c r="F32" s="20"/>
      <c r="G32" s="26"/>
      <c r="H32" s="35" t="str">
        <f t="shared" si="0"/>
        <v/>
      </c>
      <c r="I32" s="22"/>
      <c r="J32" s="12"/>
      <c r="K32" s="23"/>
      <c r="L32" s="32"/>
      <c r="M32" s="32"/>
    </row>
    <row r="33" spans="1:13" ht="21" customHeight="1" x14ac:dyDescent="0.15">
      <c r="A33" s="12">
        <v>31</v>
      </c>
      <c r="B33" s="18"/>
      <c r="C33" s="18"/>
      <c r="D33" s="18"/>
      <c r="E33" s="9"/>
      <c r="F33" s="20"/>
      <c r="G33" s="26"/>
      <c r="H33" s="35" t="str">
        <f t="shared" si="0"/>
        <v/>
      </c>
      <c r="I33" s="22"/>
      <c r="J33" s="12"/>
      <c r="K33" s="23"/>
      <c r="L33" s="32"/>
      <c r="M33" s="32"/>
    </row>
    <row r="34" spans="1:13" ht="21" customHeight="1" x14ac:dyDescent="0.15">
      <c r="A34" s="12">
        <v>32</v>
      </c>
      <c r="B34" s="18"/>
      <c r="C34" s="18"/>
      <c r="D34" s="18"/>
      <c r="E34" s="9"/>
      <c r="F34" s="20"/>
      <c r="G34" s="26"/>
      <c r="H34" s="35" t="str">
        <f t="shared" si="0"/>
        <v/>
      </c>
      <c r="I34" s="22"/>
      <c r="J34" s="12"/>
      <c r="K34" s="23"/>
      <c r="L34" s="32"/>
      <c r="M34" s="32"/>
    </row>
    <row r="35" spans="1:13" ht="21" customHeight="1" x14ac:dyDescent="0.15">
      <c r="A35" s="12">
        <v>33</v>
      </c>
      <c r="B35" s="18"/>
      <c r="C35" s="18"/>
      <c r="D35" s="18"/>
      <c r="E35" s="9"/>
      <c r="F35" s="20"/>
      <c r="G35" s="21"/>
      <c r="H35" s="35" t="str">
        <f t="shared" si="0"/>
        <v/>
      </c>
      <c r="I35" s="22"/>
      <c r="J35" s="12"/>
      <c r="K35" s="23"/>
      <c r="L35" s="32"/>
      <c r="M35" s="32"/>
    </row>
    <row r="36" spans="1:13" ht="21" customHeight="1" x14ac:dyDescent="0.15">
      <c r="A36" s="12">
        <v>34</v>
      </c>
      <c r="B36" s="18"/>
      <c r="C36" s="18"/>
      <c r="D36" s="18"/>
      <c r="E36" s="9"/>
      <c r="F36" s="20"/>
      <c r="G36" s="21"/>
      <c r="H36" s="35" t="str">
        <f t="shared" si="0"/>
        <v/>
      </c>
      <c r="I36" s="22"/>
      <c r="J36" s="12"/>
      <c r="K36" s="23"/>
      <c r="L36" s="32"/>
      <c r="M36" s="32"/>
    </row>
    <row r="37" spans="1:13" ht="21" customHeight="1" x14ac:dyDescent="0.15">
      <c r="A37" s="12">
        <v>35</v>
      </c>
      <c r="B37" s="18"/>
      <c r="C37" s="18"/>
      <c r="D37" s="18"/>
      <c r="E37" s="9"/>
      <c r="F37" s="20"/>
      <c r="G37" s="21"/>
      <c r="H37" s="35" t="str">
        <f t="shared" si="0"/>
        <v/>
      </c>
      <c r="I37" s="22"/>
      <c r="J37" s="12"/>
      <c r="K37" s="23"/>
      <c r="L37" s="32"/>
      <c r="M37" s="32"/>
    </row>
    <row r="38" spans="1:13" ht="21" customHeight="1" x14ac:dyDescent="0.15">
      <c r="A38" s="12">
        <v>36</v>
      </c>
      <c r="B38" s="18"/>
      <c r="C38" s="18"/>
      <c r="D38" s="18"/>
      <c r="E38" s="9"/>
      <c r="F38" s="20"/>
      <c r="G38" s="21"/>
      <c r="H38" s="35" t="str">
        <f t="shared" si="0"/>
        <v/>
      </c>
      <c r="I38" s="22"/>
      <c r="J38" s="12"/>
      <c r="K38" s="23"/>
      <c r="L38" s="32"/>
      <c r="M38" s="32"/>
    </row>
    <row r="39" spans="1:13" ht="21" customHeight="1" x14ac:dyDescent="0.15">
      <c r="A39" s="12">
        <v>37</v>
      </c>
      <c r="B39" s="18"/>
      <c r="C39" s="18"/>
      <c r="D39" s="18"/>
      <c r="E39" s="9"/>
      <c r="F39" s="20"/>
      <c r="G39" s="21"/>
      <c r="H39" s="35" t="str">
        <f t="shared" si="0"/>
        <v/>
      </c>
      <c r="I39" s="22"/>
      <c r="J39" s="12"/>
      <c r="K39" s="23"/>
      <c r="L39" s="32"/>
      <c r="M39" s="32"/>
    </row>
    <row r="40" spans="1:13" ht="21" customHeight="1" x14ac:dyDescent="0.15">
      <c r="A40" s="12">
        <v>38</v>
      </c>
      <c r="B40" s="18"/>
      <c r="C40" s="18"/>
      <c r="D40" s="18"/>
      <c r="E40" s="9"/>
      <c r="F40" s="20"/>
      <c r="G40" s="21"/>
      <c r="H40" s="35" t="str">
        <f t="shared" si="0"/>
        <v/>
      </c>
      <c r="I40" s="22"/>
      <c r="J40" s="12"/>
      <c r="K40" s="23"/>
      <c r="L40" s="32"/>
      <c r="M40" s="32"/>
    </row>
    <row r="41" spans="1:13" ht="21" customHeight="1" x14ac:dyDescent="0.15">
      <c r="A41" s="12">
        <v>39</v>
      </c>
      <c r="B41" s="18"/>
      <c r="C41" s="18"/>
      <c r="D41" s="18"/>
      <c r="E41" s="9"/>
      <c r="F41" s="20"/>
      <c r="G41" s="21"/>
      <c r="H41" s="35" t="str">
        <f t="shared" si="0"/>
        <v/>
      </c>
      <c r="I41" s="22"/>
      <c r="J41" s="12"/>
      <c r="K41" s="23"/>
      <c r="L41" s="32"/>
      <c r="M41" s="32"/>
    </row>
    <row r="42" spans="1:13" ht="21" customHeight="1" x14ac:dyDescent="0.15">
      <c r="A42" s="12">
        <v>40</v>
      </c>
      <c r="B42" s="18"/>
      <c r="C42" s="18"/>
      <c r="D42" s="18"/>
      <c r="E42" s="9"/>
      <c r="F42" s="20"/>
      <c r="G42" s="21"/>
      <c r="H42" s="35" t="str">
        <f t="shared" si="0"/>
        <v/>
      </c>
      <c r="I42" s="22"/>
      <c r="J42" s="12"/>
      <c r="K42" s="23"/>
      <c r="L42" s="32"/>
      <c r="M42" s="32"/>
    </row>
    <row r="43" spans="1:13" ht="21" customHeight="1" x14ac:dyDescent="0.15">
      <c r="A43" s="12">
        <v>41</v>
      </c>
      <c r="B43" s="18"/>
      <c r="C43" s="18"/>
      <c r="D43" s="18"/>
      <c r="E43" s="9"/>
      <c r="F43" s="20"/>
      <c r="G43" s="21"/>
      <c r="H43" s="35" t="str">
        <f t="shared" si="0"/>
        <v/>
      </c>
      <c r="I43" s="22"/>
      <c r="J43" s="12"/>
      <c r="K43" s="23"/>
      <c r="L43" s="32"/>
      <c r="M43" s="32"/>
    </row>
    <row r="44" spans="1:13" ht="21" customHeight="1" x14ac:dyDescent="0.15">
      <c r="A44" s="12">
        <v>42</v>
      </c>
      <c r="B44" s="18"/>
      <c r="C44" s="18"/>
      <c r="D44" s="18"/>
      <c r="E44" s="9"/>
      <c r="F44" s="20"/>
      <c r="G44" s="21"/>
      <c r="H44" s="35" t="str">
        <f t="shared" si="0"/>
        <v/>
      </c>
      <c r="I44" s="22"/>
      <c r="J44" s="12"/>
      <c r="K44" s="23"/>
      <c r="L44" s="32"/>
      <c r="M44" s="32"/>
    </row>
    <row r="45" spans="1:13" ht="21" customHeight="1" x14ac:dyDescent="0.15">
      <c r="A45" s="12">
        <v>43</v>
      </c>
      <c r="B45" s="18"/>
      <c r="C45" s="18"/>
      <c r="D45" s="18"/>
      <c r="E45" s="9"/>
      <c r="F45" s="20"/>
      <c r="G45" s="21"/>
      <c r="H45" s="35" t="str">
        <f t="shared" si="0"/>
        <v/>
      </c>
      <c r="I45" s="22"/>
      <c r="J45" s="12"/>
      <c r="K45" s="23"/>
      <c r="L45" s="32"/>
      <c r="M45" s="32"/>
    </row>
    <row r="46" spans="1:13" ht="21" customHeight="1" x14ac:dyDescent="0.15">
      <c r="A46" s="12">
        <v>44</v>
      </c>
      <c r="B46" s="18"/>
      <c r="C46" s="18"/>
      <c r="D46" s="18"/>
      <c r="E46" s="9"/>
      <c r="F46" s="20"/>
      <c r="G46" s="21"/>
      <c r="H46" s="35" t="str">
        <f t="shared" si="0"/>
        <v/>
      </c>
      <c r="I46" s="22"/>
      <c r="J46" s="12"/>
      <c r="K46" s="23"/>
      <c r="L46" s="32"/>
      <c r="M46" s="45"/>
    </row>
    <row r="47" spans="1:13" ht="21" customHeight="1" x14ac:dyDescent="0.15">
      <c r="A47" s="12">
        <v>45</v>
      </c>
      <c r="B47" s="18"/>
      <c r="C47" s="18"/>
      <c r="D47" s="18"/>
      <c r="E47" s="9"/>
      <c r="F47" s="20"/>
      <c r="G47" s="21"/>
      <c r="H47" s="35" t="str">
        <f t="shared" si="0"/>
        <v/>
      </c>
      <c r="I47" s="22"/>
      <c r="J47" s="12"/>
      <c r="K47" s="23"/>
      <c r="L47" s="32"/>
      <c r="M47" s="45"/>
    </row>
    <row r="48" spans="1:13" ht="21" customHeight="1" x14ac:dyDescent="0.15">
      <c r="A48" s="12">
        <v>46</v>
      </c>
      <c r="B48" s="18"/>
      <c r="C48" s="18"/>
      <c r="D48" s="18"/>
      <c r="E48" s="9"/>
      <c r="F48" s="20"/>
      <c r="G48" s="21"/>
      <c r="H48" s="35" t="str">
        <f t="shared" si="0"/>
        <v/>
      </c>
      <c r="I48" s="22"/>
      <c r="J48" s="12"/>
      <c r="K48" s="23"/>
      <c r="L48" s="32"/>
      <c r="M48" s="32"/>
    </row>
    <row r="49" spans="1:14" ht="21" customHeight="1" x14ac:dyDescent="0.15">
      <c r="A49" s="12">
        <v>47</v>
      </c>
      <c r="B49" s="18"/>
      <c r="C49" s="18"/>
      <c r="D49" s="18"/>
      <c r="E49" s="9"/>
      <c r="F49" s="20"/>
      <c r="G49" s="21"/>
      <c r="H49" s="35" t="str">
        <f t="shared" si="0"/>
        <v/>
      </c>
      <c r="I49" s="22"/>
      <c r="J49" s="12"/>
      <c r="K49" s="23"/>
      <c r="L49" s="32"/>
      <c r="M49" s="45"/>
    </row>
    <row r="50" spans="1:14" ht="21" customHeight="1" x14ac:dyDescent="0.15">
      <c r="A50" s="12">
        <v>48</v>
      </c>
      <c r="B50" s="18"/>
      <c r="C50" s="18"/>
      <c r="D50" s="18"/>
      <c r="E50" s="9"/>
      <c r="F50" s="20"/>
      <c r="G50" s="21"/>
      <c r="H50" s="35" t="str">
        <f t="shared" si="0"/>
        <v/>
      </c>
      <c r="I50" s="22"/>
      <c r="J50" s="12"/>
      <c r="K50" s="23"/>
      <c r="L50" s="32"/>
      <c r="M50" s="32"/>
    </row>
    <row r="51" spans="1:14" ht="21" customHeight="1" x14ac:dyDescent="0.15">
      <c r="A51" s="12">
        <v>49</v>
      </c>
      <c r="B51" s="18"/>
      <c r="C51" s="18"/>
      <c r="D51" s="18"/>
      <c r="E51" s="9"/>
      <c r="F51" s="20"/>
      <c r="G51" s="21"/>
      <c r="H51" s="35" t="str">
        <f t="shared" si="0"/>
        <v/>
      </c>
      <c r="I51" s="22"/>
      <c r="J51" s="12"/>
      <c r="K51" s="23"/>
      <c r="L51" s="32"/>
      <c r="M51" s="32"/>
      <c r="N51" s="14"/>
    </row>
    <row r="52" spans="1:14" ht="21" customHeight="1" x14ac:dyDescent="0.15">
      <c r="A52" s="12">
        <v>50</v>
      </c>
      <c r="B52" s="18"/>
      <c r="C52" s="18"/>
      <c r="D52" s="18"/>
      <c r="E52" s="9"/>
      <c r="F52" s="20"/>
      <c r="G52" s="21"/>
      <c r="H52" s="35" t="str">
        <f t="shared" si="0"/>
        <v/>
      </c>
      <c r="I52" s="22"/>
      <c r="J52" s="12"/>
      <c r="K52" s="23"/>
      <c r="L52" s="32"/>
      <c r="M52" s="32"/>
    </row>
    <row r="53" spans="1:14" ht="21" customHeight="1" x14ac:dyDescent="0.15">
      <c r="A53" s="12">
        <v>51</v>
      </c>
      <c r="B53" s="18"/>
      <c r="C53" s="18"/>
      <c r="D53" s="18"/>
      <c r="E53" s="9"/>
      <c r="F53" s="20"/>
      <c r="G53" s="21"/>
      <c r="H53" s="35" t="str">
        <f t="shared" si="0"/>
        <v/>
      </c>
      <c r="I53" s="22"/>
      <c r="J53" s="12"/>
      <c r="K53" s="23"/>
      <c r="L53" s="32"/>
      <c r="M53" s="32"/>
    </row>
    <row r="54" spans="1:14" ht="21" customHeight="1" x14ac:dyDescent="0.15">
      <c r="A54" s="12">
        <v>52</v>
      </c>
      <c r="B54" s="18"/>
      <c r="C54" s="18"/>
      <c r="D54" s="18"/>
      <c r="E54" s="9"/>
      <c r="F54" s="20"/>
      <c r="G54" s="21"/>
      <c r="H54" s="35" t="str">
        <f t="shared" si="0"/>
        <v/>
      </c>
      <c r="I54" s="22"/>
      <c r="J54" s="12"/>
      <c r="K54" s="23"/>
      <c r="L54" s="32"/>
      <c r="M54" s="32"/>
    </row>
    <row r="55" spans="1:14" ht="21" customHeight="1" x14ac:dyDescent="0.15">
      <c r="A55" s="12">
        <v>53</v>
      </c>
      <c r="B55" s="18"/>
      <c r="C55" s="18"/>
      <c r="D55" s="18"/>
      <c r="E55" s="9"/>
      <c r="F55" s="20"/>
      <c r="G55" s="21"/>
      <c r="H55" s="35" t="str">
        <f t="shared" si="0"/>
        <v/>
      </c>
      <c r="I55" s="22"/>
      <c r="J55" s="12"/>
      <c r="K55" s="23"/>
      <c r="L55" s="32"/>
      <c r="M55" s="32"/>
    </row>
    <row r="56" spans="1:14" ht="21" customHeight="1" x14ac:dyDescent="0.15">
      <c r="A56" s="12">
        <v>54</v>
      </c>
      <c r="B56" s="18"/>
      <c r="C56" s="18"/>
      <c r="D56" s="18"/>
      <c r="E56" s="9"/>
      <c r="F56" s="20"/>
      <c r="G56" s="21"/>
      <c r="H56" s="35" t="str">
        <f t="shared" si="0"/>
        <v/>
      </c>
      <c r="I56" s="22"/>
      <c r="J56" s="12"/>
      <c r="K56" s="23"/>
      <c r="L56" s="32"/>
      <c r="M56" s="32"/>
    </row>
    <row r="57" spans="1:14" ht="21" customHeight="1" x14ac:dyDescent="0.15">
      <c r="A57" s="12">
        <v>55</v>
      </c>
      <c r="B57" s="18"/>
      <c r="C57" s="18"/>
      <c r="D57" s="18"/>
      <c r="E57" s="9"/>
      <c r="F57" s="20"/>
      <c r="G57" s="21"/>
      <c r="H57" s="35" t="str">
        <f t="shared" si="0"/>
        <v/>
      </c>
      <c r="I57" s="22"/>
      <c r="J57" s="12"/>
      <c r="K57" s="23"/>
      <c r="L57" s="32"/>
      <c r="M57" s="32"/>
    </row>
    <row r="58" spans="1:14" ht="21" customHeight="1" x14ac:dyDescent="0.15">
      <c r="A58" s="12">
        <v>56</v>
      </c>
      <c r="B58" s="18"/>
      <c r="C58" s="18"/>
      <c r="D58" s="18"/>
      <c r="E58" s="9"/>
      <c r="F58" s="20"/>
      <c r="G58" s="21"/>
      <c r="H58" s="35" t="str">
        <f t="shared" si="0"/>
        <v/>
      </c>
      <c r="I58" s="22"/>
      <c r="J58" s="12"/>
      <c r="K58" s="23"/>
      <c r="L58" s="32"/>
      <c r="M58" s="32"/>
    </row>
    <row r="59" spans="1:14" ht="21" customHeight="1" x14ac:dyDescent="0.15">
      <c r="A59" s="12">
        <v>57</v>
      </c>
      <c r="B59" s="18"/>
      <c r="C59" s="18"/>
      <c r="D59" s="18"/>
      <c r="E59" s="9"/>
      <c r="F59" s="20"/>
      <c r="G59" s="21"/>
      <c r="H59" s="35" t="str">
        <f t="shared" si="0"/>
        <v/>
      </c>
      <c r="I59" s="22"/>
      <c r="J59" s="12"/>
      <c r="K59" s="23"/>
      <c r="L59" s="32"/>
      <c r="M59" s="32"/>
    </row>
    <row r="60" spans="1:14" ht="21" customHeight="1" x14ac:dyDescent="0.15">
      <c r="A60" s="12">
        <v>58</v>
      </c>
      <c r="B60" s="18"/>
      <c r="C60" s="18"/>
      <c r="D60" s="18"/>
      <c r="E60" s="9"/>
      <c r="F60" s="20"/>
      <c r="G60" s="21"/>
      <c r="H60" s="35" t="str">
        <f t="shared" si="0"/>
        <v/>
      </c>
      <c r="I60" s="22"/>
      <c r="J60" s="12"/>
      <c r="K60" s="23"/>
      <c r="L60" s="32"/>
      <c r="M60" s="32"/>
    </row>
    <row r="61" spans="1:14" ht="21" customHeight="1" x14ac:dyDescent="0.15">
      <c r="A61" s="12">
        <v>59</v>
      </c>
      <c r="B61" s="18"/>
      <c r="C61" s="18"/>
      <c r="D61" s="18"/>
      <c r="E61" s="9"/>
      <c r="F61" s="20"/>
      <c r="G61" s="21"/>
      <c r="H61" s="35" t="str">
        <f t="shared" si="0"/>
        <v/>
      </c>
      <c r="I61" s="22"/>
      <c r="J61" s="12"/>
      <c r="K61" s="23"/>
      <c r="L61" s="32"/>
      <c r="M61" s="32"/>
    </row>
    <row r="62" spans="1:14" ht="21" customHeight="1" x14ac:dyDescent="0.15">
      <c r="A62" s="12">
        <v>60</v>
      </c>
      <c r="B62" s="18"/>
      <c r="C62" s="18"/>
      <c r="D62" s="18"/>
      <c r="E62" s="9"/>
      <c r="F62" s="20"/>
      <c r="G62" s="21"/>
      <c r="H62" s="35" t="str">
        <f t="shared" si="0"/>
        <v/>
      </c>
      <c r="I62" s="22"/>
      <c r="J62" s="12"/>
      <c r="K62" s="23"/>
      <c r="L62" s="32"/>
      <c r="M62" s="32"/>
    </row>
    <row r="63" spans="1:14" ht="21" customHeight="1" x14ac:dyDescent="0.15">
      <c r="A63" s="12">
        <v>61</v>
      </c>
      <c r="B63" s="18"/>
      <c r="C63" s="18"/>
      <c r="D63" s="18"/>
      <c r="E63" s="9"/>
      <c r="F63" s="20"/>
      <c r="G63" s="21"/>
      <c r="H63" s="35" t="str">
        <f t="shared" si="0"/>
        <v/>
      </c>
      <c r="I63" s="22"/>
      <c r="J63" s="12"/>
      <c r="K63" s="23"/>
      <c r="L63" s="32"/>
      <c r="M63" s="32"/>
    </row>
    <row r="64" spans="1:14" ht="21" customHeight="1" x14ac:dyDescent="0.15">
      <c r="A64" s="12">
        <v>62</v>
      </c>
      <c r="B64" s="18"/>
      <c r="C64" s="18"/>
      <c r="D64" s="18"/>
      <c r="E64" s="9"/>
      <c r="F64" s="20"/>
      <c r="G64" s="21"/>
      <c r="H64" s="35" t="str">
        <f t="shared" si="0"/>
        <v/>
      </c>
      <c r="I64" s="22"/>
      <c r="J64" s="12"/>
      <c r="K64" s="23"/>
      <c r="L64" s="32"/>
      <c r="M64" s="32"/>
    </row>
    <row r="65" spans="1:13" ht="21" customHeight="1" x14ac:dyDescent="0.15">
      <c r="A65" s="12">
        <v>63</v>
      </c>
      <c r="B65" s="18"/>
      <c r="C65" s="18"/>
      <c r="D65" s="18"/>
      <c r="E65" s="9"/>
      <c r="F65" s="20"/>
      <c r="G65" s="21"/>
      <c r="H65" s="35" t="str">
        <f t="shared" si="0"/>
        <v/>
      </c>
      <c r="I65" s="22"/>
      <c r="J65" s="12"/>
      <c r="K65" s="23"/>
      <c r="L65" s="32"/>
      <c r="M65" s="32"/>
    </row>
    <row r="66" spans="1:13" ht="21" customHeight="1" x14ac:dyDescent="0.15">
      <c r="A66" s="12">
        <v>64</v>
      </c>
      <c r="B66" s="18"/>
      <c r="C66" s="18"/>
      <c r="D66" s="18"/>
      <c r="E66" s="9"/>
      <c r="F66" s="20"/>
      <c r="G66" s="21"/>
      <c r="H66" s="35" t="str">
        <f t="shared" si="0"/>
        <v/>
      </c>
      <c r="I66" s="22"/>
      <c r="J66" s="12"/>
      <c r="K66" s="23"/>
      <c r="L66" s="32"/>
      <c r="M66" s="32"/>
    </row>
    <row r="67" spans="1:13" ht="21" customHeight="1" x14ac:dyDescent="0.15">
      <c r="A67" s="12">
        <v>65</v>
      </c>
      <c r="B67" s="18"/>
      <c r="C67" s="18"/>
      <c r="D67" s="18"/>
      <c r="E67" s="9"/>
      <c r="F67" s="20"/>
      <c r="G67" s="21"/>
      <c r="H67" s="35" t="str">
        <f t="shared" ref="H67:H72" si="1">IF(G67="","",(F67*100000000+G67)-7*INT((F67*100000000+G67)/7))</f>
        <v/>
      </c>
      <c r="I67" s="22"/>
      <c r="J67" s="12"/>
      <c r="K67" s="23"/>
      <c r="L67" s="32"/>
      <c r="M67" s="32"/>
    </row>
    <row r="68" spans="1:13" ht="21" customHeight="1" x14ac:dyDescent="0.15">
      <c r="A68" s="12">
        <v>66</v>
      </c>
      <c r="B68" s="18"/>
      <c r="C68" s="18"/>
      <c r="D68" s="18"/>
      <c r="E68" s="9"/>
      <c r="F68" s="20"/>
      <c r="G68" s="21"/>
      <c r="H68" s="35" t="str">
        <f t="shared" si="1"/>
        <v/>
      </c>
      <c r="I68" s="22"/>
      <c r="J68" s="12"/>
      <c r="K68" s="23"/>
      <c r="L68" s="32"/>
      <c r="M68" s="32"/>
    </row>
    <row r="69" spans="1:13" ht="21" customHeight="1" x14ac:dyDescent="0.15">
      <c r="A69" s="12">
        <v>67</v>
      </c>
      <c r="B69" s="18"/>
      <c r="C69" s="18"/>
      <c r="D69" s="18"/>
      <c r="E69" s="9"/>
      <c r="F69" s="20"/>
      <c r="G69" s="21"/>
      <c r="H69" s="35" t="str">
        <f t="shared" si="1"/>
        <v/>
      </c>
      <c r="I69" s="22"/>
      <c r="J69" s="12"/>
      <c r="K69" s="23"/>
      <c r="L69" s="32"/>
      <c r="M69" s="32"/>
    </row>
    <row r="70" spans="1:13" ht="21" customHeight="1" x14ac:dyDescent="0.15">
      <c r="A70" s="12">
        <v>68</v>
      </c>
      <c r="B70" s="18"/>
      <c r="C70" s="18"/>
      <c r="D70" s="18"/>
      <c r="E70" s="9"/>
      <c r="F70" s="20"/>
      <c r="G70" s="21"/>
      <c r="H70" s="35" t="str">
        <f t="shared" si="1"/>
        <v/>
      </c>
      <c r="I70" s="22"/>
      <c r="J70" s="12"/>
      <c r="K70" s="23"/>
      <c r="L70" s="32"/>
      <c r="M70" s="32"/>
    </row>
    <row r="71" spans="1:13" ht="21" customHeight="1" x14ac:dyDescent="0.15">
      <c r="A71" s="12">
        <v>69</v>
      </c>
      <c r="B71" s="18"/>
      <c r="C71" s="18"/>
      <c r="D71" s="18"/>
      <c r="E71" s="9"/>
      <c r="F71" s="20"/>
      <c r="G71" s="21"/>
      <c r="H71" s="35" t="str">
        <f t="shared" si="1"/>
        <v/>
      </c>
      <c r="I71" s="22"/>
      <c r="J71" s="12"/>
      <c r="K71" s="23"/>
      <c r="L71" s="32"/>
      <c r="M71" s="32"/>
    </row>
    <row r="72" spans="1:13" ht="21" customHeight="1" x14ac:dyDescent="0.15">
      <c r="A72" s="12">
        <v>70</v>
      </c>
      <c r="B72" s="18"/>
      <c r="C72" s="18"/>
      <c r="D72" s="18"/>
      <c r="E72" s="9"/>
      <c r="F72" s="20"/>
      <c r="G72" s="21"/>
      <c r="H72" s="35" t="str">
        <f t="shared" si="1"/>
        <v/>
      </c>
      <c r="I72" s="22"/>
      <c r="J72" s="12"/>
      <c r="K72" s="23"/>
      <c r="L72" s="32"/>
      <c r="M72" s="52"/>
    </row>
    <row r="73" spans="1:13" ht="21" customHeight="1" x14ac:dyDescent="0.15">
      <c r="A73" s="12">
        <v>71</v>
      </c>
      <c r="B73" s="18"/>
      <c r="C73" s="18"/>
      <c r="D73" s="18"/>
      <c r="E73" s="9"/>
      <c r="F73" s="20"/>
      <c r="G73" s="21"/>
      <c r="H73" s="35" t="str">
        <f t="shared" ref="H73:H130" si="2">IF(G73="","",(F73*100000000+G73)-7*INT((F73*100000000+G73)/7))</f>
        <v/>
      </c>
      <c r="I73" s="22"/>
      <c r="J73" s="12"/>
      <c r="K73" s="23"/>
      <c r="L73" s="32"/>
      <c r="M73" s="32"/>
    </row>
    <row r="74" spans="1:13" ht="21" customHeight="1" x14ac:dyDescent="0.15">
      <c r="A74" s="12">
        <v>72</v>
      </c>
      <c r="B74" s="18"/>
      <c r="C74" s="18"/>
      <c r="D74" s="18"/>
      <c r="E74" s="9"/>
      <c r="F74" s="20"/>
      <c r="G74" s="21"/>
      <c r="H74" s="35" t="str">
        <f t="shared" si="2"/>
        <v/>
      </c>
      <c r="I74" s="22"/>
      <c r="J74" s="12"/>
      <c r="K74" s="23"/>
      <c r="L74" s="32"/>
      <c r="M74" s="32"/>
    </row>
    <row r="75" spans="1:13" ht="21" customHeight="1" x14ac:dyDescent="0.15">
      <c r="A75" s="12">
        <v>73</v>
      </c>
      <c r="B75" s="18"/>
      <c r="C75" s="18"/>
      <c r="D75" s="18"/>
      <c r="E75" s="9"/>
      <c r="F75" s="20"/>
      <c r="G75" s="21"/>
      <c r="H75" s="35" t="str">
        <f t="shared" si="2"/>
        <v/>
      </c>
      <c r="I75" s="22"/>
      <c r="J75" s="12"/>
      <c r="K75" s="23"/>
      <c r="L75" s="32"/>
      <c r="M75" s="32"/>
    </row>
    <row r="76" spans="1:13" ht="21" customHeight="1" x14ac:dyDescent="0.15">
      <c r="A76" s="12">
        <v>74</v>
      </c>
      <c r="B76" s="18"/>
      <c r="C76" s="18"/>
      <c r="D76" s="18"/>
      <c r="E76" s="9"/>
      <c r="F76" s="20"/>
      <c r="G76" s="21"/>
      <c r="H76" s="35" t="str">
        <f t="shared" si="2"/>
        <v/>
      </c>
      <c r="I76" s="22"/>
      <c r="J76" s="12"/>
      <c r="K76" s="23"/>
      <c r="L76" s="32"/>
      <c r="M76" s="32"/>
    </row>
    <row r="77" spans="1:13" ht="21" customHeight="1" x14ac:dyDescent="0.15">
      <c r="A77" s="12">
        <v>75</v>
      </c>
      <c r="B77" s="18"/>
      <c r="C77" s="18"/>
      <c r="D77" s="18"/>
      <c r="E77" s="9"/>
      <c r="F77" s="20"/>
      <c r="G77" s="21"/>
      <c r="H77" s="35" t="str">
        <f t="shared" si="2"/>
        <v/>
      </c>
      <c r="I77" s="22"/>
      <c r="J77" s="12"/>
      <c r="K77" s="23"/>
      <c r="L77" s="32"/>
      <c r="M77" s="32"/>
    </row>
    <row r="78" spans="1:13" ht="21" customHeight="1" x14ac:dyDescent="0.15">
      <c r="A78" s="12">
        <v>76</v>
      </c>
      <c r="B78" s="18"/>
      <c r="C78" s="18"/>
      <c r="D78" s="18"/>
      <c r="E78" s="9"/>
      <c r="F78" s="20"/>
      <c r="G78" s="21"/>
      <c r="H78" s="35" t="str">
        <f t="shared" si="2"/>
        <v/>
      </c>
      <c r="I78" s="22"/>
      <c r="J78" s="12"/>
      <c r="K78" s="23"/>
      <c r="L78" s="32"/>
      <c r="M78" s="32"/>
    </row>
    <row r="79" spans="1:13" ht="21" customHeight="1" x14ac:dyDescent="0.15">
      <c r="A79" s="12">
        <v>77</v>
      </c>
      <c r="B79" s="18"/>
      <c r="C79" s="18"/>
      <c r="D79" s="18"/>
      <c r="E79" s="9"/>
      <c r="F79" s="20"/>
      <c r="G79" s="21"/>
      <c r="H79" s="35" t="str">
        <f t="shared" si="2"/>
        <v/>
      </c>
      <c r="I79" s="22"/>
      <c r="J79" s="12"/>
      <c r="K79" s="23"/>
      <c r="L79" s="32"/>
      <c r="M79" s="32"/>
    </row>
    <row r="80" spans="1:13" ht="21" customHeight="1" x14ac:dyDescent="0.15">
      <c r="A80" s="12">
        <v>78</v>
      </c>
      <c r="B80" s="18"/>
      <c r="C80" s="18"/>
      <c r="D80" s="18"/>
      <c r="E80" s="9"/>
      <c r="F80" s="20"/>
      <c r="G80" s="21"/>
      <c r="H80" s="35" t="str">
        <f t="shared" si="2"/>
        <v/>
      </c>
      <c r="I80" s="22"/>
      <c r="J80" s="12"/>
      <c r="K80" s="23"/>
      <c r="L80" s="32"/>
      <c r="M80" s="32"/>
    </row>
    <row r="81" spans="1:13" ht="21" customHeight="1" x14ac:dyDescent="0.15">
      <c r="A81" s="12">
        <v>79</v>
      </c>
      <c r="B81" s="18"/>
      <c r="C81" s="18"/>
      <c r="D81" s="18"/>
      <c r="E81" s="9"/>
      <c r="F81" s="20"/>
      <c r="G81" s="21"/>
      <c r="H81" s="35" t="str">
        <f t="shared" si="2"/>
        <v/>
      </c>
      <c r="I81" s="22"/>
      <c r="J81" s="12"/>
      <c r="K81" s="23"/>
      <c r="L81" s="32"/>
      <c r="M81" s="32"/>
    </row>
    <row r="82" spans="1:13" ht="21" customHeight="1" x14ac:dyDescent="0.15">
      <c r="A82" s="12">
        <v>80</v>
      </c>
      <c r="B82" s="18"/>
      <c r="C82" s="18"/>
      <c r="D82" s="18"/>
      <c r="E82" s="9"/>
      <c r="F82" s="20"/>
      <c r="G82" s="21"/>
      <c r="H82" s="35" t="str">
        <f t="shared" si="2"/>
        <v/>
      </c>
      <c r="I82" s="22"/>
      <c r="J82" s="12"/>
      <c r="K82" s="23"/>
      <c r="L82" s="32"/>
      <c r="M82" s="32"/>
    </row>
    <row r="83" spans="1:13" ht="21" customHeight="1" x14ac:dyDescent="0.15">
      <c r="A83" s="12">
        <v>81</v>
      </c>
      <c r="B83" s="18"/>
      <c r="C83" s="18"/>
      <c r="D83" s="18"/>
      <c r="E83" s="9"/>
      <c r="F83" s="20"/>
      <c r="G83" s="21"/>
      <c r="H83" s="35" t="str">
        <f t="shared" si="2"/>
        <v/>
      </c>
      <c r="I83" s="22"/>
      <c r="J83" s="12"/>
      <c r="K83" s="23"/>
      <c r="L83" s="32"/>
      <c r="M83" s="32"/>
    </row>
    <row r="84" spans="1:13" ht="21" customHeight="1" x14ac:dyDescent="0.15">
      <c r="A84" s="12">
        <v>82</v>
      </c>
      <c r="B84" s="18"/>
      <c r="C84" s="18"/>
      <c r="D84" s="18"/>
      <c r="E84" s="9"/>
      <c r="F84" s="20"/>
      <c r="G84" s="21"/>
      <c r="H84" s="35" t="str">
        <f t="shared" si="2"/>
        <v/>
      </c>
      <c r="I84" s="22"/>
      <c r="J84" s="12"/>
      <c r="K84" s="23"/>
      <c r="L84" s="32"/>
      <c r="M84" s="32"/>
    </row>
    <row r="85" spans="1:13" ht="21" customHeight="1" x14ac:dyDescent="0.15">
      <c r="A85" s="12">
        <v>83</v>
      </c>
      <c r="B85" s="18"/>
      <c r="C85" s="18"/>
      <c r="D85" s="18"/>
      <c r="E85" s="9"/>
      <c r="F85" s="20"/>
      <c r="G85" s="21"/>
      <c r="H85" s="35" t="str">
        <f t="shared" si="2"/>
        <v/>
      </c>
      <c r="I85" s="22"/>
      <c r="J85" s="12"/>
      <c r="K85" s="23"/>
      <c r="L85" s="32"/>
      <c r="M85" s="32"/>
    </row>
    <row r="86" spans="1:13" ht="21" customHeight="1" x14ac:dyDescent="0.15">
      <c r="A86" s="12">
        <v>84</v>
      </c>
      <c r="B86" s="18"/>
      <c r="C86" s="18"/>
      <c r="D86" s="18"/>
      <c r="E86" s="9"/>
      <c r="F86" s="20"/>
      <c r="G86" s="21"/>
      <c r="H86" s="35" t="str">
        <f t="shared" si="2"/>
        <v/>
      </c>
      <c r="I86" s="22"/>
      <c r="J86" s="12"/>
      <c r="K86" s="23"/>
      <c r="L86" s="32"/>
      <c r="M86" s="32"/>
    </row>
    <row r="87" spans="1:13" ht="21" customHeight="1" x14ac:dyDescent="0.15">
      <c r="A87" s="12">
        <v>85</v>
      </c>
      <c r="B87" s="18"/>
      <c r="C87" s="18"/>
      <c r="D87" s="18"/>
      <c r="E87" s="9"/>
      <c r="F87" s="20"/>
      <c r="G87" s="21"/>
      <c r="H87" s="35" t="str">
        <f t="shared" si="2"/>
        <v/>
      </c>
      <c r="I87" s="22"/>
      <c r="J87" s="12"/>
      <c r="K87" s="23"/>
      <c r="L87" s="32"/>
      <c r="M87" s="32"/>
    </row>
    <row r="88" spans="1:13" ht="21" customHeight="1" x14ac:dyDescent="0.15">
      <c r="A88" s="12">
        <v>86</v>
      </c>
      <c r="B88" s="18"/>
      <c r="C88" s="18"/>
      <c r="D88" s="18"/>
      <c r="E88" s="9"/>
      <c r="F88" s="20"/>
      <c r="G88" s="21"/>
      <c r="H88" s="35" t="str">
        <f t="shared" si="2"/>
        <v/>
      </c>
      <c r="I88" s="22"/>
      <c r="J88" s="12"/>
      <c r="K88" s="23"/>
      <c r="L88" s="32"/>
      <c r="M88" s="32"/>
    </row>
    <row r="89" spans="1:13" ht="21" customHeight="1" x14ac:dyDescent="0.15">
      <c r="A89" s="12">
        <v>87</v>
      </c>
      <c r="B89" s="18"/>
      <c r="C89" s="18"/>
      <c r="D89" s="18"/>
      <c r="E89" s="9"/>
      <c r="F89" s="20"/>
      <c r="G89" s="21"/>
      <c r="H89" s="35" t="str">
        <f t="shared" si="2"/>
        <v/>
      </c>
      <c r="I89" s="22"/>
      <c r="J89" s="12"/>
      <c r="K89" s="23"/>
      <c r="L89" s="32"/>
      <c r="M89" s="32"/>
    </row>
    <row r="90" spans="1:13" ht="21" customHeight="1" x14ac:dyDescent="0.15">
      <c r="A90" s="12">
        <v>88</v>
      </c>
      <c r="B90" s="18"/>
      <c r="C90" s="18"/>
      <c r="D90" s="18"/>
      <c r="E90" s="9"/>
      <c r="F90" s="20"/>
      <c r="G90" s="21"/>
      <c r="H90" s="35" t="str">
        <f t="shared" si="2"/>
        <v/>
      </c>
      <c r="I90" s="22"/>
      <c r="J90" s="12"/>
      <c r="K90" s="23"/>
      <c r="L90" s="32"/>
      <c r="M90" s="32"/>
    </row>
    <row r="91" spans="1:13" ht="21" customHeight="1" x14ac:dyDescent="0.15">
      <c r="A91" s="12">
        <v>89</v>
      </c>
      <c r="B91" s="18"/>
      <c r="C91" s="18"/>
      <c r="D91" s="18"/>
      <c r="E91" s="9"/>
      <c r="F91" s="20"/>
      <c r="G91" s="21"/>
      <c r="H91" s="35" t="str">
        <f t="shared" si="2"/>
        <v/>
      </c>
      <c r="I91" s="22"/>
      <c r="J91" s="12"/>
      <c r="K91" s="23"/>
      <c r="L91" s="32"/>
      <c r="M91" s="32"/>
    </row>
    <row r="92" spans="1:13" ht="21" customHeight="1" x14ac:dyDescent="0.15">
      <c r="A92" s="12">
        <v>90</v>
      </c>
      <c r="B92" s="18"/>
      <c r="C92" s="18"/>
      <c r="D92" s="18"/>
      <c r="E92" s="9"/>
      <c r="F92" s="20"/>
      <c r="G92" s="21"/>
      <c r="H92" s="35" t="str">
        <f t="shared" si="2"/>
        <v/>
      </c>
      <c r="I92" s="22"/>
      <c r="J92" s="12"/>
      <c r="K92" s="23"/>
      <c r="L92" s="32"/>
      <c r="M92" s="32"/>
    </row>
    <row r="93" spans="1:13" ht="21" customHeight="1" x14ac:dyDescent="0.15">
      <c r="A93" s="12">
        <v>91</v>
      </c>
      <c r="B93" s="18"/>
      <c r="C93" s="18"/>
      <c r="D93" s="18"/>
      <c r="E93" s="9"/>
      <c r="F93" s="20"/>
      <c r="G93" s="21"/>
      <c r="H93" s="35" t="str">
        <f t="shared" si="2"/>
        <v/>
      </c>
      <c r="I93" s="22"/>
      <c r="J93" s="12"/>
      <c r="K93" s="23"/>
      <c r="L93" s="32"/>
      <c r="M93" s="32"/>
    </row>
    <row r="94" spans="1:13" ht="21" customHeight="1" x14ac:dyDescent="0.15">
      <c r="A94" s="12">
        <v>92</v>
      </c>
      <c r="B94" s="18"/>
      <c r="C94" s="18"/>
      <c r="D94" s="18"/>
      <c r="E94" s="9"/>
      <c r="F94" s="20"/>
      <c r="G94" s="21"/>
      <c r="H94" s="35" t="str">
        <f t="shared" si="2"/>
        <v/>
      </c>
      <c r="I94" s="22"/>
      <c r="J94" s="12"/>
      <c r="K94" s="23"/>
      <c r="L94" s="32"/>
      <c r="M94" s="32"/>
    </row>
    <row r="95" spans="1:13" ht="21" customHeight="1" x14ac:dyDescent="0.15">
      <c r="A95" s="12">
        <v>93</v>
      </c>
      <c r="B95" s="18"/>
      <c r="C95" s="18"/>
      <c r="D95" s="18"/>
      <c r="E95" s="9"/>
      <c r="F95" s="20"/>
      <c r="G95" s="21"/>
      <c r="H95" s="35" t="str">
        <f t="shared" si="2"/>
        <v/>
      </c>
      <c r="I95" s="22"/>
      <c r="J95" s="12"/>
      <c r="K95" s="23"/>
      <c r="L95" s="32"/>
      <c r="M95" s="32"/>
    </row>
    <row r="96" spans="1:13" ht="21" customHeight="1" x14ac:dyDescent="0.15">
      <c r="A96" s="12">
        <v>94</v>
      </c>
      <c r="B96" s="18"/>
      <c r="C96" s="18"/>
      <c r="D96" s="18"/>
      <c r="E96" s="9"/>
      <c r="F96" s="20"/>
      <c r="G96" s="21"/>
      <c r="H96" s="35" t="str">
        <f t="shared" si="2"/>
        <v/>
      </c>
      <c r="I96" s="22"/>
      <c r="J96" s="12"/>
      <c r="K96" s="23"/>
      <c r="L96" s="32"/>
      <c r="M96" s="32"/>
    </row>
    <row r="97" spans="1:14" ht="21" customHeight="1" x14ac:dyDescent="0.15">
      <c r="A97" s="12">
        <v>95</v>
      </c>
      <c r="B97" s="18"/>
      <c r="C97" s="18"/>
      <c r="D97" s="18"/>
      <c r="E97" s="9"/>
      <c r="F97" s="20"/>
      <c r="G97" s="21"/>
      <c r="H97" s="35" t="str">
        <f t="shared" si="2"/>
        <v/>
      </c>
      <c r="I97" s="22"/>
      <c r="J97" s="12"/>
      <c r="K97" s="23"/>
      <c r="L97" s="32"/>
      <c r="M97" s="32"/>
    </row>
    <row r="98" spans="1:14" ht="21" customHeight="1" x14ac:dyDescent="0.15">
      <c r="A98" s="12">
        <v>96</v>
      </c>
      <c r="B98" s="18"/>
      <c r="C98" s="18"/>
      <c r="D98" s="18"/>
      <c r="E98" s="9"/>
      <c r="F98" s="20"/>
      <c r="G98" s="21"/>
      <c r="H98" s="35" t="str">
        <f>IF(G98="","",(F98*100000000+G98)-7*INT((F98*100000000+G98)/7))</f>
        <v/>
      </c>
      <c r="I98" s="22"/>
      <c r="J98" s="12"/>
      <c r="K98" s="23"/>
      <c r="L98" s="32"/>
      <c r="M98" s="32"/>
    </row>
    <row r="99" spans="1:14" ht="21" customHeight="1" x14ac:dyDescent="0.15">
      <c r="A99" s="12">
        <v>97</v>
      </c>
      <c r="B99" s="18"/>
      <c r="C99" s="18"/>
      <c r="D99" s="18"/>
      <c r="E99" s="9"/>
      <c r="F99" s="20"/>
      <c r="G99" s="21"/>
      <c r="H99" s="35" t="str">
        <f>IF(G99="","",(F99*100000000+G99)-7*INT((F99*100000000+G99)/7))</f>
        <v/>
      </c>
      <c r="I99" s="22"/>
      <c r="J99" s="12"/>
      <c r="K99" s="23"/>
      <c r="L99" s="32"/>
      <c r="M99" s="45"/>
    </row>
    <row r="100" spans="1:14" ht="21" customHeight="1" x14ac:dyDescent="0.15">
      <c r="A100" s="12">
        <v>98</v>
      </c>
      <c r="B100" s="18"/>
      <c r="C100" s="18"/>
      <c r="D100" s="18"/>
      <c r="E100" s="9"/>
      <c r="F100" s="20"/>
      <c r="G100" s="21"/>
      <c r="H100" s="35" t="str">
        <f>IF(G100="","",(F100*100000000+G100)-7*INT((F100*100000000+G100)/7))</f>
        <v/>
      </c>
      <c r="I100" s="22"/>
      <c r="J100" s="12"/>
      <c r="K100" s="23"/>
      <c r="L100" s="32"/>
      <c r="M100" s="46"/>
    </row>
    <row r="101" spans="1:14" ht="21" customHeight="1" x14ac:dyDescent="0.15">
      <c r="A101" s="12">
        <v>99</v>
      </c>
      <c r="B101" s="18"/>
      <c r="C101" s="18"/>
      <c r="D101" s="18"/>
      <c r="E101" s="9"/>
      <c r="F101" s="20"/>
      <c r="G101" s="21"/>
      <c r="H101" s="35" t="str">
        <f>IF(G101="","",(F101*100000000+G101)-7*INT((F101*100000000+G101)/7))</f>
        <v/>
      </c>
      <c r="I101" s="22"/>
      <c r="J101" s="12"/>
      <c r="K101" s="23"/>
      <c r="L101" s="32"/>
      <c r="M101" s="32"/>
    </row>
    <row r="102" spans="1:14" ht="21" customHeight="1" x14ac:dyDescent="0.15">
      <c r="A102" s="12">
        <v>100</v>
      </c>
      <c r="B102" s="18"/>
      <c r="C102" s="18"/>
      <c r="D102" s="18"/>
      <c r="E102" s="9"/>
      <c r="F102" s="20"/>
      <c r="G102" s="21"/>
      <c r="H102" s="35" t="str">
        <f>IF(G102="","",(F102*100000000+G102)-7*INT((F102*100000000+G102)/7))</f>
        <v/>
      </c>
      <c r="I102" s="22"/>
      <c r="J102" s="12"/>
      <c r="K102" s="23"/>
      <c r="L102" s="32"/>
      <c r="M102" s="32"/>
      <c r="N102" s="14"/>
    </row>
    <row r="103" spans="1:14" ht="21" customHeight="1" x14ac:dyDescent="0.15">
      <c r="A103" s="12">
        <v>101</v>
      </c>
      <c r="B103" s="18"/>
      <c r="C103" s="18"/>
      <c r="D103" s="18"/>
      <c r="E103" s="9"/>
      <c r="F103" s="20"/>
      <c r="G103" s="21"/>
      <c r="H103" s="35" t="str">
        <f t="shared" si="2"/>
        <v/>
      </c>
      <c r="I103" s="22"/>
      <c r="J103" s="12"/>
      <c r="K103" s="23"/>
      <c r="L103" s="32"/>
      <c r="M103" s="32"/>
    </row>
    <row r="104" spans="1:14" ht="21" customHeight="1" x14ac:dyDescent="0.15">
      <c r="A104" s="12">
        <v>102</v>
      </c>
      <c r="B104" s="18"/>
      <c r="C104" s="18"/>
      <c r="D104" s="18"/>
      <c r="E104" s="9"/>
      <c r="F104" s="20"/>
      <c r="G104" s="21"/>
      <c r="H104" s="35" t="str">
        <f t="shared" si="2"/>
        <v/>
      </c>
      <c r="I104" s="22"/>
      <c r="J104" s="12"/>
      <c r="K104" s="23"/>
      <c r="L104" s="32"/>
      <c r="M104" s="32"/>
    </row>
    <row r="105" spans="1:14" ht="21" customHeight="1" x14ac:dyDescent="0.15">
      <c r="A105" s="12">
        <v>103</v>
      </c>
      <c r="B105" s="18"/>
      <c r="C105" s="18"/>
      <c r="D105" s="18"/>
      <c r="E105" s="9"/>
      <c r="F105" s="20"/>
      <c r="G105" s="21"/>
      <c r="H105" s="35" t="str">
        <f t="shared" si="2"/>
        <v/>
      </c>
      <c r="I105" s="22"/>
      <c r="J105" s="12"/>
      <c r="K105" s="23"/>
      <c r="L105" s="32"/>
      <c r="M105" s="32"/>
    </row>
    <row r="106" spans="1:14" ht="21" customHeight="1" x14ac:dyDescent="0.15">
      <c r="A106" s="12">
        <v>104</v>
      </c>
      <c r="B106" s="18"/>
      <c r="C106" s="18"/>
      <c r="D106" s="18"/>
      <c r="E106" s="9"/>
      <c r="F106" s="20"/>
      <c r="G106" s="21"/>
      <c r="H106" s="35" t="str">
        <f t="shared" si="2"/>
        <v/>
      </c>
      <c r="I106" s="22"/>
      <c r="J106" s="12"/>
      <c r="K106" s="23"/>
      <c r="L106" s="32"/>
      <c r="M106" s="32"/>
    </row>
    <row r="107" spans="1:14" ht="21" customHeight="1" x14ac:dyDescent="0.15">
      <c r="A107" s="12">
        <v>105</v>
      </c>
      <c r="B107" s="18"/>
      <c r="C107" s="18"/>
      <c r="D107" s="18"/>
      <c r="E107" s="9"/>
      <c r="F107" s="20"/>
      <c r="G107" s="21"/>
      <c r="H107" s="35" t="str">
        <f t="shared" si="2"/>
        <v/>
      </c>
      <c r="I107" s="22"/>
      <c r="J107" s="12"/>
      <c r="K107" s="23"/>
      <c r="L107" s="32"/>
      <c r="M107" s="32"/>
    </row>
    <row r="108" spans="1:14" ht="21" customHeight="1" x14ac:dyDescent="0.15">
      <c r="A108" s="12">
        <v>106</v>
      </c>
      <c r="B108" s="18"/>
      <c r="C108" s="18"/>
      <c r="D108" s="18"/>
      <c r="E108" s="9"/>
      <c r="F108" s="20"/>
      <c r="G108" s="21"/>
      <c r="H108" s="35" t="str">
        <f t="shared" si="2"/>
        <v/>
      </c>
      <c r="I108" s="22"/>
      <c r="J108" s="12"/>
      <c r="K108" s="23"/>
      <c r="L108" s="32"/>
      <c r="M108" s="32"/>
    </row>
    <row r="109" spans="1:14" ht="21" customHeight="1" x14ac:dyDescent="0.15">
      <c r="A109" s="12">
        <v>107</v>
      </c>
      <c r="B109" s="18"/>
      <c r="C109" s="18"/>
      <c r="D109" s="18"/>
      <c r="E109" s="9"/>
      <c r="F109" s="20"/>
      <c r="G109" s="21"/>
      <c r="H109" s="35" t="str">
        <f t="shared" si="2"/>
        <v/>
      </c>
      <c r="I109" s="22"/>
      <c r="J109" s="12"/>
      <c r="K109" s="23"/>
      <c r="L109" s="47"/>
      <c r="M109" s="48"/>
    </row>
    <row r="110" spans="1:14" ht="21" customHeight="1" x14ac:dyDescent="0.15">
      <c r="A110" s="12">
        <v>108</v>
      </c>
      <c r="B110" s="18"/>
      <c r="C110" s="18"/>
      <c r="D110" s="18"/>
      <c r="E110" s="9"/>
      <c r="F110" s="25"/>
      <c r="G110" s="26"/>
      <c r="H110" s="35" t="str">
        <f t="shared" si="2"/>
        <v/>
      </c>
      <c r="I110" s="22"/>
      <c r="J110" s="12"/>
      <c r="K110" s="23"/>
      <c r="L110" s="32"/>
      <c r="M110" s="32"/>
    </row>
    <row r="111" spans="1:14" ht="21" customHeight="1" x14ac:dyDescent="0.15">
      <c r="A111" s="12">
        <v>109</v>
      </c>
      <c r="B111" s="18"/>
      <c r="C111" s="18"/>
      <c r="D111" s="18"/>
      <c r="E111" s="9"/>
      <c r="F111" s="25"/>
      <c r="G111" s="26"/>
      <c r="H111" s="35" t="str">
        <f t="shared" si="2"/>
        <v/>
      </c>
      <c r="I111" s="22"/>
      <c r="J111" s="12"/>
      <c r="K111" s="23"/>
      <c r="L111" s="32"/>
      <c r="M111" s="32"/>
    </row>
    <row r="112" spans="1:14" ht="21" customHeight="1" x14ac:dyDescent="0.15">
      <c r="A112" s="12">
        <v>110</v>
      </c>
      <c r="B112" s="18"/>
      <c r="C112" s="18"/>
      <c r="D112" s="18"/>
      <c r="E112" s="9"/>
      <c r="F112" s="20"/>
      <c r="G112" s="26"/>
      <c r="H112" s="35" t="str">
        <f t="shared" si="2"/>
        <v/>
      </c>
      <c r="I112" s="22"/>
      <c r="J112" s="12"/>
      <c r="K112" s="23"/>
      <c r="L112" s="32"/>
      <c r="M112" s="32"/>
    </row>
    <row r="113" spans="1:13" ht="21" customHeight="1" x14ac:dyDescent="0.15">
      <c r="A113" s="12">
        <v>111</v>
      </c>
      <c r="B113" s="18"/>
      <c r="C113" s="18"/>
      <c r="D113" s="18"/>
      <c r="E113" s="9"/>
      <c r="F113" s="20"/>
      <c r="G113" s="26"/>
      <c r="H113" s="35" t="str">
        <f t="shared" si="2"/>
        <v/>
      </c>
      <c r="I113" s="22"/>
      <c r="J113" s="12"/>
      <c r="K113" s="23"/>
      <c r="L113" s="32"/>
      <c r="M113" s="32"/>
    </row>
    <row r="114" spans="1:13" ht="21" customHeight="1" x14ac:dyDescent="0.15">
      <c r="A114" s="12">
        <v>112</v>
      </c>
      <c r="B114" s="18"/>
      <c r="C114" s="18"/>
      <c r="D114" s="18"/>
      <c r="E114" s="9"/>
      <c r="F114" s="20"/>
      <c r="G114" s="21"/>
      <c r="H114" s="35" t="str">
        <f t="shared" si="2"/>
        <v/>
      </c>
      <c r="I114" s="22"/>
      <c r="J114" s="12"/>
      <c r="K114" s="23"/>
      <c r="L114" s="32"/>
      <c r="M114" s="32"/>
    </row>
    <row r="115" spans="1:13" ht="21" customHeight="1" x14ac:dyDescent="0.15">
      <c r="A115" s="12">
        <v>113</v>
      </c>
      <c r="B115" s="18"/>
      <c r="C115" s="18"/>
      <c r="D115" s="18"/>
      <c r="E115" s="9"/>
      <c r="F115" s="20"/>
      <c r="G115" s="21"/>
      <c r="H115" s="35" t="str">
        <f t="shared" si="2"/>
        <v/>
      </c>
      <c r="I115" s="22"/>
      <c r="J115" s="12"/>
      <c r="K115" s="23"/>
      <c r="L115" s="32"/>
      <c r="M115" s="32"/>
    </row>
    <row r="116" spans="1:13" ht="21" customHeight="1" x14ac:dyDescent="0.15">
      <c r="A116" s="12">
        <v>114</v>
      </c>
      <c r="B116" s="18"/>
      <c r="C116" s="18"/>
      <c r="D116" s="18"/>
      <c r="E116" s="9"/>
      <c r="F116" s="20"/>
      <c r="G116" s="21"/>
      <c r="H116" s="35" t="str">
        <f t="shared" si="2"/>
        <v/>
      </c>
      <c r="I116" s="22"/>
      <c r="J116" s="12"/>
      <c r="K116" s="23"/>
      <c r="L116" s="32"/>
      <c r="M116" s="32"/>
    </row>
    <row r="117" spans="1:13" ht="21" customHeight="1" x14ac:dyDescent="0.15">
      <c r="A117" s="12">
        <v>115</v>
      </c>
      <c r="B117" s="18"/>
      <c r="C117" s="18"/>
      <c r="D117" s="18"/>
      <c r="E117" s="9"/>
      <c r="F117" s="20"/>
      <c r="G117" s="21"/>
      <c r="H117" s="35" t="str">
        <f t="shared" si="2"/>
        <v/>
      </c>
      <c r="I117" s="22"/>
      <c r="J117" s="12"/>
      <c r="K117" s="23"/>
      <c r="L117" s="32"/>
      <c r="M117" s="32"/>
    </row>
    <row r="118" spans="1:13" ht="21" customHeight="1" x14ac:dyDescent="0.15">
      <c r="A118" s="12">
        <v>116</v>
      </c>
      <c r="B118" s="18"/>
      <c r="C118" s="18"/>
      <c r="D118" s="18"/>
      <c r="E118" s="9"/>
      <c r="F118" s="20"/>
      <c r="G118" s="21"/>
      <c r="H118" s="35" t="str">
        <f t="shared" si="2"/>
        <v/>
      </c>
      <c r="I118" s="22"/>
      <c r="J118" s="12"/>
      <c r="K118" s="23"/>
      <c r="L118" s="32"/>
      <c r="M118" s="32"/>
    </row>
    <row r="119" spans="1:13" ht="21" customHeight="1" x14ac:dyDescent="0.15">
      <c r="A119" s="12">
        <v>117</v>
      </c>
      <c r="B119" s="18"/>
      <c r="C119" s="18"/>
      <c r="D119" s="18"/>
      <c r="E119" s="9"/>
      <c r="F119" s="20"/>
      <c r="G119" s="21"/>
      <c r="H119" s="35" t="str">
        <f t="shared" si="2"/>
        <v/>
      </c>
      <c r="I119" s="22"/>
      <c r="J119" s="12"/>
      <c r="K119" s="23"/>
      <c r="L119" s="32"/>
      <c r="M119" s="32"/>
    </row>
    <row r="120" spans="1:13" ht="21" customHeight="1" x14ac:dyDescent="0.15">
      <c r="A120" s="12">
        <v>118</v>
      </c>
      <c r="B120" s="18"/>
      <c r="C120" s="18"/>
      <c r="D120" s="18"/>
      <c r="E120" s="9"/>
      <c r="F120" s="20"/>
      <c r="G120" s="21"/>
      <c r="H120" s="35" t="str">
        <f t="shared" si="2"/>
        <v/>
      </c>
      <c r="I120" s="22"/>
      <c r="J120" s="12"/>
      <c r="K120" s="23"/>
      <c r="L120" s="32"/>
      <c r="M120" s="32"/>
    </row>
    <row r="121" spans="1:13" ht="21" customHeight="1" x14ac:dyDescent="0.15">
      <c r="A121" s="12">
        <v>119</v>
      </c>
      <c r="B121" s="18"/>
      <c r="C121" s="18"/>
      <c r="D121" s="18"/>
      <c r="E121" s="9"/>
      <c r="F121" s="20"/>
      <c r="G121" s="21"/>
      <c r="H121" s="35" t="str">
        <f t="shared" si="2"/>
        <v/>
      </c>
      <c r="I121" s="22"/>
      <c r="J121" s="12"/>
      <c r="K121" s="23"/>
      <c r="L121" s="32"/>
      <c r="M121" s="32"/>
    </row>
    <row r="122" spans="1:13" ht="21" customHeight="1" x14ac:dyDescent="0.15">
      <c r="A122" s="12">
        <v>120</v>
      </c>
      <c r="B122" s="18"/>
      <c r="C122" s="18"/>
      <c r="D122" s="18"/>
      <c r="E122" s="9"/>
      <c r="F122" s="20"/>
      <c r="G122" s="21"/>
      <c r="H122" s="35" t="str">
        <f t="shared" si="2"/>
        <v/>
      </c>
      <c r="I122" s="22"/>
      <c r="J122" s="12"/>
      <c r="K122" s="23"/>
      <c r="L122" s="32"/>
      <c r="M122" s="32"/>
    </row>
    <row r="123" spans="1:13" ht="21" customHeight="1" x14ac:dyDescent="0.15">
      <c r="A123" s="12">
        <v>121</v>
      </c>
      <c r="B123" s="18"/>
      <c r="C123" s="18"/>
      <c r="D123" s="18"/>
      <c r="E123" s="9"/>
      <c r="F123" s="20"/>
      <c r="G123" s="21"/>
      <c r="H123" s="35" t="str">
        <f t="shared" si="2"/>
        <v/>
      </c>
      <c r="I123" s="22"/>
      <c r="J123" s="12"/>
      <c r="K123" s="23"/>
      <c r="L123" s="32"/>
      <c r="M123" s="32"/>
    </row>
    <row r="124" spans="1:13" ht="21" customHeight="1" x14ac:dyDescent="0.15">
      <c r="A124" s="12">
        <v>122</v>
      </c>
      <c r="B124" s="18"/>
      <c r="C124" s="18"/>
      <c r="D124" s="18"/>
      <c r="E124" s="9"/>
      <c r="F124" s="20"/>
      <c r="G124" s="21"/>
      <c r="H124" s="35" t="str">
        <f t="shared" si="2"/>
        <v/>
      </c>
      <c r="I124" s="22"/>
      <c r="J124" s="12"/>
      <c r="K124" s="23"/>
      <c r="L124" s="32"/>
      <c r="M124" s="32"/>
    </row>
    <row r="125" spans="1:13" ht="21" customHeight="1" x14ac:dyDescent="0.15">
      <c r="A125" s="12">
        <v>123</v>
      </c>
      <c r="B125" s="18"/>
      <c r="C125" s="18"/>
      <c r="D125" s="18"/>
      <c r="E125" s="9"/>
      <c r="F125" s="20"/>
      <c r="G125" s="21"/>
      <c r="H125" s="35" t="str">
        <f t="shared" si="2"/>
        <v/>
      </c>
      <c r="I125" s="22"/>
      <c r="J125" s="12"/>
      <c r="K125" s="23"/>
      <c r="L125" s="32"/>
      <c r="M125" s="32"/>
    </row>
    <row r="126" spans="1:13" ht="21" customHeight="1" x14ac:dyDescent="0.15">
      <c r="A126" s="12">
        <v>124</v>
      </c>
      <c r="B126" s="18"/>
      <c r="C126" s="18"/>
      <c r="D126" s="18"/>
      <c r="E126" s="9"/>
      <c r="F126" s="20"/>
      <c r="G126" s="21"/>
      <c r="H126" s="35" t="str">
        <f t="shared" si="2"/>
        <v/>
      </c>
      <c r="I126" s="22"/>
      <c r="J126" s="12"/>
      <c r="K126" s="23"/>
      <c r="L126" s="32"/>
      <c r="M126" s="32"/>
    </row>
    <row r="127" spans="1:13" ht="21" customHeight="1" x14ac:dyDescent="0.15">
      <c r="A127" s="12">
        <v>125</v>
      </c>
      <c r="B127" s="18"/>
      <c r="C127" s="18"/>
      <c r="D127" s="18"/>
      <c r="E127" s="9"/>
      <c r="F127" s="20"/>
      <c r="G127" s="21"/>
      <c r="H127" s="35" t="str">
        <f t="shared" si="2"/>
        <v/>
      </c>
      <c r="I127" s="22"/>
      <c r="J127" s="12"/>
      <c r="K127" s="23"/>
      <c r="L127" s="32"/>
      <c r="M127" s="32"/>
    </row>
    <row r="128" spans="1:13" ht="21" customHeight="1" x14ac:dyDescent="0.15">
      <c r="A128" s="12">
        <v>126</v>
      </c>
      <c r="B128" s="18"/>
      <c r="C128" s="18"/>
      <c r="D128" s="18"/>
      <c r="E128" s="9"/>
      <c r="F128" s="20"/>
      <c r="G128" s="21"/>
      <c r="H128" s="35" t="str">
        <f t="shared" si="2"/>
        <v/>
      </c>
      <c r="I128" s="22"/>
      <c r="J128" s="12"/>
      <c r="K128" s="23"/>
      <c r="L128" s="32"/>
      <c r="M128" s="32"/>
    </row>
    <row r="129" spans="1:13" ht="21" customHeight="1" x14ac:dyDescent="0.15">
      <c r="A129" s="12">
        <v>127</v>
      </c>
      <c r="B129" s="18"/>
      <c r="C129" s="18"/>
      <c r="D129" s="18"/>
      <c r="E129" s="9"/>
      <c r="F129" s="20"/>
      <c r="G129" s="21"/>
      <c r="H129" s="35" t="str">
        <f t="shared" si="2"/>
        <v/>
      </c>
      <c r="I129" s="22"/>
      <c r="J129" s="12"/>
      <c r="K129" s="23"/>
      <c r="L129" s="32"/>
      <c r="M129" s="32"/>
    </row>
    <row r="130" spans="1:13" ht="21" customHeight="1" x14ac:dyDescent="0.15">
      <c r="A130" s="12">
        <v>128</v>
      </c>
      <c r="B130" s="18"/>
      <c r="C130" s="18"/>
      <c r="D130" s="18"/>
      <c r="E130" s="9"/>
      <c r="F130" s="20"/>
      <c r="G130" s="21"/>
      <c r="H130" s="35" t="str">
        <f t="shared" si="2"/>
        <v/>
      </c>
      <c r="I130" s="22"/>
      <c r="J130" s="12"/>
      <c r="K130" s="23"/>
      <c r="L130" s="32"/>
      <c r="M130" s="32"/>
    </row>
    <row r="131" spans="1:13" ht="21" customHeight="1" x14ac:dyDescent="0.15">
      <c r="A131" s="12">
        <v>129</v>
      </c>
      <c r="B131" s="18"/>
      <c r="C131" s="18"/>
      <c r="D131" s="18"/>
      <c r="E131" s="9"/>
      <c r="F131" s="20"/>
      <c r="G131" s="21"/>
      <c r="H131" s="35" t="str">
        <f t="shared" ref="H131:H172" si="3">IF(G131="","",(F131*100000000+G131)-7*INT((F131*100000000+G131)/7))</f>
        <v/>
      </c>
      <c r="I131" s="22"/>
      <c r="J131" s="12"/>
      <c r="K131" s="23"/>
      <c r="L131" s="32"/>
      <c r="M131" s="32"/>
    </row>
    <row r="132" spans="1:13" ht="21" customHeight="1" x14ac:dyDescent="0.15">
      <c r="A132" s="12">
        <v>130</v>
      </c>
      <c r="B132" s="18"/>
      <c r="C132" s="18"/>
      <c r="D132" s="18"/>
      <c r="E132" s="9"/>
      <c r="F132" s="20"/>
      <c r="G132" s="21"/>
      <c r="H132" s="35" t="str">
        <f t="shared" si="3"/>
        <v/>
      </c>
      <c r="I132" s="22"/>
      <c r="J132" s="12"/>
      <c r="K132" s="23"/>
      <c r="L132" s="32"/>
      <c r="M132" s="32"/>
    </row>
    <row r="133" spans="1:13" ht="21" customHeight="1" x14ac:dyDescent="0.15">
      <c r="A133" s="12">
        <v>131</v>
      </c>
      <c r="B133" s="18"/>
      <c r="C133" s="18"/>
      <c r="D133" s="18"/>
      <c r="E133" s="9"/>
      <c r="F133" s="20"/>
      <c r="G133" s="21"/>
      <c r="H133" s="35" t="str">
        <f t="shared" si="3"/>
        <v/>
      </c>
      <c r="I133" s="22"/>
      <c r="J133" s="12"/>
      <c r="K133" s="23"/>
      <c r="L133" s="32"/>
      <c r="M133" s="32"/>
    </row>
    <row r="134" spans="1:13" ht="21" customHeight="1" x14ac:dyDescent="0.15">
      <c r="A134" s="12">
        <v>132</v>
      </c>
      <c r="B134" s="18"/>
      <c r="C134" s="18"/>
      <c r="D134" s="18"/>
      <c r="E134" s="9"/>
      <c r="F134" s="20"/>
      <c r="G134" s="21"/>
      <c r="H134" s="35" t="str">
        <f t="shared" si="3"/>
        <v/>
      </c>
      <c r="I134" s="22"/>
      <c r="J134" s="12"/>
      <c r="K134" s="23"/>
      <c r="L134" s="32"/>
      <c r="M134" s="32"/>
    </row>
    <row r="135" spans="1:13" ht="21" customHeight="1" x14ac:dyDescent="0.15">
      <c r="A135" s="12">
        <v>133</v>
      </c>
      <c r="B135" s="18"/>
      <c r="C135" s="18"/>
      <c r="D135" s="18"/>
      <c r="E135" s="9"/>
      <c r="F135" s="20"/>
      <c r="G135" s="21"/>
      <c r="H135" s="35" t="str">
        <f t="shared" si="3"/>
        <v/>
      </c>
      <c r="I135" s="22"/>
      <c r="J135" s="12"/>
      <c r="K135" s="23"/>
      <c r="L135" s="32"/>
      <c r="M135" s="32"/>
    </row>
    <row r="136" spans="1:13" ht="21" customHeight="1" x14ac:dyDescent="0.15">
      <c r="A136" s="12">
        <v>134</v>
      </c>
      <c r="B136" s="18"/>
      <c r="C136" s="18"/>
      <c r="D136" s="18"/>
      <c r="E136" s="9"/>
      <c r="F136" s="20"/>
      <c r="G136" s="21"/>
      <c r="H136" s="35" t="str">
        <f t="shared" si="3"/>
        <v/>
      </c>
      <c r="I136" s="22"/>
      <c r="J136" s="12"/>
      <c r="K136" s="23"/>
      <c r="L136" s="32"/>
      <c r="M136" s="32"/>
    </row>
    <row r="137" spans="1:13" ht="21" customHeight="1" x14ac:dyDescent="0.15">
      <c r="A137" s="12">
        <v>135</v>
      </c>
      <c r="B137" s="18"/>
      <c r="C137" s="18"/>
      <c r="D137" s="18"/>
      <c r="E137" s="9"/>
      <c r="F137" s="20"/>
      <c r="G137" s="21"/>
      <c r="H137" s="35" t="str">
        <f t="shared" si="3"/>
        <v/>
      </c>
      <c r="I137" s="22"/>
      <c r="J137" s="12"/>
      <c r="K137" s="23"/>
      <c r="L137" s="32"/>
      <c r="M137" s="32"/>
    </row>
    <row r="138" spans="1:13" ht="21" customHeight="1" x14ac:dyDescent="0.15">
      <c r="A138" s="12">
        <v>136</v>
      </c>
      <c r="B138" s="18"/>
      <c r="C138" s="18"/>
      <c r="D138" s="18"/>
      <c r="E138" s="9"/>
      <c r="F138" s="20"/>
      <c r="G138" s="21"/>
      <c r="H138" s="35" t="str">
        <f t="shared" si="3"/>
        <v/>
      </c>
      <c r="I138" s="22"/>
      <c r="J138" s="12"/>
      <c r="K138" s="23"/>
      <c r="L138" s="32"/>
      <c r="M138" s="32"/>
    </row>
    <row r="139" spans="1:13" ht="21" customHeight="1" x14ac:dyDescent="0.15">
      <c r="A139" s="12">
        <v>137</v>
      </c>
      <c r="B139" s="18"/>
      <c r="C139" s="18"/>
      <c r="D139" s="18"/>
      <c r="E139" s="9"/>
      <c r="F139" s="20"/>
      <c r="G139" s="21"/>
      <c r="H139" s="35" t="str">
        <f t="shared" si="3"/>
        <v/>
      </c>
      <c r="I139" s="22"/>
      <c r="J139" s="12"/>
      <c r="K139" s="23"/>
      <c r="L139" s="32"/>
      <c r="M139" s="32"/>
    </row>
    <row r="140" spans="1:13" ht="21" customHeight="1" x14ac:dyDescent="0.15">
      <c r="A140" s="12">
        <v>138</v>
      </c>
      <c r="B140" s="18"/>
      <c r="C140" s="18"/>
      <c r="D140" s="18"/>
      <c r="E140" s="9"/>
      <c r="F140" s="20"/>
      <c r="G140" s="21"/>
      <c r="H140" s="35" t="str">
        <f t="shared" si="3"/>
        <v/>
      </c>
      <c r="I140" s="22"/>
      <c r="J140" s="12"/>
      <c r="K140" s="23"/>
      <c r="L140" s="32"/>
      <c r="M140" s="32"/>
    </row>
    <row r="141" spans="1:13" ht="21" customHeight="1" x14ac:dyDescent="0.15">
      <c r="A141" s="12">
        <v>139</v>
      </c>
      <c r="B141" s="18"/>
      <c r="C141" s="18"/>
      <c r="D141" s="18"/>
      <c r="E141" s="9"/>
      <c r="F141" s="20"/>
      <c r="G141" s="21"/>
      <c r="H141" s="35" t="str">
        <f t="shared" si="3"/>
        <v/>
      </c>
      <c r="I141" s="22"/>
      <c r="J141" s="12"/>
      <c r="K141" s="23"/>
      <c r="L141" s="32"/>
      <c r="M141" s="32"/>
    </row>
    <row r="142" spans="1:13" ht="21" customHeight="1" x14ac:dyDescent="0.15">
      <c r="A142" s="12">
        <v>140</v>
      </c>
      <c r="B142" s="18"/>
      <c r="C142" s="18"/>
      <c r="D142" s="18"/>
      <c r="E142" s="9"/>
      <c r="F142" s="20"/>
      <c r="G142" s="21"/>
      <c r="H142" s="35" t="str">
        <f t="shared" si="3"/>
        <v/>
      </c>
      <c r="I142" s="22"/>
      <c r="J142" s="12"/>
      <c r="K142" s="23"/>
      <c r="L142" s="32"/>
      <c r="M142" s="32"/>
    </row>
    <row r="143" spans="1:13" ht="21" customHeight="1" x14ac:dyDescent="0.15">
      <c r="A143" s="12">
        <v>141</v>
      </c>
      <c r="B143" s="18"/>
      <c r="C143" s="18"/>
      <c r="D143" s="18"/>
      <c r="E143" s="9"/>
      <c r="F143" s="20"/>
      <c r="G143" s="21"/>
      <c r="H143" s="35" t="str">
        <f t="shared" si="3"/>
        <v/>
      </c>
      <c r="I143" s="22"/>
      <c r="J143" s="12"/>
      <c r="K143" s="23"/>
      <c r="L143" s="32"/>
      <c r="M143" s="32"/>
    </row>
    <row r="144" spans="1:13" ht="21" customHeight="1" x14ac:dyDescent="0.15">
      <c r="A144" s="12">
        <v>142</v>
      </c>
      <c r="B144" s="18"/>
      <c r="C144" s="18"/>
      <c r="D144" s="18"/>
      <c r="E144" s="9"/>
      <c r="F144" s="20"/>
      <c r="G144" s="21"/>
      <c r="H144" s="35" t="str">
        <f t="shared" si="3"/>
        <v/>
      </c>
      <c r="I144" s="22"/>
      <c r="J144" s="12"/>
      <c r="K144" s="23"/>
      <c r="L144" s="47"/>
      <c r="M144" s="51"/>
    </row>
    <row r="145" spans="1:14" ht="21" customHeight="1" x14ac:dyDescent="0.15">
      <c r="A145" s="12">
        <v>143</v>
      </c>
      <c r="B145" s="18"/>
      <c r="C145" s="18"/>
      <c r="D145" s="18"/>
      <c r="E145" s="9"/>
      <c r="F145" s="20"/>
      <c r="G145" s="21"/>
      <c r="H145" s="35" t="str">
        <f t="shared" si="3"/>
        <v/>
      </c>
      <c r="I145" s="22"/>
      <c r="J145" s="12"/>
      <c r="K145" s="23"/>
      <c r="L145" s="32"/>
      <c r="M145" s="32"/>
    </row>
    <row r="146" spans="1:14" ht="21" customHeight="1" x14ac:dyDescent="0.15">
      <c r="A146" s="12">
        <v>144</v>
      </c>
      <c r="B146" s="18"/>
      <c r="C146" s="18"/>
      <c r="D146" s="18"/>
      <c r="E146" s="9"/>
      <c r="F146" s="20"/>
      <c r="G146" s="21"/>
      <c r="H146" s="35" t="str">
        <f t="shared" si="3"/>
        <v/>
      </c>
      <c r="I146" s="22"/>
      <c r="J146" s="12"/>
      <c r="K146" s="23"/>
      <c r="L146" s="32"/>
      <c r="M146" s="32"/>
    </row>
    <row r="147" spans="1:14" ht="21" customHeight="1" x14ac:dyDescent="0.15">
      <c r="A147" s="12">
        <v>145</v>
      </c>
      <c r="B147" s="18"/>
      <c r="C147" s="18"/>
      <c r="D147" s="18"/>
      <c r="E147" s="9"/>
      <c r="F147" s="25"/>
      <c r="G147" s="26"/>
      <c r="H147" s="35" t="str">
        <f t="shared" si="3"/>
        <v/>
      </c>
      <c r="I147" s="22"/>
      <c r="J147" s="12"/>
      <c r="K147" s="23"/>
      <c r="L147" s="32"/>
      <c r="M147" s="32"/>
    </row>
    <row r="148" spans="1:14" ht="21" customHeight="1" x14ac:dyDescent="0.15">
      <c r="A148" s="12">
        <v>146</v>
      </c>
      <c r="B148" s="18"/>
      <c r="C148" s="18"/>
      <c r="D148" s="18"/>
      <c r="E148" s="9"/>
      <c r="F148" s="25"/>
      <c r="G148" s="26"/>
      <c r="H148" s="35" t="str">
        <f t="shared" si="3"/>
        <v/>
      </c>
      <c r="I148" s="22"/>
      <c r="J148" s="12"/>
      <c r="K148" s="23"/>
      <c r="L148" s="32"/>
      <c r="M148" s="32"/>
    </row>
    <row r="149" spans="1:14" ht="21" customHeight="1" x14ac:dyDescent="0.15">
      <c r="A149" s="12">
        <v>147</v>
      </c>
      <c r="B149" s="18"/>
      <c r="C149" s="18"/>
      <c r="D149" s="18"/>
      <c r="E149" s="9"/>
      <c r="F149" s="20"/>
      <c r="G149" s="21"/>
      <c r="H149" s="35" t="str">
        <f t="shared" si="3"/>
        <v/>
      </c>
      <c r="I149" s="22"/>
      <c r="J149" s="12"/>
      <c r="K149" s="23"/>
      <c r="L149" s="32"/>
      <c r="M149" s="32"/>
    </row>
    <row r="150" spans="1:14" ht="21" customHeight="1" x14ac:dyDescent="0.15">
      <c r="A150" s="12">
        <v>148</v>
      </c>
      <c r="B150" s="18"/>
      <c r="C150" s="18"/>
      <c r="D150" s="18"/>
      <c r="E150" s="9"/>
      <c r="F150" s="20"/>
      <c r="G150" s="21"/>
      <c r="H150" s="35" t="str">
        <f t="shared" si="3"/>
        <v/>
      </c>
      <c r="I150" s="22"/>
      <c r="J150" s="12"/>
      <c r="K150" s="23"/>
      <c r="L150" s="32"/>
      <c r="M150" s="32"/>
    </row>
    <row r="151" spans="1:14" ht="21" customHeight="1" x14ac:dyDescent="0.15">
      <c r="A151" s="12">
        <v>149</v>
      </c>
      <c r="B151" s="18"/>
      <c r="C151" s="18"/>
      <c r="D151" s="18"/>
      <c r="E151" s="9"/>
      <c r="F151" s="20"/>
      <c r="G151" s="21"/>
      <c r="H151" s="35" t="str">
        <f t="shared" si="3"/>
        <v/>
      </c>
      <c r="I151" s="22"/>
      <c r="J151" s="12"/>
      <c r="K151" s="23"/>
      <c r="L151" s="32"/>
      <c r="M151" s="32"/>
    </row>
    <row r="152" spans="1:14" ht="21" customHeight="1" x14ac:dyDescent="0.15">
      <c r="A152" s="12">
        <v>150</v>
      </c>
      <c r="B152" s="18"/>
      <c r="C152" s="18"/>
      <c r="D152" s="18"/>
      <c r="E152" s="9"/>
      <c r="F152" s="20"/>
      <c r="G152" s="21"/>
      <c r="H152" s="35" t="str">
        <f t="shared" si="3"/>
        <v/>
      </c>
      <c r="I152" s="22"/>
      <c r="J152" s="12"/>
      <c r="K152" s="23"/>
      <c r="L152" s="32"/>
      <c r="M152" s="32"/>
      <c r="N152" s="14"/>
    </row>
    <row r="153" spans="1:14" ht="21" customHeight="1" x14ac:dyDescent="0.15">
      <c r="A153" s="12">
        <v>151</v>
      </c>
      <c r="B153" s="18"/>
      <c r="C153" s="18"/>
      <c r="D153" s="18"/>
      <c r="E153" s="9"/>
      <c r="F153" s="20"/>
      <c r="G153" s="21"/>
      <c r="H153" s="35" t="str">
        <f t="shared" si="3"/>
        <v/>
      </c>
      <c r="I153" s="22"/>
      <c r="J153" s="12"/>
      <c r="K153" s="23"/>
      <c r="L153" s="32"/>
      <c r="M153" s="32"/>
    </row>
    <row r="154" spans="1:14" ht="21" customHeight="1" x14ac:dyDescent="0.15">
      <c r="A154" s="12">
        <v>152</v>
      </c>
      <c r="B154" s="18"/>
      <c r="C154" s="18"/>
      <c r="D154" s="18"/>
      <c r="E154" s="9"/>
      <c r="F154" s="20"/>
      <c r="G154" s="21"/>
      <c r="H154" s="35" t="str">
        <f t="shared" si="3"/>
        <v/>
      </c>
      <c r="I154" s="22"/>
      <c r="J154" s="12"/>
      <c r="K154" s="23"/>
      <c r="L154" s="32"/>
      <c r="M154" s="32"/>
    </row>
    <row r="155" spans="1:14" ht="21" customHeight="1" x14ac:dyDescent="0.15">
      <c r="A155" s="12">
        <v>153</v>
      </c>
      <c r="B155" s="18"/>
      <c r="C155" s="18"/>
      <c r="D155" s="18"/>
      <c r="E155" s="9"/>
      <c r="F155" s="20"/>
      <c r="G155" s="21"/>
      <c r="H155" s="35" t="str">
        <f t="shared" si="3"/>
        <v/>
      </c>
      <c r="I155" s="22"/>
      <c r="J155" s="12"/>
      <c r="K155" s="23"/>
      <c r="L155" s="32"/>
      <c r="M155" s="32"/>
    </row>
    <row r="156" spans="1:14" ht="21" customHeight="1" x14ac:dyDescent="0.15">
      <c r="A156" s="12">
        <v>154</v>
      </c>
      <c r="B156" s="18"/>
      <c r="C156" s="18"/>
      <c r="D156" s="18"/>
      <c r="E156" s="9"/>
      <c r="F156" s="20"/>
      <c r="G156" s="21"/>
      <c r="H156" s="35" t="str">
        <f t="shared" si="3"/>
        <v/>
      </c>
      <c r="I156" s="22"/>
      <c r="J156" s="12"/>
      <c r="K156" s="23"/>
      <c r="L156" s="32"/>
      <c r="M156" s="32"/>
    </row>
    <row r="157" spans="1:14" ht="21" customHeight="1" x14ac:dyDescent="0.15">
      <c r="A157" s="12">
        <v>155</v>
      </c>
      <c r="B157" s="18"/>
      <c r="C157" s="18"/>
      <c r="D157" s="18"/>
      <c r="E157" s="9"/>
      <c r="F157" s="20"/>
      <c r="G157" s="21"/>
      <c r="H157" s="35" t="str">
        <f>IF(G157="","",(F157*100000000+G157)-7*INT((F157*100000000+G157)/7))</f>
        <v/>
      </c>
      <c r="I157" s="22"/>
      <c r="J157" s="12"/>
      <c r="K157" s="23"/>
      <c r="L157" s="32"/>
      <c r="M157" s="32"/>
    </row>
    <row r="158" spans="1:14" ht="21" customHeight="1" x14ac:dyDescent="0.15">
      <c r="A158" s="12">
        <v>156</v>
      </c>
      <c r="B158" s="18"/>
      <c r="C158" s="18"/>
      <c r="D158" s="18"/>
      <c r="E158" s="9"/>
      <c r="F158" s="20"/>
      <c r="G158" s="21"/>
      <c r="H158" s="35" t="str">
        <f t="shared" si="3"/>
        <v/>
      </c>
      <c r="I158" s="22"/>
      <c r="J158" s="12"/>
      <c r="K158" s="23"/>
      <c r="L158" s="32"/>
      <c r="M158" s="32"/>
    </row>
    <row r="159" spans="1:14" ht="21" customHeight="1" x14ac:dyDescent="0.15">
      <c r="A159" s="12">
        <v>157</v>
      </c>
      <c r="B159" s="18"/>
      <c r="C159" s="18"/>
      <c r="D159" s="18"/>
      <c r="E159" s="9"/>
      <c r="F159" s="20"/>
      <c r="G159" s="21"/>
      <c r="H159" s="35" t="str">
        <f t="shared" si="3"/>
        <v/>
      </c>
      <c r="I159" s="22"/>
      <c r="J159" s="12"/>
      <c r="K159" s="23"/>
      <c r="L159" s="32"/>
      <c r="M159" s="32"/>
    </row>
    <row r="160" spans="1:14" ht="21" customHeight="1" x14ac:dyDescent="0.15">
      <c r="A160" s="12">
        <v>158</v>
      </c>
      <c r="B160" s="18"/>
      <c r="C160" s="18"/>
      <c r="D160" s="18"/>
      <c r="E160" s="9"/>
      <c r="F160" s="20"/>
      <c r="G160" s="21"/>
      <c r="H160" s="35" t="str">
        <f t="shared" si="3"/>
        <v/>
      </c>
      <c r="I160" s="22"/>
      <c r="J160" s="12"/>
      <c r="K160" s="23"/>
      <c r="L160" s="32"/>
      <c r="M160" s="32"/>
    </row>
    <row r="161" spans="1:13" ht="21" customHeight="1" x14ac:dyDescent="0.15">
      <c r="A161" s="12">
        <v>159</v>
      </c>
      <c r="B161" s="18"/>
      <c r="C161" s="18"/>
      <c r="D161" s="18"/>
      <c r="E161" s="9"/>
      <c r="F161" s="20"/>
      <c r="G161" s="21"/>
      <c r="H161" s="35" t="str">
        <f t="shared" si="3"/>
        <v/>
      </c>
      <c r="I161" s="22"/>
      <c r="J161" s="12"/>
      <c r="K161" s="23"/>
      <c r="L161" s="32"/>
      <c r="M161" s="32"/>
    </row>
    <row r="162" spans="1:13" ht="21" customHeight="1" x14ac:dyDescent="0.15">
      <c r="A162" s="12">
        <v>160</v>
      </c>
      <c r="B162" s="18"/>
      <c r="C162" s="18"/>
      <c r="D162" s="18"/>
      <c r="E162" s="9"/>
      <c r="F162" s="20"/>
      <c r="G162" s="21"/>
      <c r="H162" s="35" t="str">
        <f t="shared" si="3"/>
        <v/>
      </c>
      <c r="I162" s="22"/>
      <c r="J162" s="12"/>
      <c r="K162" s="23"/>
      <c r="L162" s="32"/>
      <c r="M162" s="32"/>
    </row>
    <row r="163" spans="1:13" ht="21" customHeight="1" x14ac:dyDescent="0.15">
      <c r="A163" s="12">
        <v>161</v>
      </c>
      <c r="B163" s="18"/>
      <c r="C163" s="18"/>
      <c r="D163" s="18"/>
      <c r="E163" s="9"/>
      <c r="F163" s="20"/>
      <c r="G163" s="21"/>
      <c r="H163" s="35" t="str">
        <f t="shared" si="3"/>
        <v/>
      </c>
      <c r="I163" s="22"/>
      <c r="J163" s="12"/>
      <c r="K163" s="23"/>
      <c r="L163" s="32"/>
      <c r="M163" s="32"/>
    </row>
    <row r="164" spans="1:13" ht="21" customHeight="1" x14ac:dyDescent="0.15">
      <c r="A164" s="12">
        <v>162</v>
      </c>
      <c r="B164" s="18"/>
      <c r="C164" s="18"/>
      <c r="D164" s="18"/>
      <c r="E164" s="9"/>
      <c r="F164" s="20"/>
      <c r="G164" s="21"/>
      <c r="H164" s="35" t="str">
        <f t="shared" si="3"/>
        <v/>
      </c>
      <c r="I164" s="22"/>
      <c r="J164" s="12"/>
      <c r="K164" s="23"/>
      <c r="L164" s="32"/>
      <c r="M164" s="32"/>
    </row>
    <row r="165" spans="1:13" ht="21" customHeight="1" x14ac:dyDescent="0.15">
      <c r="A165" s="12">
        <v>163</v>
      </c>
      <c r="B165" s="18"/>
      <c r="C165" s="18"/>
      <c r="D165" s="18"/>
      <c r="E165" s="9"/>
      <c r="F165" s="20"/>
      <c r="G165" s="21"/>
      <c r="H165" s="35" t="str">
        <f t="shared" si="3"/>
        <v/>
      </c>
      <c r="I165" s="22"/>
      <c r="J165" s="12"/>
      <c r="K165" s="23"/>
      <c r="L165" s="32"/>
      <c r="M165" s="32"/>
    </row>
    <row r="166" spans="1:13" ht="21" customHeight="1" x14ac:dyDescent="0.15">
      <c r="A166" s="12">
        <v>164</v>
      </c>
      <c r="B166" s="18"/>
      <c r="C166" s="18"/>
      <c r="D166" s="18"/>
      <c r="E166" s="9"/>
      <c r="F166" s="20"/>
      <c r="G166" s="21"/>
      <c r="H166" s="35" t="str">
        <f t="shared" si="3"/>
        <v/>
      </c>
      <c r="I166" s="22"/>
      <c r="J166" s="12"/>
      <c r="K166" s="23"/>
      <c r="L166" s="32"/>
      <c r="M166" s="32"/>
    </row>
    <row r="167" spans="1:13" ht="21" customHeight="1" x14ac:dyDescent="0.15">
      <c r="A167" s="12">
        <v>165</v>
      </c>
      <c r="B167" s="18"/>
      <c r="C167" s="18"/>
      <c r="D167" s="18"/>
      <c r="E167" s="9"/>
      <c r="F167" s="20"/>
      <c r="G167" s="21"/>
      <c r="H167" s="35" t="str">
        <f t="shared" si="3"/>
        <v/>
      </c>
      <c r="I167" s="22"/>
      <c r="J167" s="12"/>
      <c r="K167" s="23"/>
      <c r="L167" s="32"/>
      <c r="M167" s="32"/>
    </row>
    <row r="168" spans="1:13" ht="21" customHeight="1" x14ac:dyDescent="0.15">
      <c r="A168" s="12">
        <v>166</v>
      </c>
      <c r="B168" s="18"/>
      <c r="C168" s="18"/>
      <c r="D168" s="18"/>
      <c r="E168" s="9"/>
      <c r="F168" s="20"/>
      <c r="G168" s="21"/>
      <c r="H168" s="35" t="str">
        <f t="shared" si="3"/>
        <v/>
      </c>
      <c r="I168" s="22"/>
      <c r="J168" s="12"/>
      <c r="K168" s="23"/>
      <c r="L168" s="32"/>
      <c r="M168" s="32"/>
    </row>
    <row r="169" spans="1:13" ht="21" customHeight="1" x14ac:dyDescent="0.15">
      <c r="A169" s="12">
        <v>167</v>
      </c>
      <c r="B169" s="18"/>
      <c r="C169" s="18"/>
      <c r="D169" s="18"/>
      <c r="E169" s="9"/>
      <c r="F169" s="20"/>
      <c r="G169" s="21"/>
      <c r="H169" s="35" t="str">
        <f t="shared" si="3"/>
        <v/>
      </c>
      <c r="I169" s="22"/>
      <c r="J169" s="12"/>
      <c r="K169" s="23"/>
      <c r="L169" s="32"/>
      <c r="M169" s="32"/>
    </row>
    <row r="170" spans="1:13" ht="21" customHeight="1" x14ac:dyDescent="0.15">
      <c r="A170" s="12">
        <v>168</v>
      </c>
      <c r="B170" s="18"/>
      <c r="C170" s="18"/>
      <c r="D170" s="18"/>
      <c r="E170" s="9"/>
      <c r="F170" s="20"/>
      <c r="G170" s="21"/>
      <c r="H170" s="35" t="str">
        <f t="shared" si="3"/>
        <v/>
      </c>
      <c r="I170" s="22"/>
      <c r="J170" s="12"/>
      <c r="K170" s="23"/>
      <c r="L170" s="32"/>
      <c r="M170" s="32"/>
    </row>
    <row r="171" spans="1:13" ht="21" customHeight="1" x14ac:dyDescent="0.15">
      <c r="A171" s="12">
        <v>169</v>
      </c>
      <c r="B171" s="18"/>
      <c r="C171" s="18"/>
      <c r="D171" s="18"/>
      <c r="E171" s="9"/>
      <c r="F171" s="20"/>
      <c r="G171" s="21"/>
      <c r="H171" s="35" t="str">
        <f t="shared" si="3"/>
        <v/>
      </c>
      <c r="I171" s="22"/>
      <c r="J171" s="12"/>
      <c r="K171" s="23"/>
      <c r="L171" s="32"/>
      <c r="M171" s="32"/>
    </row>
    <row r="172" spans="1:13" ht="21" customHeight="1" x14ac:dyDescent="0.15">
      <c r="A172" s="12">
        <v>170</v>
      </c>
      <c r="B172" s="18"/>
      <c r="C172" s="18"/>
      <c r="D172" s="18"/>
      <c r="E172" s="9"/>
      <c r="F172" s="20"/>
      <c r="G172" s="21"/>
      <c r="H172" s="35" t="str">
        <f t="shared" si="3"/>
        <v/>
      </c>
      <c r="I172" s="22"/>
      <c r="J172" s="12"/>
      <c r="K172" s="23"/>
      <c r="L172" s="32"/>
      <c r="M172" s="32"/>
    </row>
    <row r="173" spans="1:13" x14ac:dyDescent="0.15">
      <c r="A173" s="12"/>
      <c r="B173" s="18"/>
      <c r="C173" s="18"/>
      <c r="D173" s="18"/>
      <c r="E173" s="9"/>
      <c r="F173" s="38"/>
      <c r="G173" s="39"/>
      <c r="H173" s="12"/>
      <c r="I173" s="12"/>
      <c r="J173" s="12"/>
      <c r="K173" s="23"/>
      <c r="L173" s="33"/>
      <c r="M173" s="12"/>
    </row>
    <row r="174" spans="1:13" x14ac:dyDescent="0.15">
      <c r="A174" s="12"/>
      <c r="B174" s="18"/>
      <c r="C174" s="18"/>
      <c r="D174" s="18"/>
      <c r="E174" s="9"/>
      <c r="F174" s="38"/>
      <c r="G174" s="39"/>
      <c r="H174" s="12"/>
      <c r="I174" s="12"/>
      <c r="J174" s="12"/>
      <c r="K174" s="23"/>
      <c r="L174" s="33"/>
      <c r="M174" s="12"/>
    </row>
    <row r="175" spans="1:13" x14ac:dyDescent="0.15">
      <c r="A175" s="12"/>
      <c r="B175" s="18"/>
      <c r="C175" s="18"/>
      <c r="D175" s="18"/>
      <c r="E175" s="9"/>
      <c r="F175" s="38"/>
      <c r="G175" s="39"/>
      <c r="H175" s="12"/>
      <c r="I175" s="12"/>
      <c r="J175" s="12"/>
      <c r="K175" s="23"/>
      <c r="L175" s="33"/>
      <c r="M175" s="12"/>
    </row>
    <row r="176" spans="1:13" x14ac:dyDescent="0.15">
      <c r="A176" s="12"/>
      <c r="B176" s="18"/>
      <c r="C176" s="18"/>
      <c r="D176" s="18"/>
      <c r="E176" s="9"/>
      <c r="F176" s="38"/>
      <c r="G176" s="39"/>
      <c r="H176" s="12"/>
      <c r="I176" s="12"/>
      <c r="J176" s="12"/>
      <c r="K176" s="23"/>
      <c r="L176" s="33"/>
      <c r="M176" s="12"/>
    </row>
    <row r="177" spans="1:13" x14ac:dyDescent="0.15">
      <c r="A177" s="12"/>
      <c r="B177" s="18"/>
      <c r="C177" s="18"/>
      <c r="D177" s="18"/>
      <c r="E177" s="9"/>
      <c r="F177" s="38"/>
      <c r="G177" s="39"/>
      <c r="H177" s="12"/>
      <c r="I177" s="12"/>
      <c r="J177" s="12"/>
      <c r="K177" s="23"/>
      <c r="L177" s="33"/>
      <c r="M177" s="12"/>
    </row>
    <row r="178" spans="1:13" x14ac:dyDescent="0.15">
      <c r="A178" s="12"/>
      <c r="B178" s="18"/>
      <c r="C178" s="12"/>
      <c r="D178" s="18"/>
      <c r="E178" s="9"/>
      <c r="F178" s="38"/>
      <c r="G178" s="39"/>
      <c r="H178" s="12"/>
      <c r="I178" s="12"/>
      <c r="J178" s="12"/>
      <c r="K178" s="23"/>
      <c r="L178" s="34"/>
      <c r="M178" s="12"/>
    </row>
    <row r="179" spans="1:13" x14ac:dyDescent="0.15">
      <c r="A179" s="12"/>
      <c r="B179" s="18"/>
      <c r="C179" s="12"/>
      <c r="D179" s="18"/>
      <c r="E179" s="9"/>
      <c r="F179" s="38"/>
      <c r="G179" s="39"/>
      <c r="H179" s="12"/>
      <c r="I179" s="12"/>
      <c r="J179" s="12"/>
      <c r="K179" s="23"/>
      <c r="L179" s="34"/>
      <c r="M179" s="12"/>
    </row>
    <row r="180" spans="1:13" x14ac:dyDescent="0.15">
      <c r="A180" s="12"/>
      <c r="B180" s="18"/>
      <c r="C180" s="12"/>
      <c r="D180" s="18"/>
      <c r="E180" s="9"/>
      <c r="F180" s="38"/>
      <c r="G180" s="39"/>
      <c r="H180" s="12"/>
      <c r="I180" s="12"/>
      <c r="J180" s="12"/>
      <c r="K180" s="23"/>
      <c r="L180" s="34"/>
      <c r="M180" s="12"/>
    </row>
    <row r="181" spans="1:13" x14ac:dyDescent="0.15">
      <c r="A181" s="12"/>
      <c r="B181" s="18"/>
      <c r="C181" s="12"/>
      <c r="D181" s="18"/>
      <c r="E181" s="9"/>
      <c r="F181" s="38"/>
      <c r="G181" s="39"/>
      <c r="H181" s="12"/>
      <c r="I181" s="12"/>
      <c r="J181" s="12"/>
      <c r="K181" s="23"/>
      <c r="L181" s="34"/>
      <c r="M181" s="12"/>
    </row>
    <row r="182" spans="1:13" x14ac:dyDescent="0.15">
      <c r="A182" s="12"/>
      <c r="B182" s="18"/>
      <c r="C182" s="18"/>
      <c r="D182" s="18"/>
      <c r="E182" s="9"/>
      <c r="F182" s="38"/>
      <c r="G182" s="39"/>
      <c r="H182" s="12"/>
      <c r="I182" s="12"/>
      <c r="J182" s="12"/>
      <c r="K182" s="23"/>
      <c r="L182" s="34"/>
      <c r="M182" s="12"/>
    </row>
    <row r="183" spans="1:13" x14ac:dyDescent="0.15">
      <c r="A183" s="12"/>
      <c r="B183" s="18"/>
      <c r="C183" s="18"/>
      <c r="D183" s="18"/>
      <c r="E183" s="9"/>
      <c r="F183" s="38"/>
      <c r="G183" s="39"/>
      <c r="H183" s="12"/>
      <c r="I183" s="12"/>
      <c r="J183" s="12"/>
      <c r="K183" s="23"/>
      <c r="L183" s="33"/>
      <c r="M183" s="12"/>
    </row>
    <row r="184" spans="1:13" x14ac:dyDescent="0.15">
      <c r="A184" s="12"/>
      <c r="B184" s="18"/>
      <c r="C184" s="18"/>
      <c r="D184" s="18"/>
      <c r="E184" s="9"/>
      <c r="F184" s="38"/>
      <c r="G184" s="39"/>
      <c r="H184" s="12"/>
      <c r="I184" s="12"/>
      <c r="J184" s="12"/>
      <c r="K184" s="23"/>
      <c r="L184" s="33"/>
      <c r="M184" s="12"/>
    </row>
    <row r="185" spans="1:13" x14ac:dyDescent="0.15">
      <c r="A185" s="12"/>
      <c r="B185" s="18"/>
      <c r="C185" s="18"/>
      <c r="D185" s="18"/>
      <c r="E185" s="9"/>
      <c r="F185" s="38"/>
      <c r="G185" s="39"/>
      <c r="H185" s="12"/>
      <c r="I185" s="12"/>
      <c r="J185" s="12"/>
      <c r="K185" s="23"/>
      <c r="L185" s="33"/>
      <c r="M185" s="12"/>
    </row>
    <row r="186" spans="1:13" x14ac:dyDescent="0.15">
      <c r="A186" s="12"/>
      <c r="B186" s="18"/>
      <c r="C186" s="18"/>
      <c r="D186" s="18"/>
      <c r="E186" s="9"/>
      <c r="F186" s="38"/>
      <c r="G186" s="39"/>
      <c r="H186" s="12"/>
      <c r="I186" s="12"/>
      <c r="J186" s="12"/>
      <c r="K186" s="23"/>
      <c r="L186" s="34"/>
      <c r="M186" s="12"/>
    </row>
    <row r="187" spans="1:13" x14ac:dyDescent="0.15">
      <c r="A187" s="12"/>
      <c r="B187" s="18"/>
      <c r="C187" s="18"/>
      <c r="D187" s="18"/>
      <c r="E187" s="9"/>
      <c r="F187" s="38"/>
      <c r="G187" s="39"/>
      <c r="H187" s="12"/>
      <c r="I187" s="12"/>
      <c r="J187" s="12"/>
      <c r="K187" s="23"/>
      <c r="L187" s="33"/>
      <c r="M187" s="12"/>
    </row>
    <row r="188" spans="1:13" x14ac:dyDescent="0.15">
      <c r="A188" s="12"/>
      <c r="B188" s="18"/>
      <c r="C188" s="18"/>
      <c r="D188" s="18"/>
      <c r="E188" s="9"/>
      <c r="F188" s="38"/>
      <c r="G188" s="39"/>
      <c r="H188" s="12"/>
      <c r="I188" s="12"/>
      <c r="J188" s="12"/>
      <c r="K188" s="23"/>
      <c r="L188" s="33"/>
      <c r="M188" s="12"/>
    </row>
    <row r="189" spans="1:13" x14ac:dyDescent="0.15">
      <c r="A189" s="12"/>
      <c r="B189" s="18"/>
      <c r="C189" s="18"/>
      <c r="D189" s="18"/>
      <c r="E189" s="9"/>
      <c r="F189" s="38"/>
      <c r="G189" s="39"/>
      <c r="H189" s="12"/>
      <c r="I189" s="12"/>
      <c r="J189" s="12"/>
      <c r="K189" s="23"/>
      <c r="L189" s="33"/>
      <c r="M189" s="12"/>
    </row>
    <row r="190" spans="1:13" x14ac:dyDescent="0.15">
      <c r="A190" s="12"/>
      <c r="B190" s="18"/>
      <c r="C190" s="18"/>
      <c r="D190" s="18"/>
      <c r="E190" s="9"/>
      <c r="F190" s="38"/>
      <c r="G190" s="39"/>
      <c r="H190" s="12"/>
      <c r="I190" s="12"/>
      <c r="J190" s="12"/>
      <c r="K190" s="23"/>
      <c r="L190" s="33"/>
      <c r="M190" s="12"/>
    </row>
    <row r="191" spans="1:13" x14ac:dyDescent="0.15">
      <c r="A191" s="12"/>
      <c r="B191" s="18"/>
      <c r="C191" s="18"/>
      <c r="D191" s="18"/>
      <c r="E191" s="9"/>
      <c r="F191" s="38"/>
      <c r="G191" s="39"/>
      <c r="H191" s="12"/>
      <c r="I191" s="12"/>
      <c r="J191" s="12"/>
      <c r="K191" s="23"/>
      <c r="L191" s="33"/>
      <c r="M191" s="12"/>
    </row>
    <row r="192" spans="1:13" x14ac:dyDescent="0.15">
      <c r="A192" s="12"/>
      <c r="B192" s="18"/>
      <c r="C192" s="18"/>
      <c r="D192" s="18"/>
      <c r="E192" s="9"/>
      <c r="F192" s="38"/>
      <c r="G192" s="39"/>
      <c r="H192" s="12"/>
      <c r="I192" s="12"/>
      <c r="J192" s="12"/>
      <c r="K192" s="23"/>
      <c r="L192" s="33"/>
      <c r="M192" s="12"/>
    </row>
    <row r="193" spans="1:13" x14ac:dyDescent="0.15">
      <c r="A193" s="12"/>
      <c r="B193" s="18"/>
      <c r="C193" s="18"/>
      <c r="D193" s="18"/>
      <c r="E193" s="9"/>
      <c r="F193" s="38"/>
      <c r="G193" s="39"/>
      <c r="H193" s="12"/>
      <c r="I193" s="12"/>
      <c r="J193" s="12"/>
      <c r="K193" s="23"/>
      <c r="L193" s="33"/>
      <c r="M193" s="12"/>
    </row>
    <row r="194" spans="1:13" x14ac:dyDescent="0.15">
      <c r="A194" s="12"/>
      <c r="B194" s="18"/>
      <c r="C194" s="18"/>
      <c r="D194" s="18"/>
      <c r="E194" s="9"/>
      <c r="F194" s="38"/>
      <c r="G194" s="39"/>
      <c r="H194" s="12"/>
      <c r="I194" s="12"/>
      <c r="J194" s="12"/>
      <c r="K194" s="23"/>
      <c r="L194" s="33"/>
      <c r="M194" s="12"/>
    </row>
    <row r="195" spans="1:13" x14ac:dyDescent="0.15">
      <c r="A195" s="12"/>
      <c r="B195" s="18"/>
      <c r="C195" s="18"/>
      <c r="D195" s="18"/>
      <c r="E195" s="9"/>
      <c r="F195" s="38"/>
      <c r="G195" s="39"/>
      <c r="H195" s="12"/>
      <c r="I195" s="12"/>
      <c r="J195" s="12"/>
      <c r="K195" s="23"/>
      <c r="L195" s="33"/>
      <c r="M195" s="12"/>
    </row>
    <row r="196" spans="1:13" x14ac:dyDescent="0.15">
      <c r="A196" s="12"/>
      <c r="B196" s="18"/>
      <c r="C196" s="18"/>
      <c r="D196" s="18"/>
      <c r="E196" s="9"/>
      <c r="F196" s="38"/>
      <c r="G196" s="39"/>
      <c r="H196" s="12"/>
      <c r="I196" s="12"/>
      <c r="J196" s="12"/>
      <c r="K196" s="23"/>
      <c r="L196" s="33"/>
      <c r="M196" s="12"/>
    </row>
    <row r="197" spans="1:13" x14ac:dyDescent="0.15">
      <c r="A197" s="12"/>
      <c r="B197" s="18"/>
      <c r="C197" s="18"/>
      <c r="D197" s="18"/>
      <c r="E197" s="9"/>
      <c r="F197" s="38"/>
      <c r="G197" s="39"/>
      <c r="H197" s="12"/>
      <c r="I197" s="12"/>
      <c r="J197" s="12"/>
      <c r="K197" s="23"/>
      <c r="L197" s="33"/>
      <c r="M197" s="12"/>
    </row>
    <row r="198" spans="1:13" x14ac:dyDescent="0.15">
      <c r="A198" s="12"/>
      <c r="B198" s="18"/>
      <c r="C198" s="18"/>
      <c r="D198" s="18"/>
      <c r="E198" s="9"/>
      <c r="F198" s="38"/>
      <c r="G198" s="39"/>
      <c r="H198" s="12"/>
      <c r="I198" s="12"/>
      <c r="J198" s="12"/>
      <c r="K198" s="23"/>
      <c r="L198" s="33"/>
      <c r="M198" s="12"/>
    </row>
    <row r="199" spans="1:13" x14ac:dyDescent="0.15">
      <c r="A199" s="12"/>
      <c r="B199" s="18"/>
      <c r="C199" s="18"/>
      <c r="D199" s="18"/>
      <c r="E199" s="9"/>
      <c r="F199" s="38"/>
      <c r="G199" s="39"/>
      <c r="H199" s="12"/>
      <c r="I199" s="12"/>
      <c r="J199" s="12"/>
      <c r="K199" s="23"/>
      <c r="L199" s="33"/>
      <c r="M199" s="12"/>
    </row>
    <row r="200" spans="1:13" x14ac:dyDescent="0.15">
      <c r="A200" s="12"/>
      <c r="B200" s="18"/>
      <c r="C200" s="18"/>
      <c r="D200" s="18"/>
      <c r="E200" s="9"/>
      <c r="F200" s="38"/>
      <c r="G200" s="39"/>
      <c r="H200" s="12"/>
      <c r="I200" s="12"/>
      <c r="J200" s="12"/>
      <c r="K200" s="23"/>
      <c r="L200" s="33"/>
      <c r="M200" s="12"/>
    </row>
    <row r="201" spans="1:13" x14ac:dyDescent="0.15">
      <c r="A201" s="12"/>
      <c r="B201" s="18"/>
      <c r="C201" s="18"/>
      <c r="D201" s="18"/>
      <c r="E201" s="9"/>
      <c r="F201" s="38"/>
      <c r="G201" s="39"/>
      <c r="H201" s="12"/>
      <c r="I201" s="12"/>
      <c r="J201" s="12"/>
      <c r="K201" s="23"/>
      <c r="L201" s="33"/>
      <c r="M201" s="12"/>
    </row>
    <row r="202" spans="1:13" x14ac:dyDescent="0.15">
      <c r="A202" s="12"/>
      <c r="B202" s="18"/>
      <c r="C202" s="18"/>
      <c r="D202" s="18"/>
      <c r="E202" s="9"/>
      <c r="F202" s="38"/>
      <c r="G202" s="39"/>
      <c r="H202" s="12"/>
      <c r="I202" s="12"/>
      <c r="J202" s="12"/>
      <c r="K202" s="23"/>
      <c r="L202" s="33"/>
      <c r="M202" s="12"/>
    </row>
    <row r="203" spans="1:13" x14ac:dyDescent="0.15">
      <c r="A203" s="12"/>
      <c r="B203" s="18"/>
      <c r="C203" s="18"/>
      <c r="D203" s="18"/>
      <c r="E203" s="9"/>
      <c r="F203" s="38"/>
      <c r="G203" s="39"/>
      <c r="H203" s="12"/>
      <c r="I203" s="12"/>
      <c r="J203" s="12"/>
      <c r="K203" s="23"/>
      <c r="L203" s="33"/>
      <c r="M203" s="12"/>
    </row>
    <row r="204" spans="1:13" x14ac:dyDescent="0.15">
      <c r="A204" s="12"/>
      <c r="B204" s="18"/>
      <c r="C204" s="18"/>
      <c r="D204" s="18"/>
      <c r="E204" s="9"/>
      <c r="F204" s="38"/>
      <c r="G204" s="39"/>
      <c r="H204" s="12"/>
      <c r="I204" s="12"/>
      <c r="J204" s="12"/>
      <c r="K204" s="23"/>
      <c r="L204" s="33"/>
      <c r="M204" s="12"/>
    </row>
    <row r="205" spans="1:13" x14ac:dyDescent="0.15">
      <c r="A205" s="12"/>
      <c r="B205" s="18"/>
      <c r="C205" s="18"/>
      <c r="D205" s="18"/>
      <c r="E205" s="9"/>
      <c r="F205" s="38"/>
      <c r="G205" s="39"/>
      <c r="H205" s="12"/>
      <c r="I205" s="12"/>
      <c r="J205" s="12"/>
      <c r="K205" s="23"/>
      <c r="L205" s="33"/>
      <c r="M205" s="12"/>
    </row>
    <row r="206" spans="1:13" x14ac:dyDescent="0.15">
      <c r="A206" s="12"/>
      <c r="B206" s="18"/>
      <c r="C206" s="18"/>
      <c r="D206" s="18"/>
      <c r="E206" s="9"/>
      <c r="F206" s="38"/>
      <c r="G206" s="39"/>
      <c r="H206" s="12"/>
      <c r="I206" s="12"/>
      <c r="J206" s="12"/>
      <c r="K206" s="23"/>
      <c r="L206" s="33"/>
      <c r="M206" s="12"/>
    </row>
    <row r="207" spans="1:13" x14ac:dyDescent="0.15">
      <c r="A207" s="12"/>
      <c r="B207" s="18"/>
      <c r="C207" s="18"/>
      <c r="D207" s="18"/>
      <c r="E207" s="9"/>
      <c r="F207" s="38"/>
      <c r="G207" s="39"/>
      <c r="H207" s="12"/>
      <c r="I207" s="12"/>
      <c r="J207" s="12"/>
      <c r="K207" s="23"/>
      <c r="L207" s="33"/>
      <c r="M207" s="12"/>
    </row>
    <row r="208" spans="1:13" x14ac:dyDescent="0.15">
      <c r="A208" s="12"/>
      <c r="B208" s="18"/>
      <c r="C208" s="18"/>
      <c r="D208" s="18"/>
      <c r="E208" s="9"/>
      <c r="F208" s="38"/>
      <c r="G208" s="39"/>
      <c r="H208" s="12"/>
      <c r="I208" s="12"/>
      <c r="J208" s="12"/>
      <c r="K208" s="23"/>
      <c r="L208" s="33"/>
      <c r="M208" s="12"/>
    </row>
    <row r="209" spans="1:13" x14ac:dyDescent="0.15">
      <c r="A209" s="12"/>
      <c r="B209" s="18"/>
      <c r="C209" s="18"/>
      <c r="D209" s="18"/>
      <c r="E209" s="9"/>
      <c r="F209" s="38"/>
      <c r="G209" s="39"/>
      <c r="H209" s="12"/>
      <c r="I209" s="12"/>
      <c r="J209" s="12"/>
      <c r="K209" s="23"/>
      <c r="L209" s="33"/>
      <c r="M209" s="12"/>
    </row>
    <row r="210" spans="1:13" x14ac:dyDescent="0.15">
      <c r="A210" s="12"/>
      <c r="B210" s="18"/>
      <c r="C210" s="18"/>
      <c r="D210" s="18"/>
      <c r="E210" s="9"/>
      <c r="F210" s="38"/>
      <c r="G210" s="39"/>
      <c r="H210" s="12"/>
      <c r="I210" s="12"/>
      <c r="J210" s="12"/>
      <c r="K210" s="23"/>
      <c r="L210" s="33"/>
      <c r="M210" s="12"/>
    </row>
    <row r="211" spans="1:13" x14ac:dyDescent="0.15">
      <c r="A211" s="12"/>
      <c r="B211" s="18"/>
      <c r="C211" s="18"/>
      <c r="D211" s="18"/>
      <c r="E211" s="9"/>
      <c r="F211" s="38"/>
      <c r="G211" s="39"/>
      <c r="H211" s="12"/>
      <c r="I211" s="12"/>
      <c r="J211" s="12"/>
      <c r="K211" s="23"/>
      <c r="L211" s="33"/>
      <c r="M211" s="12"/>
    </row>
    <row r="212" spans="1:13" x14ac:dyDescent="0.15">
      <c r="A212" s="12"/>
      <c r="B212" s="18"/>
      <c r="C212" s="18"/>
      <c r="D212" s="18"/>
      <c r="E212" s="9"/>
      <c r="F212" s="38"/>
      <c r="G212" s="39"/>
      <c r="H212" s="12"/>
      <c r="I212" s="12"/>
      <c r="J212" s="12"/>
      <c r="K212" s="23"/>
      <c r="L212" s="34"/>
      <c r="M212" s="12"/>
    </row>
    <row r="213" spans="1:13" x14ac:dyDescent="0.15">
      <c r="A213" s="12"/>
      <c r="B213" s="18"/>
      <c r="C213" s="18"/>
      <c r="D213" s="18"/>
      <c r="E213" s="9"/>
      <c r="F213" s="38"/>
      <c r="G213" s="39"/>
      <c r="H213" s="12"/>
      <c r="I213" s="12"/>
      <c r="J213" s="12"/>
      <c r="K213" s="23"/>
      <c r="L213" s="34"/>
      <c r="M213" s="12"/>
    </row>
    <row r="214" spans="1:13" x14ac:dyDescent="0.15">
      <c r="A214" s="12"/>
      <c r="B214" s="18"/>
      <c r="C214" s="18"/>
      <c r="D214" s="18"/>
      <c r="E214" s="9"/>
      <c r="F214" s="38"/>
      <c r="G214" s="39"/>
      <c r="H214" s="12"/>
      <c r="I214" s="12"/>
      <c r="J214" s="12"/>
      <c r="K214" s="23"/>
      <c r="L214" s="34"/>
      <c r="M214" s="12"/>
    </row>
    <row r="215" spans="1:13" x14ac:dyDescent="0.15">
      <c r="A215" s="12"/>
      <c r="B215" s="18"/>
      <c r="C215" s="18"/>
      <c r="D215" s="18"/>
      <c r="E215" s="9"/>
      <c r="F215" s="38"/>
      <c r="G215" s="39"/>
      <c r="H215" s="12"/>
      <c r="I215" s="12"/>
      <c r="J215" s="12"/>
      <c r="K215" s="23"/>
      <c r="L215" s="34"/>
      <c r="M215" s="12"/>
    </row>
    <row r="216" spans="1:13" x14ac:dyDescent="0.15">
      <c r="A216" s="12"/>
      <c r="B216" s="18"/>
      <c r="C216" s="18"/>
      <c r="D216" s="18"/>
      <c r="E216" s="9"/>
      <c r="F216" s="38"/>
      <c r="G216" s="39"/>
      <c r="H216" s="12"/>
      <c r="I216" s="12"/>
      <c r="J216" s="12"/>
      <c r="K216" s="23"/>
      <c r="L216" s="34"/>
      <c r="M216" s="12"/>
    </row>
    <row r="217" spans="1:13" x14ac:dyDescent="0.15">
      <c r="A217" s="12"/>
      <c r="B217" s="18"/>
      <c r="C217" s="18"/>
      <c r="D217" s="18"/>
      <c r="E217" s="9"/>
      <c r="F217" s="38"/>
      <c r="G217" s="39"/>
      <c r="H217" s="12"/>
      <c r="I217" s="12"/>
      <c r="J217" s="12"/>
      <c r="K217" s="23"/>
      <c r="L217" s="34"/>
      <c r="M217" s="12"/>
    </row>
    <row r="218" spans="1:13" x14ac:dyDescent="0.15">
      <c r="A218" s="12"/>
      <c r="B218" s="18"/>
      <c r="C218" s="18"/>
      <c r="D218" s="18"/>
      <c r="E218" s="9"/>
      <c r="F218" s="38"/>
      <c r="G218" s="39"/>
      <c r="H218" s="12"/>
      <c r="I218" s="12"/>
      <c r="J218" s="12"/>
      <c r="K218" s="23"/>
      <c r="L218" s="34"/>
      <c r="M218" s="12"/>
    </row>
    <row r="219" spans="1:13" x14ac:dyDescent="0.15">
      <c r="A219" s="12"/>
      <c r="B219" s="18"/>
      <c r="C219" s="18"/>
      <c r="D219" s="18"/>
      <c r="E219" s="9"/>
      <c r="F219" s="38"/>
      <c r="G219" s="39"/>
      <c r="H219" s="12"/>
      <c r="I219" s="12"/>
      <c r="J219" s="12"/>
      <c r="K219" s="23"/>
      <c r="L219" s="34"/>
      <c r="M219" s="12"/>
    </row>
    <row r="220" spans="1:13" x14ac:dyDescent="0.15">
      <c r="A220" s="12"/>
      <c r="B220" s="18"/>
      <c r="C220" s="18"/>
      <c r="D220" s="18"/>
      <c r="E220" s="9"/>
      <c r="F220" s="38"/>
      <c r="G220" s="39"/>
      <c r="H220" s="12"/>
      <c r="I220" s="12"/>
      <c r="J220" s="12"/>
      <c r="K220" s="23"/>
      <c r="L220" s="34"/>
      <c r="M220" s="12"/>
    </row>
    <row r="221" spans="1:13" x14ac:dyDescent="0.15">
      <c r="A221" s="12"/>
      <c r="B221" s="18"/>
      <c r="C221" s="12"/>
      <c r="D221" s="12"/>
      <c r="E221" s="3"/>
      <c r="F221" s="38"/>
      <c r="G221" s="39"/>
      <c r="H221" s="12"/>
      <c r="I221" s="12"/>
      <c r="J221" s="12"/>
      <c r="K221" s="23"/>
      <c r="L221" s="34"/>
      <c r="M221" s="12"/>
    </row>
    <row r="222" spans="1:13" x14ac:dyDescent="0.15">
      <c r="A222" s="12"/>
      <c r="B222" s="18"/>
      <c r="C222" s="18"/>
      <c r="D222" s="18"/>
      <c r="E222" s="9"/>
      <c r="F222" s="38"/>
      <c r="G222" s="39"/>
      <c r="H222" s="12"/>
      <c r="I222" s="12"/>
      <c r="J222" s="12"/>
      <c r="K222" s="23"/>
      <c r="L222" s="29"/>
      <c r="M222" s="12"/>
    </row>
    <row r="223" spans="1:13" x14ac:dyDescent="0.15">
      <c r="A223" s="12"/>
      <c r="B223" s="18"/>
      <c r="C223" s="18"/>
      <c r="D223" s="18"/>
      <c r="E223" s="9"/>
      <c r="F223" s="38"/>
      <c r="G223" s="39"/>
      <c r="H223" s="12"/>
      <c r="I223" s="12"/>
      <c r="J223" s="12"/>
      <c r="K223" s="23"/>
      <c r="L223" s="29"/>
      <c r="M223" s="12"/>
    </row>
    <row r="224" spans="1:13" x14ac:dyDescent="0.15">
      <c r="A224" s="12"/>
      <c r="B224" s="18"/>
      <c r="C224" s="18"/>
      <c r="D224" s="18"/>
      <c r="E224" s="9"/>
      <c r="F224" s="38"/>
      <c r="G224" s="39"/>
      <c r="H224" s="12"/>
      <c r="I224" s="12"/>
      <c r="J224" s="12"/>
      <c r="K224" s="23"/>
      <c r="L224" s="29"/>
      <c r="M224" s="12"/>
    </row>
    <row r="225" spans="1:13" x14ac:dyDescent="0.15">
      <c r="A225" s="12"/>
      <c r="B225" s="18"/>
      <c r="C225" s="18"/>
      <c r="D225" s="18"/>
      <c r="E225" s="9"/>
      <c r="F225" s="38"/>
      <c r="G225" s="39"/>
      <c r="H225" s="12"/>
      <c r="I225" s="12"/>
      <c r="J225" s="12"/>
      <c r="K225" s="23"/>
      <c r="L225" s="29"/>
      <c r="M225" s="12"/>
    </row>
    <row r="226" spans="1:13" x14ac:dyDescent="0.15">
      <c r="A226" s="12"/>
      <c r="B226" s="18"/>
      <c r="C226" s="18"/>
      <c r="D226" s="18"/>
      <c r="E226" s="9"/>
      <c r="F226" s="38"/>
      <c r="G226" s="39"/>
      <c r="H226" s="12"/>
      <c r="I226" s="12"/>
      <c r="J226" s="12"/>
      <c r="K226" s="23"/>
      <c r="L226" s="29"/>
      <c r="M226" s="12"/>
    </row>
    <row r="227" spans="1:13" x14ac:dyDescent="0.15">
      <c r="A227" s="12"/>
      <c r="B227" s="18"/>
      <c r="C227" s="18"/>
      <c r="D227" s="18"/>
      <c r="E227" s="9"/>
      <c r="F227" s="38"/>
      <c r="G227" s="39"/>
      <c r="H227" s="12"/>
      <c r="I227" s="12"/>
      <c r="J227" s="12"/>
      <c r="K227" s="23"/>
      <c r="L227" s="29"/>
      <c r="M227" s="12"/>
    </row>
    <row r="228" spans="1:13" x14ac:dyDescent="0.15">
      <c r="A228" s="12"/>
      <c r="B228" s="18"/>
      <c r="C228" s="18"/>
      <c r="D228" s="18"/>
      <c r="E228" s="9"/>
      <c r="F228" s="38"/>
      <c r="G228" s="39"/>
      <c r="H228" s="12"/>
      <c r="I228" s="12"/>
      <c r="J228" s="12"/>
      <c r="K228" s="23"/>
      <c r="L228" s="29"/>
      <c r="M228" s="12"/>
    </row>
    <row r="229" spans="1:13" x14ac:dyDescent="0.15">
      <c r="A229" s="12"/>
      <c r="B229" s="18"/>
      <c r="C229" s="18"/>
      <c r="D229" s="18"/>
      <c r="E229" s="9"/>
      <c r="F229" s="38"/>
      <c r="G229" s="39"/>
      <c r="H229" s="12"/>
      <c r="I229" s="12"/>
      <c r="J229" s="12"/>
      <c r="K229" s="23"/>
      <c r="L229" s="29"/>
      <c r="M229" s="12"/>
    </row>
    <row r="230" spans="1:13" x14ac:dyDescent="0.15">
      <c r="A230" s="12"/>
      <c r="B230" s="18"/>
      <c r="C230" s="18"/>
      <c r="D230" s="18"/>
      <c r="E230" s="9"/>
      <c r="F230" s="38"/>
      <c r="G230" s="39"/>
      <c r="H230" s="12"/>
      <c r="I230" s="12"/>
      <c r="J230" s="12"/>
      <c r="K230" s="23"/>
      <c r="L230" s="29"/>
      <c r="M230" s="12"/>
    </row>
    <row r="231" spans="1:13" x14ac:dyDescent="0.15">
      <c r="A231" s="12"/>
      <c r="B231" s="18"/>
      <c r="C231" s="18"/>
      <c r="D231" s="18"/>
      <c r="E231" s="9"/>
      <c r="F231" s="38"/>
      <c r="G231" s="39"/>
      <c r="H231" s="12"/>
      <c r="I231" s="12"/>
      <c r="J231" s="12"/>
      <c r="K231" s="23"/>
      <c r="L231" s="29"/>
      <c r="M231" s="12"/>
    </row>
    <row r="232" spans="1:13" x14ac:dyDescent="0.15">
      <c r="A232" s="12"/>
      <c r="B232" s="18"/>
      <c r="C232" s="18"/>
      <c r="D232" s="18"/>
      <c r="E232" s="9"/>
      <c r="F232" s="38"/>
      <c r="G232" s="39"/>
      <c r="H232" s="12"/>
      <c r="I232" s="12"/>
      <c r="J232" s="12"/>
      <c r="K232" s="23"/>
      <c r="L232" s="29"/>
      <c r="M232" s="12"/>
    </row>
    <row r="233" spans="1:13" x14ac:dyDescent="0.15">
      <c r="A233" s="12"/>
      <c r="B233" s="18"/>
      <c r="C233" s="18"/>
      <c r="D233" s="18"/>
      <c r="E233" s="9"/>
      <c r="F233" s="38"/>
      <c r="G233" s="39"/>
      <c r="H233" s="12"/>
      <c r="I233" s="12"/>
      <c r="J233" s="12"/>
      <c r="K233" s="23"/>
      <c r="L233" s="29"/>
      <c r="M233" s="12"/>
    </row>
    <row r="234" spans="1:13" x14ac:dyDescent="0.15">
      <c r="A234" s="12"/>
      <c r="B234" s="18"/>
      <c r="C234" s="18"/>
      <c r="D234" s="18"/>
      <c r="E234" s="9"/>
      <c r="F234" s="38"/>
      <c r="G234" s="39"/>
      <c r="H234" s="12"/>
      <c r="I234" s="12"/>
      <c r="J234" s="12"/>
      <c r="K234" s="23"/>
      <c r="L234" s="29"/>
      <c r="M234" s="12"/>
    </row>
    <row r="235" spans="1:13" x14ac:dyDescent="0.15">
      <c r="A235" s="12"/>
      <c r="B235" s="18"/>
      <c r="C235" s="18"/>
      <c r="D235" s="18"/>
      <c r="E235" s="9"/>
      <c r="F235" s="38"/>
      <c r="G235" s="39"/>
      <c r="H235" s="12"/>
      <c r="I235" s="12"/>
      <c r="J235" s="12"/>
      <c r="K235" s="23"/>
      <c r="L235" s="29"/>
      <c r="M235" s="12"/>
    </row>
    <row r="236" spans="1:13" x14ac:dyDescent="0.15">
      <c r="A236" s="12"/>
      <c r="B236" s="18"/>
      <c r="C236" s="18"/>
      <c r="D236" s="18"/>
      <c r="E236" s="9"/>
      <c r="F236" s="38"/>
      <c r="G236" s="39"/>
      <c r="H236" s="12"/>
      <c r="I236" s="12"/>
      <c r="J236" s="12"/>
      <c r="K236" s="23"/>
      <c r="L236" s="29"/>
      <c r="M236" s="12"/>
    </row>
    <row r="237" spans="1:13" x14ac:dyDescent="0.15">
      <c r="A237" s="12"/>
      <c r="B237" s="18"/>
      <c r="C237" s="18"/>
      <c r="D237" s="18"/>
      <c r="E237" s="9"/>
      <c r="F237" s="38"/>
      <c r="G237" s="39"/>
      <c r="H237" s="12"/>
      <c r="I237" s="12"/>
      <c r="J237" s="12"/>
      <c r="K237" s="23"/>
      <c r="L237" s="29"/>
      <c r="M237" s="12"/>
    </row>
    <row r="238" spans="1:13" x14ac:dyDescent="0.15">
      <c r="A238" s="12"/>
      <c r="B238" s="18"/>
      <c r="C238" s="18"/>
      <c r="D238" s="18"/>
      <c r="E238" s="9"/>
      <c r="F238" s="38"/>
      <c r="G238" s="39"/>
      <c r="H238" s="12"/>
      <c r="I238" s="12"/>
      <c r="J238" s="12"/>
      <c r="K238" s="23"/>
      <c r="L238" s="29"/>
      <c r="M238" s="12"/>
    </row>
    <row r="239" spans="1:13" x14ac:dyDescent="0.15">
      <c r="A239" s="12"/>
      <c r="B239" s="18"/>
      <c r="C239" s="18"/>
      <c r="D239" s="18"/>
      <c r="E239" s="9"/>
      <c r="F239" s="38"/>
      <c r="G239" s="39"/>
      <c r="H239" s="12"/>
      <c r="I239" s="12"/>
      <c r="J239" s="12"/>
      <c r="K239" s="23"/>
      <c r="L239" s="29"/>
      <c r="M239" s="12"/>
    </row>
    <row r="240" spans="1:13" x14ac:dyDescent="0.15">
      <c r="A240" s="12"/>
      <c r="B240" s="18"/>
      <c r="C240" s="18"/>
      <c r="D240" s="18"/>
      <c r="E240" s="9"/>
      <c r="F240" s="38"/>
      <c r="G240" s="39"/>
      <c r="H240" s="12"/>
      <c r="I240" s="12"/>
      <c r="J240" s="12"/>
      <c r="K240" s="23"/>
      <c r="L240" s="29"/>
      <c r="M240" s="12"/>
    </row>
    <row r="241" spans="1:13" x14ac:dyDescent="0.15">
      <c r="A241" s="12"/>
      <c r="B241" s="18"/>
      <c r="C241" s="18"/>
      <c r="D241" s="18"/>
      <c r="E241" s="9"/>
      <c r="F241" s="38"/>
      <c r="G241" s="39"/>
      <c r="H241" s="12"/>
      <c r="I241" s="12"/>
      <c r="J241" s="12"/>
      <c r="K241" s="23"/>
      <c r="L241" s="29"/>
      <c r="M241" s="12"/>
    </row>
    <row r="242" spans="1:13" x14ac:dyDescent="0.15">
      <c r="A242" s="12"/>
      <c r="B242" s="18"/>
      <c r="C242" s="18"/>
      <c r="D242" s="18"/>
      <c r="E242" s="9"/>
      <c r="F242" s="38"/>
      <c r="G242" s="39"/>
      <c r="H242" s="12"/>
      <c r="I242" s="12"/>
      <c r="J242" s="12"/>
      <c r="K242" s="23"/>
      <c r="L242" s="29"/>
      <c r="M242" s="12"/>
    </row>
    <row r="243" spans="1:13" x14ac:dyDescent="0.15">
      <c r="A243" s="12"/>
      <c r="B243" s="18"/>
      <c r="C243" s="18"/>
      <c r="D243" s="18"/>
      <c r="E243" s="9"/>
      <c r="F243" s="38"/>
      <c r="G243" s="39"/>
      <c r="H243" s="12"/>
      <c r="I243" s="12"/>
      <c r="J243" s="12"/>
      <c r="K243" s="23"/>
      <c r="L243" s="29"/>
      <c r="M243" s="12"/>
    </row>
    <row r="244" spans="1:13" x14ac:dyDescent="0.15">
      <c r="A244" s="12"/>
      <c r="B244" s="18"/>
      <c r="C244" s="18"/>
      <c r="D244" s="18"/>
      <c r="E244" s="9"/>
      <c r="F244" s="38"/>
      <c r="G244" s="39"/>
      <c r="H244" s="12"/>
      <c r="I244" s="12"/>
      <c r="J244" s="12"/>
      <c r="K244" s="23"/>
      <c r="L244" s="29"/>
      <c r="M244" s="12"/>
    </row>
    <row r="245" spans="1:13" x14ac:dyDescent="0.15">
      <c r="A245" s="12"/>
      <c r="B245" s="18"/>
      <c r="C245" s="18"/>
      <c r="D245" s="18"/>
      <c r="E245" s="9"/>
      <c r="F245" s="38"/>
      <c r="G245" s="39"/>
      <c r="H245" s="12"/>
      <c r="I245" s="12"/>
      <c r="J245" s="12"/>
      <c r="K245" s="23"/>
      <c r="L245" s="29"/>
      <c r="M245" s="12"/>
    </row>
    <row r="246" spans="1:13" x14ac:dyDescent="0.15">
      <c r="A246" s="12"/>
      <c r="B246" s="18"/>
      <c r="C246" s="18"/>
      <c r="D246" s="18"/>
      <c r="E246" s="9"/>
      <c r="F246" s="38"/>
      <c r="G246" s="39"/>
      <c r="H246" s="12"/>
      <c r="I246" s="12"/>
      <c r="J246" s="12"/>
      <c r="K246" s="23"/>
      <c r="L246" s="29"/>
      <c r="M246" s="12"/>
    </row>
    <row r="247" spans="1:13" x14ac:dyDescent="0.15">
      <c r="A247" s="12"/>
      <c r="B247" s="18"/>
      <c r="C247" s="18"/>
      <c r="D247" s="18"/>
      <c r="E247" s="9"/>
      <c r="F247" s="38"/>
      <c r="G247" s="39"/>
      <c r="H247" s="12"/>
      <c r="I247" s="12"/>
      <c r="J247" s="12"/>
      <c r="K247" s="23"/>
      <c r="L247" s="29"/>
      <c r="M247" s="12"/>
    </row>
    <row r="248" spans="1:13" x14ac:dyDescent="0.15">
      <c r="A248" s="12"/>
      <c r="B248" s="18"/>
      <c r="C248" s="18"/>
      <c r="D248" s="18"/>
      <c r="E248" s="9"/>
      <c r="F248" s="38"/>
      <c r="G248" s="39"/>
      <c r="H248" s="12"/>
      <c r="I248" s="12"/>
      <c r="J248" s="12"/>
      <c r="K248" s="23"/>
      <c r="L248" s="29"/>
      <c r="M248" s="12"/>
    </row>
    <row r="249" spans="1:13" x14ac:dyDescent="0.15">
      <c r="A249" s="12"/>
      <c r="B249" s="18"/>
      <c r="C249" s="18"/>
      <c r="D249" s="18"/>
      <c r="E249" s="9"/>
      <c r="F249" s="38"/>
      <c r="G249" s="39"/>
      <c r="H249" s="12"/>
      <c r="I249" s="12"/>
      <c r="J249" s="12"/>
      <c r="K249" s="23"/>
      <c r="L249" s="29"/>
      <c r="M249" s="12"/>
    </row>
    <row r="250" spans="1:13" x14ac:dyDescent="0.15">
      <c r="A250" s="12"/>
      <c r="B250" s="18"/>
      <c r="C250" s="18"/>
      <c r="D250" s="18"/>
      <c r="E250" s="9"/>
      <c r="F250" s="38"/>
      <c r="G250" s="39"/>
      <c r="H250" s="12"/>
      <c r="I250" s="12"/>
      <c r="J250" s="12"/>
      <c r="K250" s="23"/>
      <c r="L250" s="29"/>
      <c r="M250" s="12"/>
    </row>
    <row r="251" spans="1:13" x14ac:dyDescent="0.15">
      <c r="A251" s="12"/>
      <c r="B251" s="18"/>
      <c r="C251" s="18"/>
      <c r="D251" s="18"/>
      <c r="E251" s="9"/>
      <c r="F251" s="38"/>
      <c r="G251" s="39"/>
      <c r="H251" s="12"/>
      <c r="I251" s="12"/>
      <c r="J251" s="12"/>
      <c r="K251" s="23"/>
      <c r="L251" s="29"/>
      <c r="M251" s="12"/>
    </row>
    <row r="252" spans="1:13" x14ac:dyDescent="0.15">
      <c r="A252" s="12"/>
      <c r="B252" s="18"/>
      <c r="C252" s="18"/>
      <c r="D252" s="18"/>
      <c r="E252" s="9"/>
      <c r="F252" s="38"/>
      <c r="G252" s="39"/>
      <c r="H252" s="12"/>
      <c r="I252" s="12"/>
      <c r="J252" s="12"/>
      <c r="K252" s="23"/>
      <c r="L252" s="29"/>
      <c r="M252" s="12"/>
    </row>
    <row r="253" spans="1:13" x14ac:dyDescent="0.15">
      <c r="A253" s="12"/>
      <c r="B253" s="18"/>
      <c r="C253" s="18"/>
      <c r="D253" s="18"/>
      <c r="E253" s="9"/>
      <c r="F253" s="38"/>
      <c r="G253" s="39"/>
      <c r="H253" s="12"/>
      <c r="I253" s="12"/>
      <c r="J253" s="12"/>
      <c r="K253" s="23"/>
      <c r="L253" s="29"/>
      <c r="M253" s="12"/>
    </row>
    <row r="254" spans="1:13" x14ac:dyDescent="0.15">
      <c r="A254" s="12"/>
      <c r="B254" s="18"/>
      <c r="C254" s="18"/>
      <c r="D254" s="18"/>
      <c r="E254" s="9"/>
      <c r="F254" s="38"/>
      <c r="G254" s="39"/>
      <c r="H254" s="12"/>
      <c r="I254" s="12"/>
      <c r="J254" s="12"/>
      <c r="K254" s="23"/>
      <c r="L254" s="29"/>
      <c r="M254" s="12"/>
    </row>
    <row r="255" spans="1:13" x14ac:dyDescent="0.15">
      <c r="A255" s="12"/>
      <c r="B255" s="18"/>
      <c r="C255" s="18"/>
      <c r="D255" s="18"/>
      <c r="E255" s="9"/>
      <c r="F255" s="38"/>
      <c r="G255" s="39"/>
      <c r="H255" s="12"/>
      <c r="I255" s="12"/>
      <c r="J255" s="12"/>
      <c r="K255" s="23"/>
      <c r="L255" s="29"/>
      <c r="M255" s="12"/>
    </row>
    <row r="256" spans="1:13" x14ac:dyDescent="0.15">
      <c r="A256" s="12"/>
      <c r="B256" s="18"/>
      <c r="C256" s="18"/>
      <c r="D256" s="18"/>
      <c r="E256" s="9"/>
      <c r="F256" s="38"/>
      <c r="G256" s="39"/>
      <c r="H256" s="12"/>
      <c r="I256" s="12"/>
      <c r="J256" s="12"/>
      <c r="K256" s="23"/>
      <c r="L256" s="29"/>
      <c r="M256" s="12"/>
    </row>
    <row r="257" spans="1:13" x14ac:dyDescent="0.15">
      <c r="A257" s="12"/>
      <c r="B257" s="18"/>
      <c r="C257" s="18"/>
      <c r="D257" s="18"/>
      <c r="E257" s="9"/>
      <c r="F257" s="38"/>
      <c r="G257" s="39"/>
      <c r="H257" s="12"/>
      <c r="I257" s="12"/>
      <c r="J257" s="12"/>
      <c r="K257" s="23"/>
      <c r="L257" s="29"/>
      <c r="M257" s="12"/>
    </row>
    <row r="258" spans="1:13" x14ac:dyDescent="0.15">
      <c r="A258" s="12"/>
      <c r="B258" s="18"/>
      <c r="C258" s="18"/>
      <c r="D258" s="18"/>
      <c r="E258" s="9"/>
      <c r="F258" s="38"/>
      <c r="G258" s="39"/>
      <c r="H258" s="12"/>
      <c r="I258" s="12"/>
      <c r="J258" s="12"/>
      <c r="K258" s="23"/>
      <c r="L258" s="29"/>
      <c r="M258" s="12"/>
    </row>
    <row r="259" spans="1:13" x14ac:dyDescent="0.15">
      <c r="A259" s="12"/>
      <c r="B259" s="18"/>
      <c r="C259" s="18"/>
      <c r="D259" s="18"/>
      <c r="E259" s="9"/>
      <c r="F259" s="38"/>
      <c r="G259" s="39"/>
      <c r="H259" s="12"/>
      <c r="I259" s="12"/>
      <c r="J259" s="12"/>
      <c r="K259" s="23"/>
      <c r="L259" s="29"/>
      <c r="M259" s="12"/>
    </row>
    <row r="260" spans="1:13" x14ac:dyDescent="0.15">
      <c r="A260" s="12"/>
      <c r="B260" s="18"/>
      <c r="C260" s="18"/>
      <c r="D260" s="18"/>
      <c r="E260" s="9"/>
      <c r="F260" s="38"/>
      <c r="G260" s="39"/>
      <c r="H260" s="12"/>
      <c r="I260" s="12"/>
      <c r="J260" s="12"/>
      <c r="K260" s="23"/>
      <c r="L260" s="29"/>
      <c r="M260" s="12"/>
    </row>
    <row r="261" spans="1:13" x14ac:dyDescent="0.15">
      <c r="A261" s="12"/>
      <c r="B261" s="18"/>
      <c r="C261" s="18"/>
      <c r="D261" s="18"/>
      <c r="E261" s="9"/>
      <c r="F261" s="38"/>
      <c r="G261" s="39"/>
      <c r="H261" s="12"/>
      <c r="I261" s="12"/>
      <c r="J261" s="12"/>
      <c r="K261" s="23"/>
      <c r="L261" s="29"/>
      <c r="M261" s="12"/>
    </row>
    <row r="262" spans="1:13" x14ac:dyDescent="0.15">
      <c r="A262" s="12"/>
      <c r="B262" s="18"/>
      <c r="C262" s="18"/>
      <c r="D262" s="18"/>
      <c r="E262" s="9"/>
      <c r="F262" s="38"/>
      <c r="G262" s="39"/>
      <c r="H262" s="12"/>
      <c r="I262" s="12"/>
      <c r="J262" s="12"/>
      <c r="K262" s="23"/>
      <c r="L262" s="29"/>
      <c r="M262" s="12"/>
    </row>
    <row r="263" spans="1:13" x14ac:dyDescent="0.15">
      <c r="A263" s="12"/>
      <c r="B263" s="18"/>
      <c r="C263" s="18"/>
      <c r="D263" s="18"/>
      <c r="E263" s="9"/>
      <c r="F263" s="38"/>
      <c r="G263" s="39"/>
      <c r="H263" s="12"/>
      <c r="I263" s="12"/>
      <c r="J263" s="12"/>
      <c r="K263" s="23"/>
      <c r="L263" s="29"/>
      <c r="M263" s="12"/>
    </row>
    <row r="264" spans="1:13" x14ac:dyDescent="0.15">
      <c r="A264" s="12"/>
      <c r="B264" s="18"/>
      <c r="C264" s="18"/>
      <c r="D264" s="18"/>
      <c r="E264" s="9"/>
      <c r="F264" s="38"/>
      <c r="G264" s="39"/>
      <c r="H264" s="12"/>
      <c r="I264" s="12"/>
      <c r="J264" s="12"/>
      <c r="K264" s="23"/>
      <c r="L264" s="29"/>
      <c r="M264" s="12"/>
    </row>
    <row r="265" spans="1:13" x14ac:dyDescent="0.15">
      <c r="A265" s="12"/>
      <c r="B265" s="18"/>
      <c r="C265" s="18"/>
      <c r="D265" s="18"/>
      <c r="E265" s="9"/>
      <c r="F265" s="38"/>
      <c r="G265" s="39"/>
      <c r="H265" s="12"/>
      <c r="I265" s="12"/>
      <c r="J265" s="12"/>
      <c r="K265" s="23"/>
      <c r="L265" s="29"/>
      <c r="M265" s="12"/>
    </row>
    <row r="266" spans="1:13" x14ac:dyDescent="0.15">
      <c r="A266" s="12"/>
      <c r="B266" s="18"/>
      <c r="C266" s="18"/>
      <c r="D266" s="18"/>
      <c r="E266" s="9"/>
      <c r="F266" s="38"/>
      <c r="G266" s="39"/>
      <c r="H266" s="12"/>
      <c r="I266" s="12"/>
      <c r="J266" s="12"/>
      <c r="K266" s="23"/>
      <c r="L266" s="29"/>
      <c r="M266" s="12"/>
    </row>
    <row r="267" spans="1:13" x14ac:dyDescent="0.15">
      <c r="A267" s="12"/>
      <c r="B267" s="18"/>
      <c r="C267" s="18"/>
      <c r="D267" s="18"/>
      <c r="E267" s="9"/>
      <c r="F267" s="38"/>
      <c r="G267" s="39"/>
      <c r="H267" s="12"/>
      <c r="I267" s="12"/>
      <c r="J267" s="12"/>
      <c r="K267" s="23"/>
      <c r="L267" s="29"/>
      <c r="M267" s="12"/>
    </row>
    <row r="268" spans="1:13" x14ac:dyDescent="0.15">
      <c r="A268" s="12"/>
      <c r="B268" s="18"/>
      <c r="C268" s="18"/>
      <c r="D268" s="18"/>
      <c r="E268" s="3"/>
      <c r="F268" s="38"/>
      <c r="G268" s="39"/>
      <c r="H268" s="12"/>
      <c r="I268" s="12"/>
      <c r="J268" s="12"/>
      <c r="K268" s="23"/>
      <c r="L268" s="29"/>
      <c r="M268" s="12"/>
    </row>
    <row r="269" spans="1:13" x14ac:dyDescent="0.15">
      <c r="A269" s="12"/>
      <c r="B269" s="18"/>
      <c r="C269" s="18"/>
      <c r="D269" s="18"/>
      <c r="E269" s="9"/>
      <c r="F269" s="38"/>
      <c r="G269" s="39"/>
      <c r="H269" s="12"/>
      <c r="I269" s="12"/>
      <c r="J269" s="12"/>
      <c r="K269" s="23"/>
      <c r="L269" s="29"/>
      <c r="M269" s="12"/>
    </row>
    <row r="270" spans="1:13" x14ac:dyDescent="0.15">
      <c r="A270" s="12"/>
      <c r="B270" s="18"/>
      <c r="C270" s="18"/>
      <c r="D270" s="18"/>
      <c r="E270" s="9"/>
      <c r="F270" s="38"/>
      <c r="G270" s="39"/>
      <c r="H270" s="12"/>
      <c r="I270" s="12"/>
      <c r="J270" s="12"/>
      <c r="K270" s="23"/>
      <c r="L270" s="29"/>
      <c r="M270" s="12"/>
    </row>
    <row r="271" spans="1:13" x14ac:dyDescent="0.15">
      <c r="A271" s="12"/>
      <c r="B271" s="18"/>
      <c r="C271" s="18"/>
      <c r="D271" s="18"/>
      <c r="E271" s="9"/>
      <c r="F271" s="38"/>
      <c r="G271" s="39"/>
      <c r="H271" s="12"/>
      <c r="I271" s="12"/>
      <c r="J271" s="12"/>
      <c r="K271" s="23"/>
      <c r="L271" s="29"/>
      <c r="M271" s="12"/>
    </row>
    <row r="272" spans="1:13" x14ac:dyDescent="0.15">
      <c r="A272" s="12"/>
      <c r="B272" s="18"/>
      <c r="C272" s="18"/>
      <c r="D272" s="18"/>
      <c r="E272" s="9"/>
      <c r="F272" s="38"/>
      <c r="G272" s="39"/>
      <c r="H272" s="12"/>
      <c r="I272" s="12"/>
      <c r="J272" s="12"/>
      <c r="K272" s="23"/>
      <c r="L272" s="29"/>
      <c r="M272" s="12"/>
    </row>
    <row r="273" spans="1:13" x14ac:dyDescent="0.15">
      <c r="A273" s="12"/>
      <c r="B273" s="18"/>
      <c r="C273" s="18"/>
      <c r="D273" s="18"/>
      <c r="E273" s="9"/>
      <c r="F273" s="38"/>
      <c r="G273" s="39"/>
      <c r="H273" s="12"/>
      <c r="I273" s="12"/>
      <c r="J273" s="12"/>
      <c r="K273" s="23"/>
      <c r="L273" s="29"/>
      <c r="M273" s="12"/>
    </row>
    <row r="274" spans="1:13" x14ac:dyDescent="0.15">
      <c r="A274" s="12"/>
      <c r="B274" s="18"/>
      <c r="C274" s="18"/>
      <c r="D274" s="18"/>
      <c r="E274" s="9"/>
      <c r="F274" s="38"/>
      <c r="G274" s="39"/>
      <c r="H274" s="12"/>
      <c r="I274" s="12"/>
      <c r="J274" s="12"/>
      <c r="K274" s="23"/>
      <c r="L274" s="29"/>
      <c r="M274" s="12"/>
    </row>
    <row r="275" spans="1:13" x14ac:dyDescent="0.15">
      <c r="A275" s="12"/>
      <c r="B275" s="18"/>
      <c r="C275" s="18"/>
      <c r="D275" s="18"/>
      <c r="E275" s="9"/>
      <c r="F275" s="38"/>
      <c r="G275" s="39"/>
      <c r="H275" s="12"/>
      <c r="I275" s="12"/>
      <c r="J275" s="12"/>
      <c r="K275" s="23"/>
      <c r="L275" s="29"/>
      <c r="M275" s="12"/>
    </row>
    <row r="276" spans="1:13" x14ac:dyDescent="0.15">
      <c r="A276" s="12"/>
      <c r="B276" s="18"/>
      <c r="C276" s="18"/>
      <c r="D276" s="18"/>
      <c r="E276" s="9"/>
      <c r="F276" s="38"/>
      <c r="G276" s="39"/>
      <c r="H276" s="12"/>
      <c r="I276" s="12"/>
      <c r="J276" s="12"/>
      <c r="K276" s="23"/>
      <c r="L276" s="29"/>
      <c r="M276" s="12"/>
    </row>
    <row r="277" spans="1:13" x14ac:dyDescent="0.15">
      <c r="A277" s="12"/>
      <c r="B277" s="18"/>
      <c r="C277" s="18"/>
      <c r="D277" s="18"/>
      <c r="E277" s="9"/>
      <c r="F277" s="38"/>
      <c r="G277" s="39"/>
      <c r="H277" s="12"/>
      <c r="I277" s="12"/>
      <c r="J277" s="12"/>
      <c r="K277" s="23"/>
      <c r="L277" s="29"/>
      <c r="M277" s="12"/>
    </row>
    <row r="278" spans="1:13" x14ac:dyDescent="0.15">
      <c r="A278" s="12"/>
      <c r="B278" s="18"/>
      <c r="C278" s="18"/>
      <c r="D278" s="18"/>
      <c r="E278" s="9"/>
      <c r="F278" s="38"/>
      <c r="G278" s="39"/>
      <c r="H278" s="12"/>
      <c r="I278" s="12"/>
      <c r="J278" s="12"/>
      <c r="K278" s="23"/>
      <c r="L278" s="29"/>
      <c r="M278" s="12"/>
    </row>
    <row r="279" spans="1:13" x14ac:dyDescent="0.15">
      <c r="A279" s="12"/>
      <c r="B279" s="18"/>
      <c r="C279" s="18"/>
      <c r="D279" s="18"/>
      <c r="E279" s="9"/>
      <c r="F279" s="38"/>
      <c r="G279" s="39"/>
      <c r="H279" s="12"/>
      <c r="I279" s="12"/>
      <c r="J279" s="12"/>
      <c r="K279" s="23"/>
      <c r="L279" s="29"/>
      <c r="M279" s="12"/>
    </row>
    <row r="280" spans="1:13" x14ac:dyDescent="0.15">
      <c r="A280" s="12"/>
      <c r="B280" s="18"/>
      <c r="C280" s="18"/>
      <c r="D280" s="18"/>
      <c r="E280" s="9"/>
      <c r="F280" s="38"/>
      <c r="G280" s="39"/>
      <c r="H280" s="12"/>
      <c r="I280" s="12"/>
      <c r="J280" s="12"/>
      <c r="K280" s="23"/>
      <c r="L280" s="29"/>
      <c r="M280" s="12"/>
    </row>
    <row r="281" spans="1:13" x14ac:dyDescent="0.15">
      <c r="A281" s="12"/>
      <c r="B281" s="18"/>
      <c r="C281" s="18"/>
      <c r="D281" s="18"/>
      <c r="E281" s="9"/>
      <c r="F281" s="38"/>
      <c r="G281" s="39"/>
      <c r="H281" s="12"/>
      <c r="I281" s="12"/>
      <c r="J281" s="12"/>
      <c r="K281" s="23"/>
      <c r="L281" s="29"/>
      <c r="M281" s="12"/>
    </row>
    <row r="282" spans="1:13" x14ac:dyDescent="0.15">
      <c r="A282" s="12"/>
      <c r="B282" s="18"/>
      <c r="C282" s="18"/>
      <c r="D282" s="18"/>
      <c r="E282" s="9"/>
      <c r="F282" s="38"/>
      <c r="G282" s="39"/>
      <c r="H282" s="12"/>
      <c r="I282" s="12"/>
      <c r="J282" s="12"/>
      <c r="K282" s="23"/>
      <c r="L282" s="29"/>
      <c r="M282" s="12"/>
    </row>
    <row r="283" spans="1:13" x14ac:dyDescent="0.15">
      <c r="A283" s="12"/>
      <c r="B283" s="18"/>
      <c r="C283" s="18"/>
      <c r="D283" s="18"/>
      <c r="E283" s="9"/>
      <c r="F283" s="38"/>
      <c r="G283" s="39"/>
      <c r="H283" s="12"/>
      <c r="I283" s="12"/>
      <c r="J283" s="12"/>
      <c r="K283" s="23"/>
      <c r="L283" s="29"/>
      <c r="M283" s="12"/>
    </row>
    <row r="284" spans="1:13" x14ac:dyDescent="0.15">
      <c r="A284" s="12"/>
      <c r="B284" s="18"/>
      <c r="C284" s="18"/>
      <c r="D284" s="18"/>
      <c r="E284" s="9"/>
      <c r="F284" s="38"/>
      <c r="G284" s="39"/>
      <c r="H284" s="12"/>
      <c r="I284" s="12"/>
      <c r="J284" s="12"/>
      <c r="K284" s="23"/>
      <c r="L284" s="29"/>
      <c r="M284" s="12"/>
    </row>
    <row r="285" spans="1:13" x14ac:dyDescent="0.15">
      <c r="A285" s="12"/>
      <c r="B285" s="18"/>
      <c r="C285" s="18"/>
      <c r="D285" s="18"/>
      <c r="E285" s="9"/>
      <c r="F285" s="38"/>
      <c r="G285" s="39"/>
      <c r="H285" s="12"/>
      <c r="I285" s="12"/>
      <c r="J285" s="12"/>
      <c r="K285" s="23"/>
      <c r="L285" s="29"/>
      <c r="M285" s="12"/>
    </row>
    <row r="286" spans="1:13" x14ac:dyDescent="0.15">
      <c r="A286" s="12"/>
      <c r="B286" s="18"/>
      <c r="C286" s="18"/>
      <c r="D286" s="18"/>
      <c r="E286" s="9"/>
      <c r="F286" s="38"/>
      <c r="G286" s="39"/>
      <c r="H286" s="12"/>
      <c r="I286" s="12"/>
      <c r="J286" s="12"/>
      <c r="K286" s="23"/>
      <c r="L286" s="29"/>
      <c r="M286" s="12"/>
    </row>
    <row r="287" spans="1:13" x14ac:dyDescent="0.15">
      <c r="A287" s="12"/>
      <c r="B287" s="18"/>
      <c r="C287" s="18"/>
      <c r="D287" s="18"/>
      <c r="E287" s="9"/>
      <c r="F287" s="38"/>
      <c r="G287" s="39"/>
      <c r="H287" s="12"/>
      <c r="I287" s="12"/>
      <c r="J287" s="12"/>
      <c r="K287" s="23"/>
      <c r="L287" s="29"/>
      <c r="M287" s="12"/>
    </row>
    <row r="288" spans="1:13" x14ac:dyDescent="0.15">
      <c r="A288" s="12"/>
      <c r="B288" s="18"/>
      <c r="C288" s="18"/>
      <c r="D288" s="18"/>
      <c r="E288" s="9"/>
      <c r="F288" s="38"/>
      <c r="G288" s="39"/>
      <c r="H288" s="12"/>
      <c r="I288" s="12"/>
      <c r="J288" s="12"/>
      <c r="K288" s="23"/>
      <c r="L288" s="29"/>
      <c r="M288" s="12"/>
    </row>
    <row r="289" spans="1:13" x14ac:dyDescent="0.15">
      <c r="A289" s="12"/>
      <c r="B289" s="18"/>
      <c r="C289" s="18"/>
      <c r="D289" s="18"/>
      <c r="E289" s="9"/>
      <c r="F289" s="38"/>
      <c r="G289" s="39"/>
      <c r="H289" s="12"/>
      <c r="I289" s="12"/>
      <c r="J289" s="12"/>
      <c r="K289" s="23"/>
      <c r="L289" s="29"/>
      <c r="M289" s="12"/>
    </row>
    <row r="290" spans="1:13" x14ac:dyDescent="0.15">
      <c r="A290" s="12"/>
      <c r="B290" s="18"/>
      <c r="C290" s="18"/>
      <c r="D290" s="18"/>
      <c r="E290" s="9"/>
      <c r="F290" s="38"/>
      <c r="G290" s="39"/>
      <c r="H290" s="12"/>
      <c r="I290" s="12"/>
      <c r="J290" s="12"/>
      <c r="K290" s="23"/>
      <c r="L290" s="29"/>
      <c r="M290" s="12"/>
    </row>
    <row r="291" spans="1:13" x14ac:dyDescent="0.15">
      <c r="A291" s="12"/>
      <c r="B291" s="18"/>
      <c r="C291" s="18"/>
      <c r="D291" s="18"/>
      <c r="E291" s="9"/>
      <c r="F291" s="38"/>
      <c r="G291" s="39"/>
      <c r="H291" s="12"/>
      <c r="I291" s="12"/>
      <c r="J291" s="12"/>
      <c r="K291" s="23"/>
      <c r="L291" s="29"/>
      <c r="M291" s="12"/>
    </row>
    <row r="292" spans="1:13" x14ac:dyDescent="0.15">
      <c r="A292" s="12"/>
      <c r="B292" s="18"/>
      <c r="C292" s="18"/>
      <c r="D292" s="18"/>
      <c r="E292" s="9"/>
      <c r="F292" s="38"/>
      <c r="G292" s="39"/>
      <c r="H292" s="12"/>
      <c r="I292" s="12"/>
      <c r="J292" s="12"/>
      <c r="K292" s="23"/>
      <c r="L292" s="29"/>
      <c r="M292" s="12"/>
    </row>
    <row r="293" spans="1:13" x14ac:dyDescent="0.15">
      <c r="A293" s="12"/>
      <c r="B293" s="18"/>
      <c r="C293" s="18"/>
      <c r="D293" s="18"/>
      <c r="E293" s="9"/>
      <c r="F293" s="38"/>
      <c r="G293" s="39"/>
      <c r="H293" s="12"/>
      <c r="I293" s="12"/>
      <c r="J293" s="12"/>
      <c r="K293" s="23"/>
      <c r="L293" s="29"/>
      <c r="M293" s="12"/>
    </row>
    <row r="294" spans="1:13" x14ac:dyDescent="0.15">
      <c r="A294" s="12"/>
      <c r="B294" s="18"/>
      <c r="C294" s="18"/>
      <c r="D294" s="18"/>
      <c r="E294" s="9"/>
      <c r="F294" s="38"/>
      <c r="G294" s="39"/>
      <c r="H294" s="12"/>
      <c r="I294" s="12"/>
      <c r="J294" s="12"/>
      <c r="K294" s="23"/>
      <c r="L294" s="29"/>
      <c r="M294" s="12"/>
    </row>
    <row r="295" spans="1:13" x14ac:dyDescent="0.15">
      <c r="A295" s="12"/>
      <c r="B295" s="18"/>
      <c r="C295" s="18"/>
      <c r="D295" s="18"/>
      <c r="E295" s="9"/>
      <c r="F295" s="38"/>
      <c r="G295" s="39"/>
      <c r="H295" s="12"/>
      <c r="I295" s="12"/>
      <c r="J295" s="12"/>
      <c r="K295" s="23"/>
      <c r="L295" s="29"/>
      <c r="M295" s="12"/>
    </row>
    <row r="296" spans="1:13" x14ac:dyDescent="0.15">
      <c r="A296" s="12"/>
      <c r="B296" s="18"/>
      <c r="C296" s="18"/>
      <c r="D296" s="18"/>
      <c r="E296" s="9"/>
      <c r="F296" s="38"/>
      <c r="G296" s="39"/>
      <c r="H296" s="12"/>
      <c r="I296" s="12"/>
      <c r="J296" s="12"/>
      <c r="K296" s="23"/>
      <c r="L296" s="29"/>
      <c r="M296" s="12"/>
    </row>
    <row r="297" spans="1:13" x14ac:dyDescent="0.15">
      <c r="A297" s="12"/>
      <c r="B297" s="18"/>
      <c r="C297" s="18"/>
      <c r="D297" s="18"/>
      <c r="E297" s="9"/>
      <c r="F297" s="38"/>
      <c r="G297" s="39"/>
      <c r="H297" s="12"/>
      <c r="I297" s="12"/>
      <c r="J297" s="12"/>
      <c r="K297" s="23"/>
      <c r="L297" s="29"/>
      <c r="M297" s="12"/>
    </row>
    <row r="298" spans="1:13" x14ac:dyDescent="0.15">
      <c r="A298" s="12"/>
      <c r="B298" s="18"/>
      <c r="C298" s="18"/>
      <c r="D298" s="18"/>
      <c r="E298" s="9"/>
      <c r="F298" s="38"/>
      <c r="G298" s="39"/>
      <c r="H298" s="12"/>
      <c r="I298" s="12"/>
      <c r="J298" s="12"/>
      <c r="K298" s="23"/>
      <c r="L298" s="29"/>
      <c r="M298" s="12"/>
    </row>
    <row r="299" spans="1:13" x14ac:dyDescent="0.15">
      <c r="A299" s="12"/>
      <c r="B299" s="18"/>
      <c r="C299" s="18"/>
      <c r="D299" s="18"/>
      <c r="E299" s="9"/>
      <c r="F299" s="38"/>
      <c r="G299" s="39"/>
      <c r="H299" s="12"/>
      <c r="I299" s="12"/>
      <c r="J299" s="12"/>
      <c r="K299" s="23"/>
      <c r="L299" s="29"/>
      <c r="M299" s="12"/>
    </row>
    <row r="300" spans="1:13" x14ac:dyDescent="0.15">
      <c r="A300" s="12"/>
      <c r="B300" s="18"/>
      <c r="C300" s="18"/>
      <c r="D300" s="18"/>
      <c r="E300" s="9"/>
      <c r="F300" s="38"/>
      <c r="G300" s="39"/>
      <c r="H300" s="12"/>
      <c r="I300" s="12"/>
      <c r="J300" s="12"/>
      <c r="K300" s="23"/>
      <c r="L300" s="29"/>
      <c r="M300" s="12"/>
    </row>
    <row r="301" spans="1:13" x14ac:dyDescent="0.15">
      <c r="A301" s="12"/>
      <c r="B301" s="18"/>
      <c r="C301" s="18"/>
      <c r="D301" s="18"/>
      <c r="E301" s="9"/>
      <c r="F301" s="38"/>
      <c r="G301" s="39"/>
      <c r="H301" s="12"/>
      <c r="I301" s="12"/>
      <c r="J301" s="12"/>
      <c r="K301" s="23"/>
      <c r="L301" s="29"/>
      <c r="M301" s="12"/>
    </row>
    <row r="302" spans="1:13" x14ac:dyDescent="0.15">
      <c r="A302" s="12"/>
      <c r="B302" s="18"/>
      <c r="C302" s="18"/>
      <c r="D302" s="18"/>
      <c r="E302" s="9"/>
      <c r="F302" s="38"/>
      <c r="G302" s="39"/>
      <c r="H302" s="12"/>
      <c r="I302" s="12"/>
      <c r="J302" s="12"/>
      <c r="K302" s="23"/>
      <c r="L302" s="29"/>
      <c r="M302" s="12"/>
    </row>
    <row r="303" spans="1:13" x14ac:dyDescent="0.15">
      <c r="A303" s="36"/>
      <c r="B303" s="41"/>
      <c r="C303" s="41"/>
      <c r="D303" s="41"/>
      <c r="E303" s="42"/>
      <c r="F303" s="27"/>
      <c r="G303" s="28"/>
      <c r="H303" s="43" t="str">
        <f t="shared" ref="H303:H318" si="4">IF(G303="","",MOD(F303*100000000+G303,7))</f>
        <v/>
      </c>
      <c r="I303" s="43"/>
      <c r="J303" s="36"/>
      <c r="K303" s="44"/>
      <c r="L303" s="37"/>
    </row>
    <row r="304" spans="1:13" x14ac:dyDescent="0.15">
      <c r="A304" s="12"/>
      <c r="B304" s="18"/>
      <c r="C304" s="18"/>
      <c r="D304" s="18"/>
      <c r="E304" s="9"/>
      <c r="F304" s="20"/>
      <c r="G304" s="21"/>
      <c r="H304" s="22" t="str">
        <f t="shared" si="4"/>
        <v/>
      </c>
      <c r="I304" s="22"/>
      <c r="J304" s="12"/>
      <c r="K304" s="23"/>
      <c r="L304" s="29"/>
    </row>
    <row r="305" spans="1:12" x14ac:dyDescent="0.15">
      <c r="A305" s="12"/>
      <c r="B305" s="18"/>
      <c r="C305" s="18"/>
      <c r="D305" s="18"/>
      <c r="E305" s="9"/>
      <c r="F305" s="20"/>
      <c r="G305" s="21"/>
      <c r="H305" s="22" t="str">
        <f t="shared" si="4"/>
        <v/>
      </c>
      <c r="I305" s="22"/>
      <c r="J305" s="12"/>
      <c r="K305" s="23"/>
      <c r="L305" s="29"/>
    </row>
    <row r="306" spans="1:12" x14ac:dyDescent="0.15">
      <c r="A306" s="12"/>
      <c r="B306" s="18"/>
      <c r="C306" s="18"/>
      <c r="D306" s="18"/>
      <c r="E306" s="9"/>
      <c r="F306" s="20"/>
      <c r="G306" s="21"/>
      <c r="H306" s="22" t="str">
        <f t="shared" si="4"/>
        <v/>
      </c>
      <c r="I306" s="22"/>
      <c r="J306" s="12"/>
      <c r="K306" s="23"/>
      <c r="L306" s="29"/>
    </row>
    <row r="307" spans="1:12" x14ac:dyDescent="0.15">
      <c r="A307" s="12"/>
      <c r="B307" s="18"/>
      <c r="C307" s="18"/>
      <c r="D307" s="18"/>
      <c r="E307" s="9"/>
      <c r="F307" s="20"/>
      <c r="G307" s="21"/>
      <c r="H307" s="22" t="str">
        <f t="shared" si="4"/>
        <v/>
      </c>
      <c r="I307" s="22"/>
      <c r="J307" s="12"/>
      <c r="K307" s="23"/>
      <c r="L307" s="29"/>
    </row>
    <row r="308" spans="1:12" x14ac:dyDescent="0.15">
      <c r="A308" s="12"/>
      <c r="B308" s="18"/>
      <c r="C308" s="18"/>
      <c r="D308" s="18"/>
      <c r="E308" s="3"/>
      <c r="F308" s="20"/>
      <c r="G308" s="21"/>
      <c r="H308" s="22" t="str">
        <f t="shared" si="4"/>
        <v/>
      </c>
      <c r="I308" s="22"/>
      <c r="J308" s="12"/>
      <c r="K308" s="23"/>
      <c r="L308" s="29"/>
    </row>
    <row r="309" spans="1:12" x14ac:dyDescent="0.15">
      <c r="A309" s="12"/>
      <c r="B309" s="18"/>
      <c r="C309" s="18"/>
      <c r="D309" s="18"/>
      <c r="E309" s="3"/>
      <c r="F309" s="20"/>
      <c r="G309" s="21"/>
      <c r="H309" s="22" t="str">
        <f t="shared" si="4"/>
        <v/>
      </c>
      <c r="I309" s="22"/>
      <c r="J309" s="12"/>
      <c r="K309" s="23"/>
      <c r="L309" s="29"/>
    </row>
    <row r="310" spans="1:12" x14ac:dyDescent="0.15">
      <c r="A310" s="12"/>
      <c r="B310" s="18"/>
      <c r="C310" s="18"/>
      <c r="D310" s="18"/>
      <c r="E310" s="9"/>
      <c r="F310" s="20"/>
      <c r="G310" s="21"/>
      <c r="H310" s="22" t="str">
        <f t="shared" si="4"/>
        <v/>
      </c>
      <c r="I310" s="22"/>
      <c r="J310" s="12"/>
      <c r="K310" s="23"/>
      <c r="L310" s="29"/>
    </row>
    <row r="311" spans="1:12" x14ac:dyDescent="0.15">
      <c r="A311" s="12"/>
      <c r="B311" s="18"/>
      <c r="C311" s="18"/>
      <c r="D311" s="18"/>
      <c r="E311" s="9"/>
      <c r="F311" s="20"/>
      <c r="G311" s="21"/>
      <c r="H311" s="22" t="str">
        <f t="shared" si="4"/>
        <v/>
      </c>
      <c r="I311" s="22"/>
      <c r="J311" s="12"/>
      <c r="K311" s="23"/>
      <c r="L311" s="29"/>
    </row>
    <row r="312" spans="1:12" x14ac:dyDescent="0.15">
      <c r="A312" s="12"/>
      <c r="B312" s="18"/>
      <c r="C312" s="18"/>
      <c r="D312" s="18"/>
      <c r="E312" s="9"/>
      <c r="F312" s="20"/>
      <c r="G312" s="21"/>
      <c r="H312" s="22" t="str">
        <f t="shared" si="4"/>
        <v/>
      </c>
      <c r="I312" s="22"/>
      <c r="J312" s="12"/>
      <c r="K312" s="23"/>
      <c r="L312" s="29"/>
    </row>
    <row r="313" spans="1:12" x14ac:dyDescent="0.15">
      <c r="A313" s="12"/>
      <c r="B313" s="18"/>
      <c r="C313" s="18"/>
      <c r="D313" s="18"/>
      <c r="E313" s="9"/>
      <c r="F313" s="20"/>
      <c r="G313" s="21"/>
      <c r="H313" s="22" t="str">
        <f t="shared" si="4"/>
        <v/>
      </c>
      <c r="I313" s="22"/>
      <c r="J313" s="12"/>
      <c r="K313" s="23"/>
      <c r="L313" s="29"/>
    </row>
    <row r="314" spans="1:12" x14ac:dyDescent="0.15">
      <c r="A314" s="12"/>
      <c r="B314" s="18"/>
      <c r="C314" s="18"/>
      <c r="D314" s="18"/>
      <c r="E314" s="9"/>
      <c r="F314" s="20"/>
      <c r="G314" s="21"/>
      <c r="H314" s="22" t="str">
        <f t="shared" si="4"/>
        <v/>
      </c>
      <c r="I314" s="22"/>
      <c r="J314" s="12"/>
      <c r="K314" s="23"/>
      <c r="L314" s="29"/>
    </row>
    <row r="315" spans="1:12" x14ac:dyDescent="0.15">
      <c r="A315" s="12"/>
      <c r="B315" s="18"/>
      <c r="C315" s="18"/>
      <c r="D315" s="18"/>
      <c r="E315" s="9"/>
      <c r="F315" s="20"/>
      <c r="G315" s="21"/>
      <c r="H315" s="22" t="str">
        <f t="shared" si="4"/>
        <v/>
      </c>
      <c r="I315" s="22"/>
      <c r="J315" s="12"/>
      <c r="K315" s="23"/>
      <c r="L315" s="29"/>
    </row>
    <row r="316" spans="1:12" x14ac:dyDescent="0.15">
      <c r="A316" s="12"/>
      <c r="B316" s="18"/>
      <c r="C316" s="18"/>
      <c r="D316" s="18"/>
      <c r="E316" s="9"/>
      <c r="F316" s="20"/>
      <c r="G316" s="21"/>
      <c r="H316" s="22" t="str">
        <f t="shared" si="4"/>
        <v/>
      </c>
      <c r="I316" s="22"/>
      <c r="J316" s="12"/>
      <c r="K316" s="23"/>
      <c r="L316" s="29"/>
    </row>
    <row r="317" spans="1:12" x14ac:dyDescent="0.15">
      <c r="A317" s="12"/>
      <c r="B317" s="18"/>
      <c r="C317" s="18"/>
      <c r="D317" s="18"/>
      <c r="E317" s="9"/>
      <c r="F317" s="20"/>
      <c r="G317" s="21"/>
      <c r="H317" s="22" t="str">
        <f t="shared" si="4"/>
        <v/>
      </c>
      <c r="I317" s="22"/>
      <c r="J317" s="12"/>
      <c r="K317" s="23"/>
      <c r="L317" s="29"/>
    </row>
    <row r="318" spans="1:12" x14ac:dyDescent="0.15">
      <c r="A318" s="12"/>
      <c r="B318" s="18"/>
      <c r="C318" s="18"/>
      <c r="D318" s="18"/>
      <c r="E318" s="9"/>
      <c r="F318" s="20"/>
      <c r="G318" s="21"/>
      <c r="H318" s="22" t="str">
        <f t="shared" si="4"/>
        <v/>
      </c>
      <c r="I318" s="22"/>
      <c r="J318" s="12"/>
      <c r="K318" s="23"/>
      <c r="L318" s="29"/>
    </row>
    <row r="319" spans="1:12" x14ac:dyDescent="0.15">
      <c r="A319" s="12"/>
      <c r="B319" s="18"/>
      <c r="C319" s="18"/>
      <c r="D319" s="18"/>
      <c r="E319" s="9"/>
      <c r="F319" s="20"/>
      <c r="G319" s="21"/>
      <c r="H319" s="22" t="str">
        <f t="shared" ref="H319:H350" si="5">IF(G319="","",MOD(F319*100000000+G319,7))</f>
        <v/>
      </c>
      <c r="I319" s="22"/>
      <c r="J319" s="12"/>
      <c r="K319" s="23"/>
      <c r="L319" s="29"/>
    </row>
    <row r="320" spans="1:12" x14ac:dyDescent="0.15">
      <c r="A320" s="12"/>
      <c r="B320" s="18"/>
      <c r="C320" s="18"/>
      <c r="D320" s="18"/>
      <c r="E320" s="9"/>
      <c r="F320" s="20"/>
      <c r="G320" s="21"/>
      <c r="H320" s="22" t="str">
        <f t="shared" si="5"/>
        <v/>
      </c>
      <c r="I320" s="22"/>
      <c r="J320" s="12"/>
      <c r="K320" s="23"/>
      <c r="L320" s="29"/>
    </row>
    <row r="321" spans="1:12" x14ac:dyDescent="0.15">
      <c r="A321" s="12"/>
      <c r="B321" s="18"/>
      <c r="C321" s="18"/>
      <c r="D321" s="18"/>
      <c r="E321" s="9"/>
      <c r="F321" s="20"/>
      <c r="G321" s="21"/>
      <c r="H321" s="22" t="str">
        <f t="shared" si="5"/>
        <v/>
      </c>
      <c r="I321" s="22"/>
      <c r="J321" s="12"/>
      <c r="K321" s="23"/>
      <c r="L321" s="29"/>
    </row>
    <row r="322" spans="1:12" x14ac:dyDescent="0.15">
      <c r="A322" s="12"/>
      <c r="B322" s="18"/>
      <c r="C322" s="18"/>
      <c r="D322" s="18"/>
      <c r="E322" s="9"/>
      <c r="F322" s="20"/>
      <c r="G322" s="21"/>
      <c r="H322" s="22" t="str">
        <f t="shared" si="5"/>
        <v/>
      </c>
      <c r="I322" s="22"/>
      <c r="J322" s="12"/>
      <c r="K322" s="23"/>
      <c r="L322" s="29"/>
    </row>
    <row r="323" spans="1:12" x14ac:dyDescent="0.15">
      <c r="A323" s="12"/>
      <c r="B323" s="18"/>
      <c r="C323" s="18"/>
      <c r="D323" s="18"/>
      <c r="E323" s="9"/>
      <c r="F323" s="20"/>
      <c r="G323" s="21"/>
      <c r="H323" s="22" t="str">
        <f t="shared" si="5"/>
        <v/>
      </c>
      <c r="I323" s="22"/>
      <c r="J323" s="12"/>
      <c r="K323" s="23"/>
      <c r="L323" s="29"/>
    </row>
    <row r="324" spans="1:12" x14ac:dyDescent="0.15">
      <c r="A324" s="12"/>
      <c r="B324" s="18"/>
      <c r="C324" s="18"/>
      <c r="D324" s="18"/>
      <c r="E324" s="9"/>
      <c r="F324" s="20"/>
      <c r="G324" s="21"/>
      <c r="H324" s="22" t="str">
        <f t="shared" si="5"/>
        <v/>
      </c>
      <c r="I324" s="22"/>
      <c r="J324" s="12"/>
      <c r="K324" s="23"/>
      <c r="L324" s="29"/>
    </row>
    <row r="325" spans="1:12" x14ac:dyDescent="0.15">
      <c r="A325" s="12"/>
      <c r="B325" s="18"/>
      <c r="C325" s="18"/>
      <c r="D325" s="18"/>
      <c r="E325" s="9"/>
      <c r="F325" s="20"/>
      <c r="G325" s="21"/>
      <c r="H325" s="22" t="str">
        <f t="shared" si="5"/>
        <v/>
      </c>
      <c r="I325" s="22"/>
      <c r="J325" s="12"/>
      <c r="K325" s="23"/>
      <c r="L325" s="29"/>
    </row>
    <row r="326" spans="1:12" x14ac:dyDescent="0.15">
      <c r="A326" s="12"/>
      <c r="B326" s="18"/>
      <c r="C326" s="18"/>
      <c r="D326" s="18"/>
      <c r="E326" s="9"/>
      <c r="F326" s="20"/>
      <c r="G326" s="21"/>
      <c r="H326" s="22" t="str">
        <f t="shared" si="5"/>
        <v/>
      </c>
      <c r="I326" s="22"/>
      <c r="J326" s="12"/>
      <c r="K326" s="23"/>
      <c r="L326" s="29"/>
    </row>
    <row r="327" spans="1:12" x14ac:dyDescent="0.15">
      <c r="A327" s="12"/>
      <c r="B327" s="18"/>
      <c r="C327" s="18"/>
      <c r="D327" s="18"/>
      <c r="E327" s="9"/>
      <c r="F327" s="20"/>
      <c r="G327" s="21"/>
      <c r="H327" s="22" t="str">
        <f t="shared" si="5"/>
        <v/>
      </c>
      <c r="I327" s="22"/>
      <c r="J327" s="12"/>
      <c r="K327" s="23"/>
      <c r="L327" s="29"/>
    </row>
    <row r="328" spans="1:12" x14ac:dyDescent="0.15">
      <c r="A328" s="12"/>
      <c r="B328" s="18"/>
      <c r="C328" s="18"/>
      <c r="D328" s="18"/>
      <c r="E328" s="9"/>
      <c r="F328" s="20"/>
      <c r="G328" s="21"/>
      <c r="H328" s="22" t="str">
        <f t="shared" si="5"/>
        <v/>
      </c>
      <c r="I328" s="22"/>
      <c r="J328" s="12"/>
      <c r="K328" s="23"/>
      <c r="L328" s="29"/>
    </row>
    <row r="329" spans="1:12" x14ac:dyDescent="0.15">
      <c r="A329" s="12"/>
      <c r="B329" s="18"/>
      <c r="C329" s="18"/>
      <c r="D329" s="18"/>
      <c r="E329" s="9"/>
      <c r="F329" s="20"/>
      <c r="G329" s="21"/>
      <c r="H329" s="22" t="str">
        <f t="shared" si="5"/>
        <v/>
      </c>
      <c r="I329" s="22"/>
      <c r="J329" s="12"/>
      <c r="K329" s="23"/>
      <c r="L329" s="29"/>
    </row>
    <row r="330" spans="1:12" x14ac:dyDescent="0.15">
      <c r="A330" s="12"/>
      <c r="B330" s="18"/>
      <c r="C330" s="18"/>
      <c r="D330" s="18"/>
      <c r="E330" s="9"/>
      <c r="F330" s="20"/>
      <c r="G330" s="21"/>
      <c r="H330" s="22" t="str">
        <f t="shared" si="5"/>
        <v/>
      </c>
      <c r="I330" s="22"/>
      <c r="J330" s="12"/>
      <c r="K330" s="23"/>
      <c r="L330" s="29"/>
    </row>
    <row r="331" spans="1:12" x14ac:dyDescent="0.15">
      <c r="A331" s="12"/>
      <c r="B331" s="18"/>
      <c r="C331" s="18"/>
      <c r="D331" s="18"/>
      <c r="E331" s="9"/>
      <c r="F331" s="20"/>
      <c r="G331" s="21"/>
      <c r="H331" s="22" t="str">
        <f t="shared" si="5"/>
        <v/>
      </c>
      <c r="I331" s="22"/>
      <c r="J331" s="12"/>
      <c r="K331" s="23"/>
      <c r="L331" s="29"/>
    </row>
    <row r="332" spans="1:12" x14ac:dyDescent="0.15">
      <c r="A332" s="12"/>
      <c r="B332" s="18"/>
      <c r="C332" s="18"/>
      <c r="D332" s="18"/>
      <c r="E332" s="9"/>
      <c r="F332" s="20"/>
      <c r="G332" s="21"/>
      <c r="H332" s="22" t="str">
        <f t="shared" si="5"/>
        <v/>
      </c>
      <c r="I332" s="22"/>
      <c r="J332" s="12"/>
      <c r="K332" s="23"/>
      <c r="L332" s="29"/>
    </row>
    <row r="333" spans="1:12" x14ac:dyDescent="0.15">
      <c r="A333" s="12"/>
      <c r="B333" s="18"/>
      <c r="C333" s="18"/>
      <c r="D333" s="18"/>
      <c r="E333" s="9"/>
      <c r="F333" s="20"/>
      <c r="G333" s="21"/>
      <c r="H333" s="22" t="str">
        <f t="shared" si="5"/>
        <v/>
      </c>
      <c r="I333" s="22"/>
      <c r="J333" s="12"/>
      <c r="K333" s="23"/>
      <c r="L333" s="29"/>
    </row>
    <row r="334" spans="1:12" x14ac:dyDescent="0.15">
      <c r="A334" s="12"/>
      <c r="B334" s="18"/>
      <c r="C334" s="18"/>
      <c r="D334" s="18"/>
      <c r="E334" s="9"/>
      <c r="F334" s="20"/>
      <c r="G334" s="21"/>
      <c r="H334" s="22" t="str">
        <f t="shared" si="5"/>
        <v/>
      </c>
      <c r="I334" s="22"/>
      <c r="J334" s="12"/>
      <c r="K334" s="23"/>
      <c r="L334" s="29"/>
    </row>
    <row r="335" spans="1:12" x14ac:dyDescent="0.15">
      <c r="A335" s="12"/>
      <c r="B335" s="18"/>
      <c r="C335" s="18"/>
      <c r="D335" s="18"/>
      <c r="E335" s="9"/>
      <c r="F335" s="20"/>
      <c r="G335" s="21"/>
      <c r="H335" s="22" t="str">
        <f t="shared" si="5"/>
        <v/>
      </c>
      <c r="I335" s="22"/>
      <c r="J335" s="12"/>
      <c r="K335" s="23"/>
      <c r="L335" s="29"/>
    </row>
    <row r="336" spans="1:12" x14ac:dyDescent="0.15">
      <c r="A336" s="12"/>
      <c r="B336" s="18"/>
      <c r="C336" s="18"/>
      <c r="D336" s="18"/>
      <c r="E336" s="9"/>
      <c r="F336" s="20"/>
      <c r="G336" s="21"/>
      <c r="H336" s="22" t="str">
        <f t="shared" si="5"/>
        <v/>
      </c>
      <c r="I336" s="22"/>
      <c r="J336" s="12"/>
      <c r="K336" s="23"/>
      <c r="L336" s="29"/>
    </row>
    <row r="337" spans="1:12" x14ac:dyDescent="0.15">
      <c r="A337" s="12"/>
      <c r="B337" s="18"/>
      <c r="C337" s="18"/>
      <c r="D337" s="18"/>
      <c r="E337" s="9"/>
      <c r="F337" s="20"/>
      <c r="G337" s="21"/>
      <c r="H337" s="22" t="str">
        <f t="shared" si="5"/>
        <v/>
      </c>
      <c r="I337" s="22"/>
      <c r="J337" s="12"/>
      <c r="K337" s="23"/>
      <c r="L337" s="29"/>
    </row>
    <row r="338" spans="1:12" x14ac:dyDescent="0.15">
      <c r="A338" s="12"/>
      <c r="B338" s="18"/>
      <c r="C338" s="18"/>
      <c r="D338" s="18"/>
      <c r="E338" s="9"/>
      <c r="F338" s="20"/>
      <c r="G338" s="21"/>
      <c r="H338" s="22" t="str">
        <f t="shared" si="5"/>
        <v/>
      </c>
      <c r="I338" s="22"/>
      <c r="J338" s="12"/>
      <c r="K338" s="23"/>
      <c r="L338" s="29"/>
    </row>
    <row r="339" spans="1:12" x14ac:dyDescent="0.15">
      <c r="A339" s="12"/>
      <c r="B339" s="18"/>
      <c r="C339" s="18"/>
      <c r="D339" s="18"/>
      <c r="E339" s="9"/>
      <c r="F339" s="20"/>
      <c r="G339" s="21"/>
      <c r="H339" s="22" t="str">
        <f t="shared" si="5"/>
        <v/>
      </c>
      <c r="I339" s="22"/>
      <c r="J339" s="12"/>
      <c r="K339" s="23"/>
      <c r="L339" s="29"/>
    </row>
    <row r="340" spans="1:12" x14ac:dyDescent="0.15">
      <c r="A340" s="12"/>
      <c r="B340" s="18"/>
      <c r="C340" s="18"/>
      <c r="D340" s="18"/>
      <c r="E340" s="9"/>
      <c r="F340" s="25"/>
      <c r="G340" s="26"/>
      <c r="H340" s="22" t="str">
        <f t="shared" si="5"/>
        <v/>
      </c>
      <c r="I340" s="22"/>
      <c r="J340" s="12"/>
      <c r="K340" s="23"/>
      <c r="L340" s="29"/>
    </row>
    <row r="341" spans="1:12" x14ac:dyDescent="0.15">
      <c r="A341" s="12"/>
      <c r="B341" s="18"/>
      <c r="C341" s="18"/>
      <c r="D341" s="18"/>
      <c r="E341" s="9"/>
      <c r="F341" s="25"/>
      <c r="G341" s="26"/>
      <c r="H341" s="22" t="str">
        <f t="shared" si="5"/>
        <v/>
      </c>
      <c r="I341" s="12"/>
      <c r="J341" s="12"/>
      <c r="K341" s="23"/>
      <c r="L341" s="29"/>
    </row>
    <row r="342" spans="1:12" x14ac:dyDescent="0.15">
      <c r="A342" s="12"/>
      <c r="B342" s="18"/>
      <c r="C342" s="18"/>
      <c r="D342" s="18"/>
      <c r="E342" s="3"/>
      <c r="F342" s="20"/>
      <c r="G342" s="21"/>
      <c r="H342" s="22" t="str">
        <f t="shared" si="5"/>
        <v/>
      </c>
      <c r="I342" s="22"/>
      <c r="J342" s="12"/>
      <c r="K342" s="23"/>
      <c r="L342" s="29"/>
    </row>
    <row r="343" spans="1:12" x14ac:dyDescent="0.15">
      <c r="A343" s="12"/>
      <c r="B343" s="18"/>
      <c r="C343" s="18"/>
      <c r="D343" s="18"/>
      <c r="E343" s="3"/>
      <c r="F343" s="25"/>
      <c r="G343" s="26"/>
      <c r="H343" s="22" t="str">
        <f t="shared" si="5"/>
        <v/>
      </c>
      <c r="I343" s="22"/>
      <c r="J343" s="12"/>
      <c r="K343" s="23"/>
      <c r="L343" s="29"/>
    </row>
    <row r="344" spans="1:12" x14ac:dyDescent="0.15">
      <c r="A344" s="12"/>
      <c r="B344" s="18"/>
      <c r="C344" s="18"/>
      <c r="D344" s="18"/>
      <c r="E344" s="9"/>
      <c r="F344" s="25"/>
      <c r="G344" s="26"/>
      <c r="H344" s="22" t="str">
        <f t="shared" si="5"/>
        <v/>
      </c>
      <c r="I344" s="22"/>
      <c r="J344" s="12"/>
      <c r="K344" s="23"/>
      <c r="L344" s="29"/>
    </row>
    <row r="345" spans="1:12" x14ac:dyDescent="0.15">
      <c r="A345" s="12"/>
      <c r="B345" s="18"/>
      <c r="C345" s="18"/>
      <c r="D345" s="18"/>
      <c r="E345" s="9"/>
      <c r="F345" s="25"/>
      <c r="G345" s="26"/>
      <c r="H345" s="22" t="str">
        <f t="shared" si="5"/>
        <v/>
      </c>
      <c r="I345" s="22"/>
      <c r="J345" s="12"/>
      <c r="K345" s="23"/>
      <c r="L345" s="29"/>
    </row>
    <row r="346" spans="1:12" x14ac:dyDescent="0.15">
      <c r="A346" s="12"/>
      <c r="B346" s="18"/>
      <c r="C346" s="18"/>
      <c r="D346" s="18"/>
      <c r="E346" s="9"/>
      <c r="F346" s="25"/>
      <c r="G346" s="26"/>
      <c r="H346" s="22" t="str">
        <f t="shared" si="5"/>
        <v/>
      </c>
      <c r="I346" s="22"/>
      <c r="J346" s="12"/>
      <c r="K346" s="23"/>
      <c r="L346" s="29"/>
    </row>
    <row r="347" spans="1:12" x14ac:dyDescent="0.15">
      <c r="A347" s="12"/>
      <c r="B347" s="18"/>
      <c r="C347" s="18"/>
      <c r="D347" s="18"/>
      <c r="E347" s="9"/>
      <c r="F347" s="25"/>
      <c r="G347" s="26"/>
      <c r="H347" s="22" t="str">
        <f t="shared" si="5"/>
        <v/>
      </c>
      <c r="I347" s="22"/>
      <c r="J347" s="12"/>
      <c r="K347" s="23"/>
      <c r="L347" s="29"/>
    </row>
    <row r="348" spans="1:12" x14ac:dyDescent="0.15">
      <c r="A348" s="12"/>
      <c r="B348" s="18"/>
      <c r="C348" s="18"/>
      <c r="D348" s="18"/>
      <c r="E348" s="9"/>
      <c r="F348" s="25"/>
      <c r="G348" s="26"/>
      <c r="H348" s="22" t="str">
        <f t="shared" si="5"/>
        <v/>
      </c>
      <c r="I348" s="22"/>
      <c r="J348" s="12"/>
      <c r="K348" s="23"/>
      <c r="L348" s="29"/>
    </row>
    <row r="349" spans="1:12" x14ac:dyDescent="0.15">
      <c r="A349" s="12"/>
      <c r="B349" s="18"/>
      <c r="C349" s="18"/>
      <c r="D349" s="18"/>
      <c r="E349" s="9"/>
      <c r="F349" s="25"/>
      <c r="G349" s="26"/>
      <c r="H349" s="22" t="str">
        <f t="shared" si="5"/>
        <v/>
      </c>
      <c r="I349" s="22"/>
      <c r="J349" s="12"/>
      <c r="K349" s="23"/>
      <c r="L349" s="29"/>
    </row>
    <row r="350" spans="1:12" x14ac:dyDescent="0.15">
      <c r="A350" s="12"/>
      <c r="B350" s="18"/>
      <c r="C350" s="18"/>
      <c r="D350" s="18"/>
      <c r="E350" s="9"/>
      <c r="F350" s="25"/>
      <c r="G350" s="26"/>
      <c r="H350" s="22" t="str">
        <f t="shared" si="5"/>
        <v/>
      </c>
      <c r="I350" s="22"/>
      <c r="J350" s="12"/>
      <c r="K350" s="23"/>
      <c r="L350" s="29"/>
    </row>
    <row r="351" spans="1:12" x14ac:dyDescent="0.15">
      <c r="A351" s="12"/>
      <c r="B351" s="18"/>
      <c r="C351" s="18"/>
      <c r="D351" s="18"/>
      <c r="E351" s="9"/>
      <c r="F351" s="25"/>
      <c r="G351" s="26"/>
      <c r="H351" s="22" t="str">
        <f>IF(G351="","",MOD(F351*100000000+G351,7))</f>
        <v/>
      </c>
      <c r="I351" s="22"/>
      <c r="J351" s="12"/>
      <c r="K351" s="23"/>
      <c r="L351" s="29"/>
    </row>
    <row r="352" spans="1:12" x14ac:dyDescent="0.15">
      <c r="A352" s="12"/>
      <c r="B352" s="18"/>
      <c r="C352" s="18"/>
      <c r="D352" s="18"/>
      <c r="E352" s="9"/>
      <c r="F352" s="25"/>
      <c r="G352" s="26"/>
      <c r="H352" s="22" t="str">
        <f>IF(G352="","",MOD(F352*100000000+G352,7))</f>
        <v/>
      </c>
      <c r="I352" s="22"/>
      <c r="J352" s="12"/>
      <c r="K352" s="23"/>
      <c r="L352" s="29"/>
    </row>
    <row r="353" spans="1:12" x14ac:dyDescent="0.15">
      <c r="A353" s="12"/>
      <c r="B353" s="18"/>
      <c r="C353" s="18"/>
      <c r="D353" s="18"/>
      <c r="E353" s="9"/>
      <c r="F353" s="20"/>
      <c r="G353" s="26"/>
      <c r="H353" s="22" t="str">
        <f>IF(G353="","",MOD(F353*100000000+G353,7))</f>
        <v/>
      </c>
      <c r="I353" s="22"/>
      <c r="J353" s="12"/>
      <c r="K353" s="23"/>
      <c r="L353" s="29"/>
    </row>
    <row r="354" spans="1:12" x14ac:dyDescent="0.15">
      <c r="A354" s="12"/>
      <c r="B354" s="18"/>
      <c r="C354" s="18"/>
      <c r="D354" s="18"/>
      <c r="E354" s="9"/>
      <c r="F354" s="20"/>
      <c r="G354" s="26"/>
      <c r="H354" s="22" t="str">
        <f>IF(G354="","",MOD(F354*100000000+G354,7))</f>
        <v/>
      </c>
      <c r="I354" s="22"/>
      <c r="J354" s="12"/>
      <c r="K354" s="23"/>
      <c r="L354" s="29"/>
    </row>
    <row r="355" spans="1:12" x14ac:dyDescent="0.15">
      <c r="A355" s="12"/>
      <c r="B355" s="18"/>
      <c r="C355" s="18"/>
      <c r="D355" s="18"/>
      <c r="E355" s="9"/>
      <c r="F355" s="20"/>
      <c r="G355" s="21"/>
      <c r="H355" s="22" t="str">
        <f>IF(G355="","",MOD(F355*100000000+G355,7))</f>
        <v/>
      </c>
      <c r="I355" s="22"/>
      <c r="J355" s="12"/>
      <c r="K355" s="23"/>
      <c r="L355" s="29"/>
    </row>
  </sheetData>
  <mergeCells count="2">
    <mergeCell ref="A1:L1"/>
    <mergeCell ref="F2:H2"/>
  </mergeCells>
  <phoneticPr fontId="1"/>
  <dataValidations count="2">
    <dataValidation imeMode="on" allowBlank="1" showInputMessage="1" showErrorMessage="1" sqref="C1:D1 C356:D439 D178:E181 C182:E355 C3:E177" xr:uid="{EFDFDEA6-0DAD-4FCB-8F0B-AFD626D654FA}"/>
    <dataValidation imeMode="disabled" allowBlank="1" showInputMessage="1" showErrorMessage="1" sqref="A179:C181 A182:B355 C178 A3:B178 F3:K355" xr:uid="{37FD9409-9AF9-43C4-A0FA-1776B7CC6855}"/>
  </dataValidations>
  <printOptions horizontalCentered="1" verticalCentered="1"/>
  <pageMargins left="0.39370078740157483" right="0.39370078740157483" top="0.59055118110236227" bottom="0" header="0" footer="0"/>
  <pageSetup paperSize="9" orientation="portrait" horizontalDpi="4294967293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696EB-1C15-4E9B-B82B-8E24A88A3752}">
  <sheetPr>
    <tabColor rgb="FF92D050"/>
  </sheetPr>
  <dimension ref="A1:N225"/>
  <sheetViews>
    <sheetView workbookViewId="0">
      <pane ySplit="9" topLeftCell="A10" activePane="bottomLeft" state="frozen"/>
      <selection pane="bottomLeft" activeCell="N1" sqref="N1"/>
    </sheetView>
  </sheetViews>
  <sheetFormatPr defaultRowHeight="14.25" x14ac:dyDescent="0.15"/>
  <cols>
    <col min="1" max="1" width="5.25" style="6" customWidth="1"/>
    <col min="2" max="2" width="7" style="6" customWidth="1"/>
    <col min="3" max="4" width="4" style="6" customWidth="1"/>
    <col min="5" max="5" width="23.5" style="6" customWidth="1"/>
    <col min="6" max="6" width="6.25" style="6" customWidth="1"/>
    <col min="7" max="7" width="10.5" style="6" customWidth="1"/>
    <col min="8" max="8" width="2.125" style="6" customWidth="1"/>
    <col min="9" max="9" width="7" style="6" customWidth="1"/>
    <col min="10" max="10" width="5" style="6" customWidth="1"/>
    <col min="11" max="11" width="10.375" style="30" customWidth="1"/>
    <col min="12" max="13" width="4.625" style="6" customWidth="1"/>
    <col min="14" max="14" width="11.625" style="6" bestFit="1" customWidth="1"/>
    <col min="15" max="16384" width="9" style="6"/>
  </cols>
  <sheetData>
    <row r="1" spans="1:14" s="1" customFormat="1" ht="19.5" customHeight="1" x14ac:dyDescent="0.15">
      <c r="A1" s="80" t="str">
        <f>[1]Sheet1!$B$2&amp;"年度家電リサイクル一覧表　　（Ａグループ）"</f>
        <v>2026年度家電リサイクル一覧表　　（Ａグループ）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</row>
    <row r="2" spans="1:14" s="1" customFormat="1" ht="19.5" customHeight="1" x14ac:dyDescent="0.15">
      <c r="A2" s="80" t="s">
        <v>34</v>
      </c>
      <c r="B2" s="80"/>
      <c r="C2" s="80"/>
      <c r="D2" s="83"/>
      <c r="E2" s="2" t="s">
        <v>14</v>
      </c>
      <c r="F2" s="2" t="s">
        <v>19</v>
      </c>
      <c r="G2" s="4"/>
      <c r="H2" s="4"/>
      <c r="I2" s="4"/>
      <c r="J2" s="4"/>
      <c r="K2" s="15"/>
      <c r="L2" s="4"/>
      <c r="M2" s="4"/>
    </row>
    <row r="3" spans="1:14" s="1" customFormat="1" ht="19.5" customHeight="1" x14ac:dyDescent="0.15">
      <c r="A3" s="81"/>
      <c r="B3" s="81"/>
      <c r="C3" s="81"/>
      <c r="D3" s="82"/>
      <c r="E3" s="31" t="s">
        <v>18</v>
      </c>
      <c r="F3" s="11">
        <f>COUNTIF(J10:J185,10)</f>
        <v>0</v>
      </c>
      <c r="G3" s="10"/>
      <c r="H3" s="4"/>
      <c r="I3" s="4"/>
      <c r="J3" s="4"/>
      <c r="K3" s="15"/>
    </row>
    <row r="4" spans="1:14" s="1" customFormat="1" ht="19.5" customHeight="1" x14ac:dyDescent="0.15">
      <c r="A4" s="80" t="s">
        <v>10</v>
      </c>
      <c r="B4" s="80"/>
      <c r="C4" s="4"/>
      <c r="D4" s="4"/>
      <c r="E4" s="31" t="s">
        <v>9</v>
      </c>
      <c r="F4" s="11">
        <f>COUNTIF(J10:J185,20)+COUNTIF(J10:J185,21)+COUNTIF(J10:J185,22)+COUNTIF(J10:J185,51)+COUNTIF(J10:J185,52)+COUNTIF(J10:J185,50)</f>
        <v>0</v>
      </c>
      <c r="G4" s="10"/>
      <c r="H4" s="4"/>
      <c r="J4" s="4"/>
      <c r="K4" s="15"/>
    </row>
    <row r="5" spans="1:14" s="1" customFormat="1" ht="19.5" customHeight="1" x14ac:dyDescent="0.15">
      <c r="A5" s="4"/>
      <c r="B5" s="4"/>
      <c r="C5" s="4"/>
      <c r="D5" s="4"/>
      <c r="E5" s="31" t="s">
        <v>7</v>
      </c>
      <c r="F5" s="11">
        <f>COUNTIF(J10:J185,30)+COUNTIF(J10:J185,31)+COUNTIF(J10:J185,32)</f>
        <v>0</v>
      </c>
      <c r="G5" s="10"/>
      <c r="H5" s="4"/>
      <c r="I5" s="4"/>
      <c r="J5" s="4"/>
      <c r="K5" s="15"/>
      <c r="N5" s="13"/>
    </row>
    <row r="6" spans="1:14" s="1" customFormat="1" ht="19.5" customHeight="1" x14ac:dyDescent="0.15">
      <c r="A6" s="4"/>
      <c r="B6" s="4"/>
      <c r="C6" s="4"/>
      <c r="D6" s="4"/>
      <c r="E6" s="31" t="s">
        <v>8</v>
      </c>
      <c r="F6" s="11">
        <f>COUNTIF(J10:J185,40)</f>
        <v>0</v>
      </c>
      <c r="G6" s="10"/>
      <c r="H6" s="4"/>
      <c r="I6" s="4"/>
      <c r="J6" s="4"/>
      <c r="K6" s="15"/>
      <c r="N6" s="13"/>
    </row>
    <row r="7" spans="1:14" s="1" customFormat="1" ht="19.5" customHeight="1" x14ac:dyDescent="0.15">
      <c r="A7" s="4"/>
      <c r="B7" s="4"/>
      <c r="C7" s="4"/>
      <c r="D7" s="4"/>
      <c r="E7" s="2" t="s">
        <v>13</v>
      </c>
      <c r="F7" s="11">
        <f>SUM(F3:F6)</f>
        <v>0</v>
      </c>
      <c r="G7" s="10"/>
      <c r="H7" s="4"/>
      <c r="I7" s="4"/>
      <c r="J7" s="4"/>
      <c r="K7" s="15"/>
    </row>
    <row r="8" spans="1:14" ht="7.5" customHeight="1" x14ac:dyDescent="0.15">
      <c r="A8" s="5"/>
      <c r="B8" s="5"/>
      <c r="C8" s="5"/>
      <c r="D8" s="5"/>
      <c r="E8" s="5"/>
      <c r="F8" s="19"/>
      <c r="G8" s="19"/>
      <c r="H8" s="5"/>
      <c r="I8" s="5"/>
      <c r="J8" s="5"/>
      <c r="K8" s="16"/>
      <c r="L8" s="5"/>
      <c r="M8" s="5"/>
    </row>
    <row r="9" spans="1:14" s="8" customFormat="1" ht="21" customHeight="1" x14ac:dyDescent="0.15">
      <c r="A9" s="7" t="s">
        <v>1</v>
      </c>
      <c r="B9" s="7" t="s">
        <v>5</v>
      </c>
      <c r="C9" s="7" t="s">
        <v>16</v>
      </c>
      <c r="D9" s="7" t="s">
        <v>17</v>
      </c>
      <c r="E9" s="7" t="s">
        <v>6</v>
      </c>
      <c r="F9" s="75" t="s">
        <v>0</v>
      </c>
      <c r="G9" s="75"/>
      <c r="H9" s="75"/>
      <c r="I9" s="7" t="s">
        <v>2</v>
      </c>
      <c r="J9" s="7" t="s">
        <v>3</v>
      </c>
      <c r="K9" s="17" t="s">
        <v>4</v>
      </c>
      <c r="L9" s="7" t="s">
        <v>15</v>
      </c>
      <c r="M9" s="7" t="s">
        <v>39</v>
      </c>
    </row>
    <row r="10" spans="1:14" ht="21" customHeight="1" x14ac:dyDescent="0.15">
      <c r="A10" s="12">
        <v>1</v>
      </c>
      <c r="B10" s="18"/>
      <c r="C10" s="18"/>
      <c r="D10" s="18"/>
      <c r="E10" s="9"/>
      <c r="F10" s="20"/>
      <c r="G10" s="21"/>
      <c r="H10" s="35" t="str">
        <f>IF(G10="","",(F10*100000000+G10)-7*INT((F10*100000000+G10)/7))</f>
        <v/>
      </c>
      <c r="I10" s="22"/>
      <c r="J10" s="12"/>
      <c r="K10" s="23"/>
      <c r="L10" s="32"/>
      <c r="M10" s="32"/>
    </row>
    <row r="11" spans="1:14" ht="21" customHeight="1" x14ac:dyDescent="0.15">
      <c r="A11" s="12">
        <v>2</v>
      </c>
      <c r="B11" s="18"/>
      <c r="C11" s="18"/>
      <c r="D11" s="18"/>
      <c r="E11" s="9"/>
      <c r="F11" s="20"/>
      <c r="G11" s="21"/>
      <c r="H11" s="35" t="str">
        <f>IF(G11="","",(F11*100000000+G11)-7*INT((F11*100000000+G11)/7))</f>
        <v/>
      </c>
      <c r="I11" s="22"/>
      <c r="J11" s="12"/>
      <c r="K11" s="23"/>
      <c r="L11" s="32"/>
      <c r="M11" s="32"/>
    </row>
    <row r="12" spans="1:14" ht="21" customHeight="1" x14ac:dyDescent="0.15">
      <c r="A12" s="12">
        <v>3</v>
      </c>
      <c r="B12" s="18"/>
      <c r="C12" s="18"/>
      <c r="D12" s="18"/>
      <c r="E12" s="9"/>
      <c r="F12" s="25"/>
      <c r="G12" s="26"/>
      <c r="H12" s="35" t="str">
        <f>IF(G12="","",(F12*100000000+G12)-7*INT((F12*100000000+G12)/7))</f>
        <v/>
      </c>
      <c r="I12" s="22"/>
      <c r="J12" s="12"/>
      <c r="K12" s="23"/>
      <c r="L12" s="32"/>
      <c r="M12" s="49"/>
      <c r="N12" s="14"/>
    </row>
    <row r="13" spans="1:14" ht="21" customHeight="1" x14ac:dyDescent="0.15">
      <c r="A13" s="12">
        <v>4</v>
      </c>
      <c r="B13" s="18"/>
      <c r="C13" s="18"/>
      <c r="D13" s="18"/>
      <c r="E13" s="9"/>
      <c r="F13" s="25"/>
      <c r="G13" s="26"/>
      <c r="H13" s="35" t="str">
        <f>IF(G13="","",(F13*100000000+G13)-7*INT((F13*100000000+G13)/7))</f>
        <v/>
      </c>
      <c r="I13" s="22"/>
      <c r="J13" s="12"/>
      <c r="K13" s="23"/>
      <c r="L13" s="32"/>
      <c r="M13" s="32"/>
    </row>
    <row r="14" spans="1:14" ht="21" customHeight="1" x14ac:dyDescent="0.15">
      <c r="A14" s="12">
        <v>5</v>
      </c>
      <c r="B14" s="18"/>
      <c r="C14" s="18"/>
      <c r="D14" s="18"/>
      <c r="E14" s="9"/>
      <c r="F14" s="20"/>
      <c r="G14" s="21"/>
      <c r="H14" s="35" t="str">
        <f>IF(G14="","",(F14*100000000+G14)-7*INT((F14*100000000+G14)/7))</f>
        <v/>
      </c>
      <c r="I14" s="22"/>
      <c r="J14" s="12"/>
      <c r="K14" s="23"/>
      <c r="L14" s="32"/>
      <c r="M14" s="32"/>
    </row>
    <row r="15" spans="1:14" ht="21" customHeight="1" x14ac:dyDescent="0.15">
      <c r="A15" s="12">
        <v>6</v>
      </c>
      <c r="B15" s="18"/>
      <c r="C15" s="18"/>
      <c r="D15" s="18"/>
      <c r="E15" s="9"/>
      <c r="F15" s="20"/>
      <c r="G15" s="21"/>
      <c r="H15" s="35"/>
      <c r="I15" s="22"/>
      <c r="J15" s="12"/>
      <c r="K15" s="23"/>
      <c r="L15" s="32"/>
      <c r="M15" s="32"/>
    </row>
    <row r="16" spans="1:14" ht="21" customHeight="1" x14ac:dyDescent="0.15">
      <c r="A16" s="12">
        <v>7</v>
      </c>
      <c r="B16" s="18"/>
      <c r="C16" s="18"/>
      <c r="D16" s="18"/>
      <c r="E16" s="9"/>
      <c r="F16" s="20"/>
      <c r="G16" s="21"/>
      <c r="H16" s="35"/>
      <c r="I16" s="22"/>
      <c r="J16" s="12"/>
      <c r="K16" s="23"/>
      <c r="L16" s="32"/>
      <c r="M16" s="32"/>
    </row>
    <row r="17" spans="1:13" ht="21" customHeight="1" x14ac:dyDescent="0.15">
      <c r="A17" s="12">
        <v>8</v>
      </c>
      <c r="B17" s="18"/>
      <c r="C17" s="18"/>
      <c r="D17" s="18"/>
      <c r="E17" s="9"/>
      <c r="F17" s="20"/>
      <c r="G17" s="21"/>
      <c r="H17" s="35"/>
      <c r="I17" s="22"/>
      <c r="J17" s="12"/>
      <c r="K17" s="23"/>
      <c r="L17" s="32"/>
      <c r="M17" s="32"/>
    </row>
    <row r="18" spans="1:13" ht="21" customHeight="1" x14ac:dyDescent="0.15">
      <c r="A18" s="12">
        <v>9</v>
      </c>
      <c r="B18" s="18"/>
      <c r="C18" s="18"/>
      <c r="D18" s="18"/>
      <c r="E18" s="9"/>
      <c r="F18" s="20"/>
      <c r="G18" s="21"/>
      <c r="H18" s="35"/>
      <c r="I18" s="22"/>
      <c r="J18" s="12"/>
      <c r="K18" s="23"/>
      <c r="L18" s="32"/>
      <c r="M18" s="32"/>
    </row>
    <row r="19" spans="1:13" ht="21" customHeight="1" x14ac:dyDescent="0.15">
      <c r="A19" s="12">
        <v>10</v>
      </c>
      <c r="B19" s="18"/>
      <c r="C19" s="18"/>
      <c r="D19" s="18"/>
      <c r="E19" s="9"/>
      <c r="F19" s="20"/>
      <c r="G19" s="21"/>
      <c r="H19" s="35"/>
      <c r="I19" s="22"/>
      <c r="J19" s="12"/>
      <c r="K19" s="23"/>
      <c r="L19" s="32"/>
      <c r="M19" s="32"/>
    </row>
    <row r="20" spans="1:13" ht="21" customHeight="1" x14ac:dyDescent="0.15">
      <c r="A20" s="12">
        <v>11</v>
      </c>
      <c r="B20" s="18"/>
      <c r="C20" s="18"/>
      <c r="D20" s="18"/>
      <c r="E20" s="9"/>
      <c r="F20" s="20"/>
      <c r="G20" s="21"/>
      <c r="H20" s="35"/>
      <c r="I20" s="22"/>
      <c r="J20" s="12"/>
      <c r="K20" s="23"/>
      <c r="L20" s="32"/>
      <c r="M20" s="32"/>
    </row>
    <row r="21" spans="1:13" ht="21" customHeight="1" x14ac:dyDescent="0.15">
      <c r="A21" s="12">
        <v>12</v>
      </c>
      <c r="B21" s="18"/>
      <c r="C21" s="18"/>
      <c r="D21" s="18"/>
      <c r="E21" s="9"/>
      <c r="F21" s="20"/>
      <c r="G21" s="21"/>
      <c r="H21" s="35"/>
      <c r="I21" s="22"/>
      <c r="J21" s="12"/>
      <c r="K21" s="23"/>
      <c r="L21" s="32"/>
      <c r="M21" s="32"/>
    </row>
    <row r="22" spans="1:13" ht="21" customHeight="1" x14ac:dyDescent="0.15">
      <c r="A22" s="12">
        <v>13</v>
      </c>
      <c r="B22" s="18"/>
      <c r="C22" s="18"/>
      <c r="D22" s="18"/>
      <c r="E22" s="9"/>
      <c r="F22" s="20"/>
      <c r="G22" s="21"/>
      <c r="H22" s="35"/>
      <c r="I22" s="22"/>
      <c r="J22" s="12"/>
      <c r="K22" s="23"/>
      <c r="L22" s="32"/>
      <c r="M22" s="32"/>
    </row>
    <row r="23" spans="1:13" ht="21" customHeight="1" x14ac:dyDescent="0.15">
      <c r="A23" s="12">
        <v>14</v>
      </c>
      <c r="B23" s="18"/>
      <c r="C23" s="18"/>
      <c r="D23" s="18"/>
      <c r="E23" s="9"/>
      <c r="F23" s="20"/>
      <c r="G23" s="21"/>
      <c r="H23" s="35"/>
      <c r="I23" s="22"/>
      <c r="J23" s="12"/>
      <c r="K23" s="23"/>
      <c r="L23" s="32"/>
      <c r="M23" s="32"/>
    </row>
    <row r="24" spans="1:13" ht="21" customHeight="1" x14ac:dyDescent="0.15">
      <c r="A24" s="12">
        <v>15</v>
      </c>
      <c r="B24" s="18"/>
      <c r="C24" s="18"/>
      <c r="D24" s="18"/>
      <c r="E24" s="9"/>
      <c r="F24" s="20"/>
      <c r="G24" s="21"/>
      <c r="H24" s="35"/>
      <c r="I24" s="22"/>
      <c r="J24" s="12"/>
      <c r="K24" s="23"/>
      <c r="L24" s="32"/>
      <c r="M24" s="32"/>
    </row>
    <row r="25" spans="1:13" ht="21" customHeight="1" x14ac:dyDescent="0.15">
      <c r="A25" s="12">
        <v>16</v>
      </c>
      <c r="B25" s="18"/>
      <c r="C25" s="18"/>
      <c r="D25" s="18"/>
      <c r="E25" s="9"/>
      <c r="F25" s="20"/>
      <c r="G25" s="21"/>
      <c r="H25" s="35"/>
      <c r="I25" s="22"/>
      <c r="J25" s="12"/>
      <c r="K25" s="23"/>
      <c r="L25" s="32"/>
      <c r="M25" s="32"/>
    </row>
    <row r="26" spans="1:13" ht="21" customHeight="1" x14ac:dyDescent="0.15">
      <c r="A26" s="12">
        <v>17</v>
      </c>
      <c r="B26" s="18"/>
      <c r="C26" s="18"/>
      <c r="D26" s="18"/>
      <c r="E26" s="9"/>
      <c r="F26" s="20"/>
      <c r="G26" s="21"/>
      <c r="H26" s="35"/>
      <c r="I26" s="22"/>
      <c r="J26" s="12"/>
      <c r="K26" s="23"/>
      <c r="L26" s="32"/>
      <c r="M26" s="32"/>
    </row>
    <row r="27" spans="1:13" ht="21" customHeight="1" x14ac:dyDescent="0.15">
      <c r="A27" s="12">
        <v>18</v>
      </c>
      <c r="B27" s="18"/>
      <c r="C27" s="18"/>
      <c r="D27" s="18"/>
      <c r="E27" s="9"/>
      <c r="F27" s="20"/>
      <c r="G27" s="21"/>
      <c r="H27" s="35"/>
      <c r="I27" s="22"/>
      <c r="J27" s="12"/>
      <c r="K27" s="23"/>
      <c r="L27" s="32"/>
      <c r="M27" s="32"/>
    </row>
    <row r="28" spans="1:13" ht="21" customHeight="1" x14ac:dyDescent="0.15">
      <c r="A28" s="12">
        <v>19</v>
      </c>
      <c r="B28" s="18"/>
      <c r="C28" s="18"/>
      <c r="D28" s="18"/>
      <c r="E28" s="9"/>
      <c r="F28" s="20"/>
      <c r="G28" s="21"/>
      <c r="H28" s="35"/>
      <c r="I28" s="22"/>
      <c r="J28" s="12"/>
      <c r="K28" s="23"/>
      <c r="L28" s="32"/>
      <c r="M28" s="32"/>
    </row>
    <row r="29" spans="1:13" ht="21" customHeight="1" x14ac:dyDescent="0.15">
      <c r="A29" s="12">
        <v>20</v>
      </c>
      <c r="B29" s="18"/>
      <c r="C29" s="18"/>
      <c r="D29" s="18"/>
      <c r="E29" s="9"/>
      <c r="F29" s="20"/>
      <c r="G29" s="21"/>
      <c r="H29" s="35"/>
      <c r="I29" s="22"/>
      <c r="J29" s="12"/>
      <c r="K29" s="23"/>
      <c r="L29" s="32"/>
      <c r="M29" s="32"/>
    </row>
    <row r="30" spans="1:13" ht="21" customHeight="1" x14ac:dyDescent="0.15">
      <c r="A30" s="12">
        <v>21</v>
      </c>
      <c r="B30" s="18"/>
      <c r="C30" s="18"/>
      <c r="D30" s="18"/>
      <c r="E30" s="9"/>
      <c r="F30" s="20"/>
      <c r="G30" s="21"/>
      <c r="H30" s="35"/>
      <c r="I30" s="22"/>
      <c r="J30" s="12"/>
      <c r="K30" s="23"/>
      <c r="L30" s="32"/>
      <c r="M30" s="32"/>
    </row>
    <row r="31" spans="1:13" ht="21" customHeight="1" x14ac:dyDescent="0.15">
      <c r="A31" s="12">
        <v>22</v>
      </c>
      <c r="B31" s="18"/>
      <c r="C31" s="18"/>
      <c r="D31" s="18"/>
      <c r="E31" s="9"/>
      <c r="F31" s="20"/>
      <c r="G31" s="21"/>
      <c r="H31" s="35"/>
      <c r="I31" s="22"/>
      <c r="J31" s="12"/>
      <c r="K31" s="23"/>
      <c r="L31" s="32"/>
      <c r="M31" s="32"/>
    </row>
    <row r="32" spans="1:13" ht="21" customHeight="1" x14ac:dyDescent="0.15">
      <c r="A32" s="12">
        <v>23</v>
      </c>
      <c r="B32" s="18"/>
      <c r="C32" s="18"/>
      <c r="D32" s="18"/>
      <c r="E32" s="9"/>
      <c r="F32" s="20"/>
      <c r="G32" s="21"/>
      <c r="H32" s="35"/>
      <c r="I32" s="22"/>
      <c r="J32" s="12"/>
      <c r="K32" s="23"/>
      <c r="L32" s="32"/>
      <c r="M32" s="32"/>
    </row>
    <row r="33" spans="1:13" ht="21" customHeight="1" x14ac:dyDescent="0.15">
      <c r="A33" s="12">
        <v>24</v>
      </c>
      <c r="B33" s="18"/>
      <c r="C33" s="18"/>
      <c r="D33" s="18"/>
      <c r="E33" s="9"/>
      <c r="F33" s="20"/>
      <c r="G33" s="21"/>
      <c r="H33" s="35"/>
      <c r="I33" s="22"/>
      <c r="J33" s="12"/>
      <c r="K33" s="23"/>
      <c r="L33" s="32"/>
      <c r="M33" s="32"/>
    </row>
    <row r="34" spans="1:13" ht="21" customHeight="1" x14ac:dyDescent="0.15">
      <c r="A34" s="12">
        <v>25</v>
      </c>
      <c r="B34" s="18"/>
      <c r="C34" s="18"/>
      <c r="D34" s="18"/>
      <c r="E34" s="9"/>
      <c r="F34" s="20"/>
      <c r="G34" s="21"/>
      <c r="H34" s="35"/>
      <c r="I34" s="22"/>
      <c r="J34" s="12"/>
      <c r="K34" s="23"/>
      <c r="L34" s="32"/>
      <c r="M34" s="32"/>
    </row>
    <row r="35" spans="1:13" ht="21" customHeight="1" x14ac:dyDescent="0.15">
      <c r="A35" s="12">
        <v>26</v>
      </c>
      <c r="B35" s="18"/>
      <c r="C35" s="18"/>
      <c r="D35" s="18"/>
      <c r="E35" s="9"/>
      <c r="F35" s="20"/>
      <c r="G35" s="21"/>
      <c r="H35" s="35"/>
      <c r="I35" s="22"/>
      <c r="J35" s="12"/>
      <c r="K35" s="23"/>
      <c r="L35" s="32"/>
      <c r="M35" s="32"/>
    </row>
    <row r="36" spans="1:13" ht="21" customHeight="1" x14ac:dyDescent="0.15">
      <c r="A36" s="12">
        <v>27</v>
      </c>
      <c r="B36" s="18"/>
      <c r="C36" s="18"/>
      <c r="D36" s="18"/>
      <c r="E36" s="9"/>
      <c r="F36" s="20"/>
      <c r="G36" s="21"/>
      <c r="H36" s="35"/>
      <c r="I36" s="22"/>
      <c r="J36" s="12"/>
      <c r="K36" s="23"/>
      <c r="L36" s="32"/>
      <c r="M36" s="32"/>
    </row>
    <row r="37" spans="1:13" ht="21" customHeight="1" x14ac:dyDescent="0.15">
      <c r="A37" s="12">
        <v>28</v>
      </c>
      <c r="B37" s="18"/>
      <c r="C37" s="18"/>
      <c r="D37" s="18"/>
      <c r="E37" s="9"/>
      <c r="F37" s="20"/>
      <c r="G37" s="21"/>
      <c r="H37" s="35"/>
      <c r="I37" s="22"/>
      <c r="J37" s="12"/>
      <c r="K37" s="23"/>
      <c r="L37" s="32"/>
      <c r="M37" s="32"/>
    </row>
    <row r="38" spans="1:13" ht="21" customHeight="1" x14ac:dyDescent="0.15">
      <c r="A38" s="12">
        <v>29</v>
      </c>
      <c r="B38" s="18"/>
      <c r="C38" s="18"/>
      <c r="D38" s="18"/>
      <c r="E38" s="9"/>
      <c r="F38" s="20"/>
      <c r="G38" s="21"/>
      <c r="H38" s="35"/>
      <c r="I38" s="22"/>
      <c r="J38" s="12"/>
      <c r="K38" s="23"/>
      <c r="L38" s="32"/>
      <c r="M38" s="32"/>
    </row>
    <row r="39" spans="1:13" ht="21" customHeight="1" x14ac:dyDescent="0.15">
      <c r="A39" s="12">
        <v>30</v>
      </c>
      <c r="B39" s="18"/>
      <c r="C39" s="18"/>
      <c r="D39" s="18"/>
      <c r="E39" s="9"/>
      <c r="F39" s="20"/>
      <c r="G39" s="21"/>
      <c r="H39" s="35"/>
      <c r="I39" s="22"/>
      <c r="J39" s="12"/>
      <c r="K39" s="23"/>
      <c r="L39" s="32"/>
      <c r="M39" s="32"/>
    </row>
    <row r="40" spans="1:13" ht="21" customHeight="1" x14ac:dyDescent="0.15">
      <c r="A40" s="12">
        <v>31</v>
      </c>
      <c r="B40" s="18"/>
      <c r="C40" s="18"/>
      <c r="D40" s="18"/>
      <c r="E40" s="9"/>
      <c r="F40" s="20"/>
      <c r="G40" s="21"/>
      <c r="H40" s="35"/>
      <c r="I40" s="22"/>
      <c r="J40" s="12"/>
      <c r="K40" s="23"/>
      <c r="L40" s="32"/>
      <c r="M40" s="32"/>
    </row>
    <row r="41" spans="1:13" ht="21" customHeight="1" x14ac:dyDescent="0.15">
      <c r="A41" s="12">
        <v>32</v>
      </c>
      <c r="B41" s="18"/>
      <c r="C41" s="18"/>
      <c r="D41" s="18"/>
      <c r="E41" s="9"/>
      <c r="F41" s="20"/>
      <c r="G41" s="21"/>
      <c r="H41" s="35"/>
      <c r="I41" s="22"/>
      <c r="J41" s="12"/>
      <c r="K41" s="23"/>
      <c r="L41" s="32"/>
      <c r="M41" s="32"/>
    </row>
    <row r="42" spans="1:13" ht="21" customHeight="1" x14ac:dyDescent="0.15">
      <c r="A42" s="12">
        <v>33</v>
      </c>
      <c r="B42" s="18"/>
      <c r="C42" s="18"/>
      <c r="D42" s="18"/>
      <c r="E42" s="9"/>
      <c r="F42" s="20"/>
      <c r="G42" s="21"/>
      <c r="H42" s="35"/>
      <c r="I42" s="22"/>
      <c r="J42" s="12"/>
      <c r="K42" s="23"/>
      <c r="L42" s="32"/>
      <c r="M42" s="32"/>
    </row>
    <row r="43" spans="1:13" ht="21" customHeight="1" x14ac:dyDescent="0.15">
      <c r="A43" s="12">
        <v>34</v>
      </c>
      <c r="B43" s="18"/>
      <c r="C43" s="18"/>
      <c r="D43" s="18"/>
      <c r="E43" s="9"/>
      <c r="F43" s="20"/>
      <c r="G43" s="21"/>
      <c r="H43" s="35"/>
      <c r="I43" s="22"/>
      <c r="J43" s="12"/>
      <c r="K43" s="23"/>
      <c r="L43" s="32"/>
      <c r="M43" s="32"/>
    </row>
    <row r="44" spans="1:13" ht="21" customHeight="1" x14ac:dyDescent="0.15">
      <c r="A44" s="12">
        <v>35</v>
      </c>
      <c r="B44" s="18"/>
      <c r="C44" s="18"/>
      <c r="D44" s="18"/>
      <c r="E44" s="9"/>
      <c r="F44" s="20"/>
      <c r="G44" s="21"/>
      <c r="H44" s="35"/>
      <c r="I44" s="22"/>
      <c r="J44" s="12"/>
      <c r="K44" s="23"/>
      <c r="L44" s="32"/>
      <c r="M44" s="32"/>
    </row>
    <row r="45" spans="1:13" ht="21" customHeight="1" x14ac:dyDescent="0.15">
      <c r="A45" s="12">
        <v>36</v>
      </c>
      <c r="B45" s="18"/>
      <c r="C45" s="18"/>
      <c r="D45" s="18"/>
      <c r="E45" s="9"/>
      <c r="F45" s="20"/>
      <c r="G45" s="21"/>
      <c r="H45" s="35"/>
      <c r="I45" s="22"/>
      <c r="J45" s="12"/>
      <c r="K45" s="23"/>
      <c r="L45" s="32"/>
      <c r="M45" s="32"/>
    </row>
    <row r="46" spans="1:13" ht="21" customHeight="1" x14ac:dyDescent="0.15">
      <c r="A46" s="12">
        <v>37</v>
      </c>
      <c r="B46" s="18"/>
      <c r="C46" s="18"/>
      <c r="D46" s="18"/>
      <c r="E46" s="9"/>
      <c r="F46" s="25"/>
      <c r="G46" s="26"/>
      <c r="H46" s="35"/>
      <c r="I46" s="22"/>
      <c r="J46" s="12"/>
      <c r="K46" s="23"/>
      <c r="L46" s="32"/>
      <c r="M46" s="32"/>
    </row>
    <row r="47" spans="1:13" ht="21" customHeight="1" x14ac:dyDescent="0.15">
      <c r="A47" s="12">
        <v>38</v>
      </c>
      <c r="B47" s="18"/>
      <c r="C47" s="18"/>
      <c r="D47" s="18"/>
      <c r="E47" s="9"/>
      <c r="F47" s="25"/>
      <c r="G47" s="26"/>
      <c r="H47" s="35"/>
      <c r="I47" s="22"/>
      <c r="J47" s="12"/>
      <c r="K47" s="23"/>
      <c r="L47" s="32"/>
      <c r="M47" s="32"/>
    </row>
    <row r="48" spans="1:13" ht="21" customHeight="1" x14ac:dyDescent="0.15">
      <c r="A48" s="12">
        <v>39</v>
      </c>
      <c r="B48" s="18"/>
      <c r="C48" s="18"/>
      <c r="D48" s="18"/>
      <c r="E48" s="9"/>
      <c r="F48" s="20"/>
      <c r="G48" s="21"/>
      <c r="H48" s="35"/>
      <c r="I48" s="22"/>
      <c r="J48" s="12"/>
      <c r="K48" s="23"/>
      <c r="L48" s="32"/>
      <c r="M48" s="32"/>
    </row>
    <row r="49" spans="1:13" ht="21" customHeight="1" x14ac:dyDescent="0.15">
      <c r="A49" s="12">
        <v>40</v>
      </c>
      <c r="B49" s="18"/>
      <c r="C49" s="18"/>
      <c r="D49" s="18"/>
      <c r="E49" s="9"/>
      <c r="F49" s="20"/>
      <c r="G49" s="21"/>
      <c r="H49" s="35"/>
      <c r="I49" s="22"/>
      <c r="J49" s="12"/>
      <c r="K49" s="23"/>
      <c r="L49" s="32"/>
      <c r="M49" s="32"/>
    </row>
    <row r="50" spans="1:13" ht="21" customHeight="1" x14ac:dyDescent="0.15">
      <c r="A50" s="12">
        <v>41</v>
      </c>
      <c r="B50" s="18"/>
      <c r="C50" s="18"/>
      <c r="D50" s="18"/>
      <c r="E50" s="9"/>
      <c r="F50" s="20"/>
      <c r="G50" s="21"/>
      <c r="H50" s="35"/>
      <c r="I50" s="22"/>
      <c r="J50" s="12"/>
      <c r="K50" s="23"/>
      <c r="L50" s="32"/>
      <c r="M50" s="32"/>
    </row>
    <row r="51" spans="1:13" ht="21" customHeight="1" x14ac:dyDescent="0.15">
      <c r="A51" s="12">
        <v>42</v>
      </c>
      <c r="B51" s="18"/>
      <c r="C51" s="18"/>
      <c r="D51" s="18"/>
      <c r="E51" s="9"/>
      <c r="F51" s="20"/>
      <c r="G51" s="21"/>
      <c r="H51" s="35"/>
      <c r="I51" s="22"/>
      <c r="J51" s="12"/>
      <c r="K51" s="23"/>
      <c r="L51" s="32"/>
      <c r="M51" s="32"/>
    </row>
    <row r="52" spans="1:13" ht="21" customHeight="1" x14ac:dyDescent="0.15">
      <c r="A52" s="12">
        <v>43</v>
      </c>
      <c r="B52" s="18"/>
      <c r="C52" s="18"/>
      <c r="D52" s="18"/>
      <c r="E52" s="9"/>
      <c r="F52" s="20"/>
      <c r="G52" s="21"/>
      <c r="H52" s="35"/>
      <c r="I52" s="22"/>
      <c r="J52" s="12"/>
      <c r="K52" s="23"/>
      <c r="L52" s="32"/>
      <c r="M52" s="32"/>
    </row>
    <row r="53" spans="1:13" ht="21" customHeight="1" x14ac:dyDescent="0.15">
      <c r="A53" s="12">
        <v>44</v>
      </c>
      <c r="B53" s="18"/>
      <c r="C53" s="18"/>
      <c r="D53" s="18"/>
      <c r="E53" s="9"/>
      <c r="F53" s="20"/>
      <c r="G53" s="21"/>
      <c r="H53" s="35"/>
      <c r="I53" s="22"/>
      <c r="J53" s="12"/>
      <c r="K53" s="23"/>
      <c r="L53" s="32"/>
      <c r="M53" s="32"/>
    </row>
    <row r="54" spans="1:13" ht="21" customHeight="1" x14ac:dyDescent="0.15">
      <c r="A54" s="12">
        <v>45</v>
      </c>
      <c r="B54" s="18"/>
      <c r="C54" s="18"/>
      <c r="D54" s="18"/>
      <c r="E54" s="9"/>
      <c r="F54" s="20"/>
      <c r="G54" s="21"/>
      <c r="H54" s="35"/>
      <c r="I54" s="22"/>
      <c r="J54" s="12"/>
      <c r="K54" s="23"/>
      <c r="L54" s="32"/>
      <c r="M54" s="32"/>
    </row>
    <row r="55" spans="1:13" ht="21" customHeight="1" x14ac:dyDescent="0.15">
      <c r="A55" s="12">
        <v>46</v>
      </c>
      <c r="B55" s="18"/>
      <c r="C55" s="18"/>
      <c r="D55" s="18"/>
      <c r="E55" s="9"/>
      <c r="F55" s="20"/>
      <c r="G55" s="21"/>
      <c r="H55" s="35"/>
      <c r="I55" s="22"/>
      <c r="J55" s="12"/>
      <c r="K55" s="23"/>
      <c r="L55" s="32"/>
      <c r="M55" s="32"/>
    </row>
    <row r="56" spans="1:13" ht="21" customHeight="1" x14ac:dyDescent="0.15">
      <c r="A56" s="12">
        <v>47</v>
      </c>
      <c r="B56" s="18"/>
      <c r="C56" s="18"/>
      <c r="D56" s="18"/>
      <c r="E56" s="9"/>
      <c r="F56" s="20"/>
      <c r="G56" s="21"/>
      <c r="H56" s="35"/>
      <c r="I56" s="22"/>
      <c r="J56" s="12"/>
      <c r="K56" s="23"/>
      <c r="L56" s="32"/>
      <c r="M56" s="32"/>
    </row>
    <row r="57" spans="1:13" ht="21" customHeight="1" x14ac:dyDescent="0.15">
      <c r="A57" s="12">
        <v>48</v>
      </c>
      <c r="B57" s="18"/>
      <c r="C57" s="18"/>
      <c r="D57" s="18"/>
      <c r="E57" s="9"/>
      <c r="F57" s="20"/>
      <c r="G57" s="21"/>
      <c r="H57" s="35"/>
      <c r="I57" s="22"/>
      <c r="J57" s="12"/>
      <c r="K57" s="23"/>
      <c r="L57" s="32"/>
      <c r="M57" s="32"/>
    </row>
    <row r="58" spans="1:13" ht="21" customHeight="1" x14ac:dyDescent="0.15">
      <c r="A58" s="12">
        <v>49</v>
      </c>
      <c r="B58" s="18"/>
      <c r="C58" s="18"/>
      <c r="D58" s="18"/>
      <c r="E58" s="9"/>
      <c r="F58" s="20"/>
      <c r="G58" s="21"/>
      <c r="H58" s="35"/>
      <c r="I58" s="22"/>
      <c r="J58" s="12"/>
      <c r="K58" s="23"/>
      <c r="L58" s="32"/>
      <c r="M58" s="32"/>
    </row>
    <row r="59" spans="1:13" ht="21" customHeight="1" x14ac:dyDescent="0.15">
      <c r="A59" s="12">
        <v>50</v>
      </c>
      <c r="B59" s="18"/>
      <c r="C59" s="18"/>
      <c r="D59" s="18"/>
      <c r="E59" s="9"/>
      <c r="F59" s="20"/>
      <c r="G59" s="21"/>
      <c r="H59" s="35"/>
      <c r="I59" s="22"/>
      <c r="J59" s="12"/>
      <c r="K59" s="23"/>
      <c r="L59" s="32"/>
      <c r="M59" s="32"/>
    </row>
    <row r="60" spans="1:13" ht="21" customHeight="1" x14ac:dyDescent="0.15">
      <c r="A60" s="12">
        <v>51</v>
      </c>
      <c r="B60" s="18"/>
      <c r="C60" s="18"/>
      <c r="D60" s="18"/>
      <c r="E60" s="9"/>
      <c r="F60" s="20"/>
      <c r="G60" s="21"/>
      <c r="H60" s="35"/>
      <c r="I60" s="22"/>
      <c r="J60" s="12"/>
      <c r="K60" s="23"/>
      <c r="L60" s="32"/>
      <c r="M60" s="32"/>
    </row>
    <row r="61" spans="1:13" ht="21" customHeight="1" x14ac:dyDescent="0.15">
      <c r="A61" s="12">
        <v>52</v>
      </c>
      <c r="B61" s="18"/>
      <c r="C61" s="18"/>
      <c r="D61" s="18"/>
      <c r="E61" s="9"/>
      <c r="F61" s="20"/>
      <c r="G61" s="21"/>
      <c r="H61" s="35"/>
      <c r="I61" s="22"/>
      <c r="J61" s="12"/>
      <c r="K61" s="23"/>
      <c r="L61" s="53"/>
      <c r="M61" s="52"/>
    </row>
    <row r="62" spans="1:13" ht="21" customHeight="1" x14ac:dyDescent="0.15">
      <c r="A62" s="12">
        <v>53</v>
      </c>
      <c r="B62" s="18"/>
      <c r="C62" s="18"/>
      <c r="D62" s="18"/>
      <c r="E62" s="9"/>
      <c r="F62" s="20"/>
      <c r="G62" s="21"/>
      <c r="H62" s="35"/>
      <c r="I62" s="22"/>
      <c r="J62" s="12"/>
      <c r="K62" s="23"/>
      <c r="L62" s="32"/>
      <c r="M62" s="32"/>
    </row>
    <row r="63" spans="1:13" ht="21" customHeight="1" x14ac:dyDescent="0.15">
      <c r="A63" s="12">
        <v>54</v>
      </c>
      <c r="B63" s="18"/>
      <c r="C63" s="18"/>
      <c r="D63" s="18"/>
      <c r="E63" s="9"/>
      <c r="F63" s="20"/>
      <c r="G63" s="21"/>
      <c r="H63" s="35"/>
      <c r="I63" s="22"/>
      <c r="J63" s="12"/>
      <c r="K63" s="23"/>
      <c r="L63" s="32"/>
      <c r="M63" s="32"/>
    </row>
    <row r="64" spans="1:13" ht="21" customHeight="1" x14ac:dyDescent="0.15">
      <c r="A64" s="12">
        <v>55</v>
      </c>
      <c r="B64" s="18"/>
      <c r="C64" s="18"/>
      <c r="D64" s="18"/>
      <c r="E64" s="9"/>
      <c r="F64" s="25"/>
      <c r="G64" s="26"/>
      <c r="H64" s="35"/>
      <c r="I64" s="22"/>
      <c r="J64" s="12"/>
      <c r="K64" s="23"/>
      <c r="L64" s="32"/>
      <c r="M64" s="49"/>
    </row>
    <row r="65" spans="1:13" ht="21" customHeight="1" x14ac:dyDescent="0.15">
      <c r="A65" s="12">
        <v>56</v>
      </c>
      <c r="B65" s="18"/>
      <c r="C65" s="18"/>
      <c r="D65" s="18"/>
      <c r="E65" s="9"/>
      <c r="F65" s="25"/>
      <c r="G65" s="26"/>
      <c r="H65" s="35"/>
      <c r="I65" s="22"/>
      <c r="J65" s="12"/>
      <c r="K65" s="23"/>
      <c r="L65" s="32"/>
      <c r="M65" s="32"/>
    </row>
    <row r="66" spans="1:13" ht="21" customHeight="1" x14ac:dyDescent="0.15">
      <c r="A66" s="12">
        <v>57</v>
      </c>
      <c r="B66" s="18"/>
      <c r="C66" s="18"/>
      <c r="D66" s="18"/>
      <c r="E66" s="9"/>
      <c r="F66" s="20"/>
      <c r="G66" s="21"/>
      <c r="H66" s="35"/>
      <c r="I66" s="22"/>
      <c r="J66" s="12"/>
      <c r="K66" s="23"/>
      <c r="L66" s="32"/>
      <c r="M66" s="32"/>
    </row>
    <row r="67" spans="1:13" ht="21" customHeight="1" x14ac:dyDescent="0.15">
      <c r="A67" s="12">
        <v>58</v>
      </c>
      <c r="B67" s="18"/>
      <c r="C67" s="18"/>
      <c r="D67" s="18"/>
      <c r="E67" s="9"/>
      <c r="F67" s="20"/>
      <c r="G67" s="21"/>
      <c r="H67" s="35"/>
      <c r="I67" s="22"/>
      <c r="J67" s="12"/>
      <c r="K67" s="23"/>
      <c r="L67" s="32"/>
      <c r="M67" s="32"/>
    </row>
    <row r="68" spans="1:13" ht="21" customHeight="1" x14ac:dyDescent="0.15">
      <c r="A68" s="12">
        <v>59</v>
      </c>
      <c r="B68" s="18"/>
      <c r="C68" s="18"/>
      <c r="D68" s="18"/>
      <c r="E68" s="9"/>
      <c r="F68" s="20"/>
      <c r="G68" s="21"/>
      <c r="H68" s="35"/>
      <c r="I68" s="22"/>
      <c r="J68" s="12"/>
      <c r="K68" s="23"/>
      <c r="L68" s="32"/>
      <c r="M68" s="32"/>
    </row>
    <row r="69" spans="1:13" ht="21" customHeight="1" x14ac:dyDescent="0.15">
      <c r="A69" s="12">
        <v>60</v>
      </c>
      <c r="B69" s="18"/>
      <c r="C69" s="18"/>
      <c r="D69" s="18"/>
      <c r="E69" s="9"/>
      <c r="F69" s="20"/>
      <c r="G69" s="21"/>
      <c r="H69" s="35"/>
      <c r="I69" s="22"/>
      <c r="J69" s="12"/>
      <c r="K69" s="23"/>
      <c r="L69" s="32"/>
      <c r="M69" s="32"/>
    </row>
    <row r="70" spans="1:13" ht="21" customHeight="1" x14ac:dyDescent="0.15">
      <c r="A70" s="12">
        <v>61</v>
      </c>
      <c r="B70" s="18"/>
      <c r="C70" s="18"/>
      <c r="D70" s="18"/>
      <c r="E70" s="9"/>
      <c r="F70" s="20"/>
      <c r="G70" s="21"/>
      <c r="H70" s="35"/>
      <c r="I70" s="22"/>
      <c r="J70" s="12"/>
      <c r="K70" s="23"/>
      <c r="L70" s="32"/>
      <c r="M70" s="32"/>
    </row>
    <row r="71" spans="1:13" ht="21" customHeight="1" x14ac:dyDescent="0.15">
      <c r="A71" s="12">
        <v>62</v>
      </c>
      <c r="B71" s="18"/>
      <c r="C71" s="18"/>
      <c r="D71" s="18"/>
      <c r="E71" s="9"/>
      <c r="F71" s="20"/>
      <c r="G71" s="21"/>
      <c r="H71" s="35"/>
      <c r="I71" s="22"/>
      <c r="J71" s="12"/>
      <c r="K71" s="23"/>
      <c r="L71" s="32"/>
      <c r="M71" s="32"/>
    </row>
    <row r="72" spans="1:13" ht="21" customHeight="1" x14ac:dyDescent="0.15">
      <c r="A72" s="12">
        <v>63</v>
      </c>
      <c r="B72" s="18"/>
      <c r="C72" s="18"/>
      <c r="D72" s="18"/>
      <c r="E72" s="9"/>
      <c r="F72" s="20"/>
      <c r="G72" s="21"/>
      <c r="H72" s="35"/>
      <c r="I72" s="22"/>
      <c r="J72" s="12"/>
      <c r="K72" s="23"/>
      <c r="L72" s="32"/>
      <c r="M72" s="32"/>
    </row>
    <row r="73" spans="1:13" ht="21" customHeight="1" x14ac:dyDescent="0.15">
      <c r="A73" s="12">
        <v>64</v>
      </c>
      <c r="B73" s="18"/>
      <c r="C73" s="18"/>
      <c r="D73" s="18"/>
      <c r="E73" s="9"/>
      <c r="F73" s="20"/>
      <c r="G73" s="21"/>
      <c r="H73" s="35"/>
      <c r="I73" s="22"/>
      <c r="J73" s="12"/>
      <c r="K73" s="23"/>
      <c r="L73" s="32"/>
      <c r="M73" s="32"/>
    </row>
    <row r="74" spans="1:13" ht="21" customHeight="1" x14ac:dyDescent="0.15">
      <c r="A74" s="12">
        <v>65</v>
      </c>
      <c r="B74" s="18"/>
      <c r="C74" s="18"/>
      <c r="D74" s="18"/>
      <c r="E74" s="9"/>
      <c r="F74" s="20"/>
      <c r="G74" s="21"/>
      <c r="H74" s="35"/>
      <c r="I74" s="22"/>
      <c r="J74" s="12"/>
      <c r="K74" s="23"/>
      <c r="L74" s="32"/>
      <c r="M74" s="32"/>
    </row>
    <row r="75" spans="1:13" ht="21" customHeight="1" x14ac:dyDescent="0.15">
      <c r="A75" s="12">
        <v>66</v>
      </c>
      <c r="B75" s="18"/>
      <c r="C75" s="18"/>
      <c r="D75" s="18"/>
      <c r="E75" s="9"/>
      <c r="F75" s="20"/>
      <c r="G75" s="21"/>
      <c r="H75" s="35"/>
      <c r="I75" s="22"/>
      <c r="J75" s="12"/>
      <c r="K75" s="23"/>
      <c r="L75" s="32"/>
      <c r="M75" s="32"/>
    </row>
    <row r="76" spans="1:13" ht="21" customHeight="1" x14ac:dyDescent="0.15">
      <c r="A76" s="12">
        <v>67</v>
      </c>
      <c r="B76" s="18"/>
      <c r="C76" s="18"/>
      <c r="D76" s="18"/>
      <c r="E76" s="9"/>
      <c r="F76" s="20"/>
      <c r="G76" s="21"/>
      <c r="H76" s="35"/>
      <c r="I76" s="22"/>
      <c r="J76" s="12"/>
      <c r="K76" s="23"/>
      <c r="L76" s="32"/>
      <c r="M76" s="32"/>
    </row>
    <row r="77" spans="1:13" ht="21" customHeight="1" x14ac:dyDescent="0.15">
      <c r="A77" s="12">
        <v>68</v>
      </c>
      <c r="B77" s="18"/>
      <c r="C77" s="18"/>
      <c r="D77" s="18"/>
      <c r="E77" s="9"/>
      <c r="F77" s="20"/>
      <c r="G77" s="21"/>
      <c r="H77" s="35"/>
      <c r="I77" s="22"/>
      <c r="J77" s="12"/>
      <c r="K77" s="23"/>
      <c r="L77" s="32"/>
      <c r="M77" s="32"/>
    </row>
    <row r="78" spans="1:13" ht="21" customHeight="1" x14ac:dyDescent="0.15">
      <c r="A78" s="12">
        <v>69</v>
      </c>
      <c r="B78" s="18"/>
      <c r="C78" s="18"/>
      <c r="D78" s="18"/>
      <c r="E78" s="9"/>
      <c r="F78" s="20"/>
      <c r="G78" s="21"/>
      <c r="H78" s="35"/>
      <c r="I78" s="22"/>
      <c r="J78" s="12"/>
      <c r="K78" s="23"/>
      <c r="L78" s="32"/>
      <c r="M78" s="32"/>
    </row>
    <row r="79" spans="1:13" ht="21" customHeight="1" x14ac:dyDescent="0.15">
      <c r="A79" s="12">
        <v>70</v>
      </c>
      <c r="B79" s="18"/>
      <c r="C79" s="18"/>
      <c r="D79" s="18"/>
      <c r="E79" s="9"/>
      <c r="F79" s="20"/>
      <c r="G79" s="21"/>
      <c r="H79" s="35"/>
      <c r="I79" s="22"/>
      <c r="J79" s="12"/>
      <c r="K79" s="23"/>
      <c r="L79" s="32"/>
      <c r="M79" s="32"/>
    </row>
    <row r="80" spans="1:13" ht="21" customHeight="1" x14ac:dyDescent="0.15">
      <c r="A80" s="12">
        <v>71</v>
      </c>
      <c r="B80" s="18"/>
      <c r="C80" s="18"/>
      <c r="D80" s="18"/>
      <c r="E80" s="9"/>
      <c r="F80" s="20"/>
      <c r="G80" s="21"/>
      <c r="H80" s="35"/>
      <c r="I80" s="22"/>
      <c r="J80" s="12"/>
      <c r="K80" s="23"/>
      <c r="L80" s="32"/>
      <c r="M80" s="32"/>
    </row>
    <row r="81" spans="1:13" ht="21" customHeight="1" x14ac:dyDescent="0.15">
      <c r="A81" s="12">
        <v>72</v>
      </c>
      <c r="B81" s="18"/>
      <c r="C81" s="18"/>
      <c r="D81" s="18"/>
      <c r="E81" s="9"/>
      <c r="F81" s="20"/>
      <c r="G81" s="21"/>
      <c r="H81" s="35"/>
      <c r="I81" s="22"/>
      <c r="J81" s="12"/>
      <c r="K81" s="23"/>
      <c r="L81" s="32"/>
      <c r="M81" s="32"/>
    </row>
    <row r="82" spans="1:13" ht="21" customHeight="1" x14ac:dyDescent="0.15">
      <c r="A82" s="12">
        <v>73</v>
      </c>
      <c r="B82" s="18"/>
      <c r="C82" s="18"/>
      <c r="D82" s="18"/>
      <c r="E82" s="9"/>
      <c r="F82" s="20"/>
      <c r="G82" s="21"/>
      <c r="H82" s="35"/>
      <c r="I82" s="22"/>
      <c r="J82" s="12"/>
      <c r="K82" s="23"/>
      <c r="L82" s="32"/>
      <c r="M82" s="32"/>
    </row>
    <row r="83" spans="1:13" ht="21" customHeight="1" x14ac:dyDescent="0.15">
      <c r="A83" s="12">
        <v>74</v>
      </c>
      <c r="B83" s="18"/>
      <c r="C83" s="18"/>
      <c r="D83" s="18"/>
      <c r="E83" s="9"/>
      <c r="F83" s="20"/>
      <c r="G83" s="21"/>
      <c r="H83" s="35"/>
      <c r="I83" s="22"/>
      <c r="J83" s="12"/>
      <c r="K83" s="23"/>
      <c r="L83" s="32"/>
      <c r="M83" s="32"/>
    </row>
    <row r="84" spans="1:13" ht="21" customHeight="1" x14ac:dyDescent="0.15">
      <c r="A84" s="12">
        <v>75</v>
      </c>
      <c r="B84" s="18"/>
      <c r="C84" s="18"/>
      <c r="D84" s="18"/>
      <c r="E84" s="9"/>
      <c r="F84" s="20"/>
      <c r="G84" s="21"/>
      <c r="H84" s="35"/>
      <c r="I84" s="22"/>
      <c r="J84" s="12"/>
      <c r="K84" s="23"/>
      <c r="L84" s="32"/>
      <c r="M84" s="32"/>
    </row>
    <row r="85" spans="1:13" ht="21" customHeight="1" x14ac:dyDescent="0.15">
      <c r="A85" s="12">
        <v>76</v>
      </c>
      <c r="B85" s="18"/>
      <c r="C85" s="18"/>
      <c r="D85" s="18"/>
      <c r="E85" s="9"/>
      <c r="F85" s="20"/>
      <c r="G85" s="21"/>
      <c r="H85" s="35"/>
      <c r="I85" s="22"/>
      <c r="J85" s="12"/>
      <c r="K85" s="23"/>
      <c r="L85" s="32"/>
      <c r="M85" s="32"/>
    </row>
    <row r="86" spans="1:13" ht="21" customHeight="1" x14ac:dyDescent="0.15">
      <c r="A86" s="12">
        <v>77</v>
      </c>
      <c r="B86" s="18"/>
      <c r="C86" s="18"/>
      <c r="D86" s="18"/>
      <c r="E86" s="9"/>
      <c r="F86" s="20"/>
      <c r="G86" s="21"/>
      <c r="H86" s="35"/>
      <c r="I86" s="22"/>
      <c r="J86" s="12"/>
      <c r="K86" s="23"/>
      <c r="L86" s="32"/>
      <c r="M86" s="32"/>
    </row>
    <row r="87" spans="1:13" ht="21" customHeight="1" x14ac:dyDescent="0.15">
      <c r="A87" s="12">
        <v>78</v>
      </c>
      <c r="B87" s="18"/>
      <c r="C87" s="18"/>
      <c r="D87" s="18"/>
      <c r="E87" s="9"/>
      <c r="F87" s="20"/>
      <c r="G87" s="21"/>
      <c r="H87" s="35"/>
      <c r="I87" s="22"/>
      <c r="J87" s="12"/>
      <c r="K87" s="23"/>
      <c r="L87" s="32"/>
      <c r="M87" s="32"/>
    </row>
    <row r="88" spans="1:13" ht="21" customHeight="1" x14ac:dyDescent="0.15">
      <c r="A88" s="12">
        <v>79</v>
      </c>
      <c r="B88" s="18"/>
      <c r="C88" s="18"/>
      <c r="D88" s="18"/>
      <c r="E88" s="9"/>
      <c r="F88" s="20"/>
      <c r="G88" s="21"/>
      <c r="H88" s="35"/>
      <c r="I88" s="22"/>
      <c r="J88" s="12"/>
      <c r="K88" s="23"/>
      <c r="L88" s="32"/>
      <c r="M88" s="32"/>
    </row>
    <row r="89" spans="1:13" ht="21" customHeight="1" x14ac:dyDescent="0.15">
      <c r="A89" s="12">
        <v>80</v>
      </c>
      <c r="B89" s="18"/>
      <c r="C89" s="18"/>
      <c r="D89" s="18"/>
      <c r="E89" s="9"/>
      <c r="F89" s="20"/>
      <c r="G89" s="21"/>
      <c r="H89" s="35"/>
      <c r="I89" s="22"/>
      <c r="J89" s="12"/>
      <c r="K89" s="23"/>
      <c r="L89" s="32"/>
      <c r="M89" s="32"/>
    </row>
    <row r="90" spans="1:13" ht="21" customHeight="1" x14ac:dyDescent="0.15">
      <c r="A90" s="12">
        <v>81</v>
      </c>
      <c r="B90" s="18"/>
      <c r="C90" s="18"/>
      <c r="D90" s="18"/>
      <c r="E90" s="9"/>
      <c r="F90" s="20"/>
      <c r="G90" s="21"/>
      <c r="H90" s="35"/>
      <c r="I90" s="22"/>
      <c r="J90" s="12"/>
      <c r="K90" s="23"/>
      <c r="L90" s="32"/>
      <c r="M90" s="32"/>
    </row>
    <row r="91" spans="1:13" ht="21" customHeight="1" x14ac:dyDescent="0.15">
      <c r="A91" s="12"/>
      <c r="B91" s="18"/>
      <c r="C91" s="18"/>
      <c r="D91" s="18"/>
      <c r="E91" s="9"/>
      <c r="F91" s="20"/>
      <c r="G91" s="21"/>
      <c r="H91" s="35"/>
      <c r="I91" s="22"/>
      <c r="J91" s="12"/>
      <c r="K91" s="23"/>
      <c r="L91" s="32"/>
      <c r="M91" s="32"/>
    </row>
    <row r="92" spans="1:13" ht="21" customHeight="1" x14ac:dyDescent="0.15">
      <c r="A92" s="12"/>
      <c r="B92" s="18"/>
      <c r="C92" s="18"/>
      <c r="D92" s="18"/>
      <c r="E92" s="9"/>
      <c r="F92" s="20"/>
      <c r="G92" s="21"/>
      <c r="H92" s="35" t="str">
        <f t="shared" ref="H92:H100" si="0">IF(G92="","",(F92*100000000+G92)-7*INT((F92*100000000+G92)/7))</f>
        <v/>
      </c>
      <c r="I92" s="22"/>
      <c r="J92" s="12"/>
      <c r="K92" s="23"/>
      <c r="L92" s="32"/>
      <c r="M92" s="32"/>
    </row>
    <row r="93" spans="1:13" ht="21" customHeight="1" x14ac:dyDescent="0.15">
      <c r="A93" s="12"/>
      <c r="B93" s="18"/>
      <c r="C93" s="18"/>
      <c r="D93" s="18"/>
      <c r="E93" s="9"/>
      <c r="F93" s="20"/>
      <c r="G93" s="21"/>
      <c r="H93" s="35" t="str">
        <f t="shared" si="0"/>
        <v/>
      </c>
      <c r="I93" s="22"/>
      <c r="J93" s="12"/>
      <c r="K93" s="23"/>
      <c r="L93" s="32"/>
      <c r="M93" s="32"/>
    </row>
    <row r="94" spans="1:13" ht="21" customHeight="1" x14ac:dyDescent="0.15">
      <c r="A94" s="12"/>
      <c r="B94" s="18"/>
      <c r="C94" s="18"/>
      <c r="D94" s="18"/>
      <c r="E94" s="9"/>
      <c r="F94" s="20"/>
      <c r="G94" s="21"/>
      <c r="H94" s="35" t="str">
        <f t="shared" si="0"/>
        <v/>
      </c>
      <c r="I94" s="22"/>
      <c r="J94" s="12"/>
      <c r="K94" s="23"/>
      <c r="L94" s="32"/>
      <c r="M94" s="32"/>
    </row>
    <row r="95" spans="1:13" ht="21" customHeight="1" x14ac:dyDescent="0.15">
      <c r="A95" s="12"/>
      <c r="B95" s="18"/>
      <c r="C95" s="18"/>
      <c r="D95" s="18"/>
      <c r="E95" s="9"/>
      <c r="F95" s="20"/>
      <c r="G95" s="21"/>
      <c r="H95" s="35" t="str">
        <f t="shared" si="0"/>
        <v/>
      </c>
      <c r="I95" s="22"/>
      <c r="J95" s="12"/>
      <c r="K95" s="23"/>
      <c r="L95" s="32"/>
      <c r="M95" s="32"/>
    </row>
    <row r="96" spans="1:13" ht="21" customHeight="1" x14ac:dyDescent="0.15">
      <c r="A96" s="12"/>
      <c r="B96" s="18"/>
      <c r="C96" s="18"/>
      <c r="D96" s="18"/>
      <c r="E96" s="9"/>
      <c r="F96" s="20"/>
      <c r="G96" s="21"/>
      <c r="H96" s="35" t="str">
        <f t="shared" si="0"/>
        <v/>
      </c>
      <c r="I96" s="22"/>
      <c r="J96" s="12"/>
      <c r="K96" s="23"/>
      <c r="L96" s="32"/>
      <c r="M96" s="32"/>
    </row>
    <row r="97" spans="1:13" ht="21" customHeight="1" x14ac:dyDescent="0.15">
      <c r="A97" s="12"/>
      <c r="B97" s="18"/>
      <c r="C97" s="18"/>
      <c r="D97" s="18"/>
      <c r="E97" s="9"/>
      <c r="F97" s="20"/>
      <c r="G97" s="21"/>
      <c r="H97" s="35" t="str">
        <f t="shared" si="0"/>
        <v/>
      </c>
      <c r="I97" s="22"/>
      <c r="J97" s="12"/>
      <c r="K97" s="23"/>
      <c r="L97" s="32"/>
      <c r="M97" s="32"/>
    </row>
    <row r="98" spans="1:13" ht="21" customHeight="1" x14ac:dyDescent="0.15">
      <c r="A98" s="12"/>
      <c r="B98" s="18"/>
      <c r="C98" s="18"/>
      <c r="D98" s="18"/>
      <c r="E98" s="9"/>
      <c r="F98" s="20"/>
      <c r="G98" s="21"/>
      <c r="H98" s="35" t="str">
        <f t="shared" si="0"/>
        <v/>
      </c>
      <c r="I98" s="22"/>
      <c r="J98" s="12"/>
      <c r="K98" s="23"/>
      <c r="L98" s="32"/>
      <c r="M98" s="32"/>
    </row>
    <row r="99" spans="1:13" ht="21" customHeight="1" x14ac:dyDescent="0.15">
      <c r="A99" s="12"/>
      <c r="B99" s="18"/>
      <c r="C99" s="18"/>
      <c r="D99" s="18"/>
      <c r="E99" s="9"/>
      <c r="F99" s="20"/>
      <c r="G99" s="21"/>
      <c r="H99" s="35" t="str">
        <f t="shared" si="0"/>
        <v/>
      </c>
      <c r="I99" s="22"/>
      <c r="J99" s="12"/>
      <c r="K99" s="23"/>
      <c r="L99" s="32"/>
      <c r="M99" s="32"/>
    </row>
    <row r="100" spans="1:13" ht="21" customHeight="1" x14ac:dyDescent="0.15">
      <c r="A100" s="12"/>
      <c r="B100" s="18"/>
      <c r="C100" s="18"/>
      <c r="D100" s="18"/>
      <c r="E100" s="9"/>
      <c r="F100" s="20"/>
      <c r="G100" s="21"/>
      <c r="H100" s="35" t="str">
        <f t="shared" si="0"/>
        <v/>
      </c>
      <c r="I100" s="22"/>
      <c r="J100" s="12"/>
      <c r="K100" s="23"/>
      <c r="L100" s="32"/>
      <c r="M100" s="32"/>
    </row>
    <row r="101" spans="1:13" ht="21" customHeight="1" x14ac:dyDescent="0.15">
      <c r="A101" s="12"/>
      <c r="B101" s="18"/>
      <c r="C101" s="18"/>
      <c r="D101" s="18"/>
      <c r="E101" s="9"/>
      <c r="F101" s="20"/>
      <c r="G101" s="21"/>
      <c r="H101" s="35" t="str">
        <f t="shared" ref="H101:H130" si="1">IF(G101="","",(F101*100000000+G101)-7*INT((F101*100000000+G101)/7))</f>
        <v/>
      </c>
      <c r="I101" s="22"/>
      <c r="J101" s="12"/>
      <c r="K101" s="23"/>
      <c r="L101" s="32"/>
      <c r="M101" s="32"/>
    </row>
    <row r="102" spans="1:13" ht="21" customHeight="1" x14ac:dyDescent="0.15">
      <c r="A102" s="12"/>
      <c r="B102" s="18"/>
      <c r="C102" s="18"/>
      <c r="D102" s="18"/>
      <c r="E102" s="9"/>
      <c r="F102" s="20"/>
      <c r="G102" s="21"/>
      <c r="H102" s="35" t="str">
        <f t="shared" si="1"/>
        <v/>
      </c>
      <c r="I102" s="22"/>
      <c r="J102" s="12"/>
      <c r="K102" s="23"/>
      <c r="L102" s="32"/>
      <c r="M102" s="32"/>
    </row>
    <row r="103" spans="1:13" ht="21" customHeight="1" x14ac:dyDescent="0.15">
      <c r="A103" s="12"/>
      <c r="B103" s="18"/>
      <c r="C103" s="18"/>
      <c r="D103" s="18"/>
      <c r="E103" s="9"/>
      <c r="F103" s="20"/>
      <c r="G103" s="21"/>
      <c r="H103" s="35" t="str">
        <f t="shared" si="1"/>
        <v/>
      </c>
      <c r="I103" s="22"/>
      <c r="J103" s="12"/>
      <c r="K103" s="23"/>
      <c r="L103" s="32"/>
      <c r="M103" s="32"/>
    </row>
    <row r="104" spans="1:13" ht="21" customHeight="1" x14ac:dyDescent="0.15">
      <c r="A104" s="12"/>
      <c r="B104" s="18"/>
      <c r="C104" s="18"/>
      <c r="D104" s="18"/>
      <c r="E104" s="9"/>
      <c r="F104" s="20"/>
      <c r="G104" s="21"/>
      <c r="H104" s="35" t="str">
        <f t="shared" si="1"/>
        <v/>
      </c>
      <c r="I104" s="22"/>
      <c r="J104" s="12"/>
      <c r="K104" s="23"/>
      <c r="L104" s="32"/>
      <c r="M104" s="32"/>
    </row>
    <row r="105" spans="1:13" ht="21" customHeight="1" x14ac:dyDescent="0.15">
      <c r="A105" s="12"/>
      <c r="B105" s="18"/>
      <c r="C105" s="18"/>
      <c r="D105" s="18"/>
      <c r="E105" s="9"/>
      <c r="F105" s="20"/>
      <c r="G105" s="21"/>
      <c r="H105" s="35" t="str">
        <f t="shared" si="1"/>
        <v/>
      </c>
      <c r="I105" s="22"/>
      <c r="J105" s="12"/>
      <c r="K105" s="23"/>
      <c r="L105" s="32"/>
      <c r="M105" s="32"/>
    </row>
    <row r="106" spans="1:13" ht="21" customHeight="1" x14ac:dyDescent="0.15">
      <c r="A106" s="12"/>
      <c r="B106" s="18"/>
      <c r="C106" s="18"/>
      <c r="D106" s="18"/>
      <c r="E106" s="9"/>
      <c r="F106" s="20"/>
      <c r="G106" s="21"/>
      <c r="H106" s="35" t="str">
        <f t="shared" si="1"/>
        <v/>
      </c>
      <c r="I106" s="22"/>
      <c r="J106" s="12"/>
      <c r="K106" s="23"/>
      <c r="L106" s="32"/>
      <c r="M106" s="32"/>
    </row>
    <row r="107" spans="1:13" ht="21" customHeight="1" x14ac:dyDescent="0.15">
      <c r="A107" s="12"/>
      <c r="B107" s="18"/>
      <c r="C107" s="18"/>
      <c r="D107" s="18"/>
      <c r="E107" s="9"/>
      <c r="F107" s="20"/>
      <c r="G107" s="21"/>
      <c r="H107" s="35" t="str">
        <f t="shared" si="1"/>
        <v/>
      </c>
      <c r="I107" s="22"/>
      <c r="J107" s="12"/>
      <c r="K107" s="23"/>
      <c r="L107" s="32"/>
      <c r="M107" s="32"/>
    </row>
    <row r="108" spans="1:13" ht="21" customHeight="1" x14ac:dyDescent="0.15">
      <c r="A108" s="12"/>
      <c r="B108" s="18"/>
      <c r="C108" s="18"/>
      <c r="D108" s="18"/>
      <c r="E108" s="9"/>
      <c r="F108" s="20"/>
      <c r="G108" s="21"/>
      <c r="H108" s="35" t="str">
        <f t="shared" si="1"/>
        <v/>
      </c>
      <c r="I108" s="22"/>
      <c r="J108" s="12"/>
      <c r="K108" s="23"/>
      <c r="L108" s="32"/>
      <c r="M108" s="32"/>
    </row>
    <row r="109" spans="1:13" ht="21" customHeight="1" x14ac:dyDescent="0.15">
      <c r="A109" s="12"/>
      <c r="B109" s="18"/>
      <c r="C109" s="18"/>
      <c r="D109" s="18"/>
      <c r="E109" s="9"/>
      <c r="F109" s="20"/>
      <c r="G109" s="21"/>
      <c r="H109" s="35" t="str">
        <f t="shared" si="1"/>
        <v/>
      </c>
      <c r="I109" s="22"/>
      <c r="J109" s="12"/>
      <c r="K109" s="23"/>
      <c r="L109" s="32"/>
      <c r="M109" s="32"/>
    </row>
    <row r="110" spans="1:13" ht="21" customHeight="1" x14ac:dyDescent="0.15">
      <c r="A110" s="12"/>
      <c r="B110" s="18"/>
      <c r="C110" s="18"/>
      <c r="D110" s="18"/>
      <c r="E110" s="9"/>
      <c r="F110" s="20"/>
      <c r="G110" s="21"/>
      <c r="H110" s="35" t="str">
        <f t="shared" si="1"/>
        <v/>
      </c>
      <c r="I110" s="22"/>
      <c r="J110" s="12"/>
      <c r="K110" s="23"/>
      <c r="L110" s="32"/>
      <c r="M110" s="32"/>
    </row>
    <row r="111" spans="1:13" ht="21" customHeight="1" x14ac:dyDescent="0.15">
      <c r="A111" s="12"/>
      <c r="B111" s="18"/>
      <c r="C111" s="18"/>
      <c r="D111" s="18"/>
      <c r="E111" s="9"/>
      <c r="F111" s="20"/>
      <c r="G111" s="21"/>
      <c r="H111" s="35" t="str">
        <f t="shared" si="1"/>
        <v/>
      </c>
      <c r="I111" s="22"/>
      <c r="J111" s="12"/>
      <c r="K111" s="23"/>
      <c r="L111" s="32"/>
      <c r="M111" s="32"/>
    </row>
    <row r="112" spans="1:13" ht="21" customHeight="1" x14ac:dyDescent="0.15">
      <c r="A112" s="12"/>
      <c r="B112" s="18"/>
      <c r="C112" s="18"/>
      <c r="D112" s="18"/>
      <c r="E112" s="9"/>
      <c r="F112" s="20"/>
      <c r="G112" s="21"/>
      <c r="H112" s="35" t="str">
        <f t="shared" si="1"/>
        <v/>
      </c>
      <c r="I112" s="22"/>
      <c r="J112" s="12"/>
      <c r="K112" s="23"/>
      <c r="L112" s="32"/>
      <c r="M112" s="32"/>
    </row>
    <row r="113" spans="1:13" ht="21" customHeight="1" x14ac:dyDescent="0.15">
      <c r="A113" s="12"/>
      <c r="B113" s="18"/>
      <c r="C113" s="18"/>
      <c r="D113" s="18"/>
      <c r="E113" s="9"/>
      <c r="F113" s="20"/>
      <c r="G113" s="21"/>
      <c r="H113" s="35" t="str">
        <f t="shared" si="1"/>
        <v/>
      </c>
      <c r="I113" s="22"/>
      <c r="J113" s="12"/>
      <c r="K113" s="23"/>
      <c r="L113" s="32"/>
      <c r="M113" s="32"/>
    </row>
    <row r="114" spans="1:13" ht="21" customHeight="1" x14ac:dyDescent="0.15">
      <c r="A114" s="12"/>
      <c r="B114" s="18"/>
      <c r="C114" s="18"/>
      <c r="D114" s="18"/>
      <c r="E114" s="9"/>
      <c r="F114" s="20"/>
      <c r="G114" s="21"/>
      <c r="H114" s="35" t="str">
        <f t="shared" si="1"/>
        <v/>
      </c>
      <c r="I114" s="22"/>
      <c r="J114" s="12"/>
      <c r="K114" s="23"/>
      <c r="L114" s="32"/>
      <c r="M114" s="32"/>
    </row>
    <row r="115" spans="1:13" ht="21" customHeight="1" x14ac:dyDescent="0.15">
      <c r="A115" s="12"/>
      <c r="B115" s="18"/>
      <c r="C115" s="18"/>
      <c r="D115" s="18"/>
      <c r="E115" s="9"/>
      <c r="F115" s="20"/>
      <c r="G115" s="21"/>
      <c r="H115" s="35" t="str">
        <f t="shared" si="1"/>
        <v/>
      </c>
      <c r="I115" s="22"/>
      <c r="J115" s="12"/>
      <c r="K115" s="23"/>
      <c r="L115" s="32"/>
      <c r="M115" s="32"/>
    </row>
    <row r="116" spans="1:13" ht="21" customHeight="1" x14ac:dyDescent="0.15">
      <c r="A116" s="12"/>
      <c r="B116" s="18"/>
      <c r="C116" s="18"/>
      <c r="D116" s="18"/>
      <c r="E116" s="9"/>
      <c r="F116" s="20"/>
      <c r="G116" s="21"/>
      <c r="H116" s="35" t="str">
        <f t="shared" si="1"/>
        <v/>
      </c>
      <c r="I116" s="22"/>
      <c r="J116" s="12"/>
      <c r="K116" s="23"/>
      <c r="L116" s="32"/>
      <c r="M116" s="32"/>
    </row>
    <row r="117" spans="1:13" ht="21" customHeight="1" x14ac:dyDescent="0.15">
      <c r="A117" s="12"/>
      <c r="B117" s="18"/>
      <c r="C117" s="18"/>
      <c r="D117" s="18"/>
      <c r="E117" s="9"/>
      <c r="F117" s="20"/>
      <c r="G117" s="21"/>
      <c r="H117" s="35" t="str">
        <f t="shared" si="1"/>
        <v/>
      </c>
      <c r="I117" s="22"/>
      <c r="J117" s="12"/>
      <c r="K117" s="23"/>
      <c r="L117" s="32"/>
      <c r="M117" s="32"/>
    </row>
    <row r="118" spans="1:13" ht="21" customHeight="1" x14ac:dyDescent="0.15">
      <c r="A118" s="12"/>
      <c r="B118" s="18"/>
      <c r="C118" s="18"/>
      <c r="D118" s="18"/>
      <c r="E118" s="9"/>
      <c r="F118" s="20"/>
      <c r="G118" s="21"/>
      <c r="H118" s="35" t="str">
        <f t="shared" si="1"/>
        <v/>
      </c>
      <c r="I118" s="22"/>
      <c r="J118" s="12"/>
      <c r="K118" s="23"/>
      <c r="L118" s="32"/>
      <c r="M118" s="32"/>
    </row>
    <row r="119" spans="1:13" ht="21" customHeight="1" x14ac:dyDescent="0.15">
      <c r="A119" s="12"/>
      <c r="B119" s="18"/>
      <c r="C119" s="18"/>
      <c r="D119" s="18"/>
      <c r="E119" s="9"/>
      <c r="F119" s="20"/>
      <c r="G119" s="21"/>
      <c r="H119" s="35" t="str">
        <f t="shared" si="1"/>
        <v/>
      </c>
      <c r="I119" s="22"/>
      <c r="J119" s="12"/>
      <c r="K119" s="23"/>
      <c r="L119" s="32"/>
      <c r="M119" s="32"/>
    </row>
    <row r="120" spans="1:13" ht="21" customHeight="1" x14ac:dyDescent="0.15">
      <c r="A120" s="12"/>
      <c r="B120" s="18"/>
      <c r="C120" s="18"/>
      <c r="D120" s="18"/>
      <c r="E120" s="9"/>
      <c r="F120" s="20"/>
      <c r="G120" s="21"/>
      <c r="H120" s="35" t="str">
        <f t="shared" si="1"/>
        <v/>
      </c>
      <c r="I120" s="22"/>
      <c r="J120" s="12"/>
      <c r="K120" s="23"/>
      <c r="L120" s="32"/>
      <c r="M120" s="32"/>
    </row>
    <row r="121" spans="1:13" ht="21" customHeight="1" x14ac:dyDescent="0.15">
      <c r="A121" s="12"/>
      <c r="B121" s="18"/>
      <c r="C121" s="18"/>
      <c r="D121" s="18"/>
      <c r="E121" s="9"/>
      <c r="F121" s="20"/>
      <c r="G121" s="21"/>
      <c r="H121" s="35" t="str">
        <f t="shared" si="1"/>
        <v/>
      </c>
      <c r="I121" s="22"/>
      <c r="J121" s="12"/>
      <c r="K121" s="23"/>
      <c r="L121" s="32"/>
      <c r="M121" s="32"/>
    </row>
    <row r="122" spans="1:13" ht="21" customHeight="1" x14ac:dyDescent="0.15">
      <c r="A122" s="12"/>
      <c r="B122" s="18"/>
      <c r="C122" s="18"/>
      <c r="D122" s="18"/>
      <c r="E122" s="9"/>
      <c r="F122" s="20"/>
      <c r="G122" s="21"/>
      <c r="H122" s="35" t="str">
        <f t="shared" si="1"/>
        <v/>
      </c>
      <c r="I122" s="22"/>
      <c r="J122" s="12"/>
      <c r="K122" s="23"/>
      <c r="L122" s="32"/>
      <c r="M122" s="32"/>
    </row>
    <row r="123" spans="1:13" ht="21" customHeight="1" x14ac:dyDescent="0.15">
      <c r="A123" s="12"/>
      <c r="B123" s="18"/>
      <c r="C123" s="18"/>
      <c r="D123" s="18"/>
      <c r="E123" s="9"/>
      <c r="F123" s="20"/>
      <c r="G123" s="21"/>
      <c r="H123" s="35" t="str">
        <f t="shared" si="1"/>
        <v/>
      </c>
      <c r="I123" s="22"/>
      <c r="J123" s="12"/>
      <c r="K123" s="23"/>
      <c r="L123" s="32"/>
      <c r="M123" s="32"/>
    </row>
    <row r="124" spans="1:13" ht="21" customHeight="1" x14ac:dyDescent="0.15">
      <c r="A124" s="12"/>
      <c r="B124" s="18"/>
      <c r="C124" s="18"/>
      <c r="D124" s="18"/>
      <c r="E124" s="9"/>
      <c r="F124" s="20"/>
      <c r="G124" s="21"/>
      <c r="H124" s="35" t="str">
        <f t="shared" si="1"/>
        <v/>
      </c>
      <c r="I124" s="22"/>
      <c r="J124" s="12"/>
      <c r="K124" s="23"/>
      <c r="L124" s="32"/>
      <c r="M124" s="32"/>
    </row>
    <row r="125" spans="1:13" ht="21" customHeight="1" x14ac:dyDescent="0.15">
      <c r="A125" s="12"/>
      <c r="B125" s="18"/>
      <c r="C125" s="18"/>
      <c r="D125" s="18"/>
      <c r="E125" s="9"/>
      <c r="F125" s="20"/>
      <c r="G125" s="21"/>
      <c r="H125" s="35" t="str">
        <f t="shared" si="1"/>
        <v/>
      </c>
      <c r="I125" s="22"/>
      <c r="J125" s="12"/>
      <c r="K125" s="23"/>
      <c r="L125" s="32"/>
      <c r="M125" s="32"/>
    </row>
    <row r="126" spans="1:13" ht="21" customHeight="1" x14ac:dyDescent="0.15">
      <c r="A126" s="12"/>
      <c r="B126" s="18"/>
      <c r="C126" s="18"/>
      <c r="D126" s="18"/>
      <c r="E126" s="9"/>
      <c r="F126" s="20"/>
      <c r="G126" s="21"/>
      <c r="H126" s="35" t="str">
        <f t="shared" si="1"/>
        <v/>
      </c>
      <c r="I126" s="22"/>
      <c r="J126" s="12"/>
      <c r="K126" s="23"/>
      <c r="L126" s="32"/>
      <c r="M126" s="32"/>
    </row>
    <row r="127" spans="1:13" ht="21" customHeight="1" x14ac:dyDescent="0.15">
      <c r="A127" s="12"/>
      <c r="B127" s="18"/>
      <c r="C127" s="18"/>
      <c r="D127" s="18"/>
      <c r="E127" s="9"/>
      <c r="F127" s="20"/>
      <c r="G127" s="21"/>
      <c r="H127" s="35" t="str">
        <f t="shared" si="1"/>
        <v/>
      </c>
      <c r="I127" s="22"/>
      <c r="J127" s="12"/>
      <c r="K127" s="23"/>
      <c r="L127" s="32"/>
      <c r="M127" s="32"/>
    </row>
    <row r="128" spans="1:13" ht="21" customHeight="1" x14ac:dyDescent="0.15">
      <c r="A128" s="12"/>
      <c r="B128" s="18"/>
      <c r="C128" s="18"/>
      <c r="D128" s="18"/>
      <c r="E128" s="9"/>
      <c r="F128" s="20"/>
      <c r="G128" s="21"/>
      <c r="H128" s="35" t="str">
        <f t="shared" si="1"/>
        <v/>
      </c>
      <c r="I128" s="22"/>
      <c r="J128" s="12"/>
      <c r="K128" s="23"/>
      <c r="L128" s="32"/>
      <c r="M128" s="32"/>
    </row>
    <row r="129" spans="1:13" ht="21" customHeight="1" x14ac:dyDescent="0.15">
      <c r="A129" s="12"/>
      <c r="B129" s="18"/>
      <c r="C129" s="18"/>
      <c r="D129" s="18"/>
      <c r="E129" s="9"/>
      <c r="F129" s="20"/>
      <c r="G129" s="21"/>
      <c r="H129" s="35" t="str">
        <f t="shared" si="1"/>
        <v/>
      </c>
      <c r="I129" s="22"/>
      <c r="J129" s="12"/>
      <c r="K129" s="23"/>
      <c r="L129" s="32"/>
      <c r="M129" s="32"/>
    </row>
    <row r="130" spans="1:13" ht="21" customHeight="1" x14ac:dyDescent="0.15">
      <c r="A130" s="12"/>
      <c r="B130" s="18"/>
      <c r="C130" s="18"/>
      <c r="D130" s="18"/>
      <c r="E130" s="9"/>
      <c r="F130" s="20"/>
      <c r="G130" s="21"/>
      <c r="H130" s="35" t="str">
        <f t="shared" si="1"/>
        <v/>
      </c>
      <c r="I130" s="22"/>
      <c r="J130" s="12"/>
      <c r="K130" s="23"/>
      <c r="L130" s="32"/>
      <c r="M130" s="32"/>
    </row>
    <row r="131" spans="1:13" ht="17.25" customHeight="1" x14ac:dyDescent="0.15">
      <c r="A131" s="12"/>
      <c r="B131" s="18"/>
      <c r="C131" s="12"/>
      <c r="D131" s="18"/>
      <c r="E131" s="9"/>
      <c r="F131" s="20"/>
      <c r="G131" s="21"/>
      <c r="H131" s="35" t="str">
        <f t="shared" ref="H131:H138" si="2">IF(G131="","",(F131*100000000+G131)-7*INT((F131*100000000+G131)/7))</f>
        <v/>
      </c>
      <c r="I131" s="22"/>
      <c r="J131" s="12"/>
      <c r="K131" s="23"/>
      <c r="L131" s="24"/>
      <c r="M131" s="24"/>
    </row>
    <row r="132" spans="1:13" ht="17.25" customHeight="1" x14ac:dyDescent="0.15">
      <c r="A132" s="12"/>
      <c r="B132" s="18"/>
      <c r="C132" s="12"/>
      <c r="D132" s="18"/>
      <c r="E132" s="9"/>
      <c r="F132" s="20"/>
      <c r="G132" s="21"/>
      <c r="H132" s="35" t="str">
        <f t="shared" si="2"/>
        <v/>
      </c>
      <c r="I132" s="22"/>
      <c r="J132" s="12"/>
      <c r="K132" s="23"/>
      <c r="L132" s="24"/>
      <c r="M132" s="24"/>
    </row>
    <row r="133" spans="1:13" ht="17.25" customHeight="1" x14ac:dyDescent="0.15">
      <c r="A133" s="12"/>
      <c r="B133" s="18"/>
      <c r="C133" s="12"/>
      <c r="D133" s="18"/>
      <c r="E133" s="9"/>
      <c r="F133" s="20"/>
      <c r="G133" s="21"/>
      <c r="H133" s="35" t="str">
        <f t="shared" si="2"/>
        <v/>
      </c>
      <c r="I133" s="22"/>
      <c r="J133" s="12"/>
      <c r="K133" s="23"/>
      <c r="L133" s="24"/>
      <c r="M133" s="24"/>
    </row>
    <row r="134" spans="1:13" ht="17.25" customHeight="1" x14ac:dyDescent="0.15">
      <c r="A134" s="12"/>
      <c r="B134" s="18"/>
      <c r="C134" s="12"/>
      <c r="D134" s="18"/>
      <c r="E134" s="9"/>
      <c r="F134" s="20"/>
      <c r="G134" s="21"/>
      <c r="H134" s="35" t="str">
        <f t="shared" si="2"/>
        <v/>
      </c>
      <c r="I134" s="22"/>
      <c r="J134" s="12"/>
      <c r="K134" s="23"/>
      <c r="L134" s="24"/>
      <c r="M134" s="24"/>
    </row>
    <row r="135" spans="1:13" ht="17.25" customHeight="1" x14ac:dyDescent="0.15">
      <c r="A135" s="12"/>
      <c r="B135" s="18"/>
      <c r="C135" s="12"/>
      <c r="D135" s="18"/>
      <c r="E135" s="9"/>
      <c r="F135" s="20"/>
      <c r="G135" s="21"/>
      <c r="H135" s="35" t="str">
        <f t="shared" si="2"/>
        <v/>
      </c>
      <c r="I135" s="22"/>
      <c r="J135" s="12"/>
      <c r="K135" s="23"/>
      <c r="L135" s="24"/>
      <c r="M135" s="24"/>
    </row>
    <row r="136" spans="1:13" ht="17.25" customHeight="1" x14ac:dyDescent="0.15">
      <c r="A136" s="12"/>
      <c r="B136" s="18"/>
      <c r="C136" s="12"/>
      <c r="D136" s="18"/>
      <c r="E136" s="9"/>
      <c r="F136" s="20"/>
      <c r="G136" s="21"/>
      <c r="H136" s="35" t="str">
        <f t="shared" si="2"/>
        <v/>
      </c>
      <c r="I136" s="22"/>
      <c r="J136" s="12"/>
      <c r="K136" s="23"/>
      <c r="L136" s="24"/>
      <c r="M136" s="24"/>
    </row>
    <row r="137" spans="1:13" ht="17.25" customHeight="1" x14ac:dyDescent="0.15">
      <c r="A137" s="12"/>
      <c r="B137" s="18"/>
      <c r="C137" s="12"/>
      <c r="D137" s="12"/>
      <c r="E137" s="9"/>
      <c r="F137" s="20"/>
      <c r="G137" s="21"/>
      <c r="H137" s="35" t="str">
        <f t="shared" si="2"/>
        <v/>
      </c>
      <c r="I137" s="22"/>
      <c r="J137" s="12"/>
      <c r="K137" s="23"/>
      <c r="L137" s="24"/>
      <c r="M137" s="24"/>
    </row>
    <row r="138" spans="1:13" ht="17.25" customHeight="1" x14ac:dyDescent="0.15">
      <c r="A138" s="12"/>
      <c r="B138" s="18"/>
      <c r="C138" s="12"/>
      <c r="D138" s="18"/>
      <c r="E138" s="9"/>
      <c r="F138" s="20"/>
      <c r="G138" s="21"/>
      <c r="H138" s="35" t="str">
        <f t="shared" si="2"/>
        <v/>
      </c>
      <c r="I138" s="22"/>
      <c r="J138" s="12"/>
      <c r="K138" s="23"/>
      <c r="L138" s="24"/>
      <c r="M138" s="24"/>
    </row>
    <row r="139" spans="1:13" ht="17.25" customHeight="1" x14ac:dyDescent="0.15">
      <c r="A139" s="12"/>
      <c r="B139" s="18"/>
      <c r="C139" s="18"/>
      <c r="D139" s="18"/>
      <c r="E139" s="9"/>
      <c r="F139" s="20"/>
      <c r="G139" s="21"/>
      <c r="H139" s="35" t="str">
        <f t="shared" ref="H139:H202" si="3">IF(G139="","",(F139*100000000+G139)-7*INT((F139*100000000+G139)/7))</f>
        <v/>
      </c>
      <c r="I139" s="22"/>
      <c r="J139" s="12"/>
      <c r="K139" s="23"/>
      <c r="L139" s="24"/>
      <c r="M139" s="24"/>
    </row>
    <row r="140" spans="1:13" ht="17.25" customHeight="1" x14ac:dyDescent="0.15">
      <c r="A140" s="12"/>
      <c r="B140" s="18"/>
      <c r="C140" s="18"/>
      <c r="D140" s="18"/>
      <c r="E140" s="9"/>
      <c r="F140" s="20"/>
      <c r="G140" s="21"/>
      <c r="H140" s="35" t="str">
        <f t="shared" si="3"/>
        <v/>
      </c>
      <c r="I140" s="22"/>
      <c r="J140" s="12"/>
      <c r="K140" s="23"/>
      <c r="L140" s="24"/>
      <c r="M140" s="24"/>
    </row>
    <row r="141" spans="1:13" ht="17.25" customHeight="1" x14ac:dyDescent="0.15">
      <c r="A141" s="12"/>
      <c r="B141" s="18"/>
      <c r="C141" s="12"/>
      <c r="D141" s="18"/>
      <c r="E141" s="9"/>
      <c r="F141" s="20"/>
      <c r="G141" s="21"/>
      <c r="H141" s="35" t="str">
        <f t="shared" si="3"/>
        <v/>
      </c>
      <c r="I141" s="22"/>
      <c r="J141" s="12"/>
      <c r="K141" s="23"/>
      <c r="L141" s="24"/>
      <c r="M141" s="24"/>
    </row>
    <row r="142" spans="1:13" ht="17.25" customHeight="1" x14ac:dyDescent="0.15">
      <c r="A142" s="12"/>
      <c r="B142" s="18"/>
      <c r="C142" s="12"/>
      <c r="D142" s="18"/>
      <c r="E142" s="9"/>
      <c r="F142" s="20"/>
      <c r="G142" s="21"/>
      <c r="H142" s="35" t="str">
        <f t="shared" si="3"/>
        <v/>
      </c>
      <c r="I142" s="22"/>
      <c r="J142" s="12"/>
      <c r="K142" s="23"/>
      <c r="L142" s="29"/>
      <c r="M142" s="29"/>
    </row>
    <row r="143" spans="1:13" ht="17.25" customHeight="1" x14ac:dyDescent="0.15">
      <c r="A143" s="12"/>
      <c r="B143" s="18"/>
      <c r="C143" s="12"/>
      <c r="D143" s="18"/>
      <c r="E143" s="9"/>
      <c r="F143" s="20"/>
      <c r="G143" s="21"/>
      <c r="H143" s="35" t="str">
        <f t="shared" si="3"/>
        <v/>
      </c>
      <c r="I143" s="22"/>
      <c r="J143" s="12"/>
      <c r="K143" s="23"/>
      <c r="L143" s="29"/>
      <c r="M143" s="29"/>
    </row>
    <row r="144" spans="1:13" ht="17.25" customHeight="1" x14ac:dyDescent="0.15">
      <c r="A144" s="12"/>
      <c r="B144" s="18"/>
      <c r="C144" s="12"/>
      <c r="D144" s="18"/>
      <c r="E144" s="9"/>
      <c r="F144" s="20"/>
      <c r="G144" s="21"/>
      <c r="H144" s="35" t="str">
        <f t="shared" si="3"/>
        <v/>
      </c>
      <c r="I144" s="22"/>
      <c r="J144" s="12"/>
      <c r="K144" s="23"/>
      <c r="L144" s="29"/>
      <c r="M144" s="29"/>
    </row>
    <row r="145" spans="1:13" ht="17.25" customHeight="1" x14ac:dyDescent="0.15">
      <c r="A145" s="12"/>
      <c r="B145" s="18"/>
      <c r="C145" s="12"/>
      <c r="D145" s="18"/>
      <c r="E145" s="9"/>
      <c r="F145" s="20"/>
      <c r="G145" s="21"/>
      <c r="H145" s="35" t="str">
        <f t="shared" si="3"/>
        <v/>
      </c>
      <c r="I145" s="22"/>
      <c r="J145" s="12"/>
      <c r="K145" s="23"/>
      <c r="L145" s="29"/>
      <c r="M145" s="29"/>
    </row>
    <row r="146" spans="1:13" ht="17.25" customHeight="1" x14ac:dyDescent="0.15">
      <c r="A146" s="12"/>
      <c r="B146" s="18"/>
      <c r="C146" s="12"/>
      <c r="D146" s="18"/>
      <c r="E146" s="9"/>
      <c r="F146" s="20"/>
      <c r="G146" s="21"/>
      <c r="H146" s="35" t="str">
        <f t="shared" si="3"/>
        <v/>
      </c>
      <c r="I146" s="22"/>
      <c r="J146" s="12"/>
      <c r="K146" s="23"/>
      <c r="L146" s="29"/>
      <c r="M146" s="29"/>
    </row>
    <row r="147" spans="1:13" ht="17.25" customHeight="1" x14ac:dyDescent="0.15">
      <c r="A147" s="12"/>
      <c r="B147" s="18"/>
      <c r="C147" s="12"/>
      <c r="D147" s="18"/>
      <c r="E147" s="9"/>
      <c r="F147" s="20"/>
      <c r="G147" s="21"/>
      <c r="H147" s="35" t="str">
        <f t="shared" si="3"/>
        <v/>
      </c>
      <c r="I147" s="22"/>
      <c r="J147" s="12"/>
      <c r="K147" s="23"/>
      <c r="L147" s="29"/>
      <c r="M147" s="29"/>
    </row>
    <row r="148" spans="1:13" ht="17.25" customHeight="1" x14ac:dyDescent="0.15">
      <c r="A148" s="12"/>
      <c r="B148" s="18"/>
      <c r="C148" s="12"/>
      <c r="D148" s="18"/>
      <c r="E148" s="9"/>
      <c r="F148" s="20"/>
      <c r="G148" s="21"/>
      <c r="H148" s="35" t="str">
        <f t="shared" si="3"/>
        <v/>
      </c>
      <c r="I148" s="22"/>
      <c r="J148" s="12"/>
      <c r="K148" s="23"/>
      <c r="L148" s="29"/>
      <c r="M148" s="29"/>
    </row>
    <row r="149" spans="1:13" ht="17.25" customHeight="1" x14ac:dyDescent="0.15">
      <c r="A149" s="12"/>
      <c r="B149" s="18"/>
      <c r="C149" s="12"/>
      <c r="D149" s="18"/>
      <c r="E149" s="9"/>
      <c r="F149" s="20"/>
      <c r="G149" s="21"/>
      <c r="H149" s="35" t="str">
        <f t="shared" si="3"/>
        <v/>
      </c>
      <c r="I149" s="22"/>
      <c r="J149" s="12"/>
      <c r="K149" s="23"/>
      <c r="L149" s="29"/>
      <c r="M149" s="29"/>
    </row>
    <row r="150" spans="1:13" ht="17.25" customHeight="1" x14ac:dyDescent="0.15">
      <c r="A150" s="12"/>
      <c r="B150" s="18"/>
      <c r="C150" s="12"/>
      <c r="D150" s="18"/>
      <c r="E150" s="9"/>
      <c r="F150" s="20"/>
      <c r="G150" s="21"/>
      <c r="H150" s="35" t="str">
        <f t="shared" si="3"/>
        <v/>
      </c>
      <c r="I150" s="22"/>
      <c r="J150" s="12"/>
      <c r="K150" s="23"/>
      <c r="L150" s="29"/>
      <c r="M150" s="29"/>
    </row>
    <row r="151" spans="1:13" ht="17.25" customHeight="1" x14ac:dyDescent="0.15">
      <c r="A151" s="12"/>
      <c r="B151" s="18"/>
      <c r="C151" s="12"/>
      <c r="D151" s="18"/>
      <c r="E151" s="9"/>
      <c r="F151" s="20"/>
      <c r="G151" s="21"/>
      <c r="H151" s="35" t="str">
        <f t="shared" si="3"/>
        <v/>
      </c>
      <c r="I151" s="22"/>
      <c r="J151" s="12"/>
      <c r="K151" s="23"/>
      <c r="L151" s="29"/>
      <c r="M151" s="29"/>
    </row>
    <row r="152" spans="1:13" ht="17.25" customHeight="1" x14ac:dyDescent="0.15">
      <c r="A152" s="12"/>
      <c r="B152" s="18"/>
      <c r="C152" s="12"/>
      <c r="D152" s="18"/>
      <c r="E152" s="9"/>
      <c r="F152" s="20"/>
      <c r="G152" s="21"/>
      <c r="H152" s="35" t="str">
        <f t="shared" si="3"/>
        <v/>
      </c>
      <c r="I152" s="22"/>
      <c r="J152" s="12"/>
      <c r="K152" s="23"/>
      <c r="L152" s="29"/>
      <c r="M152" s="29"/>
    </row>
    <row r="153" spans="1:13" ht="17.25" customHeight="1" x14ac:dyDescent="0.15">
      <c r="A153" s="12"/>
      <c r="B153" s="18"/>
      <c r="C153" s="12"/>
      <c r="D153" s="18"/>
      <c r="E153" s="9"/>
      <c r="F153" s="20"/>
      <c r="G153" s="21"/>
      <c r="H153" s="35" t="str">
        <f t="shared" si="3"/>
        <v/>
      </c>
      <c r="I153" s="22"/>
      <c r="J153" s="12"/>
      <c r="K153" s="23"/>
      <c r="L153" s="29"/>
      <c r="M153" s="29"/>
    </row>
    <row r="154" spans="1:13" ht="17.25" customHeight="1" x14ac:dyDescent="0.15">
      <c r="A154" s="12"/>
      <c r="B154" s="18"/>
      <c r="C154" s="12"/>
      <c r="D154" s="18"/>
      <c r="E154" s="9"/>
      <c r="F154" s="20"/>
      <c r="G154" s="21"/>
      <c r="H154" s="35" t="str">
        <f t="shared" si="3"/>
        <v/>
      </c>
      <c r="I154" s="22"/>
      <c r="J154" s="12"/>
      <c r="K154" s="23"/>
      <c r="L154" s="29"/>
      <c r="M154" s="29"/>
    </row>
    <row r="155" spans="1:13" ht="17.25" customHeight="1" x14ac:dyDescent="0.15">
      <c r="A155" s="12"/>
      <c r="B155" s="18"/>
      <c r="C155" s="12"/>
      <c r="D155" s="18"/>
      <c r="E155" s="9"/>
      <c r="F155" s="20"/>
      <c r="G155" s="21"/>
      <c r="H155" s="35" t="str">
        <f t="shared" si="3"/>
        <v/>
      </c>
      <c r="I155" s="22"/>
      <c r="J155" s="12"/>
      <c r="K155" s="23"/>
      <c r="L155" s="29"/>
      <c r="M155" s="29"/>
    </row>
    <row r="156" spans="1:13" ht="17.25" customHeight="1" x14ac:dyDescent="0.15">
      <c r="A156" s="12"/>
      <c r="B156" s="18"/>
      <c r="C156" s="12"/>
      <c r="D156" s="18"/>
      <c r="E156" s="9"/>
      <c r="F156" s="20"/>
      <c r="G156" s="21"/>
      <c r="H156" s="35" t="str">
        <f t="shared" si="3"/>
        <v/>
      </c>
      <c r="I156" s="22"/>
      <c r="J156" s="12"/>
      <c r="K156" s="23"/>
      <c r="L156" s="29"/>
      <c r="M156" s="29"/>
    </row>
    <row r="157" spans="1:13" ht="17.25" customHeight="1" x14ac:dyDescent="0.15">
      <c r="A157" s="12"/>
      <c r="B157" s="18"/>
      <c r="C157" s="12"/>
      <c r="D157" s="18"/>
      <c r="E157" s="9"/>
      <c r="F157" s="20"/>
      <c r="G157" s="21"/>
      <c r="H157" s="35" t="str">
        <f t="shared" si="3"/>
        <v/>
      </c>
      <c r="I157" s="22"/>
      <c r="J157" s="12"/>
      <c r="K157" s="23"/>
      <c r="L157" s="29"/>
      <c r="M157" s="29"/>
    </row>
    <row r="158" spans="1:13" ht="17.25" customHeight="1" x14ac:dyDescent="0.15">
      <c r="A158" s="12"/>
      <c r="B158" s="18"/>
      <c r="C158" s="12"/>
      <c r="D158" s="18"/>
      <c r="E158" s="9"/>
      <c r="F158" s="20"/>
      <c r="G158" s="21"/>
      <c r="H158" s="35" t="str">
        <f t="shared" si="3"/>
        <v/>
      </c>
      <c r="I158" s="22"/>
      <c r="J158" s="12"/>
      <c r="K158" s="23"/>
      <c r="L158" s="29"/>
      <c r="M158" s="29"/>
    </row>
    <row r="159" spans="1:13" ht="17.25" customHeight="1" x14ac:dyDescent="0.15">
      <c r="A159" s="12"/>
      <c r="B159" s="18"/>
      <c r="C159" s="12"/>
      <c r="D159" s="18"/>
      <c r="E159" s="9"/>
      <c r="F159" s="20"/>
      <c r="G159" s="21"/>
      <c r="H159" s="35" t="str">
        <f t="shared" si="3"/>
        <v/>
      </c>
      <c r="I159" s="22"/>
      <c r="J159" s="12"/>
      <c r="K159" s="23"/>
      <c r="L159" s="29"/>
      <c r="M159" s="29"/>
    </row>
    <row r="160" spans="1:13" ht="17.25" customHeight="1" x14ac:dyDescent="0.15">
      <c r="A160" s="12"/>
      <c r="B160" s="18"/>
      <c r="C160" s="12"/>
      <c r="D160" s="18"/>
      <c r="E160" s="9"/>
      <c r="F160" s="20"/>
      <c r="G160" s="21"/>
      <c r="H160" s="35" t="str">
        <f t="shared" si="3"/>
        <v/>
      </c>
      <c r="I160" s="22"/>
      <c r="J160" s="12"/>
      <c r="K160" s="23"/>
      <c r="L160" s="29"/>
      <c r="M160" s="29"/>
    </row>
    <row r="161" spans="1:13" ht="17.25" customHeight="1" x14ac:dyDescent="0.15">
      <c r="A161" s="12"/>
      <c r="B161" s="18"/>
      <c r="C161" s="12"/>
      <c r="D161" s="18"/>
      <c r="E161" s="9"/>
      <c r="F161" s="20"/>
      <c r="G161" s="21"/>
      <c r="H161" s="35" t="str">
        <f t="shared" si="3"/>
        <v/>
      </c>
      <c r="I161" s="22"/>
      <c r="J161" s="12"/>
      <c r="K161" s="23"/>
      <c r="L161" s="29"/>
      <c r="M161" s="29"/>
    </row>
    <row r="162" spans="1:13" ht="17.25" customHeight="1" x14ac:dyDescent="0.15">
      <c r="A162" s="12"/>
      <c r="B162" s="18"/>
      <c r="C162" s="12"/>
      <c r="D162" s="18"/>
      <c r="E162" s="9"/>
      <c r="F162" s="20"/>
      <c r="G162" s="21"/>
      <c r="H162" s="35" t="str">
        <f t="shared" si="3"/>
        <v/>
      </c>
      <c r="I162" s="22"/>
      <c r="J162" s="12"/>
      <c r="K162" s="23"/>
      <c r="L162" s="29"/>
      <c r="M162" s="29"/>
    </row>
    <row r="163" spans="1:13" ht="17.25" customHeight="1" x14ac:dyDescent="0.15">
      <c r="A163" s="12"/>
      <c r="B163" s="18"/>
      <c r="C163" s="12"/>
      <c r="D163" s="18"/>
      <c r="E163" s="9"/>
      <c r="F163" s="20"/>
      <c r="G163" s="21"/>
      <c r="H163" s="35" t="str">
        <f t="shared" si="3"/>
        <v/>
      </c>
      <c r="I163" s="22"/>
      <c r="J163" s="12"/>
      <c r="K163" s="23"/>
      <c r="L163" s="29"/>
      <c r="M163" s="29"/>
    </row>
    <row r="164" spans="1:13" ht="17.25" customHeight="1" x14ac:dyDescent="0.15">
      <c r="A164" s="12"/>
      <c r="B164" s="18"/>
      <c r="C164" s="12"/>
      <c r="D164" s="18"/>
      <c r="E164" s="9"/>
      <c r="F164" s="20"/>
      <c r="G164" s="21"/>
      <c r="H164" s="35" t="str">
        <f t="shared" si="3"/>
        <v/>
      </c>
      <c r="I164" s="22"/>
      <c r="J164" s="12"/>
      <c r="K164" s="23"/>
      <c r="L164" s="29"/>
      <c r="M164" s="29"/>
    </row>
    <row r="165" spans="1:13" ht="17.25" customHeight="1" x14ac:dyDescent="0.15">
      <c r="A165" s="12"/>
      <c r="B165" s="18"/>
      <c r="C165" s="12"/>
      <c r="D165" s="18"/>
      <c r="E165" s="9"/>
      <c r="F165" s="20"/>
      <c r="G165" s="21"/>
      <c r="H165" s="35" t="str">
        <f t="shared" si="3"/>
        <v/>
      </c>
      <c r="I165" s="22"/>
      <c r="J165" s="12"/>
      <c r="K165" s="23"/>
      <c r="L165" s="29"/>
      <c r="M165" s="29"/>
    </row>
    <row r="166" spans="1:13" ht="17.25" customHeight="1" x14ac:dyDescent="0.15">
      <c r="A166" s="12"/>
      <c r="B166" s="18"/>
      <c r="C166" s="12"/>
      <c r="D166" s="18"/>
      <c r="E166" s="9"/>
      <c r="F166" s="20"/>
      <c r="G166" s="21"/>
      <c r="H166" s="35" t="str">
        <f t="shared" si="3"/>
        <v/>
      </c>
      <c r="I166" s="22"/>
      <c r="J166" s="12"/>
      <c r="K166" s="23"/>
      <c r="L166" s="29"/>
      <c r="M166" s="29"/>
    </row>
    <row r="167" spans="1:13" ht="17.25" customHeight="1" x14ac:dyDescent="0.15">
      <c r="A167" s="12"/>
      <c r="B167" s="18"/>
      <c r="C167" s="12"/>
      <c r="D167" s="18"/>
      <c r="E167" s="9"/>
      <c r="F167" s="20"/>
      <c r="G167" s="21"/>
      <c r="H167" s="35" t="str">
        <f t="shared" si="3"/>
        <v/>
      </c>
      <c r="I167" s="22"/>
      <c r="J167" s="12"/>
      <c r="K167" s="23"/>
      <c r="L167" s="29"/>
      <c r="M167" s="29"/>
    </row>
    <row r="168" spans="1:13" ht="17.25" customHeight="1" x14ac:dyDescent="0.15">
      <c r="A168" s="12"/>
      <c r="B168" s="18"/>
      <c r="C168" s="12"/>
      <c r="D168" s="18"/>
      <c r="E168" s="9"/>
      <c r="F168" s="20"/>
      <c r="G168" s="21"/>
      <c r="H168" s="35" t="str">
        <f t="shared" si="3"/>
        <v/>
      </c>
      <c r="I168" s="22"/>
      <c r="J168" s="12"/>
      <c r="K168" s="23"/>
      <c r="L168" s="29"/>
      <c r="M168" s="29"/>
    </row>
    <row r="169" spans="1:13" ht="17.25" customHeight="1" x14ac:dyDescent="0.15">
      <c r="A169" s="12"/>
      <c r="B169" s="18"/>
      <c r="C169" s="12"/>
      <c r="D169" s="18"/>
      <c r="E169" s="9"/>
      <c r="F169" s="20"/>
      <c r="G169" s="21"/>
      <c r="H169" s="35" t="str">
        <f t="shared" si="3"/>
        <v/>
      </c>
      <c r="I169" s="22"/>
      <c r="J169" s="12"/>
      <c r="K169" s="23"/>
      <c r="L169" s="29"/>
      <c r="M169" s="29"/>
    </row>
    <row r="170" spans="1:13" ht="17.25" customHeight="1" x14ac:dyDescent="0.15">
      <c r="A170" s="12"/>
      <c r="B170" s="18"/>
      <c r="C170" s="12"/>
      <c r="D170" s="18"/>
      <c r="E170" s="9"/>
      <c r="F170" s="20"/>
      <c r="G170" s="21"/>
      <c r="H170" s="35" t="str">
        <f t="shared" si="3"/>
        <v/>
      </c>
      <c r="I170" s="22"/>
      <c r="J170" s="12"/>
      <c r="K170" s="23"/>
      <c r="L170" s="29"/>
      <c r="M170" s="29"/>
    </row>
    <row r="171" spans="1:13" ht="17.25" customHeight="1" x14ac:dyDescent="0.15">
      <c r="A171" s="12"/>
      <c r="B171" s="18"/>
      <c r="C171" s="12"/>
      <c r="D171" s="18"/>
      <c r="E171" s="9"/>
      <c r="F171" s="20"/>
      <c r="G171" s="21"/>
      <c r="H171" s="35" t="str">
        <f t="shared" si="3"/>
        <v/>
      </c>
      <c r="I171" s="22"/>
      <c r="J171" s="12"/>
      <c r="K171" s="23"/>
      <c r="L171" s="29"/>
      <c r="M171" s="29"/>
    </row>
    <row r="172" spans="1:13" ht="17.25" customHeight="1" x14ac:dyDescent="0.15">
      <c r="A172" s="12"/>
      <c r="B172" s="18"/>
      <c r="C172" s="12"/>
      <c r="D172" s="18"/>
      <c r="E172" s="9"/>
      <c r="F172" s="20"/>
      <c r="G172" s="21"/>
      <c r="H172" s="35" t="str">
        <f t="shared" si="3"/>
        <v/>
      </c>
      <c r="I172" s="22"/>
      <c r="J172" s="12"/>
      <c r="K172" s="23"/>
      <c r="L172" s="29"/>
      <c r="M172" s="29"/>
    </row>
    <row r="173" spans="1:13" ht="17.25" customHeight="1" x14ac:dyDescent="0.15">
      <c r="A173" s="12"/>
      <c r="B173" s="18"/>
      <c r="C173" s="12"/>
      <c r="D173" s="18"/>
      <c r="E173" s="9"/>
      <c r="F173" s="20"/>
      <c r="G173" s="21"/>
      <c r="H173" s="35" t="str">
        <f t="shared" si="3"/>
        <v/>
      </c>
      <c r="I173" s="22"/>
      <c r="J173" s="12"/>
      <c r="K173" s="23"/>
      <c r="L173" s="29"/>
      <c r="M173" s="29"/>
    </row>
    <row r="174" spans="1:13" ht="17.25" customHeight="1" x14ac:dyDescent="0.15">
      <c r="A174" s="12"/>
      <c r="B174" s="18"/>
      <c r="C174" s="12"/>
      <c r="D174" s="18"/>
      <c r="E174" s="9"/>
      <c r="F174" s="20"/>
      <c r="G174" s="21"/>
      <c r="H174" s="35" t="str">
        <f t="shared" si="3"/>
        <v/>
      </c>
      <c r="I174" s="22"/>
      <c r="J174" s="12"/>
      <c r="K174" s="23"/>
      <c r="L174" s="29"/>
      <c r="M174" s="29"/>
    </row>
    <row r="175" spans="1:13" ht="17.25" customHeight="1" x14ac:dyDescent="0.15">
      <c r="A175" s="12"/>
      <c r="B175" s="18"/>
      <c r="C175" s="12"/>
      <c r="D175" s="18"/>
      <c r="E175" s="9"/>
      <c r="F175" s="20"/>
      <c r="G175" s="21"/>
      <c r="H175" s="35" t="str">
        <f t="shared" si="3"/>
        <v/>
      </c>
      <c r="I175" s="22"/>
      <c r="J175" s="12"/>
      <c r="K175" s="23"/>
      <c r="L175" s="29"/>
      <c r="M175" s="29"/>
    </row>
    <row r="176" spans="1:13" ht="17.25" customHeight="1" x14ac:dyDescent="0.15">
      <c r="A176" s="12"/>
      <c r="B176" s="18"/>
      <c r="C176" s="12"/>
      <c r="D176" s="18"/>
      <c r="E176" s="9"/>
      <c r="F176" s="20"/>
      <c r="G176" s="21"/>
      <c r="H176" s="35" t="str">
        <f t="shared" si="3"/>
        <v/>
      </c>
      <c r="I176" s="22"/>
      <c r="J176" s="12"/>
      <c r="K176" s="23"/>
      <c r="L176" s="29"/>
      <c r="M176" s="29"/>
    </row>
    <row r="177" spans="1:13" ht="17.25" customHeight="1" x14ac:dyDescent="0.15">
      <c r="A177" s="12"/>
      <c r="B177" s="18"/>
      <c r="C177" s="12"/>
      <c r="D177" s="18"/>
      <c r="E177" s="9"/>
      <c r="F177" s="20"/>
      <c r="G177" s="21"/>
      <c r="H177" s="35" t="str">
        <f t="shared" si="3"/>
        <v/>
      </c>
      <c r="I177" s="22"/>
      <c r="J177" s="12"/>
      <c r="K177" s="23"/>
      <c r="L177" s="29"/>
      <c r="M177" s="29"/>
    </row>
    <row r="178" spans="1:13" ht="17.25" customHeight="1" x14ac:dyDescent="0.15">
      <c r="A178" s="12"/>
      <c r="B178" s="18"/>
      <c r="C178" s="12"/>
      <c r="D178" s="18"/>
      <c r="E178" s="9"/>
      <c r="F178" s="20"/>
      <c r="G178" s="21"/>
      <c r="H178" s="35" t="str">
        <f t="shared" si="3"/>
        <v/>
      </c>
      <c r="I178" s="22"/>
      <c r="J178" s="12"/>
      <c r="K178" s="23"/>
      <c r="L178" s="29"/>
      <c r="M178" s="29"/>
    </row>
    <row r="179" spans="1:13" ht="17.25" customHeight="1" x14ac:dyDescent="0.15">
      <c r="A179" s="12"/>
      <c r="B179" s="18"/>
      <c r="C179" s="12"/>
      <c r="D179" s="18"/>
      <c r="E179" s="9"/>
      <c r="F179" s="20"/>
      <c r="G179" s="21"/>
      <c r="H179" s="35" t="str">
        <f t="shared" si="3"/>
        <v/>
      </c>
      <c r="I179" s="22"/>
      <c r="J179" s="12"/>
      <c r="K179" s="23"/>
      <c r="L179" s="29"/>
      <c r="M179" s="29"/>
    </row>
    <row r="180" spans="1:13" ht="17.25" customHeight="1" x14ac:dyDescent="0.15">
      <c r="A180" s="12"/>
      <c r="B180" s="18"/>
      <c r="C180" s="12"/>
      <c r="D180" s="18"/>
      <c r="E180" s="9"/>
      <c r="F180" s="20"/>
      <c r="G180" s="21"/>
      <c r="H180" s="35" t="str">
        <f t="shared" si="3"/>
        <v/>
      </c>
      <c r="I180" s="22"/>
      <c r="J180" s="12"/>
      <c r="K180" s="23"/>
      <c r="L180" s="29"/>
      <c r="M180" s="29"/>
    </row>
    <row r="181" spans="1:13" ht="17.25" customHeight="1" x14ac:dyDescent="0.15">
      <c r="A181" s="12"/>
      <c r="B181" s="18"/>
      <c r="C181" s="12"/>
      <c r="D181" s="18"/>
      <c r="E181" s="9"/>
      <c r="F181" s="20"/>
      <c r="G181" s="21"/>
      <c r="H181" s="35" t="str">
        <f t="shared" si="3"/>
        <v/>
      </c>
      <c r="I181" s="22"/>
      <c r="J181" s="12"/>
      <c r="K181" s="23"/>
      <c r="L181" s="29"/>
      <c r="M181" s="29"/>
    </row>
    <row r="182" spans="1:13" ht="17.25" customHeight="1" x14ac:dyDescent="0.15">
      <c r="A182" s="12"/>
      <c r="B182" s="18"/>
      <c r="C182" s="12"/>
      <c r="D182" s="18"/>
      <c r="E182" s="9"/>
      <c r="F182" s="20"/>
      <c r="G182" s="21"/>
      <c r="H182" s="35" t="str">
        <f t="shared" si="3"/>
        <v/>
      </c>
      <c r="I182" s="22"/>
      <c r="J182" s="12"/>
      <c r="K182" s="23"/>
      <c r="L182" s="29"/>
      <c r="M182" s="29"/>
    </row>
    <row r="183" spans="1:13" ht="17.25" customHeight="1" x14ac:dyDescent="0.15">
      <c r="A183" s="12"/>
      <c r="B183" s="18"/>
      <c r="C183" s="12"/>
      <c r="D183" s="18"/>
      <c r="E183" s="9"/>
      <c r="F183" s="20"/>
      <c r="G183" s="21"/>
      <c r="H183" s="35" t="str">
        <f t="shared" si="3"/>
        <v/>
      </c>
      <c r="I183" s="22"/>
      <c r="J183" s="12"/>
      <c r="K183" s="23"/>
      <c r="L183" s="29"/>
      <c r="M183" s="29"/>
    </row>
    <row r="184" spans="1:13" ht="17.25" customHeight="1" x14ac:dyDescent="0.15">
      <c r="A184" s="12"/>
      <c r="B184" s="18"/>
      <c r="C184" s="12"/>
      <c r="D184" s="18"/>
      <c r="E184" s="9"/>
      <c r="F184" s="20"/>
      <c r="G184" s="21"/>
      <c r="H184" s="35" t="str">
        <f t="shared" si="3"/>
        <v/>
      </c>
      <c r="I184" s="22"/>
      <c r="J184" s="12"/>
      <c r="K184" s="23"/>
      <c r="L184" s="29"/>
      <c r="M184" s="29"/>
    </row>
    <row r="185" spans="1:13" ht="17.25" customHeight="1" x14ac:dyDescent="0.15">
      <c r="A185" s="12"/>
      <c r="B185" s="18"/>
      <c r="C185" s="12"/>
      <c r="D185" s="18"/>
      <c r="E185" s="9"/>
      <c r="F185" s="20"/>
      <c r="G185" s="21"/>
      <c r="H185" s="35" t="str">
        <f t="shared" si="3"/>
        <v/>
      </c>
      <c r="I185" s="22"/>
      <c r="J185" s="12"/>
      <c r="K185" s="23"/>
      <c r="L185" s="29"/>
      <c r="M185" s="29"/>
    </row>
    <row r="186" spans="1:13" ht="17.25" customHeight="1" x14ac:dyDescent="0.15">
      <c r="A186" s="12"/>
      <c r="B186" s="18"/>
      <c r="C186" s="12"/>
      <c r="D186" s="18"/>
      <c r="E186" s="9"/>
      <c r="F186" s="20"/>
      <c r="G186" s="21"/>
      <c r="H186" s="35" t="str">
        <f t="shared" si="3"/>
        <v/>
      </c>
      <c r="I186" s="22"/>
      <c r="J186" s="12"/>
      <c r="K186" s="23"/>
      <c r="L186" s="29"/>
      <c r="M186" s="29"/>
    </row>
    <row r="187" spans="1:13" ht="17.25" customHeight="1" x14ac:dyDescent="0.15">
      <c r="A187" s="12"/>
      <c r="B187" s="18"/>
      <c r="C187" s="12"/>
      <c r="D187" s="18"/>
      <c r="E187" s="9"/>
      <c r="F187" s="20"/>
      <c r="G187" s="21"/>
      <c r="H187" s="35" t="str">
        <f t="shared" si="3"/>
        <v/>
      </c>
      <c r="I187" s="22"/>
      <c r="J187" s="12"/>
      <c r="K187" s="23"/>
      <c r="L187" s="29"/>
      <c r="M187" s="29"/>
    </row>
    <row r="188" spans="1:13" ht="17.25" customHeight="1" x14ac:dyDescent="0.15">
      <c r="A188" s="12"/>
      <c r="B188" s="18"/>
      <c r="C188" s="12"/>
      <c r="D188" s="18"/>
      <c r="E188" s="9"/>
      <c r="F188" s="20"/>
      <c r="G188" s="21"/>
      <c r="H188" s="35" t="str">
        <f t="shared" si="3"/>
        <v/>
      </c>
      <c r="I188" s="22"/>
      <c r="J188" s="12"/>
      <c r="K188" s="23"/>
      <c r="L188" s="29"/>
      <c r="M188" s="29"/>
    </row>
    <row r="189" spans="1:13" ht="17.25" customHeight="1" x14ac:dyDescent="0.15">
      <c r="A189" s="12"/>
      <c r="B189" s="18"/>
      <c r="C189" s="12"/>
      <c r="D189" s="18"/>
      <c r="E189" s="9"/>
      <c r="F189" s="20"/>
      <c r="G189" s="21"/>
      <c r="H189" s="35" t="str">
        <f t="shared" si="3"/>
        <v/>
      </c>
      <c r="I189" s="22"/>
      <c r="J189" s="12"/>
      <c r="K189" s="23"/>
      <c r="L189" s="29"/>
      <c r="M189" s="29"/>
    </row>
    <row r="190" spans="1:13" ht="17.25" customHeight="1" x14ac:dyDescent="0.15">
      <c r="A190" s="12"/>
      <c r="B190" s="18"/>
      <c r="C190" s="12"/>
      <c r="D190" s="18"/>
      <c r="E190" s="9"/>
      <c r="F190" s="20"/>
      <c r="G190" s="21"/>
      <c r="H190" s="35" t="str">
        <f t="shared" si="3"/>
        <v/>
      </c>
      <c r="I190" s="22"/>
      <c r="J190" s="12"/>
      <c r="K190" s="23"/>
      <c r="L190" s="29"/>
      <c r="M190" s="29"/>
    </row>
    <row r="191" spans="1:13" ht="17.25" customHeight="1" x14ac:dyDescent="0.15">
      <c r="A191" s="12"/>
      <c r="B191" s="18"/>
      <c r="C191" s="12"/>
      <c r="D191" s="18"/>
      <c r="E191" s="9"/>
      <c r="F191" s="20"/>
      <c r="G191" s="21"/>
      <c r="H191" s="35" t="str">
        <f t="shared" si="3"/>
        <v/>
      </c>
      <c r="I191" s="22"/>
      <c r="J191" s="12"/>
      <c r="K191" s="23"/>
      <c r="L191" s="29"/>
      <c r="M191" s="29"/>
    </row>
    <row r="192" spans="1:13" ht="17.25" customHeight="1" x14ac:dyDescent="0.15">
      <c r="A192" s="12"/>
      <c r="B192" s="18"/>
      <c r="C192" s="12"/>
      <c r="D192" s="18"/>
      <c r="E192" s="9"/>
      <c r="F192" s="20"/>
      <c r="G192" s="21"/>
      <c r="H192" s="35" t="str">
        <f t="shared" si="3"/>
        <v/>
      </c>
      <c r="I192" s="22"/>
      <c r="J192" s="12"/>
      <c r="K192" s="23"/>
      <c r="L192" s="29"/>
      <c r="M192" s="29"/>
    </row>
    <row r="193" spans="1:13" ht="17.25" customHeight="1" x14ac:dyDescent="0.15">
      <c r="A193" s="12"/>
      <c r="B193" s="18"/>
      <c r="C193" s="12"/>
      <c r="D193" s="18"/>
      <c r="E193" s="9"/>
      <c r="F193" s="20"/>
      <c r="G193" s="21"/>
      <c r="H193" s="35" t="str">
        <f t="shared" si="3"/>
        <v/>
      </c>
      <c r="I193" s="22"/>
      <c r="J193" s="12"/>
      <c r="K193" s="23"/>
      <c r="L193" s="29"/>
      <c r="M193" s="29"/>
    </row>
    <row r="194" spans="1:13" ht="17.25" customHeight="1" x14ac:dyDescent="0.15">
      <c r="A194" s="12"/>
      <c r="B194" s="18"/>
      <c r="C194" s="12"/>
      <c r="D194" s="18"/>
      <c r="E194" s="9"/>
      <c r="F194" s="20"/>
      <c r="G194" s="21"/>
      <c r="H194" s="35" t="str">
        <f t="shared" si="3"/>
        <v/>
      </c>
      <c r="I194" s="22"/>
      <c r="J194" s="12"/>
      <c r="K194" s="23"/>
      <c r="L194" s="29"/>
      <c r="M194" s="29"/>
    </row>
    <row r="195" spans="1:13" ht="17.25" customHeight="1" x14ac:dyDescent="0.15">
      <c r="A195" s="12"/>
      <c r="B195" s="18"/>
      <c r="C195" s="12"/>
      <c r="D195" s="18"/>
      <c r="E195" s="9"/>
      <c r="F195" s="20"/>
      <c r="G195" s="21"/>
      <c r="H195" s="35" t="str">
        <f t="shared" si="3"/>
        <v/>
      </c>
      <c r="I195" s="22"/>
      <c r="J195" s="12"/>
      <c r="K195" s="23"/>
      <c r="L195" s="29"/>
      <c r="M195" s="29"/>
    </row>
    <row r="196" spans="1:13" ht="17.25" customHeight="1" x14ac:dyDescent="0.15">
      <c r="A196" s="12"/>
      <c r="B196" s="18"/>
      <c r="C196" s="12"/>
      <c r="D196" s="18"/>
      <c r="E196" s="9"/>
      <c r="F196" s="20"/>
      <c r="G196" s="21"/>
      <c r="H196" s="35" t="str">
        <f t="shared" si="3"/>
        <v/>
      </c>
      <c r="I196" s="22"/>
      <c r="J196" s="12"/>
      <c r="K196" s="23"/>
      <c r="L196" s="29"/>
      <c r="M196" s="29"/>
    </row>
    <row r="197" spans="1:13" ht="17.25" customHeight="1" x14ac:dyDescent="0.15">
      <c r="A197" s="12"/>
      <c r="B197" s="18"/>
      <c r="C197" s="12"/>
      <c r="D197" s="18"/>
      <c r="E197" s="9"/>
      <c r="F197" s="20"/>
      <c r="G197" s="21"/>
      <c r="H197" s="35" t="str">
        <f t="shared" si="3"/>
        <v/>
      </c>
      <c r="I197" s="22"/>
      <c r="J197" s="12"/>
      <c r="K197" s="23"/>
      <c r="L197" s="29"/>
      <c r="M197" s="29"/>
    </row>
    <row r="198" spans="1:13" ht="17.25" customHeight="1" x14ac:dyDescent="0.15">
      <c r="A198" s="12"/>
      <c r="B198" s="18"/>
      <c r="C198" s="12"/>
      <c r="D198" s="18"/>
      <c r="E198" s="9"/>
      <c r="F198" s="20"/>
      <c r="G198" s="21"/>
      <c r="H198" s="35" t="str">
        <f t="shared" si="3"/>
        <v/>
      </c>
      <c r="I198" s="22"/>
      <c r="J198" s="12"/>
      <c r="K198" s="23"/>
      <c r="L198" s="29"/>
      <c r="M198" s="29"/>
    </row>
    <row r="199" spans="1:13" ht="17.25" customHeight="1" x14ac:dyDescent="0.15">
      <c r="A199" s="12"/>
      <c r="B199" s="18"/>
      <c r="C199" s="12"/>
      <c r="D199" s="18"/>
      <c r="E199" s="9"/>
      <c r="F199" s="20"/>
      <c r="G199" s="21"/>
      <c r="H199" s="35" t="str">
        <f t="shared" si="3"/>
        <v/>
      </c>
      <c r="I199" s="22"/>
      <c r="J199" s="12"/>
      <c r="K199" s="23"/>
      <c r="L199" s="29"/>
      <c r="M199" s="29"/>
    </row>
    <row r="200" spans="1:13" ht="17.25" customHeight="1" x14ac:dyDescent="0.15">
      <c r="A200" s="12"/>
      <c r="B200" s="18"/>
      <c r="C200" s="12"/>
      <c r="D200" s="18"/>
      <c r="E200" s="9"/>
      <c r="F200" s="20"/>
      <c r="G200" s="21"/>
      <c r="H200" s="35" t="str">
        <f t="shared" si="3"/>
        <v/>
      </c>
      <c r="I200" s="22"/>
      <c r="J200" s="12"/>
      <c r="K200" s="23"/>
      <c r="L200" s="29"/>
      <c r="M200" s="29"/>
    </row>
    <row r="201" spans="1:13" ht="17.25" customHeight="1" x14ac:dyDescent="0.15">
      <c r="A201" s="12"/>
      <c r="B201" s="18"/>
      <c r="C201" s="12"/>
      <c r="D201" s="18"/>
      <c r="E201" s="9"/>
      <c r="F201" s="20"/>
      <c r="G201" s="21"/>
      <c r="H201" s="35" t="str">
        <f t="shared" si="3"/>
        <v/>
      </c>
      <c r="I201" s="22"/>
      <c r="J201" s="12"/>
      <c r="K201" s="23"/>
      <c r="L201" s="29"/>
      <c r="M201" s="29"/>
    </row>
    <row r="202" spans="1:13" ht="17.25" customHeight="1" x14ac:dyDescent="0.15">
      <c r="A202" s="12"/>
      <c r="B202" s="18"/>
      <c r="C202" s="12"/>
      <c r="D202" s="18"/>
      <c r="E202" s="9"/>
      <c r="F202" s="20"/>
      <c r="G202" s="21"/>
      <c r="H202" s="35" t="str">
        <f t="shared" si="3"/>
        <v/>
      </c>
      <c r="I202" s="22"/>
      <c r="J202" s="12"/>
      <c r="K202" s="23"/>
      <c r="L202" s="29"/>
      <c r="M202" s="29"/>
    </row>
    <row r="203" spans="1:13" ht="17.25" customHeight="1" x14ac:dyDescent="0.15">
      <c r="A203" s="12"/>
      <c r="B203" s="18"/>
      <c r="C203" s="12"/>
      <c r="D203" s="18"/>
      <c r="E203" s="9"/>
      <c r="F203" s="20"/>
      <c r="G203" s="21"/>
      <c r="H203" s="35" t="str">
        <f t="shared" ref="H203:H210" si="4">IF(G203="","",(F203*100000000+G203)-7*INT((F203*100000000+G203)/7))</f>
        <v/>
      </c>
      <c r="I203" s="22"/>
      <c r="J203" s="12"/>
      <c r="K203" s="23"/>
      <c r="L203" s="29"/>
      <c r="M203" s="29"/>
    </row>
    <row r="204" spans="1:13" ht="17.25" customHeight="1" x14ac:dyDescent="0.15">
      <c r="A204" s="12"/>
      <c r="B204" s="18"/>
      <c r="C204" s="12"/>
      <c r="D204" s="18"/>
      <c r="E204" s="9"/>
      <c r="F204" s="20"/>
      <c r="G204" s="21"/>
      <c r="H204" s="35" t="str">
        <f t="shared" si="4"/>
        <v/>
      </c>
      <c r="I204" s="22"/>
      <c r="J204" s="12"/>
      <c r="K204" s="23"/>
      <c r="L204" s="29"/>
      <c r="M204" s="29"/>
    </row>
    <row r="205" spans="1:13" ht="17.25" customHeight="1" x14ac:dyDescent="0.15">
      <c r="A205" s="12"/>
      <c r="B205" s="18"/>
      <c r="C205" s="12"/>
      <c r="D205" s="18"/>
      <c r="E205" s="9"/>
      <c r="F205" s="20"/>
      <c r="G205" s="21"/>
      <c r="H205" s="35" t="str">
        <f t="shared" si="4"/>
        <v/>
      </c>
      <c r="I205" s="22"/>
      <c r="J205" s="12"/>
      <c r="K205" s="23"/>
      <c r="L205" s="29"/>
      <c r="M205" s="29"/>
    </row>
    <row r="206" spans="1:13" ht="17.25" customHeight="1" x14ac:dyDescent="0.15">
      <c r="A206" s="12"/>
      <c r="B206" s="18"/>
      <c r="C206" s="12"/>
      <c r="D206" s="18"/>
      <c r="E206" s="9"/>
      <c r="F206" s="20"/>
      <c r="G206" s="21"/>
      <c r="H206" s="35" t="str">
        <f t="shared" si="4"/>
        <v/>
      </c>
      <c r="I206" s="22"/>
      <c r="J206" s="12"/>
      <c r="K206" s="23"/>
      <c r="L206" s="29"/>
      <c r="M206" s="29"/>
    </row>
    <row r="207" spans="1:13" ht="17.25" customHeight="1" x14ac:dyDescent="0.15">
      <c r="A207" s="12"/>
      <c r="B207" s="18"/>
      <c r="C207" s="12"/>
      <c r="D207" s="18"/>
      <c r="E207" s="9"/>
      <c r="F207" s="20"/>
      <c r="G207" s="21"/>
      <c r="H207" s="35" t="str">
        <f t="shared" si="4"/>
        <v/>
      </c>
      <c r="I207" s="22"/>
      <c r="J207" s="12"/>
      <c r="K207" s="23"/>
      <c r="L207" s="29"/>
      <c r="M207" s="29"/>
    </row>
    <row r="208" spans="1:13" ht="17.25" customHeight="1" x14ac:dyDescent="0.15">
      <c r="A208" s="12"/>
      <c r="B208" s="18"/>
      <c r="C208" s="12"/>
      <c r="D208" s="18"/>
      <c r="E208" s="9"/>
      <c r="F208" s="20"/>
      <c r="G208" s="21"/>
      <c r="H208" s="35" t="str">
        <f t="shared" si="4"/>
        <v/>
      </c>
      <c r="I208" s="22"/>
      <c r="J208" s="12"/>
      <c r="K208" s="23"/>
      <c r="L208" s="29"/>
      <c r="M208" s="29"/>
    </row>
    <row r="209" spans="1:13" ht="17.25" customHeight="1" x14ac:dyDescent="0.15">
      <c r="A209" s="12"/>
      <c r="B209" s="18"/>
      <c r="C209" s="12"/>
      <c r="D209" s="18"/>
      <c r="E209" s="9"/>
      <c r="F209" s="20"/>
      <c r="G209" s="21"/>
      <c r="H209" s="35" t="str">
        <f t="shared" si="4"/>
        <v/>
      </c>
      <c r="I209" s="22"/>
      <c r="J209" s="12"/>
      <c r="K209" s="23"/>
      <c r="L209" s="29"/>
      <c r="M209" s="29"/>
    </row>
    <row r="210" spans="1:13" ht="17.25" customHeight="1" x14ac:dyDescent="0.15">
      <c r="A210" s="12"/>
      <c r="B210" s="18"/>
      <c r="C210" s="12"/>
      <c r="D210" s="18"/>
      <c r="E210" s="9"/>
      <c r="F210" s="20"/>
      <c r="G210" s="21"/>
      <c r="H210" s="35" t="str">
        <f t="shared" si="4"/>
        <v/>
      </c>
      <c r="I210" s="22"/>
      <c r="J210" s="12"/>
      <c r="K210" s="23"/>
      <c r="L210" s="29"/>
      <c r="M210" s="29"/>
    </row>
    <row r="211" spans="1:13" ht="17.25" customHeight="1" x14ac:dyDescent="0.15"/>
    <row r="212" spans="1:13" ht="17.25" customHeight="1" x14ac:dyDescent="0.15"/>
    <row r="213" spans="1:13" ht="17.25" customHeight="1" x14ac:dyDescent="0.15"/>
    <row r="214" spans="1:13" ht="17.25" customHeight="1" x14ac:dyDescent="0.15"/>
    <row r="215" spans="1:13" ht="17.25" customHeight="1" x14ac:dyDescent="0.15"/>
    <row r="216" spans="1:13" ht="17.25" customHeight="1" x14ac:dyDescent="0.15"/>
    <row r="217" spans="1:13" ht="17.25" customHeight="1" x14ac:dyDescent="0.15"/>
    <row r="218" spans="1:13" ht="17.25" customHeight="1" x14ac:dyDescent="0.15"/>
    <row r="219" spans="1:13" ht="17.25" customHeight="1" x14ac:dyDescent="0.15"/>
    <row r="220" spans="1:13" ht="17.25" customHeight="1" x14ac:dyDescent="0.15"/>
    <row r="221" spans="1:13" ht="17.25" customHeight="1" x14ac:dyDescent="0.15"/>
    <row r="222" spans="1:13" ht="17.25" customHeight="1" x14ac:dyDescent="0.15"/>
    <row r="223" spans="1:13" ht="17.25" customHeight="1" x14ac:dyDescent="0.15"/>
    <row r="224" spans="1:13" ht="17.25" customHeight="1" x14ac:dyDescent="0.15"/>
    <row r="225" ht="17.25" customHeight="1" x14ac:dyDescent="0.15"/>
  </sheetData>
  <mergeCells count="5">
    <mergeCell ref="F9:H9"/>
    <mergeCell ref="A4:B4"/>
    <mergeCell ref="A1:M1"/>
    <mergeCell ref="A3:D3"/>
    <mergeCell ref="A2:D2"/>
  </mergeCells>
  <phoneticPr fontId="1"/>
  <dataValidations count="2">
    <dataValidation imeMode="on" allowBlank="1" showInputMessage="1" showErrorMessage="1" sqref="D131:D136 D140:D210 D138 C140 C139:D139 E131:E210 C10:E130" xr:uid="{1158308F-EBBE-478C-B8C6-B24F9C1AE175}"/>
    <dataValidation imeMode="disabled" allowBlank="1" showInputMessage="1" showErrorMessage="1" sqref="C141:C210 D137 C131:C138 F10:K210 A10:B210" xr:uid="{58B86103-6874-45BB-8D5C-19362F84106A}"/>
  </dataValidations>
  <printOptions horizontalCentered="1"/>
  <pageMargins left="0.39370078740157483" right="0.39370078740157483" top="0.78740157480314965" bottom="0.78740157480314965" header="0" footer="0"/>
  <pageSetup paperSize="9" orientation="portrait" horizontalDpi="4294967293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2B61E-4CCD-476B-9D05-AD1C0B58F97E}">
  <sheetPr>
    <tabColor rgb="FF92D050"/>
  </sheetPr>
  <dimension ref="A1:N210"/>
  <sheetViews>
    <sheetView workbookViewId="0">
      <pane ySplit="9" topLeftCell="A10" activePane="bottomLeft" state="frozen"/>
      <selection pane="bottomLeft" activeCell="N1" sqref="N1"/>
    </sheetView>
  </sheetViews>
  <sheetFormatPr defaultRowHeight="14.25" x14ac:dyDescent="0.15"/>
  <cols>
    <col min="1" max="1" width="5.25" style="6" customWidth="1"/>
    <col min="2" max="2" width="7" style="6" customWidth="1"/>
    <col min="3" max="4" width="4" style="6" customWidth="1"/>
    <col min="5" max="5" width="23.5" style="6" customWidth="1"/>
    <col min="6" max="6" width="6.25" style="6" customWidth="1"/>
    <col min="7" max="7" width="10.5" style="6" customWidth="1"/>
    <col min="8" max="8" width="2.125" style="6" customWidth="1"/>
    <col min="9" max="9" width="7" style="6" customWidth="1"/>
    <col min="10" max="10" width="5" style="6" customWidth="1"/>
    <col min="11" max="11" width="10.375" style="30" customWidth="1"/>
    <col min="12" max="13" width="4.625" style="6" customWidth="1"/>
    <col min="14" max="16384" width="9" style="6"/>
  </cols>
  <sheetData>
    <row r="1" spans="1:14" s="1" customFormat="1" ht="19.5" customHeight="1" x14ac:dyDescent="0.15">
      <c r="A1" s="80" t="str">
        <f>[1]Sheet1!$B$2&amp;"年度家電リサイクル一覧表　　（Ｂグループ）"</f>
        <v>2026年度家電リサイクル一覧表　　（Ｂグループ）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</row>
    <row r="2" spans="1:14" s="1" customFormat="1" ht="19.5" customHeight="1" x14ac:dyDescent="0.15">
      <c r="A2" s="80" t="s">
        <v>34</v>
      </c>
      <c r="B2" s="80"/>
      <c r="C2" s="80"/>
      <c r="D2" s="83"/>
      <c r="E2" s="2" t="s">
        <v>14</v>
      </c>
      <c r="F2" s="2" t="s">
        <v>19</v>
      </c>
      <c r="G2" s="4"/>
      <c r="H2" s="4"/>
      <c r="I2" s="4"/>
      <c r="J2" s="4"/>
      <c r="K2" s="15"/>
      <c r="L2" s="4"/>
      <c r="M2" s="4"/>
    </row>
    <row r="3" spans="1:14" s="1" customFormat="1" ht="19.5" customHeight="1" x14ac:dyDescent="0.15">
      <c r="A3" s="81"/>
      <c r="B3" s="81"/>
      <c r="C3" s="81"/>
      <c r="D3" s="82"/>
      <c r="E3" s="31" t="s">
        <v>18</v>
      </c>
      <c r="F3" s="11">
        <f>COUNTIF(J10:J157,10)</f>
        <v>0</v>
      </c>
      <c r="G3" s="10"/>
      <c r="H3" s="4"/>
      <c r="I3" s="4"/>
      <c r="J3" s="4"/>
      <c r="K3" s="15"/>
    </row>
    <row r="4" spans="1:14" s="1" customFormat="1" ht="19.5" customHeight="1" x14ac:dyDescent="0.15">
      <c r="A4" s="80" t="s">
        <v>10</v>
      </c>
      <c r="B4" s="80"/>
      <c r="C4" s="4"/>
      <c r="D4" s="4"/>
      <c r="E4" s="31" t="s">
        <v>9</v>
      </c>
      <c r="F4" s="11">
        <f>COUNTIF(J10:J157,20)+COUNTIF(J10:J157,21)+COUNTIF(J10:J157,22)+COUNTIF(J10:J157,51)+COUNTIF(J10:J157,52)+COUNTIF(J10:J157,50)</f>
        <v>0</v>
      </c>
      <c r="G4" s="10"/>
      <c r="H4" s="4"/>
      <c r="J4" s="4"/>
      <c r="K4" s="15"/>
    </row>
    <row r="5" spans="1:14" s="1" customFormat="1" ht="19.5" customHeight="1" x14ac:dyDescent="0.15">
      <c r="A5" s="4"/>
      <c r="B5" s="4"/>
      <c r="C5" s="4"/>
      <c r="D5" s="4"/>
      <c r="E5" s="31" t="s">
        <v>7</v>
      </c>
      <c r="F5" s="11">
        <f>COUNTIF(J10:J157,30)+COUNTIF(J10:J157,31)+COUNTIF(J10:J157,32)</f>
        <v>0</v>
      </c>
      <c r="G5" s="10"/>
      <c r="H5" s="4"/>
      <c r="I5" s="4"/>
      <c r="J5" s="4"/>
      <c r="K5" s="15"/>
      <c r="N5" s="13"/>
    </row>
    <row r="6" spans="1:14" s="1" customFormat="1" ht="19.5" customHeight="1" x14ac:dyDescent="0.15">
      <c r="A6" s="4"/>
      <c r="B6" s="4"/>
      <c r="C6" s="4"/>
      <c r="D6" s="4"/>
      <c r="E6" s="31" t="s">
        <v>8</v>
      </c>
      <c r="F6" s="11">
        <f>COUNTIF(J10:J157,40)</f>
        <v>0</v>
      </c>
      <c r="G6" s="10"/>
      <c r="H6" s="4"/>
      <c r="I6" s="4"/>
      <c r="J6" s="4"/>
      <c r="K6" s="15"/>
      <c r="N6" s="13"/>
    </row>
    <row r="7" spans="1:14" s="1" customFormat="1" ht="19.5" customHeight="1" x14ac:dyDescent="0.15">
      <c r="A7" s="4"/>
      <c r="B7" s="4"/>
      <c r="C7" s="4"/>
      <c r="D7" s="4"/>
      <c r="E7" s="2" t="s">
        <v>13</v>
      </c>
      <c r="F7" s="11">
        <f>SUM(F3:F6)</f>
        <v>0</v>
      </c>
      <c r="G7" s="10"/>
      <c r="H7" s="4"/>
      <c r="I7" s="4"/>
      <c r="J7" s="4"/>
      <c r="K7" s="15"/>
    </row>
    <row r="8" spans="1:14" ht="7.5" customHeight="1" x14ac:dyDescent="0.15">
      <c r="A8" s="5"/>
      <c r="B8" s="5"/>
      <c r="C8" s="5"/>
      <c r="D8" s="5"/>
      <c r="E8" s="5"/>
      <c r="F8" s="19"/>
      <c r="G8" s="19"/>
      <c r="H8" s="5"/>
      <c r="I8" s="5"/>
      <c r="J8" s="5"/>
      <c r="K8" s="16"/>
      <c r="L8" s="5"/>
      <c r="M8" s="5"/>
    </row>
    <row r="9" spans="1:14" s="8" customFormat="1" ht="21" customHeight="1" x14ac:dyDescent="0.15">
      <c r="A9" s="7" t="s">
        <v>1</v>
      </c>
      <c r="B9" s="7" t="s">
        <v>5</v>
      </c>
      <c r="C9" s="7" t="s">
        <v>16</v>
      </c>
      <c r="D9" s="7" t="s">
        <v>17</v>
      </c>
      <c r="E9" s="7" t="s">
        <v>6</v>
      </c>
      <c r="F9" s="77" t="s">
        <v>0</v>
      </c>
      <c r="G9" s="78"/>
      <c r="H9" s="79"/>
      <c r="I9" s="7" t="s">
        <v>2</v>
      </c>
      <c r="J9" s="7" t="s">
        <v>3</v>
      </c>
      <c r="K9" s="17" t="s">
        <v>4</v>
      </c>
      <c r="L9" s="7" t="s">
        <v>15</v>
      </c>
      <c r="M9" s="7" t="s">
        <v>39</v>
      </c>
    </row>
    <row r="10" spans="1:14" ht="21" customHeight="1" x14ac:dyDescent="0.15">
      <c r="A10" s="12">
        <v>1</v>
      </c>
      <c r="B10" s="18"/>
      <c r="C10" s="18"/>
      <c r="D10" s="18"/>
      <c r="E10" s="9"/>
      <c r="F10" s="25"/>
      <c r="G10" s="26"/>
      <c r="H10" s="35" t="str">
        <f t="shared" ref="H10:H17" si="0">IF(G10="","",(F10*100000000+G10)-7*INT((F10*100000000+G10)/7))</f>
        <v/>
      </c>
      <c r="I10" s="22"/>
      <c r="J10" s="12"/>
      <c r="K10" s="23"/>
      <c r="L10" s="32"/>
      <c r="M10" s="32"/>
    </row>
    <row r="11" spans="1:14" ht="21" customHeight="1" x14ac:dyDescent="0.15">
      <c r="A11" s="12">
        <v>2</v>
      </c>
      <c r="B11" s="18"/>
      <c r="C11" s="18"/>
      <c r="D11" s="18"/>
      <c r="E11" s="9"/>
      <c r="F11" s="25"/>
      <c r="G11" s="26"/>
      <c r="H11" s="35" t="str">
        <f t="shared" si="0"/>
        <v/>
      </c>
      <c r="I11" s="22"/>
      <c r="J11" s="12"/>
      <c r="K11" s="23"/>
      <c r="L11" s="32"/>
      <c r="M11" s="32"/>
    </row>
    <row r="12" spans="1:14" ht="21" customHeight="1" x14ac:dyDescent="0.15">
      <c r="A12" s="12">
        <v>3</v>
      </c>
      <c r="B12" s="18"/>
      <c r="C12" s="18"/>
      <c r="D12" s="18"/>
      <c r="E12" s="9"/>
      <c r="F12" s="20"/>
      <c r="G12" s="26"/>
      <c r="H12" s="35" t="str">
        <f t="shared" si="0"/>
        <v/>
      </c>
      <c r="I12" s="22"/>
      <c r="J12" s="12"/>
      <c r="K12" s="23"/>
      <c r="L12" s="32"/>
      <c r="M12" s="32"/>
      <c r="N12" s="14"/>
    </row>
    <row r="13" spans="1:14" ht="21" customHeight="1" x14ac:dyDescent="0.15">
      <c r="A13" s="12">
        <v>4</v>
      </c>
      <c r="B13" s="18"/>
      <c r="C13" s="18"/>
      <c r="D13" s="18"/>
      <c r="E13" s="9"/>
      <c r="F13" s="20"/>
      <c r="G13" s="26"/>
      <c r="H13" s="35" t="str">
        <f t="shared" si="0"/>
        <v/>
      </c>
      <c r="I13" s="22"/>
      <c r="J13" s="12"/>
      <c r="K13" s="23"/>
      <c r="L13" s="32"/>
      <c r="M13" s="32"/>
    </row>
    <row r="14" spans="1:14" ht="21" customHeight="1" x14ac:dyDescent="0.15">
      <c r="A14" s="12">
        <v>5</v>
      </c>
      <c r="B14" s="18"/>
      <c r="C14" s="18"/>
      <c r="D14" s="18"/>
      <c r="E14" s="9"/>
      <c r="F14" s="20"/>
      <c r="G14" s="21"/>
      <c r="H14" s="35" t="str">
        <f t="shared" si="0"/>
        <v/>
      </c>
      <c r="I14" s="22"/>
      <c r="J14" s="12"/>
      <c r="K14" s="23"/>
      <c r="L14" s="32"/>
      <c r="M14" s="32"/>
    </row>
    <row r="15" spans="1:14" ht="21" customHeight="1" x14ac:dyDescent="0.15">
      <c r="A15" s="12">
        <v>6</v>
      </c>
      <c r="B15" s="18"/>
      <c r="C15" s="18"/>
      <c r="D15" s="18"/>
      <c r="E15" s="9"/>
      <c r="F15" s="20"/>
      <c r="G15" s="21"/>
      <c r="H15" s="35" t="str">
        <f t="shared" si="0"/>
        <v/>
      </c>
      <c r="I15" s="22"/>
      <c r="J15" s="12"/>
      <c r="K15" s="23"/>
      <c r="L15" s="32"/>
      <c r="M15" s="32"/>
    </row>
    <row r="16" spans="1:14" ht="21" customHeight="1" x14ac:dyDescent="0.15">
      <c r="A16" s="12">
        <v>7</v>
      </c>
      <c r="B16" s="18"/>
      <c r="C16" s="18"/>
      <c r="D16" s="18"/>
      <c r="E16" s="9"/>
      <c r="F16" s="20"/>
      <c r="G16" s="21"/>
      <c r="H16" s="35" t="str">
        <f t="shared" si="0"/>
        <v/>
      </c>
      <c r="I16" s="22"/>
      <c r="J16" s="12"/>
      <c r="K16" s="23"/>
      <c r="L16" s="32"/>
      <c r="M16" s="32"/>
    </row>
    <row r="17" spans="1:13" ht="21" customHeight="1" x14ac:dyDescent="0.15">
      <c r="A17" s="12">
        <v>8</v>
      </c>
      <c r="B17" s="18"/>
      <c r="C17" s="18"/>
      <c r="D17" s="18"/>
      <c r="E17" s="9"/>
      <c r="F17" s="20"/>
      <c r="G17" s="21"/>
      <c r="H17" s="35" t="str">
        <f t="shared" si="0"/>
        <v/>
      </c>
      <c r="I17" s="22"/>
      <c r="J17" s="12"/>
      <c r="K17" s="23"/>
      <c r="L17" s="32"/>
      <c r="M17" s="32"/>
    </row>
    <row r="18" spans="1:13" ht="21" customHeight="1" x14ac:dyDescent="0.15">
      <c r="A18" s="12">
        <v>9</v>
      </c>
      <c r="B18" s="18"/>
      <c r="C18" s="18"/>
      <c r="D18" s="18"/>
      <c r="E18" s="9"/>
      <c r="F18" s="20"/>
      <c r="G18" s="21"/>
      <c r="H18" s="35"/>
      <c r="I18" s="22"/>
      <c r="J18" s="12"/>
      <c r="K18" s="23"/>
      <c r="L18" s="32"/>
      <c r="M18" s="32"/>
    </row>
    <row r="19" spans="1:13" ht="21" customHeight="1" x14ac:dyDescent="0.15">
      <c r="A19" s="12">
        <v>10</v>
      </c>
      <c r="B19" s="18"/>
      <c r="C19" s="18"/>
      <c r="D19" s="18"/>
      <c r="E19" s="9"/>
      <c r="F19" s="20"/>
      <c r="G19" s="21"/>
      <c r="H19" s="35"/>
      <c r="I19" s="22"/>
      <c r="J19" s="12"/>
      <c r="K19" s="23"/>
      <c r="L19" s="32"/>
      <c r="M19" s="32"/>
    </row>
    <row r="20" spans="1:13" ht="21" customHeight="1" x14ac:dyDescent="0.15">
      <c r="A20" s="12">
        <v>11</v>
      </c>
      <c r="B20" s="18"/>
      <c r="C20" s="18"/>
      <c r="D20" s="18"/>
      <c r="E20" s="9"/>
      <c r="F20" s="20"/>
      <c r="G20" s="21"/>
      <c r="H20" s="35"/>
      <c r="I20" s="22"/>
      <c r="J20" s="12"/>
      <c r="K20" s="23"/>
      <c r="L20" s="32"/>
      <c r="M20" s="32"/>
    </row>
    <row r="21" spans="1:13" ht="21" customHeight="1" x14ac:dyDescent="0.15">
      <c r="A21" s="12">
        <v>12</v>
      </c>
      <c r="B21" s="18"/>
      <c r="C21" s="18"/>
      <c r="D21" s="18"/>
      <c r="E21" s="9"/>
      <c r="F21" s="20"/>
      <c r="G21" s="21"/>
      <c r="H21" s="35"/>
      <c r="I21" s="22"/>
      <c r="J21" s="12"/>
      <c r="K21" s="23"/>
      <c r="L21" s="32"/>
      <c r="M21" s="32"/>
    </row>
    <row r="22" spans="1:13" ht="21" customHeight="1" x14ac:dyDescent="0.15">
      <c r="A22" s="12">
        <v>13</v>
      </c>
      <c r="B22" s="18"/>
      <c r="C22" s="18"/>
      <c r="D22" s="18"/>
      <c r="E22" s="9"/>
      <c r="F22" s="20"/>
      <c r="G22" s="21"/>
      <c r="H22" s="35"/>
      <c r="I22" s="22"/>
      <c r="J22" s="12"/>
      <c r="K22" s="23"/>
      <c r="L22" s="32"/>
      <c r="M22" s="32"/>
    </row>
    <row r="23" spans="1:13" ht="21" customHeight="1" x14ac:dyDescent="0.15">
      <c r="A23" s="12">
        <v>14</v>
      </c>
      <c r="B23" s="18"/>
      <c r="C23" s="18"/>
      <c r="D23" s="18"/>
      <c r="E23" s="9"/>
      <c r="F23" s="20"/>
      <c r="G23" s="21"/>
      <c r="H23" s="35"/>
      <c r="I23" s="22"/>
      <c r="J23" s="12"/>
      <c r="K23" s="23"/>
      <c r="L23" s="32"/>
      <c r="M23" s="32"/>
    </row>
    <row r="24" spans="1:13" ht="21" customHeight="1" x14ac:dyDescent="0.15">
      <c r="A24" s="12">
        <v>15</v>
      </c>
      <c r="B24" s="18"/>
      <c r="C24" s="18"/>
      <c r="D24" s="18"/>
      <c r="E24" s="9"/>
      <c r="F24" s="20"/>
      <c r="G24" s="21"/>
      <c r="H24" s="35"/>
      <c r="I24" s="22"/>
      <c r="J24" s="12"/>
      <c r="K24" s="23"/>
      <c r="L24" s="32"/>
      <c r="M24" s="32"/>
    </row>
    <row r="25" spans="1:13" ht="21" customHeight="1" x14ac:dyDescent="0.15">
      <c r="A25" s="12">
        <v>16</v>
      </c>
      <c r="B25" s="18"/>
      <c r="C25" s="18"/>
      <c r="D25" s="18"/>
      <c r="E25" s="9"/>
      <c r="F25" s="20"/>
      <c r="G25" s="21"/>
      <c r="H25" s="35"/>
      <c r="I25" s="22"/>
      <c r="J25" s="12"/>
      <c r="K25" s="23"/>
      <c r="L25" s="32"/>
      <c r="M25" s="32"/>
    </row>
    <row r="26" spans="1:13" ht="21" customHeight="1" x14ac:dyDescent="0.15">
      <c r="A26" s="12">
        <v>17</v>
      </c>
      <c r="B26" s="18"/>
      <c r="C26" s="18"/>
      <c r="D26" s="18"/>
      <c r="E26" s="9"/>
      <c r="F26" s="20"/>
      <c r="G26" s="21"/>
      <c r="H26" s="35"/>
      <c r="I26" s="22"/>
      <c r="J26" s="12"/>
      <c r="K26" s="23"/>
      <c r="L26" s="32"/>
      <c r="M26" s="32"/>
    </row>
    <row r="27" spans="1:13" ht="21" customHeight="1" x14ac:dyDescent="0.15">
      <c r="A27" s="12">
        <v>18</v>
      </c>
      <c r="B27" s="18"/>
      <c r="C27" s="18"/>
      <c r="D27" s="18"/>
      <c r="E27" s="9"/>
      <c r="F27" s="20"/>
      <c r="G27" s="21"/>
      <c r="H27" s="35"/>
      <c r="I27" s="22"/>
      <c r="J27" s="12"/>
      <c r="K27" s="23"/>
      <c r="L27" s="32"/>
      <c r="M27" s="32"/>
    </row>
    <row r="28" spans="1:13" ht="21" customHeight="1" x14ac:dyDescent="0.15">
      <c r="A28" s="12">
        <v>19</v>
      </c>
      <c r="B28" s="18"/>
      <c r="C28" s="18"/>
      <c r="D28" s="18"/>
      <c r="E28" s="9"/>
      <c r="F28" s="20"/>
      <c r="G28" s="21"/>
      <c r="H28" s="35"/>
      <c r="I28" s="22"/>
      <c r="J28" s="12"/>
      <c r="K28" s="23"/>
      <c r="L28" s="32"/>
      <c r="M28" s="32"/>
    </row>
    <row r="29" spans="1:13" ht="21" customHeight="1" x14ac:dyDescent="0.15">
      <c r="A29" s="12">
        <v>20</v>
      </c>
      <c r="B29" s="18"/>
      <c r="C29" s="18"/>
      <c r="D29" s="18"/>
      <c r="E29" s="9"/>
      <c r="F29" s="20"/>
      <c r="G29" s="21"/>
      <c r="H29" s="35"/>
      <c r="I29" s="22"/>
      <c r="J29" s="12"/>
      <c r="K29" s="23"/>
      <c r="L29" s="32"/>
      <c r="M29" s="32"/>
    </row>
    <row r="30" spans="1:13" ht="21" customHeight="1" x14ac:dyDescent="0.15">
      <c r="A30" s="12">
        <v>21</v>
      </c>
      <c r="B30" s="18"/>
      <c r="C30" s="18"/>
      <c r="D30" s="18"/>
      <c r="E30" s="9"/>
      <c r="F30" s="20"/>
      <c r="G30" s="21"/>
      <c r="H30" s="35"/>
      <c r="I30" s="22"/>
      <c r="J30" s="12"/>
      <c r="K30" s="23"/>
      <c r="L30" s="32"/>
      <c r="M30" s="32"/>
    </row>
    <row r="31" spans="1:13" ht="21" customHeight="1" x14ac:dyDescent="0.15">
      <c r="A31" s="12">
        <v>22</v>
      </c>
      <c r="B31" s="18"/>
      <c r="C31" s="18"/>
      <c r="D31" s="18"/>
      <c r="E31" s="9"/>
      <c r="F31" s="20"/>
      <c r="G31" s="21"/>
      <c r="H31" s="35"/>
      <c r="I31" s="22"/>
      <c r="J31" s="12"/>
      <c r="K31" s="23"/>
      <c r="L31" s="32"/>
      <c r="M31" s="32"/>
    </row>
    <row r="32" spans="1:13" ht="21" customHeight="1" x14ac:dyDescent="0.15">
      <c r="A32" s="12">
        <v>23</v>
      </c>
      <c r="B32" s="18"/>
      <c r="C32" s="18"/>
      <c r="D32" s="18"/>
      <c r="E32" s="9"/>
      <c r="F32" s="20"/>
      <c r="G32" s="21"/>
      <c r="H32" s="35"/>
      <c r="I32" s="22"/>
      <c r="J32" s="12"/>
      <c r="K32" s="23"/>
      <c r="L32" s="32"/>
      <c r="M32" s="32"/>
    </row>
    <row r="33" spans="1:13" ht="21" customHeight="1" x14ac:dyDescent="0.15">
      <c r="A33" s="12">
        <v>24</v>
      </c>
      <c r="B33" s="18"/>
      <c r="C33" s="18"/>
      <c r="D33" s="18"/>
      <c r="E33" s="9"/>
      <c r="F33" s="20"/>
      <c r="G33" s="21"/>
      <c r="H33" s="35"/>
      <c r="I33" s="22"/>
      <c r="J33" s="12"/>
      <c r="K33" s="23"/>
      <c r="L33" s="32"/>
      <c r="M33" s="32"/>
    </row>
    <row r="34" spans="1:13" ht="21" customHeight="1" x14ac:dyDescent="0.15">
      <c r="A34" s="12">
        <v>25</v>
      </c>
      <c r="B34" s="18"/>
      <c r="C34" s="18"/>
      <c r="D34" s="18"/>
      <c r="E34" s="9"/>
      <c r="F34" s="20"/>
      <c r="G34" s="21"/>
      <c r="H34" s="35"/>
      <c r="I34" s="22"/>
      <c r="J34" s="12"/>
      <c r="K34" s="23"/>
      <c r="L34" s="32"/>
      <c r="M34" s="32"/>
    </row>
    <row r="35" spans="1:13" ht="21" customHeight="1" x14ac:dyDescent="0.15">
      <c r="A35" s="12">
        <v>26</v>
      </c>
      <c r="B35" s="18"/>
      <c r="C35" s="18"/>
      <c r="D35" s="18"/>
      <c r="E35" s="9"/>
      <c r="F35" s="20"/>
      <c r="G35" s="21"/>
      <c r="H35" s="35"/>
      <c r="I35" s="22"/>
      <c r="J35" s="12"/>
      <c r="K35" s="23"/>
      <c r="L35" s="32"/>
      <c r="M35" s="32"/>
    </row>
    <row r="36" spans="1:13" ht="21" customHeight="1" x14ac:dyDescent="0.15">
      <c r="A36" s="12">
        <v>27</v>
      </c>
      <c r="B36" s="18"/>
      <c r="C36" s="18"/>
      <c r="D36" s="18"/>
      <c r="E36" s="9"/>
      <c r="F36" s="20"/>
      <c r="G36" s="21"/>
      <c r="H36" s="35"/>
      <c r="I36" s="22"/>
      <c r="J36" s="12"/>
      <c r="K36" s="23"/>
      <c r="L36" s="32"/>
      <c r="M36" s="32"/>
    </row>
    <row r="37" spans="1:13" ht="21" customHeight="1" x14ac:dyDescent="0.15">
      <c r="A37" s="12">
        <v>28</v>
      </c>
      <c r="B37" s="18"/>
      <c r="C37" s="18"/>
      <c r="D37" s="18"/>
      <c r="E37" s="9"/>
      <c r="F37" s="20"/>
      <c r="G37" s="21"/>
      <c r="H37" s="35"/>
      <c r="I37" s="22"/>
      <c r="J37" s="12"/>
      <c r="K37" s="23"/>
      <c r="L37" s="32"/>
      <c r="M37" s="32"/>
    </row>
    <row r="38" spans="1:13" ht="21" customHeight="1" x14ac:dyDescent="0.15">
      <c r="A38" s="12">
        <v>29</v>
      </c>
      <c r="B38" s="18"/>
      <c r="C38" s="18"/>
      <c r="D38" s="18"/>
      <c r="E38" s="9"/>
      <c r="F38" s="20"/>
      <c r="G38" s="21"/>
      <c r="H38" s="35"/>
      <c r="I38" s="22"/>
      <c r="J38" s="12"/>
      <c r="K38" s="23"/>
      <c r="L38" s="32"/>
      <c r="M38" s="32"/>
    </row>
    <row r="39" spans="1:13" ht="21" customHeight="1" x14ac:dyDescent="0.15">
      <c r="A39" s="12">
        <v>30</v>
      </c>
      <c r="B39" s="18"/>
      <c r="C39" s="18"/>
      <c r="D39" s="18"/>
      <c r="E39" s="9"/>
      <c r="F39" s="20"/>
      <c r="G39" s="21"/>
      <c r="H39" s="35"/>
      <c r="I39" s="22"/>
      <c r="J39" s="12"/>
      <c r="K39" s="23"/>
      <c r="L39" s="32"/>
      <c r="M39" s="32"/>
    </row>
    <row r="40" spans="1:13" ht="21" customHeight="1" x14ac:dyDescent="0.15">
      <c r="A40" s="12">
        <v>31</v>
      </c>
      <c r="B40" s="18"/>
      <c r="C40" s="18"/>
      <c r="D40" s="18"/>
      <c r="E40" s="9"/>
      <c r="F40" s="20"/>
      <c r="G40" s="21"/>
      <c r="H40" s="35"/>
      <c r="I40" s="22"/>
      <c r="J40" s="12"/>
      <c r="K40" s="23"/>
      <c r="L40" s="32"/>
      <c r="M40" s="32"/>
    </row>
    <row r="41" spans="1:13" ht="21" customHeight="1" x14ac:dyDescent="0.15">
      <c r="A41" s="12">
        <v>32</v>
      </c>
      <c r="B41" s="18"/>
      <c r="C41" s="18"/>
      <c r="D41" s="18"/>
      <c r="E41" s="9"/>
      <c r="F41" s="20"/>
      <c r="G41" s="21"/>
      <c r="H41" s="35"/>
      <c r="I41" s="22"/>
      <c r="J41" s="12"/>
      <c r="K41" s="23"/>
      <c r="L41" s="32"/>
      <c r="M41" s="32"/>
    </row>
    <row r="42" spans="1:13" ht="21" customHeight="1" x14ac:dyDescent="0.15">
      <c r="A42" s="12">
        <v>33</v>
      </c>
      <c r="B42" s="18"/>
      <c r="C42" s="18"/>
      <c r="D42" s="18"/>
      <c r="E42" s="9"/>
      <c r="F42" s="20"/>
      <c r="G42" s="21"/>
      <c r="H42" s="35"/>
      <c r="I42" s="22"/>
      <c r="J42" s="12"/>
      <c r="K42" s="23"/>
      <c r="L42" s="32"/>
      <c r="M42" s="32"/>
    </row>
    <row r="43" spans="1:13" ht="21" customHeight="1" x14ac:dyDescent="0.15">
      <c r="A43" s="12">
        <v>34</v>
      </c>
      <c r="B43" s="18"/>
      <c r="C43" s="18"/>
      <c r="D43" s="18"/>
      <c r="E43" s="9"/>
      <c r="F43" s="20"/>
      <c r="G43" s="21"/>
      <c r="H43" s="35"/>
      <c r="I43" s="22"/>
      <c r="J43" s="12"/>
      <c r="K43" s="23"/>
      <c r="L43" s="32"/>
      <c r="M43" s="32"/>
    </row>
    <row r="44" spans="1:13" ht="21" customHeight="1" x14ac:dyDescent="0.15">
      <c r="A44" s="12">
        <v>35</v>
      </c>
      <c r="B44" s="18"/>
      <c r="C44" s="18"/>
      <c r="D44" s="18"/>
      <c r="E44" s="9"/>
      <c r="F44" s="20"/>
      <c r="G44" s="21"/>
      <c r="H44" s="35"/>
      <c r="I44" s="22"/>
      <c r="J44" s="12"/>
      <c r="K44" s="23"/>
      <c r="L44" s="32"/>
      <c r="M44" s="32"/>
    </row>
    <row r="45" spans="1:13" ht="21" customHeight="1" x14ac:dyDescent="0.15">
      <c r="A45" s="12">
        <v>36</v>
      </c>
      <c r="B45" s="18"/>
      <c r="C45" s="18"/>
      <c r="D45" s="18"/>
      <c r="E45" s="9"/>
      <c r="F45" s="20"/>
      <c r="G45" s="21"/>
      <c r="H45" s="35"/>
      <c r="I45" s="22"/>
      <c r="J45" s="12"/>
      <c r="K45" s="23"/>
      <c r="L45" s="32"/>
      <c r="M45" s="32"/>
    </row>
    <row r="46" spans="1:13" ht="21" customHeight="1" x14ac:dyDescent="0.15">
      <c r="A46" s="12">
        <v>37</v>
      </c>
      <c r="B46" s="18"/>
      <c r="C46" s="18"/>
      <c r="D46" s="18"/>
      <c r="E46" s="9"/>
      <c r="F46" s="20"/>
      <c r="G46" s="21"/>
      <c r="H46" s="35"/>
      <c r="I46" s="22"/>
      <c r="J46" s="12"/>
      <c r="K46" s="23"/>
      <c r="L46" s="32"/>
      <c r="M46" s="32"/>
    </row>
    <row r="47" spans="1:13" ht="21" customHeight="1" x14ac:dyDescent="0.15">
      <c r="A47" s="12">
        <v>38</v>
      </c>
      <c r="B47" s="18"/>
      <c r="C47" s="18"/>
      <c r="D47" s="18"/>
      <c r="E47" s="9"/>
      <c r="F47" s="20"/>
      <c r="G47" s="21"/>
      <c r="H47" s="35"/>
      <c r="I47" s="22"/>
      <c r="J47" s="12"/>
      <c r="K47" s="23"/>
      <c r="L47" s="32"/>
      <c r="M47" s="32"/>
    </row>
    <row r="48" spans="1:13" ht="21" customHeight="1" x14ac:dyDescent="0.15">
      <c r="A48" s="12">
        <v>39</v>
      </c>
      <c r="B48" s="18"/>
      <c r="C48" s="18"/>
      <c r="D48" s="18"/>
      <c r="E48" s="9"/>
      <c r="F48" s="20"/>
      <c r="G48" s="21"/>
      <c r="H48" s="35"/>
      <c r="I48" s="22"/>
      <c r="J48" s="12"/>
      <c r="K48" s="23"/>
      <c r="L48" s="53"/>
      <c r="M48" s="52"/>
    </row>
    <row r="49" spans="1:13" ht="21" customHeight="1" x14ac:dyDescent="0.15">
      <c r="A49" s="12">
        <v>40</v>
      </c>
      <c r="B49" s="18"/>
      <c r="C49" s="18"/>
      <c r="D49" s="18"/>
      <c r="E49" s="9"/>
      <c r="F49" s="25"/>
      <c r="G49" s="26"/>
      <c r="H49" s="35"/>
      <c r="I49" s="22"/>
      <c r="J49" s="12"/>
      <c r="K49" s="23"/>
      <c r="L49" s="32"/>
      <c r="M49" s="32"/>
    </row>
    <row r="50" spans="1:13" ht="21" customHeight="1" x14ac:dyDescent="0.15">
      <c r="A50" s="12">
        <v>41</v>
      </c>
      <c r="B50" s="18"/>
      <c r="C50" s="18"/>
      <c r="D50" s="18"/>
      <c r="E50" s="9"/>
      <c r="F50" s="25"/>
      <c r="G50" s="26"/>
      <c r="H50" s="35"/>
      <c r="I50" s="22"/>
      <c r="J50" s="12"/>
      <c r="K50" s="23"/>
      <c r="L50" s="32"/>
      <c r="M50" s="32"/>
    </row>
    <row r="51" spans="1:13" ht="21" customHeight="1" x14ac:dyDescent="0.15">
      <c r="A51" s="12">
        <v>42</v>
      </c>
      <c r="B51" s="18"/>
      <c r="C51" s="18"/>
      <c r="D51" s="18"/>
      <c r="E51" s="9"/>
      <c r="F51" s="20"/>
      <c r="G51" s="26"/>
      <c r="H51" s="35"/>
      <c r="I51" s="22"/>
      <c r="J51" s="12"/>
      <c r="K51" s="23"/>
      <c r="L51" s="32"/>
      <c r="M51" s="32"/>
    </row>
    <row r="52" spans="1:13" ht="21" customHeight="1" x14ac:dyDescent="0.15">
      <c r="A52" s="12">
        <v>43</v>
      </c>
      <c r="B52" s="18"/>
      <c r="C52" s="18"/>
      <c r="D52" s="18"/>
      <c r="E52" s="9"/>
      <c r="F52" s="20"/>
      <c r="G52" s="26"/>
      <c r="H52" s="35"/>
      <c r="I52" s="22"/>
      <c r="J52" s="12"/>
      <c r="K52" s="23"/>
      <c r="L52" s="32"/>
      <c r="M52" s="32"/>
    </row>
    <row r="53" spans="1:13" ht="21" customHeight="1" x14ac:dyDescent="0.15">
      <c r="A53" s="12">
        <v>44</v>
      </c>
      <c r="B53" s="18"/>
      <c r="C53" s="18"/>
      <c r="D53" s="18"/>
      <c r="E53" s="9"/>
      <c r="F53" s="20"/>
      <c r="G53" s="21"/>
      <c r="H53" s="35"/>
      <c r="I53" s="22"/>
      <c r="J53" s="12"/>
      <c r="K53" s="23"/>
      <c r="L53" s="32"/>
      <c r="M53" s="32"/>
    </row>
    <row r="54" spans="1:13" ht="21" customHeight="1" x14ac:dyDescent="0.15">
      <c r="A54" s="12">
        <v>45</v>
      </c>
      <c r="B54" s="18"/>
      <c r="C54" s="18"/>
      <c r="D54" s="18"/>
      <c r="E54" s="9"/>
      <c r="F54" s="20"/>
      <c r="G54" s="21"/>
      <c r="H54" s="35"/>
      <c r="I54" s="22"/>
      <c r="J54" s="12"/>
      <c r="K54" s="23"/>
      <c r="L54" s="32"/>
      <c r="M54" s="32"/>
    </row>
    <row r="55" spans="1:13" ht="21" customHeight="1" x14ac:dyDescent="0.15">
      <c r="A55" s="12">
        <v>46</v>
      </c>
      <c r="B55" s="18"/>
      <c r="C55" s="18"/>
      <c r="D55" s="18"/>
      <c r="E55" s="9"/>
      <c r="F55" s="20"/>
      <c r="G55" s="21"/>
      <c r="H55" s="35"/>
      <c r="I55" s="22"/>
      <c r="J55" s="12"/>
      <c r="K55" s="23"/>
      <c r="L55" s="32"/>
      <c r="M55" s="32"/>
    </row>
    <row r="56" spans="1:13" ht="21" customHeight="1" x14ac:dyDescent="0.15">
      <c r="A56" s="12">
        <v>47</v>
      </c>
      <c r="B56" s="18"/>
      <c r="C56" s="18"/>
      <c r="D56" s="18"/>
      <c r="E56" s="9"/>
      <c r="F56" s="20"/>
      <c r="G56" s="21"/>
      <c r="H56" s="35"/>
      <c r="I56" s="22"/>
      <c r="J56" s="12"/>
      <c r="K56" s="23"/>
      <c r="L56" s="32"/>
      <c r="M56" s="32"/>
    </row>
    <row r="57" spans="1:13" ht="21" customHeight="1" x14ac:dyDescent="0.15">
      <c r="A57" s="12">
        <v>48</v>
      </c>
      <c r="B57" s="18"/>
      <c r="C57" s="18"/>
      <c r="D57" s="18"/>
      <c r="E57" s="9"/>
      <c r="F57" s="20"/>
      <c r="G57" s="21"/>
      <c r="H57" s="35" t="str">
        <f t="shared" ref="H57:H65" si="1">IF(G57="","",(F57*100000000+G57)-7*INT((F57*100000000+G57)/7))</f>
        <v/>
      </c>
      <c r="I57" s="22"/>
      <c r="J57" s="12"/>
      <c r="K57" s="23"/>
      <c r="L57" s="32"/>
      <c r="M57" s="32"/>
    </row>
    <row r="58" spans="1:13" ht="21" customHeight="1" x14ac:dyDescent="0.15">
      <c r="A58" s="12">
        <v>49</v>
      </c>
      <c r="B58" s="18"/>
      <c r="C58" s="18"/>
      <c r="D58" s="18"/>
      <c r="E58" s="9"/>
      <c r="F58" s="20"/>
      <c r="G58" s="21"/>
      <c r="H58" s="35" t="str">
        <f t="shared" si="1"/>
        <v/>
      </c>
      <c r="I58" s="22"/>
      <c r="J58" s="12"/>
      <c r="K58" s="23"/>
      <c r="L58" s="32"/>
      <c r="M58" s="32"/>
    </row>
    <row r="59" spans="1:13" ht="21" customHeight="1" x14ac:dyDescent="0.15">
      <c r="A59" s="12">
        <v>50</v>
      </c>
      <c r="B59" s="18"/>
      <c r="C59" s="18"/>
      <c r="D59" s="18"/>
      <c r="E59" s="9"/>
      <c r="F59" s="20"/>
      <c r="G59" s="21"/>
      <c r="H59" s="35" t="str">
        <f t="shared" si="1"/>
        <v/>
      </c>
      <c r="I59" s="22"/>
      <c r="J59" s="12"/>
      <c r="K59" s="23"/>
      <c r="L59" s="32"/>
      <c r="M59" s="32"/>
    </row>
    <row r="60" spans="1:13" ht="21" customHeight="1" x14ac:dyDescent="0.15">
      <c r="A60" s="12">
        <v>51</v>
      </c>
      <c r="B60" s="18"/>
      <c r="C60" s="18"/>
      <c r="D60" s="18"/>
      <c r="E60" s="9"/>
      <c r="F60" s="20"/>
      <c r="G60" s="21"/>
      <c r="H60" s="35" t="str">
        <f t="shared" si="1"/>
        <v/>
      </c>
      <c r="I60" s="22"/>
      <c r="J60" s="12"/>
      <c r="K60" s="23"/>
      <c r="L60" s="32"/>
      <c r="M60" s="32"/>
    </row>
    <row r="61" spans="1:13" ht="21" customHeight="1" x14ac:dyDescent="0.15">
      <c r="A61" s="12">
        <v>52</v>
      </c>
      <c r="B61" s="18"/>
      <c r="C61" s="18"/>
      <c r="D61" s="18"/>
      <c r="E61" s="9"/>
      <c r="F61" s="20"/>
      <c r="G61" s="21"/>
      <c r="H61" s="35" t="str">
        <f t="shared" si="1"/>
        <v/>
      </c>
      <c r="I61" s="22"/>
      <c r="J61" s="12"/>
      <c r="K61" s="23"/>
      <c r="L61" s="47"/>
      <c r="M61" s="49"/>
    </row>
    <row r="62" spans="1:13" ht="21" customHeight="1" x14ac:dyDescent="0.15">
      <c r="A62" s="12"/>
      <c r="B62" s="18"/>
      <c r="C62" s="18"/>
      <c r="D62" s="18"/>
      <c r="E62" s="9"/>
      <c r="F62" s="20"/>
      <c r="G62" s="21"/>
      <c r="H62" s="35" t="str">
        <f t="shared" si="1"/>
        <v/>
      </c>
      <c r="I62" s="22"/>
      <c r="J62" s="12"/>
      <c r="K62" s="23"/>
      <c r="L62" s="24"/>
      <c r="M62" s="32"/>
    </row>
    <row r="63" spans="1:13" ht="21" customHeight="1" x14ac:dyDescent="0.15">
      <c r="A63" s="12"/>
      <c r="B63" s="18"/>
      <c r="C63" s="18"/>
      <c r="D63" s="18"/>
      <c r="E63" s="9"/>
      <c r="F63" s="20"/>
      <c r="G63" s="21"/>
      <c r="H63" s="35" t="str">
        <f t="shared" si="1"/>
        <v/>
      </c>
      <c r="I63" s="22"/>
      <c r="J63" s="12"/>
      <c r="K63" s="23"/>
      <c r="L63" s="24"/>
      <c r="M63" s="32"/>
    </row>
    <row r="64" spans="1:13" ht="21" customHeight="1" x14ac:dyDescent="0.15">
      <c r="A64" s="12"/>
      <c r="B64" s="18"/>
      <c r="C64" s="18"/>
      <c r="D64" s="18"/>
      <c r="E64" s="9"/>
      <c r="F64" s="20"/>
      <c r="G64" s="21"/>
      <c r="H64" s="35" t="str">
        <f t="shared" si="1"/>
        <v/>
      </c>
      <c r="I64" s="22"/>
      <c r="J64" s="12"/>
      <c r="K64" s="23"/>
      <c r="L64" s="24"/>
      <c r="M64" s="32"/>
    </row>
    <row r="65" spans="1:13" ht="21" customHeight="1" x14ac:dyDescent="0.15">
      <c r="A65" s="12"/>
      <c r="B65" s="18"/>
      <c r="C65" s="18"/>
      <c r="D65" s="18"/>
      <c r="E65" s="9"/>
      <c r="F65" s="20"/>
      <c r="G65" s="21"/>
      <c r="H65" s="35" t="str">
        <f t="shared" si="1"/>
        <v/>
      </c>
      <c r="I65" s="22"/>
      <c r="J65" s="12"/>
      <c r="K65" s="23"/>
      <c r="L65" s="24"/>
      <c r="M65" s="32"/>
    </row>
    <row r="66" spans="1:13" ht="21" customHeight="1" x14ac:dyDescent="0.15">
      <c r="A66" s="12"/>
      <c r="B66" s="18"/>
      <c r="C66" s="18"/>
      <c r="D66" s="18"/>
      <c r="E66" s="9"/>
      <c r="F66" s="20"/>
      <c r="G66" s="21"/>
      <c r="H66" s="35" t="str">
        <f t="shared" ref="H66:H105" si="2">IF(G66="","",(F66*100000000+G66)-7*INT((F66*100000000+G66)/7))</f>
        <v/>
      </c>
      <c r="I66" s="22"/>
      <c r="J66" s="12"/>
      <c r="K66" s="23"/>
      <c r="L66" s="24"/>
      <c r="M66" s="32"/>
    </row>
    <row r="67" spans="1:13" ht="21" customHeight="1" x14ac:dyDescent="0.15">
      <c r="A67" s="12"/>
      <c r="B67" s="18"/>
      <c r="C67" s="18"/>
      <c r="D67" s="18"/>
      <c r="E67" s="9"/>
      <c r="F67" s="20"/>
      <c r="G67" s="21"/>
      <c r="H67" s="35" t="str">
        <f t="shared" si="2"/>
        <v/>
      </c>
      <c r="I67" s="22"/>
      <c r="J67" s="12"/>
      <c r="K67" s="23"/>
      <c r="L67" s="24"/>
      <c r="M67" s="32"/>
    </row>
    <row r="68" spans="1:13" ht="21" customHeight="1" x14ac:dyDescent="0.15">
      <c r="A68" s="12"/>
      <c r="B68" s="18"/>
      <c r="C68" s="18"/>
      <c r="D68" s="18"/>
      <c r="E68" s="9"/>
      <c r="F68" s="20"/>
      <c r="G68" s="21"/>
      <c r="H68" s="35" t="str">
        <f t="shared" si="2"/>
        <v/>
      </c>
      <c r="I68" s="22"/>
      <c r="J68" s="12"/>
      <c r="K68" s="23"/>
      <c r="L68" s="24"/>
      <c r="M68" s="32"/>
    </row>
    <row r="69" spans="1:13" ht="21" customHeight="1" x14ac:dyDescent="0.15">
      <c r="A69" s="12"/>
      <c r="B69" s="18"/>
      <c r="C69" s="18"/>
      <c r="D69" s="18"/>
      <c r="E69" s="9"/>
      <c r="F69" s="20"/>
      <c r="G69" s="21"/>
      <c r="H69" s="35" t="str">
        <f t="shared" si="2"/>
        <v/>
      </c>
      <c r="I69" s="22"/>
      <c r="J69" s="12"/>
      <c r="K69" s="23"/>
      <c r="L69" s="24"/>
      <c r="M69" s="32"/>
    </row>
    <row r="70" spans="1:13" ht="21" customHeight="1" x14ac:dyDescent="0.15">
      <c r="A70" s="12"/>
      <c r="B70" s="18"/>
      <c r="C70" s="18"/>
      <c r="D70" s="18"/>
      <c r="E70" s="9"/>
      <c r="F70" s="20"/>
      <c r="G70" s="21"/>
      <c r="H70" s="35" t="str">
        <f t="shared" si="2"/>
        <v/>
      </c>
      <c r="I70" s="22"/>
      <c r="J70" s="12"/>
      <c r="K70" s="23"/>
      <c r="L70" s="24"/>
      <c r="M70" s="32"/>
    </row>
    <row r="71" spans="1:13" ht="21" customHeight="1" x14ac:dyDescent="0.15">
      <c r="A71" s="12"/>
      <c r="B71" s="18"/>
      <c r="C71" s="18"/>
      <c r="D71" s="18"/>
      <c r="E71" s="9"/>
      <c r="F71" s="20"/>
      <c r="G71" s="21"/>
      <c r="H71" s="35" t="str">
        <f t="shared" si="2"/>
        <v/>
      </c>
      <c r="I71" s="22"/>
      <c r="J71" s="12"/>
      <c r="K71" s="23"/>
      <c r="L71" s="24"/>
      <c r="M71" s="32"/>
    </row>
    <row r="72" spans="1:13" ht="21" customHeight="1" x14ac:dyDescent="0.15">
      <c r="A72" s="12"/>
      <c r="B72" s="18"/>
      <c r="C72" s="18"/>
      <c r="D72" s="18"/>
      <c r="E72" s="9"/>
      <c r="F72" s="20"/>
      <c r="G72" s="21"/>
      <c r="H72" s="35" t="str">
        <f t="shared" si="2"/>
        <v/>
      </c>
      <c r="I72" s="22"/>
      <c r="J72" s="12"/>
      <c r="K72" s="23"/>
      <c r="L72" s="24"/>
      <c r="M72" s="32"/>
    </row>
    <row r="73" spans="1:13" ht="21" customHeight="1" x14ac:dyDescent="0.15">
      <c r="A73" s="12"/>
      <c r="B73" s="18"/>
      <c r="C73" s="18"/>
      <c r="D73" s="18"/>
      <c r="E73" s="9"/>
      <c r="F73" s="20"/>
      <c r="G73" s="21"/>
      <c r="H73" s="35" t="str">
        <f t="shared" si="2"/>
        <v/>
      </c>
      <c r="I73" s="22"/>
      <c r="J73" s="12"/>
      <c r="K73" s="23"/>
      <c r="L73" s="24"/>
      <c r="M73" s="32"/>
    </row>
    <row r="74" spans="1:13" ht="21" customHeight="1" x14ac:dyDescent="0.15">
      <c r="A74" s="12"/>
      <c r="B74" s="18"/>
      <c r="C74" s="18"/>
      <c r="D74" s="18"/>
      <c r="E74" s="9"/>
      <c r="F74" s="20"/>
      <c r="G74" s="21"/>
      <c r="H74" s="35" t="str">
        <f t="shared" si="2"/>
        <v/>
      </c>
      <c r="I74" s="22"/>
      <c r="J74" s="12"/>
      <c r="K74" s="23"/>
      <c r="L74" s="24"/>
      <c r="M74" s="32"/>
    </row>
    <row r="75" spans="1:13" ht="21" customHeight="1" x14ac:dyDescent="0.15">
      <c r="A75" s="12"/>
      <c r="B75" s="18"/>
      <c r="C75" s="18"/>
      <c r="D75" s="18"/>
      <c r="E75" s="9"/>
      <c r="F75" s="20"/>
      <c r="G75" s="21"/>
      <c r="H75" s="35" t="str">
        <f t="shared" si="2"/>
        <v/>
      </c>
      <c r="I75" s="22"/>
      <c r="J75" s="12"/>
      <c r="K75" s="23"/>
      <c r="L75" s="24"/>
      <c r="M75" s="32"/>
    </row>
    <row r="76" spans="1:13" ht="21" customHeight="1" x14ac:dyDescent="0.15">
      <c r="A76" s="12"/>
      <c r="B76" s="18"/>
      <c r="C76" s="18"/>
      <c r="D76" s="18"/>
      <c r="E76" s="9"/>
      <c r="F76" s="20"/>
      <c r="G76" s="21"/>
      <c r="H76" s="35" t="str">
        <f t="shared" si="2"/>
        <v/>
      </c>
      <c r="I76" s="22"/>
      <c r="J76" s="12"/>
      <c r="K76" s="23"/>
      <c r="L76" s="24"/>
      <c r="M76" s="32"/>
    </row>
    <row r="77" spans="1:13" ht="21" customHeight="1" x14ac:dyDescent="0.15">
      <c r="A77" s="12"/>
      <c r="B77" s="18"/>
      <c r="C77" s="18"/>
      <c r="D77" s="18"/>
      <c r="E77" s="9"/>
      <c r="F77" s="20"/>
      <c r="G77" s="21"/>
      <c r="H77" s="35" t="str">
        <f t="shared" si="2"/>
        <v/>
      </c>
      <c r="I77" s="22"/>
      <c r="J77" s="12"/>
      <c r="K77" s="23"/>
      <c r="L77" s="24"/>
      <c r="M77" s="32"/>
    </row>
    <row r="78" spans="1:13" ht="21" customHeight="1" x14ac:dyDescent="0.15">
      <c r="A78" s="12"/>
      <c r="B78" s="18"/>
      <c r="C78" s="18"/>
      <c r="D78" s="18"/>
      <c r="E78" s="9"/>
      <c r="F78" s="20"/>
      <c r="G78" s="21"/>
      <c r="H78" s="35" t="str">
        <f t="shared" si="2"/>
        <v/>
      </c>
      <c r="I78" s="22"/>
      <c r="J78" s="12"/>
      <c r="K78" s="23"/>
      <c r="L78" s="24"/>
      <c r="M78" s="32"/>
    </row>
    <row r="79" spans="1:13" ht="21" customHeight="1" x14ac:dyDescent="0.15">
      <c r="A79" s="12"/>
      <c r="B79" s="18"/>
      <c r="C79" s="18"/>
      <c r="D79" s="18"/>
      <c r="E79" s="9"/>
      <c r="F79" s="20"/>
      <c r="G79" s="21"/>
      <c r="H79" s="35" t="str">
        <f t="shared" si="2"/>
        <v/>
      </c>
      <c r="I79" s="22"/>
      <c r="J79" s="12"/>
      <c r="K79" s="23"/>
      <c r="L79" s="24"/>
      <c r="M79" s="32"/>
    </row>
    <row r="80" spans="1:13" ht="21" customHeight="1" x14ac:dyDescent="0.15">
      <c r="A80" s="12"/>
      <c r="B80" s="18"/>
      <c r="C80" s="18"/>
      <c r="D80" s="18"/>
      <c r="E80" s="9"/>
      <c r="F80" s="20"/>
      <c r="G80" s="21"/>
      <c r="H80" s="35" t="str">
        <f t="shared" si="2"/>
        <v/>
      </c>
      <c r="I80" s="22"/>
      <c r="J80" s="12"/>
      <c r="K80" s="23"/>
      <c r="L80" s="24"/>
      <c r="M80" s="32"/>
    </row>
    <row r="81" spans="1:13" ht="21" customHeight="1" x14ac:dyDescent="0.15">
      <c r="A81" s="12"/>
      <c r="B81" s="18"/>
      <c r="C81" s="18"/>
      <c r="D81" s="18"/>
      <c r="E81" s="9"/>
      <c r="F81" s="20"/>
      <c r="G81" s="21"/>
      <c r="H81" s="35" t="str">
        <f t="shared" si="2"/>
        <v/>
      </c>
      <c r="I81" s="22"/>
      <c r="J81" s="12"/>
      <c r="K81" s="23"/>
      <c r="L81" s="24"/>
      <c r="M81" s="32"/>
    </row>
    <row r="82" spans="1:13" ht="21" customHeight="1" x14ac:dyDescent="0.15">
      <c r="A82" s="12"/>
      <c r="B82" s="18"/>
      <c r="C82" s="18"/>
      <c r="D82" s="18"/>
      <c r="E82" s="9"/>
      <c r="F82" s="20"/>
      <c r="G82" s="21"/>
      <c r="H82" s="35" t="str">
        <f t="shared" si="2"/>
        <v/>
      </c>
      <c r="I82" s="22"/>
      <c r="J82" s="12"/>
      <c r="K82" s="23"/>
      <c r="L82" s="24"/>
      <c r="M82" s="32"/>
    </row>
    <row r="83" spans="1:13" ht="21" customHeight="1" x14ac:dyDescent="0.15">
      <c r="A83" s="12"/>
      <c r="B83" s="18"/>
      <c r="C83" s="18"/>
      <c r="D83" s="18"/>
      <c r="E83" s="9"/>
      <c r="F83" s="20"/>
      <c r="G83" s="21"/>
      <c r="H83" s="35" t="str">
        <f t="shared" si="2"/>
        <v/>
      </c>
      <c r="I83" s="22"/>
      <c r="J83" s="12"/>
      <c r="K83" s="23"/>
      <c r="L83" s="24"/>
      <c r="M83" s="32"/>
    </row>
    <row r="84" spans="1:13" ht="21" customHeight="1" x14ac:dyDescent="0.15">
      <c r="A84" s="12"/>
      <c r="B84" s="18"/>
      <c r="C84" s="18"/>
      <c r="D84" s="18"/>
      <c r="E84" s="9"/>
      <c r="F84" s="20"/>
      <c r="G84" s="21"/>
      <c r="H84" s="35" t="str">
        <f t="shared" si="2"/>
        <v/>
      </c>
      <c r="I84" s="22"/>
      <c r="J84" s="12"/>
      <c r="K84" s="23"/>
      <c r="L84" s="24"/>
      <c r="M84" s="32"/>
    </row>
    <row r="85" spans="1:13" ht="21" customHeight="1" x14ac:dyDescent="0.15">
      <c r="A85" s="12"/>
      <c r="B85" s="18"/>
      <c r="C85" s="18"/>
      <c r="D85" s="18"/>
      <c r="E85" s="9"/>
      <c r="F85" s="20"/>
      <c r="G85" s="21"/>
      <c r="H85" s="35" t="str">
        <f t="shared" si="2"/>
        <v/>
      </c>
      <c r="I85" s="22"/>
      <c r="J85" s="12"/>
      <c r="K85" s="23"/>
      <c r="L85" s="24"/>
      <c r="M85" s="32"/>
    </row>
    <row r="86" spans="1:13" ht="21" customHeight="1" x14ac:dyDescent="0.15">
      <c r="A86" s="12"/>
      <c r="B86" s="18"/>
      <c r="C86" s="18"/>
      <c r="D86" s="18"/>
      <c r="E86" s="9"/>
      <c r="F86" s="20"/>
      <c r="G86" s="21"/>
      <c r="H86" s="35" t="str">
        <f t="shared" si="2"/>
        <v/>
      </c>
      <c r="I86" s="22"/>
      <c r="J86" s="12"/>
      <c r="K86" s="23"/>
      <c r="L86" s="24"/>
      <c r="M86" s="32"/>
    </row>
    <row r="87" spans="1:13" ht="21" customHeight="1" x14ac:dyDescent="0.15">
      <c r="A87" s="12"/>
      <c r="B87" s="18"/>
      <c r="C87" s="18"/>
      <c r="D87" s="18"/>
      <c r="E87" s="9"/>
      <c r="F87" s="20"/>
      <c r="G87" s="21"/>
      <c r="H87" s="35" t="str">
        <f t="shared" si="2"/>
        <v/>
      </c>
      <c r="I87" s="22"/>
      <c r="J87" s="12"/>
      <c r="K87" s="23"/>
      <c r="L87" s="24"/>
      <c r="M87" s="32"/>
    </row>
    <row r="88" spans="1:13" ht="21" customHeight="1" x14ac:dyDescent="0.15">
      <c r="A88" s="12"/>
      <c r="B88" s="18"/>
      <c r="C88" s="18"/>
      <c r="D88" s="18"/>
      <c r="E88" s="9"/>
      <c r="F88" s="20"/>
      <c r="G88" s="21"/>
      <c r="H88" s="35" t="str">
        <f t="shared" si="2"/>
        <v/>
      </c>
      <c r="I88" s="22"/>
      <c r="J88" s="12"/>
      <c r="K88" s="23"/>
      <c r="L88" s="24"/>
      <c r="M88" s="32"/>
    </row>
    <row r="89" spans="1:13" ht="21" customHeight="1" x14ac:dyDescent="0.15">
      <c r="A89" s="12"/>
      <c r="B89" s="18"/>
      <c r="C89" s="18"/>
      <c r="D89" s="18"/>
      <c r="E89" s="9"/>
      <c r="F89" s="20"/>
      <c r="G89" s="21"/>
      <c r="H89" s="35" t="str">
        <f t="shared" si="2"/>
        <v/>
      </c>
      <c r="I89" s="22"/>
      <c r="J89" s="12"/>
      <c r="K89" s="23"/>
      <c r="L89" s="24"/>
      <c r="M89" s="32"/>
    </row>
    <row r="90" spans="1:13" ht="21" customHeight="1" x14ac:dyDescent="0.15">
      <c r="A90" s="12"/>
      <c r="B90" s="18"/>
      <c r="C90" s="18"/>
      <c r="D90" s="18"/>
      <c r="E90" s="9"/>
      <c r="F90" s="20"/>
      <c r="G90" s="21"/>
      <c r="H90" s="35" t="str">
        <f t="shared" si="2"/>
        <v/>
      </c>
      <c r="I90" s="22"/>
      <c r="J90" s="12"/>
      <c r="K90" s="23"/>
      <c r="L90" s="24"/>
      <c r="M90" s="24"/>
    </row>
    <row r="91" spans="1:13" ht="21" customHeight="1" x14ac:dyDescent="0.15">
      <c r="A91" s="12"/>
      <c r="B91" s="18"/>
      <c r="C91" s="18"/>
      <c r="D91" s="18"/>
      <c r="E91" s="9"/>
      <c r="F91" s="20"/>
      <c r="G91" s="21"/>
      <c r="H91" s="35" t="str">
        <f t="shared" si="2"/>
        <v/>
      </c>
      <c r="I91" s="22"/>
      <c r="J91" s="12"/>
      <c r="K91" s="23"/>
      <c r="L91" s="24"/>
      <c r="M91" s="24"/>
    </row>
    <row r="92" spans="1:13" ht="21" customHeight="1" x14ac:dyDescent="0.15">
      <c r="A92" s="12"/>
      <c r="B92" s="18"/>
      <c r="C92" s="18"/>
      <c r="D92" s="18"/>
      <c r="E92" s="9"/>
      <c r="F92" s="20"/>
      <c r="G92" s="21"/>
      <c r="H92" s="35" t="str">
        <f t="shared" si="2"/>
        <v/>
      </c>
      <c r="I92" s="22"/>
      <c r="J92" s="12"/>
      <c r="K92" s="23"/>
      <c r="L92" s="24"/>
      <c r="M92" s="24"/>
    </row>
    <row r="93" spans="1:13" ht="21" customHeight="1" x14ac:dyDescent="0.15">
      <c r="A93" s="12"/>
      <c r="B93" s="18"/>
      <c r="C93" s="18"/>
      <c r="D93" s="18"/>
      <c r="E93" s="9"/>
      <c r="F93" s="20"/>
      <c r="G93" s="21"/>
      <c r="H93" s="35" t="str">
        <f t="shared" si="2"/>
        <v/>
      </c>
      <c r="I93" s="22"/>
      <c r="J93" s="12"/>
      <c r="K93" s="23"/>
      <c r="L93" s="24"/>
      <c r="M93" s="24"/>
    </row>
    <row r="94" spans="1:13" ht="21" customHeight="1" x14ac:dyDescent="0.15">
      <c r="A94" s="12"/>
      <c r="B94" s="18"/>
      <c r="C94" s="18"/>
      <c r="D94" s="18"/>
      <c r="E94" s="9"/>
      <c r="F94" s="20"/>
      <c r="G94" s="21"/>
      <c r="H94" s="35" t="str">
        <f t="shared" si="2"/>
        <v/>
      </c>
      <c r="I94" s="22"/>
      <c r="J94" s="12"/>
      <c r="K94" s="23"/>
      <c r="L94" s="24"/>
      <c r="M94" s="24"/>
    </row>
    <row r="95" spans="1:13" ht="21" customHeight="1" x14ac:dyDescent="0.15">
      <c r="A95" s="12"/>
      <c r="B95" s="18"/>
      <c r="C95" s="18"/>
      <c r="D95" s="18"/>
      <c r="E95" s="9"/>
      <c r="F95" s="20"/>
      <c r="G95" s="21"/>
      <c r="H95" s="35" t="str">
        <f t="shared" si="2"/>
        <v/>
      </c>
      <c r="I95" s="22"/>
      <c r="J95" s="12"/>
      <c r="K95" s="23"/>
      <c r="L95" s="24"/>
      <c r="M95" s="24"/>
    </row>
    <row r="96" spans="1:13" ht="21" customHeight="1" x14ac:dyDescent="0.15">
      <c r="A96" s="12"/>
      <c r="B96" s="18"/>
      <c r="C96" s="18"/>
      <c r="D96" s="18"/>
      <c r="E96" s="9"/>
      <c r="F96" s="20"/>
      <c r="G96" s="21"/>
      <c r="H96" s="35" t="str">
        <f t="shared" si="2"/>
        <v/>
      </c>
      <c r="I96" s="22"/>
      <c r="J96" s="12"/>
      <c r="K96" s="23"/>
      <c r="L96" s="24"/>
      <c r="M96" s="24"/>
    </row>
    <row r="97" spans="1:13" ht="21" customHeight="1" x14ac:dyDescent="0.15">
      <c r="A97" s="12"/>
      <c r="B97" s="18"/>
      <c r="C97" s="18"/>
      <c r="D97" s="18"/>
      <c r="E97" s="9"/>
      <c r="F97" s="20"/>
      <c r="G97" s="21"/>
      <c r="H97" s="35" t="str">
        <f t="shared" si="2"/>
        <v/>
      </c>
      <c r="I97" s="22"/>
      <c r="J97" s="12"/>
      <c r="K97" s="23"/>
      <c r="L97" s="24"/>
      <c r="M97" s="24"/>
    </row>
    <row r="98" spans="1:13" ht="21" customHeight="1" x14ac:dyDescent="0.15">
      <c r="A98" s="12"/>
      <c r="B98" s="18"/>
      <c r="C98" s="18"/>
      <c r="D98" s="18"/>
      <c r="E98" s="9"/>
      <c r="F98" s="20"/>
      <c r="G98" s="21"/>
      <c r="H98" s="35" t="str">
        <f t="shared" si="2"/>
        <v/>
      </c>
      <c r="I98" s="22"/>
      <c r="J98" s="12"/>
      <c r="K98" s="23"/>
      <c r="L98" s="24"/>
      <c r="M98" s="24"/>
    </row>
    <row r="99" spans="1:13" ht="21" customHeight="1" x14ac:dyDescent="0.15">
      <c r="A99" s="12"/>
      <c r="B99" s="18"/>
      <c r="C99" s="18"/>
      <c r="D99" s="18"/>
      <c r="E99" s="9"/>
      <c r="F99" s="20"/>
      <c r="G99" s="21"/>
      <c r="H99" s="35" t="str">
        <f t="shared" si="2"/>
        <v/>
      </c>
      <c r="I99" s="22"/>
      <c r="J99" s="12"/>
      <c r="K99" s="23"/>
      <c r="L99" s="24"/>
      <c r="M99" s="24"/>
    </row>
    <row r="100" spans="1:13" ht="21" customHeight="1" x14ac:dyDescent="0.15">
      <c r="A100" s="12"/>
      <c r="B100" s="18"/>
      <c r="C100" s="18"/>
      <c r="D100" s="18"/>
      <c r="E100" s="9"/>
      <c r="F100" s="20"/>
      <c r="G100" s="21"/>
      <c r="H100" s="35" t="str">
        <f t="shared" si="2"/>
        <v/>
      </c>
      <c r="I100" s="22"/>
      <c r="J100" s="12"/>
      <c r="K100" s="23"/>
      <c r="L100" s="24"/>
      <c r="M100" s="24"/>
    </row>
    <row r="101" spans="1:13" ht="15" x14ac:dyDescent="0.15">
      <c r="A101" s="12"/>
      <c r="B101" s="18"/>
      <c r="C101" s="18"/>
      <c r="D101" s="18"/>
      <c r="E101" s="9"/>
      <c r="F101" s="20"/>
      <c r="G101" s="21"/>
      <c r="H101" s="35" t="str">
        <f t="shared" si="2"/>
        <v/>
      </c>
      <c r="I101" s="22"/>
      <c r="J101" s="12"/>
      <c r="K101" s="23"/>
      <c r="L101" s="24"/>
      <c r="M101" s="24"/>
    </row>
    <row r="102" spans="1:13" ht="15" x14ac:dyDescent="0.15">
      <c r="A102" s="12"/>
      <c r="B102" s="18"/>
      <c r="C102" s="18"/>
      <c r="D102" s="18"/>
      <c r="E102" s="9"/>
      <c r="F102" s="20"/>
      <c r="G102" s="21"/>
      <c r="H102" s="35" t="str">
        <f t="shared" si="2"/>
        <v/>
      </c>
      <c r="I102" s="22"/>
      <c r="J102" s="12"/>
      <c r="K102" s="23"/>
      <c r="L102" s="24"/>
      <c r="M102" s="24"/>
    </row>
    <row r="103" spans="1:13" ht="15" x14ac:dyDescent="0.15">
      <c r="A103" s="12"/>
      <c r="B103" s="18"/>
      <c r="C103" s="18"/>
      <c r="D103" s="18"/>
      <c r="E103" s="9"/>
      <c r="F103" s="20"/>
      <c r="G103" s="21"/>
      <c r="H103" s="35" t="str">
        <f t="shared" si="2"/>
        <v/>
      </c>
      <c r="I103" s="22"/>
      <c r="J103" s="12"/>
      <c r="K103" s="23"/>
      <c r="L103" s="24"/>
      <c r="M103" s="24"/>
    </row>
    <row r="104" spans="1:13" ht="15" x14ac:dyDescent="0.15">
      <c r="A104" s="12"/>
      <c r="B104" s="18"/>
      <c r="C104" s="18"/>
      <c r="D104" s="18"/>
      <c r="E104" s="9"/>
      <c r="F104" s="20"/>
      <c r="G104" s="21"/>
      <c r="H104" s="35" t="str">
        <f t="shared" si="2"/>
        <v/>
      </c>
      <c r="I104" s="22"/>
      <c r="J104" s="12"/>
      <c r="K104" s="23"/>
      <c r="L104" s="24"/>
      <c r="M104" s="24"/>
    </row>
    <row r="105" spans="1:13" ht="15" x14ac:dyDescent="0.15">
      <c r="A105" s="12"/>
      <c r="B105" s="18"/>
      <c r="C105" s="18"/>
      <c r="D105" s="18"/>
      <c r="E105" s="9"/>
      <c r="F105" s="20"/>
      <c r="G105" s="21"/>
      <c r="H105" s="35" t="str">
        <f t="shared" si="2"/>
        <v/>
      </c>
      <c r="I105" s="22"/>
      <c r="J105" s="12"/>
      <c r="K105" s="23"/>
      <c r="L105" s="24"/>
      <c r="M105" s="24"/>
    </row>
    <row r="106" spans="1:13" ht="15" x14ac:dyDescent="0.15">
      <c r="A106" s="12"/>
      <c r="B106" s="18"/>
      <c r="C106" s="18"/>
      <c r="D106" s="18"/>
      <c r="E106" s="9"/>
      <c r="F106" s="20"/>
      <c r="G106" s="21"/>
      <c r="H106" s="35" t="str">
        <f t="shared" ref="H106:H169" si="3">IF(G106="","",(F106*100000000+G106)-7*INT((F106*100000000+G106)/7))</f>
        <v/>
      </c>
      <c r="I106" s="22"/>
      <c r="J106" s="12"/>
      <c r="K106" s="23"/>
      <c r="L106" s="24"/>
      <c r="M106" s="24"/>
    </row>
    <row r="107" spans="1:13" ht="15" x14ac:dyDescent="0.15">
      <c r="A107" s="12"/>
      <c r="B107" s="18"/>
      <c r="C107" s="18"/>
      <c r="D107" s="18"/>
      <c r="E107" s="9"/>
      <c r="F107" s="20"/>
      <c r="G107" s="21"/>
      <c r="H107" s="35" t="str">
        <f t="shared" si="3"/>
        <v/>
      </c>
      <c r="I107" s="22"/>
      <c r="J107" s="12"/>
      <c r="K107" s="23"/>
      <c r="L107" s="24"/>
      <c r="M107" s="24"/>
    </row>
    <row r="108" spans="1:13" ht="15" x14ac:dyDescent="0.15">
      <c r="A108" s="12"/>
      <c r="B108" s="18"/>
      <c r="C108" s="12"/>
      <c r="D108" s="18"/>
      <c r="E108" s="9"/>
      <c r="F108" s="20"/>
      <c r="G108" s="21"/>
      <c r="H108" s="35" t="str">
        <f t="shared" si="3"/>
        <v/>
      </c>
      <c r="I108" s="22"/>
      <c r="J108" s="12"/>
      <c r="K108" s="23"/>
      <c r="L108" s="24"/>
      <c r="M108" s="24"/>
    </row>
    <row r="109" spans="1:13" ht="15" x14ac:dyDescent="0.15">
      <c r="A109" s="12"/>
      <c r="B109" s="18"/>
      <c r="C109" s="12"/>
      <c r="D109" s="18"/>
      <c r="E109" s="9"/>
      <c r="F109" s="20"/>
      <c r="G109" s="21"/>
      <c r="H109" s="35" t="str">
        <f t="shared" si="3"/>
        <v/>
      </c>
      <c r="I109" s="22"/>
      <c r="J109" s="12"/>
      <c r="K109" s="23"/>
      <c r="L109" s="24"/>
      <c r="M109" s="24"/>
    </row>
    <row r="110" spans="1:13" ht="15" x14ac:dyDescent="0.15">
      <c r="A110" s="12"/>
      <c r="B110" s="18"/>
      <c r="C110" s="12"/>
      <c r="D110" s="18"/>
      <c r="E110" s="9"/>
      <c r="F110" s="20"/>
      <c r="G110" s="21"/>
      <c r="H110" s="35" t="str">
        <f t="shared" si="3"/>
        <v/>
      </c>
      <c r="I110" s="22"/>
      <c r="J110" s="12"/>
      <c r="K110" s="23"/>
      <c r="L110" s="24"/>
      <c r="M110" s="24"/>
    </row>
    <row r="111" spans="1:13" ht="15" x14ac:dyDescent="0.15">
      <c r="A111" s="12"/>
      <c r="B111" s="18"/>
      <c r="C111" s="12"/>
      <c r="D111" s="18"/>
      <c r="E111" s="9"/>
      <c r="F111" s="20"/>
      <c r="G111" s="21"/>
      <c r="H111" s="35" t="str">
        <f t="shared" si="3"/>
        <v/>
      </c>
      <c r="I111" s="22"/>
      <c r="J111" s="12"/>
      <c r="K111" s="23"/>
      <c r="L111" s="24"/>
      <c r="M111" s="24"/>
    </row>
    <row r="112" spans="1:13" ht="15" x14ac:dyDescent="0.15">
      <c r="A112" s="12"/>
      <c r="B112" s="18"/>
      <c r="C112" s="18"/>
      <c r="D112" s="18"/>
      <c r="E112" s="9"/>
      <c r="F112" s="20"/>
      <c r="G112" s="21"/>
      <c r="H112" s="35" t="str">
        <f t="shared" si="3"/>
        <v/>
      </c>
      <c r="I112" s="22"/>
      <c r="J112" s="12"/>
      <c r="K112" s="23"/>
      <c r="L112" s="24"/>
      <c r="M112" s="24"/>
    </row>
    <row r="113" spans="1:13" ht="15" x14ac:dyDescent="0.15">
      <c r="A113" s="12"/>
      <c r="B113" s="18"/>
      <c r="C113" s="18"/>
      <c r="D113" s="18"/>
      <c r="E113" s="9"/>
      <c r="F113" s="20"/>
      <c r="G113" s="21"/>
      <c r="H113" s="35" t="str">
        <f t="shared" si="3"/>
        <v/>
      </c>
      <c r="I113" s="22"/>
      <c r="J113" s="12"/>
      <c r="K113" s="23"/>
      <c r="L113" s="24"/>
      <c r="M113" s="24"/>
    </row>
    <row r="114" spans="1:13" ht="15" x14ac:dyDescent="0.15">
      <c r="A114" s="12"/>
      <c r="B114" s="18"/>
      <c r="C114" s="18"/>
      <c r="D114" s="18"/>
      <c r="E114" s="9"/>
      <c r="F114" s="20"/>
      <c r="G114" s="21"/>
      <c r="H114" s="35" t="str">
        <f t="shared" si="3"/>
        <v/>
      </c>
      <c r="I114" s="22"/>
      <c r="J114" s="12"/>
      <c r="K114" s="23"/>
      <c r="L114" s="24"/>
      <c r="M114" s="24"/>
    </row>
    <row r="115" spans="1:13" ht="15" x14ac:dyDescent="0.15">
      <c r="A115" s="12"/>
      <c r="B115" s="18"/>
      <c r="C115" s="18"/>
      <c r="D115" s="18"/>
      <c r="E115" s="9"/>
      <c r="F115" s="20"/>
      <c r="G115" s="21"/>
      <c r="H115" s="35" t="str">
        <f t="shared" si="3"/>
        <v/>
      </c>
      <c r="I115" s="22"/>
      <c r="J115" s="12"/>
      <c r="K115" s="23"/>
      <c r="L115" s="24"/>
      <c r="M115" s="24"/>
    </row>
    <row r="116" spans="1:13" ht="15" x14ac:dyDescent="0.15">
      <c r="A116" s="12"/>
      <c r="B116" s="18"/>
      <c r="C116" s="18"/>
      <c r="D116" s="18"/>
      <c r="E116" s="9"/>
      <c r="F116" s="20"/>
      <c r="G116" s="21"/>
      <c r="H116" s="35" t="str">
        <f t="shared" si="3"/>
        <v/>
      </c>
      <c r="I116" s="22"/>
      <c r="J116" s="12"/>
      <c r="K116" s="23"/>
      <c r="L116" s="24"/>
      <c r="M116" s="24"/>
    </row>
    <row r="117" spans="1:13" ht="15" x14ac:dyDescent="0.15">
      <c r="A117" s="12"/>
      <c r="B117" s="18"/>
      <c r="C117" s="18"/>
      <c r="D117" s="18"/>
      <c r="E117" s="9"/>
      <c r="F117" s="20"/>
      <c r="G117" s="21"/>
      <c r="H117" s="35" t="str">
        <f t="shared" si="3"/>
        <v/>
      </c>
      <c r="I117" s="22"/>
      <c r="J117" s="12"/>
      <c r="K117" s="23"/>
      <c r="L117" s="24"/>
      <c r="M117" s="24"/>
    </row>
    <row r="118" spans="1:13" ht="15" x14ac:dyDescent="0.15">
      <c r="A118" s="12"/>
      <c r="B118" s="18"/>
      <c r="C118" s="18"/>
      <c r="D118" s="18"/>
      <c r="E118" s="9"/>
      <c r="F118" s="20"/>
      <c r="G118" s="21"/>
      <c r="H118" s="35" t="str">
        <f t="shared" si="3"/>
        <v/>
      </c>
      <c r="I118" s="22"/>
      <c r="J118" s="12"/>
      <c r="K118" s="23"/>
      <c r="L118" s="24"/>
      <c r="M118" s="24"/>
    </row>
    <row r="119" spans="1:13" ht="15" x14ac:dyDescent="0.15">
      <c r="A119" s="12"/>
      <c r="B119" s="18"/>
      <c r="C119" s="18"/>
      <c r="D119" s="18"/>
      <c r="E119" s="9"/>
      <c r="F119" s="20"/>
      <c r="G119" s="21"/>
      <c r="H119" s="35" t="str">
        <f t="shared" si="3"/>
        <v/>
      </c>
      <c r="I119" s="22"/>
      <c r="J119" s="12"/>
      <c r="K119" s="23"/>
      <c r="L119" s="24"/>
      <c r="M119" s="24"/>
    </row>
    <row r="120" spans="1:13" ht="15" x14ac:dyDescent="0.15">
      <c r="A120" s="12"/>
      <c r="B120" s="18"/>
      <c r="C120" s="18"/>
      <c r="D120" s="18"/>
      <c r="E120" s="9"/>
      <c r="F120" s="20"/>
      <c r="G120" s="21"/>
      <c r="H120" s="35" t="str">
        <f t="shared" si="3"/>
        <v/>
      </c>
      <c r="I120" s="22"/>
      <c r="J120" s="12"/>
      <c r="K120" s="23"/>
      <c r="L120" s="24"/>
      <c r="M120" s="24"/>
    </row>
    <row r="121" spans="1:13" ht="15" x14ac:dyDescent="0.15">
      <c r="A121" s="12"/>
      <c r="B121" s="18"/>
      <c r="C121" s="18"/>
      <c r="D121" s="18"/>
      <c r="E121" s="9"/>
      <c r="F121" s="20"/>
      <c r="G121" s="21"/>
      <c r="H121" s="35" t="str">
        <f t="shared" si="3"/>
        <v/>
      </c>
      <c r="I121" s="22"/>
      <c r="J121" s="12"/>
      <c r="K121" s="23"/>
      <c r="L121" s="24"/>
      <c r="M121" s="24"/>
    </row>
    <row r="122" spans="1:13" ht="15" x14ac:dyDescent="0.15">
      <c r="A122" s="12"/>
      <c r="B122" s="18"/>
      <c r="C122" s="18"/>
      <c r="D122" s="18"/>
      <c r="E122" s="9"/>
      <c r="F122" s="20"/>
      <c r="G122" s="21"/>
      <c r="H122" s="35" t="str">
        <f t="shared" si="3"/>
        <v/>
      </c>
      <c r="I122" s="22"/>
      <c r="J122" s="12"/>
      <c r="K122" s="23"/>
      <c r="L122" s="24"/>
      <c r="M122" s="24"/>
    </row>
    <row r="123" spans="1:13" ht="15" x14ac:dyDescent="0.15">
      <c r="A123" s="12"/>
      <c r="B123" s="18"/>
      <c r="C123" s="18"/>
      <c r="D123" s="18"/>
      <c r="E123" s="9"/>
      <c r="F123" s="20"/>
      <c r="G123" s="21"/>
      <c r="H123" s="35" t="str">
        <f t="shared" si="3"/>
        <v/>
      </c>
      <c r="I123" s="22"/>
      <c r="J123" s="12"/>
      <c r="K123" s="23"/>
      <c r="L123" s="24"/>
      <c r="M123" s="24"/>
    </row>
    <row r="124" spans="1:13" ht="15" x14ac:dyDescent="0.15">
      <c r="A124" s="12"/>
      <c r="B124" s="18"/>
      <c r="C124" s="18"/>
      <c r="D124" s="18"/>
      <c r="E124" s="9"/>
      <c r="F124" s="20"/>
      <c r="G124" s="21"/>
      <c r="H124" s="35" t="str">
        <f t="shared" si="3"/>
        <v/>
      </c>
      <c r="I124" s="22"/>
      <c r="J124" s="12"/>
      <c r="K124" s="23"/>
      <c r="L124" s="24"/>
      <c r="M124" s="24"/>
    </row>
    <row r="125" spans="1:13" ht="15" x14ac:dyDescent="0.15">
      <c r="A125" s="12"/>
      <c r="B125" s="18"/>
      <c r="C125" s="18"/>
      <c r="D125" s="18"/>
      <c r="E125" s="9"/>
      <c r="F125" s="20"/>
      <c r="G125" s="21"/>
      <c r="H125" s="35" t="str">
        <f t="shared" si="3"/>
        <v/>
      </c>
      <c r="I125" s="22"/>
      <c r="J125" s="12"/>
      <c r="K125" s="23"/>
      <c r="L125" s="24"/>
      <c r="M125" s="24"/>
    </row>
    <row r="126" spans="1:13" ht="15" x14ac:dyDescent="0.15">
      <c r="A126" s="12"/>
      <c r="B126" s="18"/>
      <c r="C126" s="18"/>
      <c r="D126" s="18"/>
      <c r="E126" s="9"/>
      <c r="F126" s="20"/>
      <c r="G126" s="21"/>
      <c r="H126" s="35" t="str">
        <f t="shared" si="3"/>
        <v/>
      </c>
      <c r="I126" s="22"/>
      <c r="J126" s="12"/>
      <c r="K126" s="23"/>
      <c r="L126" s="24"/>
      <c r="M126" s="24"/>
    </row>
    <row r="127" spans="1:13" ht="15" x14ac:dyDescent="0.15">
      <c r="A127" s="12"/>
      <c r="B127" s="18"/>
      <c r="C127" s="18"/>
      <c r="D127" s="18"/>
      <c r="E127" s="9"/>
      <c r="F127" s="20"/>
      <c r="G127" s="21"/>
      <c r="H127" s="35" t="str">
        <f t="shared" si="3"/>
        <v/>
      </c>
      <c r="I127" s="22"/>
      <c r="J127" s="12"/>
      <c r="K127" s="23"/>
      <c r="L127" s="24"/>
      <c r="M127" s="24"/>
    </row>
    <row r="128" spans="1:13" ht="15" x14ac:dyDescent="0.15">
      <c r="A128" s="12"/>
      <c r="B128" s="18"/>
      <c r="C128" s="18"/>
      <c r="D128" s="18"/>
      <c r="E128" s="9"/>
      <c r="F128" s="20"/>
      <c r="G128" s="21"/>
      <c r="H128" s="35" t="str">
        <f t="shared" si="3"/>
        <v/>
      </c>
      <c r="I128" s="22"/>
      <c r="J128" s="12"/>
      <c r="K128" s="23"/>
      <c r="L128" s="24"/>
      <c r="M128" s="24"/>
    </row>
    <row r="129" spans="1:13" ht="15" x14ac:dyDescent="0.15">
      <c r="A129" s="12"/>
      <c r="B129" s="18"/>
      <c r="C129" s="18"/>
      <c r="D129" s="18"/>
      <c r="E129" s="9"/>
      <c r="F129" s="20"/>
      <c r="G129" s="21"/>
      <c r="H129" s="35" t="str">
        <f t="shared" si="3"/>
        <v/>
      </c>
      <c r="I129" s="22"/>
      <c r="J129" s="12"/>
      <c r="K129" s="23"/>
      <c r="L129" s="24"/>
      <c r="M129" s="24"/>
    </row>
    <row r="130" spans="1:13" ht="15" x14ac:dyDescent="0.15">
      <c r="A130" s="12"/>
      <c r="B130" s="18"/>
      <c r="C130" s="18"/>
      <c r="D130" s="18"/>
      <c r="E130" s="9"/>
      <c r="F130" s="20"/>
      <c r="G130" s="21"/>
      <c r="H130" s="35" t="str">
        <f t="shared" si="3"/>
        <v/>
      </c>
      <c r="I130" s="22"/>
      <c r="J130" s="12"/>
      <c r="K130" s="23"/>
      <c r="L130" s="24"/>
      <c r="M130" s="24"/>
    </row>
    <row r="131" spans="1:13" ht="15" x14ac:dyDescent="0.15">
      <c r="A131" s="12"/>
      <c r="B131" s="18"/>
      <c r="C131" s="18"/>
      <c r="D131" s="18"/>
      <c r="E131" s="9"/>
      <c r="F131" s="20"/>
      <c r="G131" s="21"/>
      <c r="H131" s="35" t="str">
        <f t="shared" si="3"/>
        <v/>
      </c>
      <c r="I131" s="22"/>
      <c r="J131" s="12"/>
      <c r="K131" s="23"/>
      <c r="L131" s="24"/>
      <c r="M131" s="24"/>
    </row>
    <row r="132" spans="1:13" ht="15" x14ac:dyDescent="0.15">
      <c r="A132" s="12"/>
      <c r="B132" s="18"/>
      <c r="C132" s="18"/>
      <c r="D132" s="18"/>
      <c r="E132" s="9"/>
      <c r="F132" s="20"/>
      <c r="G132" s="21"/>
      <c r="H132" s="35" t="str">
        <f t="shared" si="3"/>
        <v/>
      </c>
      <c r="I132" s="22"/>
      <c r="J132" s="12"/>
      <c r="K132" s="23"/>
      <c r="L132" s="24"/>
      <c r="M132" s="24"/>
    </row>
    <row r="133" spans="1:13" ht="15" x14ac:dyDescent="0.15">
      <c r="A133" s="12"/>
      <c r="B133" s="18"/>
      <c r="C133" s="18"/>
      <c r="D133" s="18"/>
      <c r="E133" s="9"/>
      <c r="F133" s="20"/>
      <c r="G133" s="21"/>
      <c r="H133" s="35" t="str">
        <f t="shared" si="3"/>
        <v/>
      </c>
      <c r="I133" s="22"/>
      <c r="J133" s="12"/>
      <c r="K133" s="23"/>
      <c r="L133" s="24"/>
      <c r="M133" s="24"/>
    </row>
    <row r="134" spans="1:13" ht="15" x14ac:dyDescent="0.15">
      <c r="A134" s="12"/>
      <c r="B134" s="18"/>
      <c r="C134" s="18"/>
      <c r="D134" s="18"/>
      <c r="E134" s="9"/>
      <c r="F134" s="20"/>
      <c r="G134" s="21"/>
      <c r="H134" s="35" t="str">
        <f t="shared" si="3"/>
        <v/>
      </c>
      <c r="I134" s="22"/>
      <c r="J134" s="12"/>
      <c r="K134" s="23"/>
      <c r="L134" s="24"/>
      <c r="M134" s="24"/>
    </row>
    <row r="135" spans="1:13" ht="15" x14ac:dyDescent="0.15">
      <c r="A135" s="12"/>
      <c r="B135" s="18"/>
      <c r="C135" s="18"/>
      <c r="D135" s="18"/>
      <c r="E135" s="9"/>
      <c r="F135" s="20"/>
      <c r="G135" s="21"/>
      <c r="H135" s="35" t="str">
        <f t="shared" si="3"/>
        <v/>
      </c>
      <c r="I135" s="22"/>
      <c r="J135" s="12"/>
      <c r="K135" s="23"/>
      <c r="L135" s="24"/>
      <c r="M135" s="24"/>
    </row>
    <row r="136" spans="1:13" ht="15" x14ac:dyDescent="0.15">
      <c r="A136" s="12"/>
      <c r="B136" s="18"/>
      <c r="C136" s="18"/>
      <c r="D136" s="18"/>
      <c r="E136" s="9"/>
      <c r="F136" s="20"/>
      <c r="G136" s="21"/>
      <c r="H136" s="35" t="str">
        <f t="shared" si="3"/>
        <v/>
      </c>
      <c r="I136" s="22"/>
      <c r="J136" s="12"/>
      <c r="K136" s="23"/>
      <c r="L136" s="24"/>
      <c r="M136" s="24"/>
    </row>
    <row r="137" spans="1:13" ht="15" x14ac:dyDescent="0.15">
      <c r="A137" s="12"/>
      <c r="B137" s="18"/>
      <c r="C137" s="18"/>
      <c r="D137" s="18"/>
      <c r="E137" s="9"/>
      <c r="F137" s="20"/>
      <c r="G137" s="21"/>
      <c r="H137" s="35" t="str">
        <f t="shared" si="3"/>
        <v/>
      </c>
      <c r="I137" s="22"/>
      <c r="J137" s="12"/>
      <c r="K137" s="23"/>
      <c r="L137" s="24"/>
      <c r="M137" s="24"/>
    </row>
    <row r="138" spans="1:13" ht="15" x14ac:dyDescent="0.15">
      <c r="A138" s="12"/>
      <c r="B138" s="18"/>
      <c r="C138" s="18"/>
      <c r="D138" s="18"/>
      <c r="E138" s="9"/>
      <c r="F138" s="20"/>
      <c r="G138" s="21"/>
      <c r="H138" s="35" t="str">
        <f t="shared" si="3"/>
        <v/>
      </c>
      <c r="I138" s="22"/>
      <c r="J138" s="12"/>
      <c r="K138" s="23"/>
      <c r="L138" s="24"/>
      <c r="M138" s="24"/>
    </row>
    <row r="139" spans="1:13" ht="15" x14ac:dyDescent="0.15">
      <c r="A139" s="12"/>
      <c r="B139" s="18"/>
      <c r="C139" s="18"/>
      <c r="D139" s="18"/>
      <c r="E139" s="9"/>
      <c r="F139" s="20"/>
      <c r="G139" s="21"/>
      <c r="H139" s="35" t="str">
        <f t="shared" si="3"/>
        <v/>
      </c>
      <c r="I139" s="22"/>
      <c r="J139" s="12"/>
      <c r="K139" s="23"/>
      <c r="L139" s="24"/>
      <c r="M139" s="24"/>
    </row>
    <row r="140" spans="1:13" ht="15" x14ac:dyDescent="0.15">
      <c r="A140" s="12"/>
      <c r="B140" s="18"/>
      <c r="C140" s="18"/>
      <c r="D140" s="18"/>
      <c r="E140" s="9"/>
      <c r="F140" s="20"/>
      <c r="G140" s="21"/>
      <c r="H140" s="35" t="str">
        <f t="shared" si="3"/>
        <v/>
      </c>
      <c r="I140" s="22"/>
      <c r="J140" s="12"/>
      <c r="K140" s="23"/>
      <c r="L140" s="24"/>
      <c r="M140" s="24"/>
    </row>
    <row r="141" spans="1:13" ht="15" x14ac:dyDescent="0.15">
      <c r="A141" s="12"/>
      <c r="B141" s="18"/>
      <c r="C141" s="18"/>
      <c r="D141" s="18"/>
      <c r="E141" s="9"/>
      <c r="F141" s="20"/>
      <c r="G141" s="21"/>
      <c r="H141" s="35" t="str">
        <f t="shared" si="3"/>
        <v/>
      </c>
      <c r="I141" s="22"/>
      <c r="J141" s="12"/>
      <c r="K141" s="23"/>
      <c r="L141" s="24"/>
      <c r="M141" s="24"/>
    </row>
    <row r="142" spans="1:13" ht="15" x14ac:dyDescent="0.15">
      <c r="A142" s="12"/>
      <c r="B142" s="18"/>
      <c r="C142" s="18"/>
      <c r="D142" s="18"/>
      <c r="E142" s="9"/>
      <c r="F142" s="20"/>
      <c r="G142" s="21"/>
      <c r="H142" s="35" t="str">
        <f t="shared" si="3"/>
        <v/>
      </c>
      <c r="I142" s="22"/>
      <c r="J142" s="12"/>
      <c r="K142" s="23"/>
      <c r="L142" s="24"/>
      <c r="M142" s="24"/>
    </row>
    <row r="143" spans="1:13" ht="15" x14ac:dyDescent="0.15">
      <c r="A143" s="12"/>
      <c r="B143" s="18"/>
      <c r="C143" s="18"/>
      <c r="D143" s="18"/>
      <c r="E143" s="9"/>
      <c r="F143" s="20"/>
      <c r="G143" s="21"/>
      <c r="H143" s="35" t="str">
        <f t="shared" si="3"/>
        <v/>
      </c>
      <c r="I143" s="22"/>
      <c r="J143" s="12"/>
      <c r="K143" s="23"/>
      <c r="L143" s="24"/>
      <c r="M143" s="24"/>
    </row>
    <row r="144" spans="1:13" ht="15" x14ac:dyDescent="0.15">
      <c r="A144" s="12"/>
      <c r="B144" s="18"/>
      <c r="C144" s="18"/>
      <c r="D144" s="18"/>
      <c r="E144" s="9"/>
      <c r="F144" s="20"/>
      <c r="G144" s="21"/>
      <c r="H144" s="35" t="str">
        <f t="shared" si="3"/>
        <v/>
      </c>
      <c r="I144" s="22"/>
      <c r="J144" s="12"/>
      <c r="K144" s="23"/>
      <c r="L144" s="24"/>
      <c r="M144" s="24"/>
    </row>
    <row r="145" spans="1:13" ht="15" x14ac:dyDescent="0.15">
      <c r="A145" s="12"/>
      <c r="B145" s="18"/>
      <c r="C145" s="18"/>
      <c r="D145" s="18"/>
      <c r="E145" s="9"/>
      <c r="F145" s="20"/>
      <c r="G145" s="21"/>
      <c r="H145" s="35" t="str">
        <f t="shared" si="3"/>
        <v/>
      </c>
      <c r="I145" s="22"/>
      <c r="J145" s="12"/>
      <c r="K145" s="23"/>
      <c r="L145" s="24"/>
      <c r="M145" s="24"/>
    </row>
    <row r="146" spans="1:13" ht="15" x14ac:dyDescent="0.15">
      <c r="A146" s="12"/>
      <c r="B146" s="18"/>
      <c r="C146" s="18"/>
      <c r="D146" s="18"/>
      <c r="E146" s="9"/>
      <c r="F146" s="20"/>
      <c r="G146" s="21"/>
      <c r="H146" s="35" t="str">
        <f t="shared" si="3"/>
        <v/>
      </c>
      <c r="I146" s="22"/>
      <c r="J146" s="12"/>
      <c r="K146" s="23"/>
      <c r="L146" s="24"/>
      <c r="M146" s="24"/>
    </row>
    <row r="147" spans="1:13" ht="15" x14ac:dyDescent="0.15">
      <c r="A147" s="12"/>
      <c r="B147" s="18"/>
      <c r="C147" s="18"/>
      <c r="D147" s="18"/>
      <c r="E147" s="9"/>
      <c r="F147" s="20"/>
      <c r="G147" s="21"/>
      <c r="H147" s="35" t="str">
        <f t="shared" si="3"/>
        <v/>
      </c>
      <c r="I147" s="22"/>
      <c r="J147" s="12"/>
      <c r="K147" s="23"/>
      <c r="L147" s="24"/>
      <c r="M147" s="24"/>
    </row>
    <row r="148" spans="1:13" ht="15" x14ac:dyDescent="0.15">
      <c r="A148" s="12"/>
      <c r="B148" s="18"/>
      <c r="C148" s="18"/>
      <c r="D148" s="18"/>
      <c r="E148" s="9"/>
      <c r="F148" s="20"/>
      <c r="G148" s="21"/>
      <c r="H148" s="35" t="str">
        <f t="shared" si="3"/>
        <v/>
      </c>
      <c r="I148" s="22"/>
      <c r="J148" s="12"/>
      <c r="K148" s="23"/>
      <c r="L148" s="24"/>
      <c r="M148" s="24"/>
    </row>
    <row r="149" spans="1:13" ht="15" x14ac:dyDescent="0.15">
      <c r="A149" s="12"/>
      <c r="B149" s="18"/>
      <c r="C149" s="18"/>
      <c r="D149" s="18"/>
      <c r="E149" s="9"/>
      <c r="F149" s="20"/>
      <c r="G149" s="21"/>
      <c r="H149" s="35" t="str">
        <f t="shared" si="3"/>
        <v/>
      </c>
      <c r="I149" s="22"/>
      <c r="J149" s="12"/>
      <c r="K149" s="23"/>
      <c r="L149" s="24"/>
      <c r="M149" s="24"/>
    </row>
    <row r="150" spans="1:13" ht="15" x14ac:dyDescent="0.15">
      <c r="A150" s="12"/>
      <c r="B150" s="18"/>
      <c r="C150" s="18"/>
      <c r="D150" s="18"/>
      <c r="E150" s="9"/>
      <c r="F150" s="20"/>
      <c r="G150" s="21"/>
      <c r="H150" s="35" t="str">
        <f t="shared" si="3"/>
        <v/>
      </c>
      <c r="I150" s="22"/>
      <c r="J150" s="12"/>
      <c r="K150" s="23"/>
      <c r="L150" s="24"/>
      <c r="M150" s="24"/>
    </row>
    <row r="151" spans="1:13" ht="15" x14ac:dyDescent="0.15">
      <c r="A151" s="12"/>
      <c r="B151" s="18"/>
      <c r="C151" s="18"/>
      <c r="D151" s="18"/>
      <c r="E151" s="9"/>
      <c r="F151" s="20"/>
      <c r="G151" s="21"/>
      <c r="H151" s="35" t="str">
        <f t="shared" si="3"/>
        <v/>
      </c>
      <c r="I151" s="22"/>
      <c r="J151" s="12"/>
      <c r="K151" s="23"/>
      <c r="L151" s="29"/>
      <c r="M151" s="24"/>
    </row>
    <row r="152" spans="1:13" ht="15" x14ac:dyDescent="0.15">
      <c r="A152" s="12"/>
      <c r="B152" s="18"/>
      <c r="C152" s="18"/>
      <c r="D152" s="18"/>
      <c r="E152" s="9"/>
      <c r="F152" s="20"/>
      <c r="G152" s="21"/>
      <c r="H152" s="35" t="str">
        <f t="shared" si="3"/>
        <v/>
      </c>
      <c r="I152" s="22"/>
      <c r="J152" s="12"/>
      <c r="K152" s="23"/>
      <c r="L152" s="29"/>
      <c r="M152" s="24"/>
    </row>
    <row r="153" spans="1:13" ht="15" x14ac:dyDescent="0.15">
      <c r="A153" s="12"/>
      <c r="B153" s="18"/>
      <c r="C153" s="18"/>
      <c r="D153" s="18"/>
      <c r="E153" s="9"/>
      <c r="F153" s="20"/>
      <c r="G153" s="21"/>
      <c r="H153" s="35" t="str">
        <f t="shared" si="3"/>
        <v/>
      </c>
      <c r="I153" s="22"/>
      <c r="J153" s="12"/>
      <c r="K153" s="23"/>
      <c r="L153" s="29"/>
      <c r="M153" s="24"/>
    </row>
    <row r="154" spans="1:13" ht="15" x14ac:dyDescent="0.15">
      <c r="A154" s="12"/>
      <c r="B154" s="18"/>
      <c r="C154" s="18"/>
      <c r="D154" s="18"/>
      <c r="E154" s="9"/>
      <c r="F154" s="20"/>
      <c r="G154" s="21"/>
      <c r="H154" s="35" t="str">
        <f t="shared" si="3"/>
        <v/>
      </c>
      <c r="I154" s="22"/>
      <c r="J154" s="12"/>
      <c r="K154" s="23"/>
      <c r="L154" s="29"/>
      <c r="M154" s="24"/>
    </row>
    <row r="155" spans="1:13" ht="15" x14ac:dyDescent="0.15">
      <c r="A155" s="12"/>
      <c r="B155" s="18"/>
      <c r="C155" s="18"/>
      <c r="D155" s="18"/>
      <c r="E155" s="9"/>
      <c r="F155" s="20"/>
      <c r="G155" s="21"/>
      <c r="H155" s="35" t="str">
        <f t="shared" si="3"/>
        <v/>
      </c>
      <c r="I155" s="22"/>
      <c r="J155" s="12"/>
      <c r="K155" s="23"/>
      <c r="L155" s="29"/>
      <c r="M155" s="24"/>
    </row>
    <row r="156" spans="1:13" ht="15" x14ac:dyDescent="0.15">
      <c r="A156" s="12"/>
      <c r="B156" s="18"/>
      <c r="C156" s="18"/>
      <c r="D156" s="18"/>
      <c r="E156" s="9"/>
      <c r="F156" s="20"/>
      <c r="G156" s="21"/>
      <c r="H156" s="35" t="str">
        <f t="shared" si="3"/>
        <v/>
      </c>
      <c r="I156" s="22"/>
      <c r="J156" s="12"/>
      <c r="K156" s="23"/>
      <c r="L156" s="29"/>
      <c r="M156" s="24"/>
    </row>
    <row r="157" spans="1:13" ht="15" x14ac:dyDescent="0.15">
      <c r="A157" s="12"/>
      <c r="B157" s="18"/>
      <c r="C157" s="18"/>
      <c r="D157" s="18"/>
      <c r="E157" s="9"/>
      <c r="F157" s="20"/>
      <c r="G157" s="21"/>
      <c r="H157" s="35" t="str">
        <f t="shared" si="3"/>
        <v/>
      </c>
      <c r="I157" s="22"/>
      <c r="J157" s="12"/>
      <c r="K157" s="23"/>
      <c r="L157" s="29"/>
      <c r="M157" s="24"/>
    </row>
    <row r="158" spans="1:13" ht="15" x14ac:dyDescent="0.15">
      <c r="A158" s="12"/>
      <c r="B158" s="18"/>
      <c r="C158" s="18"/>
      <c r="D158" s="18"/>
      <c r="E158" s="9"/>
      <c r="F158" s="20"/>
      <c r="G158" s="21"/>
      <c r="H158" s="35" t="str">
        <f t="shared" si="3"/>
        <v/>
      </c>
      <c r="I158" s="22"/>
      <c r="J158" s="12"/>
      <c r="K158" s="23"/>
      <c r="L158" s="29"/>
      <c r="M158" s="24"/>
    </row>
    <row r="159" spans="1:13" ht="15" x14ac:dyDescent="0.15">
      <c r="A159" s="12"/>
      <c r="B159" s="18"/>
      <c r="C159" s="18"/>
      <c r="D159" s="18"/>
      <c r="E159" s="9"/>
      <c r="F159" s="20"/>
      <c r="G159" s="21"/>
      <c r="H159" s="35" t="str">
        <f t="shared" si="3"/>
        <v/>
      </c>
      <c r="I159" s="22"/>
      <c r="J159" s="12"/>
      <c r="K159" s="23"/>
      <c r="L159" s="29"/>
      <c r="M159" s="24"/>
    </row>
    <row r="160" spans="1:13" ht="15" x14ac:dyDescent="0.15">
      <c r="A160" s="12"/>
      <c r="B160" s="18"/>
      <c r="C160" s="18"/>
      <c r="D160" s="18"/>
      <c r="E160" s="9"/>
      <c r="F160" s="20"/>
      <c r="G160" s="21"/>
      <c r="H160" s="35" t="str">
        <f t="shared" si="3"/>
        <v/>
      </c>
      <c r="I160" s="22"/>
      <c r="J160" s="12"/>
      <c r="K160" s="23"/>
      <c r="L160" s="29"/>
      <c r="M160" s="24"/>
    </row>
    <row r="161" spans="1:13" ht="15" x14ac:dyDescent="0.15">
      <c r="A161" s="12"/>
      <c r="B161" s="18"/>
      <c r="C161" s="18"/>
      <c r="D161" s="18"/>
      <c r="E161" s="9"/>
      <c r="F161" s="20"/>
      <c r="G161" s="21"/>
      <c r="H161" s="35" t="str">
        <f t="shared" si="3"/>
        <v/>
      </c>
      <c r="I161" s="22"/>
      <c r="J161" s="12"/>
      <c r="K161" s="23"/>
      <c r="L161" s="29"/>
      <c r="M161" s="24"/>
    </row>
    <row r="162" spans="1:13" ht="15" x14ac:dyDescent="0.15">
      <c r="A162" s="12"/>
      <c r="B162" s="18"/>
      <c r="C162" s="18"/>
      <c r="D162" s="18"/>
      <c r="E162" s="9"/>
      <c r="F162" s="20"/>
      <c r="G162" s="21"/>
      <c r="H162" s="35" t="str">
        <f t="shared" si="3"/>
        <v/>
      </c>
      <c r="I162" s="22"/>
      <c r="J162" s="12"/>
      <c r="K162" s="23"/>
      <c r="L162" s="29"/>
      <c r="M162" s="24"/>
    </row>
    <row r="163" spans="1:13" ht="15" x14ac:dyDescent="0.15">
      <c r="A163" s="12"/>
      <c r="B163" s="18"/>
      <c r="C163" s="18"/>
      <c r="D163" s="18"/>
      <c r="E163" s="9"/>
      <c r="F163" s="20"/>
      <c r="G163" s="21"/>
      <c r="H163" s="35" t="str">
        <f t="shared" si="3"/>
        <v/>
      </c>
      <c r="I163" s="22"/>
      <c r="J163" s="12"/>
      <c r="K163" s="23"/>
      <c r="L163" s="29"/>
      <c r="M163" s="24"/>
    </row>
    <row r="164" spans="1:13" ht="15" x14ac:dyDescent="0.15">
      <c r="A164" s="12"/>
      <c r="B164" s="18"/>
      <c r="C164" s="18"/>
      <c r="D164" s="18"/>
      <c r="E164" s="9"/>
      <c r="F164" s="20"/>
      <c r="G164" s="21"/>
      <c r="H164" s="35" t="str">
        <f t="shared" si="3"/>
        <v/>
      </c>
      <c r="I164" s="22"/>
      <c r="J164" s="12"/>
      <c r="K164" s="23"/>
      <c r="L164" s="29"/>
      <c r="M164" s="24"/>
    </row>
    <row r="165" spans="1:13" ht="15" x14ac:dyDescent="0.15">
      <c r="A165" s="12"/>
      <c r="B165" s="18"/>
      <c r="C165" s="18"/>
      <c r="D165" s="18"/>
      <c r="E165" s="9"/>
      <c r="F165" s="20"/>
      <c r="G165" s="21"/>
      <c r="H165" s="35" t="str">
        <f t="shared" si="3"/>
        <v/>
      </c>
      <c r="I165" s="22"/>
      <c r="J165" s="12"/>
      <c r="K165" s="23"/>
      <c r="L165" s="29"/>
      <c r="M165" s="24"/>
    </row>
    <row r="166" spans="1:13" ht="15" x14ac:dyDescent="0.15">
      <c r="A166" s="12"/>
      <c r="B166" s="18"/>
      <c r="C166" s="18"/>
      <c r="D166" s="18"/>
      <c r="E166" s="9"/>
      <c r="F166" s="20"/>
      <c r="G166" s="21"/>
      <c r="H166" s="35" t="str">
        <f t="shared" si="3"/>
        <v/>
      </c>
      <c r="I166" s="22"/>
      <c r="J166" s="12"/>
      <c r="K166" s="23"/>
      <c r="L166" s="29"/>
      <c r="M166" s="24"/>
    </row>
    <row r="167" spans="1:13" ht="15" x14ac:dyDescent="0.15">
      <c r="A167" s="12"/>
      <c r="B167" s="18"/>
      <c r="C167" s="18"/>
      <c r="D167" s="18"/>
      <c r="E167" s="9"/>
      <c r="F167" s="20"/>
      <c r="G167" s="21"/>
      <c r="H167" s="35" t="str">
        <f t="shared" si="3"/>
        <v/>
      </c>
      <c r="I167" s="22"/>
      <c r="J167" s="12"/>
      <c r="K167" s="23"/>
      <c r="L167" s="29"/>
      <c r="M167" s="24"/>
    </row>
    <row r="168" spans="1:13" ht="15" x14ac:dyDescent="0.15">
      <c r="A168" s="12"/>
      <c r="B168" s="18"/>
      <c r="C168" s="18"/>
      <c r="D168" s="18"/>
      <c r="E168" s="9"/>
      <c r="F168" s="20"/>
      <c r="G168" s="21"/>
      <c r="H168" s="35" t="str">
        <f t="shared" si="3"/>
        <v/>
      </c>
      <c r="I168" s="22"/>
      <c r="J168" s="12"/>
      <c r="K168" s="23"/>
      <c r="L168" s="29"/>
      <c r="M168" s="24"/>
    </row>
    <row r="169" spans="1:13" ht="15" x14ac:dyDescent="0.15">
      <c r="A169" s="12"/>
      <c r="B169" s="18"/>
      <c r="C169" s="18"/>
      <c r="D169" s="18"/>
      <c r="E169" s="9"/>
      <c r="F169" s="20"/>
      <c r="G169" s="21"/>
      <c r="H169" s="35" t="str">
        <f t="shared" si="3"/>
        <v/>
      </c>
      <c r="I169" s="22"/>
      <c r="J169" s="12"/>
      <c r="K169" s="23"/>
      <c r="L169" s="29"/>
      <c r="M169" s="24"/>
    </row>
    <row r="170" spans="1:13" ht="15" x14ac:dyDescent="0.15">
      <c r="A170" s="12"/>
      <c r="B170" s="18"/>
      <c r="C170" s="18"/>
      <c r="D170" s="18"/>
      <c r="E170" s="9"/>
      <c r="F170" s="20"/>
      <c r="G170" s="21"/>
      <c r="H170" s="35" t="str">
        <f t="shared" ref="H170:H177" si="4">IF(G170="","",(F170*100000000+G170)-7*INT((F170*100000000+G170)/7))</f>
        <v/>
      </c>
      <c r="I170" s="22"/>
      <c r="J170" s="12"/>
      <c r="K170" s="23"/>
      <c r="L170" s="29"/>
      <c r="M170" s="24"/>
    </row>
    <row r="171" spans="1:13" ht="15" x14ac:dyDescent="0.15">
      <c r="A171" s="12"/>
      <c r="B171" s="18"/>
      <c r="C171" s="18"/>
      <c r="D171" s="18"/>
      <c r="E171" s="9"/>
      <c r="F171" s="20"/>
      <c r="G171" s="21"/>
      <c r="H171" s="35" t="str">
        <f t="shared" si="4"/>
        <v/>
      </c>
      <c r="I171" s="22"/>
      <c r="J171" s="12"/>
      <c r="K171" s="23"/>
      <c r="L171" s="29"/>
      <c r="M171" s="24"/>
    </row>
    <row r="172" spans="1:13" ht="15" x14ac:dyDescent="0.15">
      <c r="A172" s="12"/>
      <c r="B172" s="18"/>
      <c r="C172" s="18"/>
      <c r="D172" s="18"/>
      <c r="E172" s="9"/>
      <c r="F172" s="20"/>
      <c r="G172" s="21"/>
      <c r="H172" s="35" t="str">
        <f t="shared" si="4"/>
        <v/>
      </c>
      <c r="I172" s="22"/>
      <c r="J172" s="12"/>
      <c r="K172" s="23"/>
      <c r="L172" s="29"/>
      <c r="M172" s="24"/>
    </row>
    <row r="173" spans="1:13" ht="15" x14ac:dyDescent="0.15">
      <c r="A173" s="12"/>
      <c r="B173" s="18"/>
      <c r="C173" s="18"/>
      <c r="D173" s="18"/>
      <c r="E173" s="9"/>
      <c r="F173" s="20"/>
      <c r="G173" s="21"/>
      <c r="H173" s="35" t="str">
        <f t="shared" si="4"/>
        <v/>
      </c>
      <c r="I173" s="22"/>
      <c r="J173" s="12"/>
      <c r="K173" s="23"/>
      <c r="L173" s="29"/>
      <c r="M173" s="24"/>
    </row>
    <row r="174" spans="1:13" ht="15" x14ac:dyDescent="0.15">
      <c r="A174" s="12"/>
      <c r="B174" s="18"/>
      <c r="C174" s="18"/>
      <c r="D174" s="18"/>
      <c r="E174" s="9"/>
      <c r="F174" s="20"/>
      <c r="G174" s="21"/>
      <c r="H174" s="35" t="str">
        <f t="shared" si="4"/>
        <v/>
      </c>
      <c r="I174" s="22"/>
      <c r="J174" s="12"/>
      <c r="K174" s="23"/>
      <c r="L174" s="29"/>
      <c r="M174" s="24"/>
    </row>
    <row r="175" spans="1:13" ht="15" x14ac:dyDescent="0.15">
      <c r="A175" s="12"/>
      <c r="B175" s="18"/>
      <c r="C175" s="18"/>
      <c r="D175" s="18"/>
      <c r="E175" s="9"/>
      <c r="F175" s="20"/>
      <c r="G175" s="21"/>
      <c r="H175" s="35" t="str">
        <f t="shared" si="4"/>
        <v/>
      </c>
      <c r="I175" s="22"/>
      <c r="J175" s="12"/>
      <c r="K175" s="23"/>
      <c r="L175" s="29"/>
      <c r="M175" s="24"/>
    </row>
    <row r="176" spans="1:13" ht="15" x14ac:dyDescent="0.15">
      <c r="A176" s="12"/>
      <c r="B176" s="18"/>
      <c r="C176" s="18"/>
      <c r="D176" s="18"/>
      <c r="E176" s="9"/>
      <c r="F176" s="20"/>
      <c r="G176" s="21"/>
      <c r="H176" s="35" t="str">
        <f t="shared" si="4"/>
        <v/>
      </c>
      <c r="I176" s="22"/>
      <c r="J176" s="12"/>
      <c r="K176" s="23"/>
      <c r="L176" s="29"/>
      <c r="M176" s="24"/>
    </row>
    <row r="177" spans="1:13" ht="15" x14ac:dyDescent="0.15">
      <c r="A177" s="12"/>
      <c r="B177" s="18"/>
      <c r="C177" s="18"/>
      <c r="D177" s="18"/>
      <c r="E177" s="9"/>
      <c r="F177" s="20"/>
      <c r="G177" s="21"/>
      <c r="H177" s="35" t="str">
        <f t="shared" si="4"/>
        <v/>
      </c>
      <c r="I177" s="22"/>
      <c r="J177" s="12"/>
      <c r="K177" s="23"/>
      <c r="L177" s="29"/>
      <c r="M177" s="24"/>
    </row>
    <row r="178" spans="1:13" ht="15" x14ac:dyDescent="0.15">
      <c r="M178" s="24"/>
    </row>
    <row r="179" spans="1:13" ht="15" x14ac:dyDescent="0.15">
      <c r="M179" s="24"/>
    </row>
    <row r="180" spans="1:13" ht="15" x14ac:dyDescent="0.15">
      <c r="M180" s="24"/>
    </row>
    <row r="181" spans="1:13" ht="15" x14ac:dyDescent="0.15">
      <c r="M181" s="24"/>
    </row>
    <row r="182" spans="1:13" ht="15" x14ac:dyDescent="0.15">
      <c r="M182" s="24"/>
    </row>
    <row r="183" spans="1:13" ht="15" x14ac:dyDescent="0.15">
      <c r="M183" s="24"/>
    </row>
    <row r="184" spans="1:13" x14ac:dyDescent="0.15">
      <c r="M184" s="29"/>
    </row>
    <row r="185" spans="1:13" x14ac:dyDescent="0.15">
      <c r="M185" s="29"/>
    </row>
    <row r="186" spans="1:13" x14ac:dyDescent="0.15">
      <c r="M186" s="29"/>
    </row>
    <row r="187" spans="1:13" x14ac:dyDescent="0.15">
      <c r="M187" s="29"/>
    </row>
    <row r="188" spans="1:13" x14ac:dyDescent="0.15">
      <c r="M188" s="29"/>
    </row>
    <row r="189" spans="1:13" x14ac:dyDescent="0.15">
      <c r="M189" s="29"/>
    </row>
    <row r="190" spans="1:13" x14ac:dyDescent="0.15">
      <c r="M190" s="29"/>
    </row>
    <row r="191" spans="1:13" x14ac:dyDescent="0.15">
      <c r="M191" s="29"/>
    </row>
    <row r="192" spans="1:13" x14ac:dyDescent="0.15">
      <c r="M192" s="29"/>
    </row>
    <row r="193" spans="13:13" x14ac:dyDescent="0.15">
      <c r="M193" s="29"/>
    </row>
    <row r="194" spans="13:13" x14ac:dyDescent="0.15">
      <c r="M194" s="29"/>
    </row>
    <row r="195" spans="13:13" x14ac:dyDescent="0.15">
      <c r="M195" s="29"/>
    </row>
    <row r="196" spans="13:13" x14ac:dyDescent="0.15">
      <c r="M196" s="29"/>
    </row>
    <row r="197" spans="13:13" x14ac:dyDescent="0.15">
      <c r="M197" s="29"/>
    </row>
    <row r="198" spans="13:13" x14ac:dyDescent="0.15">
      <c r="M198" s="29"/>
    </row>
    <row r="199" spans="13:13" x14ac:dyDescent="0.15">
      <c r="M199" s="29"/>
    </row>
    <row r="200" spans="13:13" x14ac:dyDescent="0.15">
      <c r="M200" s="29"/>
    </row>
    <row r="201" spans="13:13" x14ac:dyDescent="0.15">
      <c r="M201" s="29"/>
    </row>
    <row r="202" spans="13:13" x14ac:dyDescent="0.15">
      <c r="M202" s="29"/>
    </row>
    <row r="203" spans="13:13" x14ac:dyDescent="0.15">
      <c r="M203" s="29"/>
    </row>
    <row r="204" spans="13:13" x14ac:dyDescent="0.15">
      <c r="M204" s="29"/>
    </row>
    <row r="205" spans="13:13" x14ac:dyDescent="0.15">
      <c r="M205" s="29"/>
    </row>
    <row r="206" spans="13:13" x14ac:dyDescent="0.15">
      <c r="M206" s="29"/>
    </row>
    <row r="207" spans="13:13" x14ac:dyDescent="0.15">
      <c r="M207" s="29"/>
    </row>
    <row r="208" spans="13:13" x14ac:dyDescent="0.15">
      <c r="M208" s="29"/>
    </row>
    <row r="209" spans="13:13" x14ac:dyDescent="0.15">
      <c r="M209" s="29"/>
    </row>
    <row r="210" spans="13:13" x14ac:dyDescent="0.15">
      <c r="M210" s="29"/>
    </row>
  </sheetData>
  <mergeCells count="5">
    <mergeCell ref="F9:H9"/>
    <mergeCell ref="A4:B4"/>
    <mergeCell ref="A1:M1"/>
    <mergeCell ref="A3:D3"/>
    <mergeCell ref="A2:D2"/>
  </mergeCells>
  <phoneticPr fontId="1"/>
  <dataValidations count="2">
    <dataValidation imeMode="on" allowBlank="1" showInputMessage="1" showErrorMessage="1" sqref="D108:E111 C112:D254 E112:E177 C10:E107" xr:uid="{1C230270-3E2C-4BD7-86CF-9C1D4DB65362}"/>
    <dataValidation imeMode="disabled" allowBlank="1" showInputMessage="1" showErrorMessage="1" sqref="C108 A109:C111 A112:B177 A10:B108 F10:K177" xr:uid="{B96518B4-05AA-424B-A533-D562236B66E7}"/>
  </dataValidations>
  <printOptions horizontalCentered="1"/>
  <pageMargins left="0.39370078740157483" right="0.39370078740157483" top="0.78740157480314965" bottom="0.78740157480314965" header="0" footer="0"/>
  <pageSetup paperSize="9" orientation="portrait" horizontalDpi="4294967293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9218-E005-4924-BD19-6ADBE8346CAD}">
  <sheetPr>
    <tabColor rgb="FF00B0F0"/>
  </sheetPr>
  <dimension ref="A1:N225"/>
  <sheetViews>
    <sheetView workbookViewId="0">
      <pane ySplit="9" topLeftCell="A10" activePane="bottomLeft" state="frozen"/>
      <selection pane="bottomLeft" activeCell="N1" sqref="N1"/>
    </sheetView>
  </sheetViews>
  <sheetFormatPr defaultRowHeight="14.25" x14ac:dyDescent="0.15"/>
  <cols>
    <col min="1" max="1" width="5.25" style="6" customWidth="1"/>
    <col min="2" max="2" width="7" style="6" customWidth="1"/>
    <col min="3" max="4" width="4" style="6" customWidth="1"/>
    <col min="5" max="5" width="23.5" style="6" customWidth="1"/>
    <col min="6" max="6" width="6.25" style="6" customWidth="1"/>
    <col min="7" max="7" width="10.5" style="6" customWidth="1"/>
    <col min="8" max="8" width="2.125" style="6" customWidth="1"/>
    <col min="9" max="9" width="7" style="6" customWidth="1"/>
    <col min="10" max="10" width="5" style="6" customWidth="1"/>
    <col min="11" max="11" width="10.375" style="30" customWidth="1"/>
    <col min="12" max="13" width="4.625" style="6" customWidth="1"/>
    <col min="14" max="14" width="11.625" style="6" bestFit="1" customWidth="1"/>
    <col min="15" max="16384" width="9" style="6"/>
  </cols>
  <sheetData>
    <row r="1" spans="1:14" s="1" customFormat="1" ht="19.5" customHeight="1" x14ac:dyDescent="0.15">
      <c r="A1" s="80" t="str">
        <f>[1]Sheet1!$B$2&amp;"年度家電リサイクル一覧表　　（Ａグループ）"</f>
        <v>2026年度家電リサイクル一覧表　　（Ａグループ）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</row>
    <row r="2" spans="1:14" s="1" customFormat="1" ht="19.5" customHeight="1" x14ac:dyDescent="0.15">
      <c r="A2" s="4"/>
      <c r="B2" s="4"/>
      <c r="C2" s="4"/>
      <c r="D2" s="4"/>
      <c r="E2" s="2" t="s">
        <v>14</v>
      </c>
      <c r="F2" s="2" t="s">
        <v>19</v>
      </c>
      <c r="G2" s="4"/>
      <c r="H2" s="4"/>
      <c r="I2" s="4"/>
      <c r="J2" s="4"/>
      <c r="K2" s="15"/>
      <c r="L2" s="4"/>
      <c r="M2" s="4"/>
    </row>
    <row r="3" spans="1:14" s="1" customFormat="1" ht="19.5" customHeight="1" x14ac:dyDescent="0.15">
      <c r="A3" s="80" t="s">
        <v>11</v>
      </c>
      <c r="B3" s="80"/>
      <c r="C3" s="4"/>
      <c r="D3" s="4"/>
      <c r="E3" s="31" t="s">
        <v>40</v>
      </c>
      <c r="F3" s="11">
        <f>COUNTIF(J10:J185,10)</f>
        <v>0</v>
      </c>
      <c r="G3" s="10"/>
      <c r="H3" s="4"/>
      <c r="I3" s="4"/>
      <c r="J3" s="4"/>
      <c r="K3" s="15"/>
    </row>
    <row r="4" spans="1:14" s="1" customFormat="1" ht="19.5" customHeight="1" x14ac:dyDescent="0.15">
      <c r="A4" s="80" t="s">
        <v>10</v>
      </c>
      <c r="B4" s="80"/>
      <c r="C4" s="4"/>
      <c r="D4" s="4"/>
      <c r="E4" s="31" t="s">
        <v>9</v>
      </c>
      <c r="F4" s="11">
        <f>COUNTIF(J10:J185,20)+COUNTIF(J10:J185,21)+COUNTIF(J10:J185,22)+COUNTIF(J10:J185,51)+COUNTIF(J10:J185,52)+COUNTIF(J10:J185,50)</f>
        <v>0</v>
      </c>
      <c r="G4" s="10"/>
      <c r="H4" s="4"/>
      <c r="J4" s="4"/>
      <c r="K4" s="15"/>
    </row>
    <row r="5" spans="1:14" s="1" customFormat="1" ht="19.5" customHeight="1" x14ac:dyDescent="0.15">
      <c r="A5" s="4"/>
      <c r="B5" s="4" t="s">
        <v>44</v>
      </c>
      <c r="C5" s="4"/>
      <c r="D5" s="4"/>
      <c r="E5" s="31" t="s">
        <v>7</v>
      </c>
      <c r="F5" s="11">
        <f>COUNTIF(J10:J185,30)+COUNTIF(J10:J185,31)+COUNTIF(J10:J185,32)</f>
        <v>0</v>
      </c>
      <c r="G5" s="10"/>
      <c r="H5" s="4"/>
      <c r="I5" s="4"/>
      <c r="J5" s="4"/>
      <c r="K5" s="15"/>
      <c r="N5" s="13"/>
    </row>
    <row r="6" spans="1:14" s="1" customFormat="1" ht="19.5" customHeight="1" x14ac:dyDescent="0.15">
      <c r="A6" s="4"/>
      <c r="B6" s="4"/>
      <c r="C6" s="4"/>
      <c r="D6" s="4"/>
      <c r="E6" s="31" t="s">
        <v>8</v>
      </c>
      <c r="F6" s="11">
        <f>COUNTIF(J10:J185,40)</f>
        <v>0</v>
      </c>
      <c r="G6" s="10"/>
      <c r="H6" s="4"/>
      <c r="I6" s="4"/>
      <c r="J6" s="4"/>
      <c r="K6" s="15"/>
      <c r="N6" s="13"/>
    </row>
    <row r="7" spans="1:14" s="1" customFormat="1" ht="19.5" customHeight="1" x14ac:dyDescent="0.15">
      <c r="A7" s="4"/>
      <c r="B7" s="4"/>
      <c r="C7" s="4"/>
      <c r="D7" s="4"/>
      <c r="E7" s="2" t="s">
        <v>13</v>
      </c>
      <c r="F7" s="11">
        <f>SUM(F3:F6)</f>
        <v>0</v>
      </c>
      <c r="G7" s="10"/>
      <c r="H7" s="4"/>
      <c r="I7" s="4"/>
      <c r="J7" s="4"/>
      <c r="K7" s="15"/>
    </row>
    <row r="8" spans="1:14" ht="7.5" customHeight="1" x14ac:dyDescent="0.15">
      <c r="A8" s="5"/>
      <c r="B8" s="5"/>
      <c r="C8" s="5"/>
      <c r="D8" s="5"/>
      <c r="E8" s="5"/>
      <c r="F8" s="19"/>
      <c r="G8" s="19"/>
      <c r="H8" s="5"/>
      <c r="I8" s="5"/>
      <c r="J8" s="5"/>
      <c r="K8" s="16"/>
      <c r="L8" s="5"/>
      <c r="M8" s="5"/>
    </row>
    <row r="9" spans="1:14" s="8" customFormat="1" ht="21" customHeight="1" x14ac:dyDescent="0.15">
      <c r="A9" s="7" t="s">
        <v>1</v>
      </c>
      <c r="B9" s="7" t="s">
        <v>5</v>
      </c>
      <c r="C9" s="7" t="s">
        <v>16</v>
      </c>
      <c r="D9" s="7" t="s">
        <v>17</v>
      </c>
      <c r="E9" s="7" t="s">
        <v>6</v>
      </c>
      <c r="F9" s="75" t="s">
        <v>0</v>
      </c>
      <c r="G9" s="75"/>
      <c r="H9" s="75"/>
      <c r="I9" s="7" t="s">
        <v>2</v>
      </c>
      <c r="J9" s="7" t="s">
        <v>3</v>
      </c>
      <c r="K9" s="17" t="s">
        <v>4</v>
      </c>
      <c r="L9" s="7" t="s">
        <v>15</v>
      </c>
      <c r="M9" s="7" t="s">
        <v>39</v>
      </c>
    </row>
    <row r="10" spans="1:14" ht="21" customHeight="1" x14ac:dyDescent="0.15">
      <c r="A10" s="12">
        <v>1</v>
      </c>
      <c r="B10" s="18"/>
      <c r="C10" s="18"/>
      <c r="D10" s="18"/>
      <c r="E10" s="9"/>
      <c r="F10" s="20"/>
      <c r="G10" s="21"/>
      <c r="H10" s="35" t="str">
        <f t="shared" ref="H10:H19" si="0">IF(G10="","",(F10*100000000+G10)-7*INT((F10*100000000+G10)/7))</f>
        <v/>
      </c>
      <c r="I10" s="22"/>
      <c r="J10" s="12"/>
      <c r="K10" s="23"/>
      <c r="L10" s="32"/>
      <c r="M10" s="32"/>
    </row>
    <row r="11" spans="1:14" ht="21" customHeight="1" x14ac:dyDescent="0.15">
      <c r="A11" s="12">
        <v>2</v>
      </c>
      <c r="B11" s="18"/>
      <c r="C11" s="18"/>
      <c r="D11" s="18"/>
      <c r="E11" s="73"/>
      <c r="F11" s="20"/>
      <c r="G11" s="21"/>
      <c r="H11" s="35" t="str">
        <f t="shared" si="0"/>
        <v/>
      </c>
      <c r="I11" s="22"/>
      <c r="J11" s="12"/>
      <c r="K11" s="23"/>
      <c r="L11" s="32"/>
      <c r="M11" s="32"/>
    </row>
    <row r="12" spans="1:14" ht="21" customHeight="1" x14ac:dyDescent="0.15">
      <c r="A12" s="12">
        <v>3</v>
      </c>
      <c r="B12" s="18"/>
      <c r="C12" s="18"/>
      <c r="D12" s="18"/>
      <c r="E12" s="73"/>
      <c r="F12" s="25"/>
      <c r="G12" s="26"/>
      <c r="H12" s="35" t="str">
        <f t="shared" si="0"/>
        <v/>
      </c>
      <c r="I12" s="22"/>
      <c r="J12" s="12"/>
      <c r="K12" s="23"/>
      <c r="L12" s="32"/>
      <c r="M12" s="49"/>
      <c r="N12" s="14"/>
    </row>
    <row r="13" spans="1:14" ht="21" customHeight="1" x14ac:dyDescent="0.15">
      <c r="A13" s="12">
        <v>4</v>
      </c>
      <c r="B13" s="18"/>
      <c r="C13" s="18"/>
      <c r="D13" s="18"/>
      <c r="E13" s="73"/>
      <c r="F13" s="25"/>
      <c r="G13" s="26"/>
      <c r="H13" s="35" t="str">
        <f t="shared" si="0"/>
        <v/>
      </c>
      <c r="I13" s="22"/>
      <c r="J13" s="12"/>
      <c r="K13" s="23"/>
      <c r="L13" s="32"/>
      <c r="M13" s="32"/>
    </row>
    <row r="14" spans="1:14" ht="21" customHeight="1" x14ac:dyDescent="0.15">
      <c r="A14" s="12">
        <v>5</v>
      </c>
      <c r="B14" s="18"/>
      <c r="C14" s="18"/>
      <c r="D14" s="18"/>
      <c r="E14" s="73"/>
      <c r="F14" s="20"/>
      <c r="G14" s="21"/>
      <c r="H14" s="35" t="str">
        <f t="shared" si="0"/>
        <v/>
      </c>
      <c r="I14" s="22"/>
      <c r="J14" s="12"/>
      <c r="K14" s="23"/>
      <c r="L14" s="32"/>
      <c r="M14" s="32"/>
    </row>
    <row r="15" spans="1:14" ht="21" customHeight="1" x14ac:dyDescent="0.15">
      <c r="A15" s="12">
        <v>6</v>
      </c>
      <c r="B15" s="18"/>
      <c r="C15" s="18"/>
      <c r="D15" s="18"/>
      <c r="E15" s="9"/>
      <c r="F15" s="20"/>
      <c r="G15" s="26"/>
      <c r="H15" s="35" t="str">
        <f t="shared" si="0"/>
        <v/>
      </c>
      <c r="I15" s="22"/>
      <c r="J15" s="12"/>
      <c r="K15" s="23"/>
      <c r="L15" s="32"/>
      <c r="M15" s="32"/>
    </row>
    <row r="16" spans="1:14" ht="21" customHeight="1" x14ac:dyDescent="0.15">
      <c r="A16" s="12">
        <v>7</v>
      </c>
      <c r="B16" s="18"/>
      <c r="C16" s="18"/>
      <c r="D16" s="18"/>
      <c r="E16" s="9"/>
      <c r="F16" s="20"/>
      <c r="G16" s="21"/>
      <c r="H16" s="35" t="str">
        <f t="shared" si="0"/>
        <v/>
      </c>
      <c r="I16" s="22"/>
      <c r="J16" s="12"/>
      <c r="K16" s="23"/>
      <c r="L16" s="32"/>
      <c r="M16" s="32"/>
    </row>
    <row r="17" spans="1:13" ht="21" customHeight="1" x14ac:dyDescent="0.15">
      <c r="A17" s="12">
        <v>8</v>
      </c>
      <c r="B17" s="18"/>
      <c r="C17" s="18"/>
      <c r="D17" s="18"/>
      <c r="E17" s="9"/>
      <c r="F17" s="20"/>
      <c r="G17" s="21"/>
      <c r="H17" s="35" t="str">
        <f t="shared" si="0"/>
        <v/>
      </c>
      <c r="I17" s="22"/>
      <c r="J17" s="12"/>
      <c r="K17" s="23"/>
      <c r="L17" s="32"/>
      <c r="M17" s="32"/>
    </row>
    <row r="18" spans="1:13" ht="21" customHeight="1" x14ac:dyDescent="0.15">
      <c r="A18" s="12">
        <v>9</v>
      </c>
      <c r="B18" s="18"/>
      <c r="C18" s="18"/>
      <c r="D18" s="18"/>
      <c r="E18" s="9"/>
      <c r="F18" s="20"/>
      <c r="G18" s="21"/>
      <c r="H18" s="35" t="str">
        <f t="shared" si="0"/>
        <v/>
      </c>
      <c r="I18" s="22"/>
      <c r="J18" s="12"/>
      <c r="K18" s="23"/>
      <c r="L18" s="32"/>
      <c r="M18" s="32"/>
    </row>
    <row r="19" spans="1:13" ht="21" customHeight="1" x14ac:dyDescent="0.15">
      <c r="A19" s="12">
        <v>10</v>
      </c>
      <c r="B19" s="18"/>
      <c r="C19" s="18"/>
      <c r="D19" s="18"/>
      <c r="E19" s="9"/>
      <c r="F19" s="20"/>
      <c r="G19" s="21"/>
      <c r="H19" s="35" t="str">
        <f t="shared" si="0"/>
        <v/>
      </c>
      <c r="I19" s="22"/>
      <c r="J19" s="12"/>
      <c r="K19" s="23"/>
      <c r="L19" s="32"/>
      <c r="M19" s="32"/>
    </row>
    <row r="20" spans="1:13" ht="21" customHeight="1" x14ac:dyDescent="0.15">
      <c r="A20" s="12">
        <v>11</v>
      </c>
      <c r="B20" s="18"/>
      <c r="C20" s="18"/>
      <c r="D20" s="18"/>
      <c r="E20" s="9"/>
      <c r="F20" s="20"/>
      <c r="G20" s="21"/>
      <c r="H20" s="35" t="str">
        <f t="shared" ref="H20:H92" si="1">IF(G20="","",(F20*100000000+G20)-7*INT((F20*100000000+G20)/7))</f>
        <v/>
      </c>
      <c r="I20" s="22"/>
      <c r="J20" s="12"/>
      <c r="K20" s="23"/>
      <c r="L20" s="32"/>
      <c r="M20" s="32"/>
    </row>
    <row r="21" spans="1:13" ht="21" customHeight="1" x14ac:dyDescent="0.15">
      <c r="A21" s="12">
        <v>12</v>
      </c>
      <c r="B21" s="18"/>
      <c r="C21" s="18"/>
      <c r="D21" s="18"/>
      <c r="E21" s="9"/>
      <c r="F21" s="20"/>
      <c r="G21" s="21"/>
      <c r="H21" s="35" t="str">
        <f t="shared" si="1"/>
        <v/>
      </c>
      <c r="I21" s="22"/>
      <c r="J21" s="12"/>
      <c r="K21" s="23"/>
      <c r="L21" s="32"/>
      <c r="M21" s="32"/>
    </row>
    <row r="22" spans="1:13" ht="21" customHeight="1" x14ac:dyDescent="0.15">
      <c r="A22" s="12">
        <v>13</v>
      </c>
      <c r="B22" s="18"/>
      <c r="C22" s="18"/>
      <c r="D22" s="18"/>
      <c r="E22" s="9"/>
      <c r="F22" s="20"/>
      <c r="G22" s="21"/>
      <c r="H22" s="35" t="str">
        <f t="shared" si="1"/>
        <v/>
      </c>
      <c r="I22" s="22"/>
      <c r="J22" s="12"/>
      <c r="K22" s="23"/>
      <c r="L22" s="32"/>
      <c r="M22" s="32"/>
    </row>
    <row r="23" spans="1:13" ht="21" customHeight="1" x14ac:dyDescent="0.15">
      <c r="A23" s="12">
        <v>14</v>
      </c>
      <c r="B23" s="18"/>
      <c r="C23" s="18"/>
      <c r="D23" s="18"/>
      <c r="E23" s="9"/>
      <c r="F23" s="20"/>
      <c r="G23" s="21"/>
      <c r="H23" s="35" t="str">
        <f t="shared" si="1"/>
        <v/>
      </c>
      <c r="I23" s="22"/>
      <c r="J23" s="12"/>
      <c r="K23" s="23"/>
      <c r="L23" s="32"/>
      <c r="M23" s="32"/>
    </row>
    <row r="24" spans="1:13" ht="21" customHeight="1" x14ac:dyDescent="0.15">
      <c r="A24" s="12">
        <v>15</v>
      </c>
      <c r="B24" s="18"/>
      <c r="C24" s="18"/>
      <c r="D24" s="18"/>
      <c r="E24" s="9"/>
      <c r="F24" s="20"/>
      <c r="G24" s="21"/>
      <c r="H24" s="35" t="str">
        <f t="shared" si="1"/>
        <v/>
      </c>
      <c r="I24" s="22"/>
      <c r="J24" s="12"/>
      <c r="K24" s="23"/>
      <c r="L24" s="32"/>
      <c r="M24" s="32"/>
    </row>
    <row r="25" spans="1:13" ht="21" customHeight="1" x14ac:dyDescent="0.15">
      <c r="A25" s="12">
        <v>16</v>
      </c>
      <c r="B25" s="18"/>
      <c r="C25" s="18"/>
      <c r="D25" s="18"/>
      <c r="E25" s="9"/>
      <c r="F25" s="20"/>
      <c r="G25" s="21"/>
      <c r="H25" s="35" t="str">
        <f t="shared" si="1"/>
        <v/>
      </c>
      <c r="I25" s="22"/>
      <c r="J25" s="12"/>
      <c r="K25" s="23"/>
      <c r="L25" s="32"/>
      <c r="M25" s="32"/>
    </row>
    <row r="26" spans="1:13" ht="21" customHeight="1" x14ac:dyDescent="0.15">
      <c r="A26" s="12">
        <v>17</v>
      </c>
      <c r="B26" s="18"/>
      <c r="C26" s="18"/>
      <c r="D26" s="18"/>
      <c r="E26" s="9"/>
      <c r="F26" s="20"/>
      <c r="G26" s="21"/>
      <c r="H26" s="35" t="str">
        <f t="shared" si="1"/>
        <v/>
      </c>
      <c r="I26" s="22"/>
      <c r="J26" s="12"/>
      <c r="K26" s="23"/>
      <c r="L26" s="32"/>
      <c r="M26" s="32"/>
    </row>
    <row r="27" spans="1:13" ht="21" customHeight="1" x14ac:dyDescent="0.15">
      <c r="A27" s="12">
        <v>18</v>
      </c>
      <c r="B27" s="18"/>
      <c r="C27" s="18"/>
      <c r="D27" s="18"/>
      <c r="E27" s="9"/>
      <c r="F27" s="20"/>
      <c r="G27" s="21"/>
      <c r="H27" s="35" t="str">
        <f t="shared" si="1"/>
        <v/>
      </c>
      <c r="I27" s="22"/>
      <c r="J27" s="12"/>
      <c r="K27" s="23"/>
      <c r="L27" s="32"/>
      <c r="M27" s="32"/>
    </row>
    <row r="28" spans="1:13" ht="21" customHeight="1" x14ac:dyDescent="0.15">
      <c r="A28" s="12">
        <v>19</v>
      </c>
      <c r="B28" s="18"/>
      <c r="C28" s="18"/>
      <c r="D28" s="18"/>
      <c r="E28" s="9"/>
      <c r="F28" s="20"/>
      <c r="G28" s="21"/>
      <c r="H28" s="35" t="str">
        <f t="shared" si="1"/>
        <v/>
      </c>
      <c r="I28" s="22"/>
      <c r="J28" s="12"/>
      <c r="K28" s="23"/>
      <c r="L28" s="32"/>
      <c r="M28" s="32"/>
    </row>
    <row r="29" spans="1:13" ht="21" customHeight="1" x14ac:dyDescent="0.15">
      <c r="A29" s="12">
        <v>20</v>
      </c>
      <c r="B29" s="18"/>
      <c r="C29" s="18"/>
      <c r="D29" s="18"/>
      <c r="E29" s="9"/>
      <c r="F29" s="20"/>
      <c r="G29" s="21"/>
      <c r="H29" s="35" t="str">
        <f t="shared" si="1"/>
        <v/>
      </c>
      <c r="I29" s="22"/>
      <c r="J29" s="12"/>
      <c r="K29" s="23"/>
      <c r="L29" s="32"/>
      <c r="M29" s="32"/>
    </row>
    <row r="30" spans="1:13" ht="21" customHeight="1" x14ac:dyDescent="0.15">
      <c r="A30" s="12">
        <v>21</v>
      </c>
      <c r="B30" s="18"/>
      <c r="C30" s="18"/>
      <c r="D30" s="18"/>
      <c r="E30" s="9"/>
      <c r="F30" s="20"/>
      <c r="G30" s="21"/>
      <c r="H30" s="35" t="str">
        <f t="shared" si="1"/>
        <v/>
      </c>
      <c r="I30" s="22"/>
      <c r="J30" s="12"/>
      <c r="K30" s="23"/>
      <c r="L30" s="32"/>
      <c r="M30" s="32"/>
    </row>
    <row r="31" spans="1:13" ht="21" customHeight="1" x14ac:dyDescent="0.15">
      <c r="A31" s="12">
        <v>22</v>
      </c>
      <c r="B31" s="18"/>
      <c r="C31" s="18"/>
      <c r="D31" s="18"/>
      <c r="E31" s="9"/>
      <c r="F31" s="20"/>
      <c r="G31" s="21"/>
      <c r="H31" s="35" t="str">
        <f t="shared" si="1"/>
        <v/>
      </c>
      <c r="I31" s="22"/>
      <c r="J31" s="12"/>
      <c r="K31" s="23"/>
      <c r="L31" s="32"/>
      <c r="M31" s="32"/>
    </row>
    <row r="32" spans="1:13" ht="21" customHeight="1" x14ac:dyDescent="0.15">
      <c r="A32" s="12">
        <v>23</v>
      </c>
      <c r="B32" s="18"/>
      <c r="C32" s="18"/>
      <c r="D32" s="18"/>
      <c r="E32" s="9"/>
      <c r="F32" s="20"/>
      <c r="G32" s="21"/>
      <c r="H32" s="35" t="str">
        <f t="shared" si="1"/>
        <v/>
      </c>
      <c r="I32" s="22"/>
      <c r="J32" s="12"/>
      <c r="K32" s="23"/>
      <c r="L32" s="32"/>
      <c r="M32" s="32"/>
    </row>
    <row r="33" spans="1:13" ht="21" customHeight="1" x14ac:dyDescent="0.15">
      <c r="A33" s="12">
        <v>24</v>
      </c>
      <c r="B33" s="18"/>
      <c r="C33" s="18"/>
      <c r="D33" s="18"/>
      <c r="E33" s="9"/>
      <c r="F33" s="20"/>
      <c r="G33" s="21"/>
      <c r="H33" s="35" t="str">
        <f t="shared" si="1"/>
        <v/>
      </c>
      <c r="I33" s="22"/>
      <c r="J33" s="12"/>
      <c r="K33" s="23"/>
      <c r="L33" s="32"/>
      <c r="M33" s="32"/>
    </row>
    <row r="34" spans="1:13" ht="21" customHeight="1" x14ac:dyDescent="0.15">
      <c r="A34" s="12">
        <v>25</v>
      </c>
      <c r="B34" s="18"/>
      <c r="C34" s="18"/>
      <c r="D34" s="18"/>
      <c r="E34" s="9"/>
      <c r="F34" s="20"/>
      <c r="G34" s="21"/>
      <c r="H34" s="35" t="str">
        <f t="shared" si="1"/>
        <v/>
      </c>
      <c r="I34" s="22"/>
      <c r="J34" s="12"/>
      <c r="K34" s="23"/>
      <c r="L34" s="32"/>
      <c r="M34" s="32"/>
    </row>
    <row r="35" spans="1:13" ht="21" customHeight="1" x14ac:dyDescent="0.15">
      <c r="A35" s="12">
        <v>26</v>
      </c>
      <c r="B35" s="18"/>
      <c r="C35" s="18"/>
      <c r="D35" s="18"/>
      <c r="E35" s="9"/>
      <c r="F35" s="20"/>
      <c r="G35" s="21"/>
      <c r="H35" s="35" t="str">
        <f t="shared" si="1"/>
        <v/>
      </c>
      <c r="I35" s="22"/>
      <c r="J35" s="12"/>
      <c r="K35" s="23"/>
      <c r="L35" s="32"/>
      <c r="M35" s="32"/>
    </row>
    <row r="36" spans="1:13" ht="21" customHeight="1" x14ac:dyDescent="0.15">
      <c r="A36" s="12">
        <v>27</v>
      </c>
      <c r="B36" s="18"/>
      <c r="C36" s="18"/>
      <c r="D36" s="18"/>
      <c r="E36" s="9"/>
      <c r="F36" s="20"/>
      <c r="G36" s="21"/>
      <c r="H36" s="35" t="str">
        <f t="shared" si="1"/>
        <v/>
      </c>
      <c r="I36" s="22"/>
      <c r="J36" s="12"/>
      <c r="K36" s="23"/>
      <c r="L36" s="32"/>
      <c r="M36" s="32"/>
    </row>
    <row r="37" spans="1:13" ht="21" customHeight="1" x14ac:dyDescent="0.15">
      <c r="A37" s="12">
        <v>28</v>
      </c>
      <c r="B37" s="18"/>
      <c r="C37" s="18"/>
      <c r="D37" s="18"/>
      <c r="E37" s="9"/>
      <c r="F37" s="20"/>
      <c r="G37" s="21"/>
      <c r="H37" s="35" t="str">
        <f t="shared" si="1"/>
        <v/>
      </c>
      <c r="I37" s="22"/>
      <c r="J37" s="12"/>
      <c r="K37" s="23"/>
      <c r="L37" s="32"/>
      <c r="M37" s="32"/>
    </row>
    <row r="38" spans="1:13" ht="21" customHeight="1" x14ac:dyDescent="0.15">
      <c r="A38" s="12">
        <v>29</v>
      </c>
      <c r="B38" s="18"/>
      <c r="C38" s="18"/>
      <c r="D38" s="18"/>
      <c r="E38" s="9"/>
      <c r="F38" s="20"/>
      <c r="G38" s="21"/>
      <c r="H38" s="35" t="str">
        <f t="shared" si="1"/>
        <v/>
      </c>
      <c r="I38" s="22"/>
      <c r="J38" s="12"/>
      <c r="K38" s="23"/>
      <c r="L38" s="32"/>
      <c r="M38" s="32"/>
    </row>
    <row r="39" spans="1:13" ht="21" customHeight="1" x14ac:dyDescent="0.15">
      <c r="A39" s="12">
        <v>30</v>
      </c>
      <c r="B39" s="18"/>
      <c r="C39" s="18"/>
      <c r="D39" s="18"/>
      <c r="E39" s="9"/>
      <c r="F39" s="20"/>
      <c r="G39" s="21"/>
      <c r="H39" s="35" t="str">
        <f t="shared" si="1"/>
        <v/>
      </c>
      <c r="I39" s="22"/>
      <c r="J39" s="12"/>
      <c r="K39" s="23"/>
      <c r="L39" s="32"/>
      <c r="M39" s="32"/>
    </row>
    <row r="40" spans="1:13" ht="21" customHeight="1" x14ac:dyDescent="0.15">
      <c r="A40" s="12">
        <v>31</v>
      </c>
      <c r="B40" s="18"/>
      <c r="C40" s="18"/>
      <c r="D40" s="18"/>
      <c r="E40" s="9"/>
      <c r="F40" s="20"/>
      <c r="G40" s="21"/>
      <c r="H40" s="35" t="str">
        <f t="shared" ref="H40:H47" si="2">IF(G40="","",(F40*100000000+G40)-7*INT((F40*100000000+G40)/7))</f>
        <v/>
      </c>
      <c r="I40" s="22"/>
      <c r="J40" s="12"/>
      <c r="K40" s="23"/>
      <c r="L40" s="32"/>
      <c r="M40" s="32"/>
    </row>
    <row r="41" spans="1:13" ht="21" customHeight="1" x14ac:dyDescent="0.15">
      <c r="A41" s="12">
        <v>32</v>
      </c>
      <c r="B41" s="18"/>
      <c r="C41" s="18"/>
      <c r="D41" s="18"/>
      <c r="E41" s="9"/>
      <c r="F41" s="20"/>
      <c r="G41" s="21"/>
      <c r="H41" s="35" t="str">
        <f t="shared" si="2"/>
        <v/>
      </c>
      <c r="I41" s="22"/>
      <c r="J41" s="12"/>
      <c r="K41" s="23"/>
      <c r="L41" s="32"/>
      <c r="M41" s="32"/>
    </row>
    <row r="42" spans="1:13" ht="21" customHeight="1" x14ac:dyDescent="0.15">
      <c r="A42" s="12">
        <v>33</v>
      </c>
      <c r="B42" s="18"/>
      <c r="C42" s="18"/>
      <c r="D42" s="18"/>
      <c r="E42" s="9"/>
      <c r="F42" s="20"/>
      <c r="G42" s="21"/>
      <c r="H42" s="35" t="str">
        <f t="shared" si="2"/>
        <v/>
      </c>
      <c r="I42" s="22"/>
      <c r="J42" s="12"/>
      <c r="K42" s="23"/>
      <c r="L42" s="32"/>
      <c r="M42" s="32"/>
    </row>
    <row r="43" spans="1:13" ht="21" customHeight="1" x14ac:dyDescent="0.15">
      <c r="A43" s="12">
        <v>34</v>
      </c>
      <c r="B43" s="18"/>
      <c r="C43" s="18"/>
      <c r="D43" s="18"/>
      <c r="E43" s="9"/>
      <c r="F43" s="20"/>
      <c r="G43" s="21"/>
      <c r="H43" s="35" t="str">
        <f t="shared" si="2"/>
        <v/>
      </c>
      <c r="I43" s="22"/>
      <c r="J43" s="12"/>
      <c r="K43" s="23"/>
      <c r="L43" s="32"/>
      <c r="M43" s="32"/>
    </row>
    <row r="44" spans="1:13" ht="21" customHeight="1" x14ac:dyDescent="0.15">
      <c r="A44" s="12">
        <v>35</v>
      </c>
      <c r="B44" s="18"/>
      <c r="C44" s="18"/>
      <c r="D44" s="18"/>
      <c r="E44" s="9"/>
      <c r="F44" s="20"/>
      <c r="G44" s="21"/>
      <c r="H44" s="35" t="str">
        <f t="shared" si="2"/>
        <v/>
      </c>
      <c r="I44" s="22"/>
      <c r="J44" s="12"/>
      <c r="K44" s="23"/>
      <c r="L44" s="32"/>
      <c r="M44" s="32"/>
    </row>
    <row r="45" spans="1:13" ht="21" customHeight="1" x14ac:dyDescent="0.15">
      <c r="A45" s="12">
        <v>36</v>
      </c>
      <c r="B45" s="18"/>
      <c r="C45" s="18"/>
      <c r="D45" s="18"/>
      <c r="E45" s="9"/>
      <c r="F45" s="20"/>
      <c r="G45" s="21"/>
      <c r="H45" s="35" t="str">
        <f t="shared" si="2"/>
        <v/>
      </c>
      <c r="I45" s="22"/>
      <c r="J45" s="12"/>
      <c r="K45" s="23"/>
      <c r="L45" s="32"/>
      <c r="M45" s="32"/>
    </row>
    <row r="46" spans="1:13" ht="21" customHeight="1" x14ac:dyDescent="0.15">
      <c r="A46" s="12">
        <v>37</v>
      </c>
      <c r="B46" s="18"/>
      <c r="C46" s="18"/>
      <c r="D46" s="18"/>
      <c r="E46" s="9"/>
      <c r="F46" s="20"/>
      <c r="G46" s="21"/>
      <c r="H46" s="35" t="str">
        <f t="shared" si="2"/>
        <v/>
      </c>
      <c r="I46" s="22"/>
      <c r="J46" s="12"/>
      <c r="K46" s="23"/>
      <c r="L46" s="32"/>
      <c r="M46" s="32"/>
    </row>
    <row r="47" spans="1:13" ht="21" customHeight="1" x14ac:dyDescent="0.15">
      <c r="A47" s="12">
        <v>38</v>
      </c>
      <c r="B47" s="18"/>
      <c r="C47" s="18"/>
      <c r="D47" s="18"/>
      <c r="E47" s="9"/>
      <c r="F47" s="25"/>
      <c r="G47" s="26"/>
      <c r="H47" s="35" t="str">
        <f t="shared" si="2"/>
        <v/>
      </c>
      <c r="I47" s="22"/>
      <c r="J47" s="12"/>
      <c r="K47" s="23"/>
      <c r="L47" s="32"/>
      <c r="M47" s="32"/>
    </row>
    <row r="48" spans="1:13" ht="21" customHeight="1" x14ac:dyDescent="0.15">
      <c r="A48" s="12">
        <v>39</v>
      </c>
      <c r="B48" s="18"/>
      <c r="C48" s="18"/>
      <c r="D48" s="18"/>
      <c r="E48" s="9"/>
      <c r="F48" s="20"/>
      <c r="G48" s="21"/>
      <c r="H48" s="35" t="str">
        <f t="shared" si="1"/>
        <v/>
      </c>
      <c r="I48" s="22"/>
      <c r="J48" s="12"/>
      <c r="K48" s="23"/>
      <c r="L48" s="32"/>
      <c r="M48" s="32"/>
    </row>
    <row r="49" spans="1:13" ht="21" customHeight="1" x14ac:dyDescent="0.15">
      <c r="A49" s="12">
        <v>40</v>
      </c>
      <c r="B49" s="18"/>
      <c r="C49" s="18"/>
      <c r="D49" s="18"/>
      <c r="E49" s="9"/>
      <c r="F49" s="20"/>
      <c r="G49" s="21"/>
      <c r="H49" s="35" t="str">
        <f t="shared" si="1"/>
        <v/>
      </c>
      <c r="I49" s="22"/>
      <c r="J49" s="12"/>
      <c r="K49" s="23"/>
      <c r="L49" s="32"/>
      <c r="M49" s="32"/>
    </row>
    <row r="50" spans="1:13" ht="21" customHeight="1" x14ac:dyDescent="0.15">
      <c r="A50" s="12">
        <v>41</v>
      </c>
      <c r="B50" s="18"/>
      <c r="C50" s="18"/>
      <c r="D50" s="18"/>
      <c r="E50" s="9"/>
      <c r="F50" s="20"/>
      <c r="G50" s="21"/>
      <c r="H50" s="35" t="str">
        <f t="shared" si="1"/>
        <v/>
      </c>
      <c r="I50" s="22"/>
      <c r="J50" s="12"/>
      <c r="K50" s="23"/>
      <c r="L50" s="32"/>
      <c r="M50" s="32"/>
    </row>
    <row r="51" spans="1:13" ht="21" customHeight="1" x14ac:dyDescent="0.15">
      <c r="A51" s="12">
        <v>42</v>
      </c>
      <c r="B51" s="18"/>
      <c r="C51" s="18"/>
      <c r="D51" s="18"/>
      <c r="E51" s="9"/>
      <c r="F51" s="20"/>
      <c r="G51" s="21"/>
      <c r="H51" s="35" t="str">
        <f t="shared" si="1"/>
        <v/>
      </c>
      <c r="I51" s="22"/>
      <c r="J51" s="12"/>
      <c r="K51" s="23"/>
      <c r="L51" s="32"/>
      <c r="M51" s="32"/>
    </row>
    <row r="52" spans="1:13" ht="21" customHeight="1" x14ac:dyDescent="0.15">
      <c r="A52" s="12">
        <v>43</v>
      </c>
      <c r="B52" s="18"/>
      <c r="C52" s="18"/>
      <c r="D52" s="18"/>
      <c r="E52" s="9"/>
      <c r="F52" s="20"/>
      <c r="G52" s="21"/>
      <c r="H52" s="35" t="str">
        <f t="shared" si="1"/>
        <v/>
      </c>
      <c r="I52" s="22"/>
      <c r="J52" s="12"/>
      <c r="K52" s="23"/>
      <c r="L52" s="32"/>
      <c r="M52" s="32"/>
    </row>
    <row r="53" spans="1:13" ht="21" customHeight="1" x14ac:dyDescent="0.15">
      <c r="A53" s="12">
        <v>44</v>
      </c>
      <c r="B53" s="18"/>
      <c r="C53" s="18"/>
      <c r="D53" s="18"/>
      <c r="E53" s="9"/>
      <c r="F53" s="20"/>
      <c r="G53" s="21"/>
      <c r="H53" s="35" t="str">
        <f t="shared" si="1"/>
        <v/>
      </c>
      <c r="I53" s="22"/>
      <c r="J53" s="12"/>
      <c r="K53" s="23"/>
      <c r="L53" s="32"/>
      <c r="M53" s="32"/>
    </row>
    <row r="54" spans="1:13" ht="21" customHeight="1" x14ac:dyDescent="0.15">
      <c r="A54" s="12">
        <v>45</v>
      </c>
      <c r="B54" s="18"/>
      <c r="C54" s="18"/>
      <c r="D54" s="18"/>
      <c r="E54" s="9"/>
      <c r="F54" s="20"/>
      <c r="G54" s="21"/>
      <c r="H54" s="35" t="str">
        <f t="shared" si="1"/>
        <v/>
      </c>
      <c r="I54" s="22"/>
      <c r="J54" s="12"/>
      <c r="K54" s="23"/>
      <c r="L54" s="32"/>
      <c r="M54" s="32"/>
    </row>
    <row r="55" spans="1:13" ht="21" customHeight="1" x14ac:dyDescent="0.15">
      <c r="A55" s="12">
        <v>46</v>
      </c>
      <c r="B55" s="18"/>
      <c r="C55" s="18"/>
      <c r="D55" s="18"/>
      <c r="E55" s="9"/>
      <c r="F55" s="20"/>
      <c r="G55" s="21"/>
      <c r="H55" s="35" t="str">
        <f t="shared" si="1"/>
        <v/>
      </c>
      <c r="I55" s="22"/>
      <c r="J55" s="12"/>
      <c r="K55" s="23"/>
      <c r="L55" s="32"/>
      <c r="M55" s="32"/>
    </row>
    <row r="56" spans="1:13" ht="21" customHeight="1" x14ac:dyDescent="0.15">
      <c r="A56" s="12">
        <v>47</v>
      </c>
      <c r="B56" s="18"/>
      <c r="C56" s="18"/>
      <c r="D56" s="18"/>
      <c r="E56" s="9"/>
      <c r="F56" s="20"/>
      <c r="G56" s="21"/>
      <c r="H56" s="35" t="str">
        <f t="shared" si="1"/>
        <v/>
      </c>
      <c r="I56" s="22"/>
      <c r="J56" s="12"/>
      <c r="K56" s="23"/>
      <c r="L56" s="32"/>
      <c r="M56" s="32"/>
    </row>
    <row r="57" spans="1:13" ht="21" customHeight="1" x14ac:dyDescent="0.15">
      <c r="A57" s="12">
        <v>48</v>
      </c>
      <c r="B57" s="18"/>
      <c r="C57" s="18"/>
      <c r="D57" s="18"/>
      <c r="E57" s="9"/>
      <c r="F57" s="20"/>
      <c r="G57" s="21"/>
      <c r="H57" s="35" t="str">
        <f t="shared" si="1"/>
        <v/>
      </c>
      <c r="I57" s="22"/>
      <c r="J57" s="12"/>
      <c r="K57" s="23"/>
      <c r="L57" s="32"/>
      <c r="M57" s="32"/>
    </row>
    <row r="58" spans="1:13" ht="21" customHeight="1" x14ac:dyDescent="0.15">
      <c r="A58" s="12">
        <v>49</v>
      </c>
      <c r="B58" s="18"/>
      <c r="C58" s="18"/>
      <c r="D58" s="18"/>
      <c r="E58" s="9"/>
      <c r="F58" s="20"/>
      <c r="G58" s="21"/>
      <c r="H58" s="35" t="str">
        <f t="shared" si="1"/>
        <v/>
      </c>
      <c r="I58" s="22"/>
      <c r="J58" s="12"/>
      <c r="K58" s="23"/>
      <c r="L58" s="32"/>
      <c r="M58" s="32"/>
    </row>
    <row r="59" spans="1:13" ht="21" customHeight="1" x14ac:dyDescent="0.15">
      <c r="A59" s="12">
        <v>50</v>
      </c>
      <c r="B59" s="18"/>
      <c r="C59" s="18"/>
      <c r="D59" s="18"/>
      <c r="E59" s="70"/>
      <c r="F59" s="20"/>
      <c r="G59" s="21"/>
      <c r="H59" s="35" t="str">
        <f t="shared" si="1"/>
        <v/>
      </c>
      <c r="I59" s="22"/>
      <c r="J59" s="12"/>
      <c r="K59" s="23"/>
      <c r="L59" s="32"/>
      <c r="M59" s="32"/>
    </row>
    <row r="60" spans="1:13" ht="21" customHeight="1" x14ac:dyDescent="0.15">
      <c r="A60" s="12">
        <v>51</v>
      </c>
      <c r="B60" s="18"/>
      <c r="C60" s="18"/>
      <c r="D60" s="18"/>
      <c r="E60" s="9"/>
      <c r="F60" s="20"/>
      <c r="G60" s="21"/>
      <c r="H60" s="35" t="str">
        <f t="shared" si="1"/>
        <v/>
      </c>
      <c r="I60" s="22"/>
      <c r="J60" s="12"/>
      <c r="K60" s="23"/>
      <c r="L60" s="32"/>
      <c r="M60" s="32"/>
    </row>
    <row r="61" spans="1:13" ht="21" customHeight="1" x14ac:dyDescent="0.15">
      <c r="A61" s="12">
        <v>52</v>
      </c>
      <c r="B61" s="18"/>
      <c r="C61" s="18"/>
      <c r="D61" s="18"/>
      <c r="E61" s="9"/>
      <c r="F61" s="20"/>
      <c r="G61" s="21"/>
      <c r="H61" s="35" t="str">
        <f t="shared" si="1"/>
        <v/>
      </c>
      <c r="I61" s="22"/>
      <c r="J61" s="12"/>
      <c r="K61" s="23"/>
      <c r="L61" s="32"/>
      <c r="M61" s="32"/>
    </row>
    <row r="62" spans="1:13" ht="21" customHeight="1" x14ac:dyDescent="0.15">
      <c r="A62" s="12">
        <v>53</v>
      </c>
      <c r="B62" s="18"/>
      <c r="C62" s="18"/>
      <c r="D62" s="18"/>
      <c r="E62" s="9"/>
      <c r="F62" s="20"/>
      <c r="G62" s="21"/>
      <c r="H62" s="35" t="str">
        <f t="shared" si="1"/>
        <v/>
      </c>
      <c r="I62" s="22"/>
      <c r="J62" s="12"/>
      <c r="K62" s="23"/>
      <c r="L62" s="32"/>
      <c r="M62" s="32"/>
    </row>
    <row r="63" spans="1:13" ht="21" customHeight="1" x14ac:dyDescent="0.15">
      <c r="A63" s="12">
        <v>54</v>
      </c>
      <c r="B63" s="18"/>
      <c r="C63" s="18"/>
      <c r="D63" s="18"/>
      <c r="E63" s="9"/>
      <c r="F63" s="20"/>
      <c r="G63" s="21"/>
      <c r="H63" s="35" t="str">
        <f t="shared" si="1"/>
        <v/>
      </c>
      <c r="I63" s="22"/>
      <c r="J63" s="12"/>
      <c r="K63" s="23"/>
      <c r="L63" s="32"/>
      <c r="M63" s="32"/>
    </row>
    <row r="64" spans="1:13" ht="21" customHeight="1" x14ac:dyDescent="0.15">
      <c r="A64" s="12">
        <v>55</v>
      </c>
      <c r="B64" s="18"/>
      <c r="C64" s="18"/>
      <c r="D64" s="18"/>
      <c r="E64" s="9"/>
      <c r="F64" s="20"/>
      <c r="G64" s="21"/>
      <c r="H64" s="35" t="str">
        <f t="shared" si="1"/>
        <v/>
      </c>
      <c r="I64" s="22"/>
      <c r="J64" s="12"/>
      <c r="K64" s="23"/>
      <c r="L64" s="32"/>
      <c r="M64" s="32"/>
    </row>
    <row r="65" spans="1:13" ht="21" customHeight="1" x14ac:dyDescent="0.15">
      <c r="A65" s="12">
        <v>56</v>
      </c>
      <c r="B65" s="18"/>
      <c r="C65" s="18"/>
      <c r="D65" s="18"/>
      <c r="E65" s="9"/>
      <c r="F65" s="20"/>
      <c r="G65" s="21"/>
      <c r="H65" s="35" t="str">
        <f t="shared" si="1"/>
        <v/>
      </c>
      <c r="I65" s="22"/>
      <c r="J65" s="12"/>
      <c r="K65" s="23"/>
      <c r="L65" s="32"/>
      <c r="M65" s="32"/>
    </row>
    <row r="66" spans="1:13" ht="21" customHeight="1" x14ac:dyDescent="0.15">
      <c r="A66" s="12">
        <v>57</v>
      </c>
      <c r="B66" s="18"/>
      <c r="C66" s="18"/>
      <c r="D66" s="18"/>
      <c r="E66" s="9"/>
      <c r="F66" s="20"/>
      <c r="G66" s="21"/>
      <c r="H66" s="35" t="str">
        <f t="shared" si="1"/>
        <v/>
      </c>
      <c r="I66" s="22"/>
      <c r="J66" s="12"/>
      <c r="K66" s="23"/>
      <c r="L66" s="32"/>
      <c r="M66" s="32"/>
    </row>
    <row r="67" spans="1:13" ht="21" customHeight="1" x14ac:dyDescent="0.15">
      <c r="A67" s="12">
        <v>58</v>
      </c>
      <c r="B67" s="18"/>
      <c r="C67" s="18"/>
      <c r="D67" s="18"/>
      <c r="E67" s="9"/>
      <c r="F67" s="20"/>
      <c r="G67" s="21"/>
      <c r="H67" s="35" t="str">
        <f t="shared" si="1"/>
        <v/>
      </c>
      <c r="I67" s="22"/>
      <c r="J67" s="12"/>
      <c r="K67" s="23"/>
      <c r="L67" s="32"/>
      <c r="M67" s="32"/>
    </row>
    <row r="68" spans="1:13" ht="21" customHeight="1" x14ac:dyDescent="0.15">
      <c r="A68" s="12">
        <v>59</v>
      </c>
      <c r="B68" s="18"/>
      <c r="C68" s="18"/>
      <c r="D68" s="18"/>
      <c r="E68" s="9"/>
      <c r="F68" s="20"/>
      <c r="G68" s="21"/>
      <c r="H68" s="35" t="str">
        <f t="shared" si="1"/>
        <v/>
      </c>
      <c r="I68" s="22"/>
      <c r="J68" s="12"/>
      <c r="K68" s="23"/>
      <c r="L68" s="32"/>
      <c r="M68" s="32"/>
    </row>
    <row r="69" spans="1:13" ht="21" customHeight="1" x14ac:dyDescent="0.15">
      <c r="A69" s="12">
        <v>60</v>
      </c>
      <c r="B69" s="18"/>
      <c r="C69" s="18"/>
      <c r="D69" s="18"/>
      <c r="E69" s="9"/>
      <c r="F69" s="20"/>
      <c r="G69" s="21"/>
      <c r="H69" s="35" t="str">
        <f t="shared" si="1"/>
        <v/>
      </c>
      <c r="I69" s="22"/>
      <c r="J69" s="12"/>
      <c r="K69" s="23"/>
      <c r="L69" s="32"/>
      <c r="M69" s="32"/>
    </row>
    <row r="70" spans="1:13" ht="21" customHeight="1" x14ac:dyDescent="0.15">
      <c r="A70" s="12">
        <v>61</v>
      </c>
      <c r="B70" s="18"/>
      <c r="C70" s="18"/>
      <c r="D70" s="18"/>
      <c r="E70" s="9"/>
      <c r="F70" s="20"/>
      <c r="G70" s="21"/>
      <c r="H70" s="35" t="str">
        <f t="shared" si="1"/>
        <v/>
      </c>
      <c r="I70" s="22"/>
      <c r="J70" s="12"/>
      <c r="K70" s="23"/>
      <c r="L70" s="32"/>
      <c r="M70" s="32"/>
    </row>
    <row r="71" spans="1:13" ht="21" customHeight="1" x14ac:dyDescent="0.15">
      <c r="A71" s="12">
        <v>62</v>
      </c>
      <c r="B71" s="18"/>
      <c r="C71" s="18"/>
      <c r="D71" s="18"/>
      <c r="E71" s="9"/>
      <c r="F71" s="20"/>
      <c r="G71" s="21"/>
      <c r="H71" s="35" t="str">
        <f t="shared" si="1"/>
        <v/>
      </c>
      <c r="I71" s="22"/>
      <c r="J71" s="12"/>
      <c r="K71" s="23"/>
      <c r="L71" s="32"/>
      <c r="M71" s="32"/>
    </row>
    <row r="72" spans="1:13" ht="21" customHeight="1" x14ac:dyDescent="0.15">
      <c r="A72" s="12">
        <v>63</v>
      </c>
      <c r="B72" s="18"/>
      <c r="C72" s="18"/>
      <c r="D72" s="18"/>
      <c r="E72" s="9"/>
      <c r="F72" s="20"/>
      <c r="G72" s="21"/>
      <c r="H72" s="35" t="str">
        <f t="shared" si="1"/>
        <v/>
      </c>
      <c r="I72" s="22"/>
      <c r="J72" s="12"/>
      <c r="K72" s="23"/>
      <c r="L72" s="32"/>
      <c r="M72" s="32"/>
    </row>
    <row r="73" spans="1:13" ht="21" customHeight="1" x14ac:dyDescent="0.15">
      <c r="A73" s="12">
        <v>64</v>
      </c>
      <c r="B73" s="18"/>
      <c r="C73" s="18"/>
      <c r="D73" s="18"/>
      <c r="E73" s="9"/>
      <c r="F73" s="20"/>
      <c r="G73" s="21"/>
      <c r="H73" s="35" t="str">
        <f t="shared" si="1"/>
        <v/>
      </c>
      <c r="I73" s="22"/>
      <c r="J73" s="12"/>
      <c r="K73" s="23"/>
      <c r="L73" s="32"/>
      <c r="M73" s="32"/>
    </row>
    <row r="74" spans="1:13" ht="21" customHeight="1" x14ac:dyDescent="0.15">
      <c r="A74" s="12">
        <v>65</v>
      </c>
      <c r="B74" s="18"/>
      <c r="C74" s="18"/>
      <c r="D74" s="18"/>
      <c r="E74" s="9"/>
      <c r="F74" s="20"/>
      <c r="G74" s="21"/>
      <c r="H74" s="35" t="str">
        <f t="shared" si="1"/>
        <v/>
      </c>
      <c r="I74" s="22"/>
      <c r="J74" s="12"/>
      <c r="K74" s="23"/>
      <c r="L74" s="32"/>
      <c r="M74" s="32"/>
    </row>
    <row r="75" spans="1:13" ht="21" customHeight="1" x14ac:dyDescent="0.15">
      <c r="A75" s="12">
        <v>66</v>
      </c>
      <c r="B75" s="18"/>
      <c r="C75" s="18"/>
      <c r="D75" s="18"/>
      <c r="E75" s="9"/>
      <c r="F75" s="20"/>
      <c r="G75" s="21"/>
      <c r="H75" s="35" t="str">
        <f t="shared" si="1"/>
        <v/>
      </c>
      <c r="I75" s="22"/>
      <c r="J75" s="12"/>
      <c r="K75" s="23"/>
      <c r="L75" s="32"/>
      <c r="M75" s="32"/>
    </row>
    <row r="76" spans="1:13" ht="21" customHeight="1" x14ac:dyDescent="0.15">
      <c r="A76" s="12">
        <v>67</v>
      </c>
      <c r="B76" s="18"/>
      <c r="C76" s="18"/>
      <c r="D76" s="18"/>
      <c r="E76" s="9"/>
      <c r="F76" s="20"/>
      <c r="G76" s="21"/>
      <c r="H76" s="35" t="str">
        <f t="shared" si="1"/>
        <v/>
      </c>
      <c r="I76" s="22"/>
      <c r="J76" s="12"/>
      <c r="K76" s="23"/>
      <c r="L76" s="32"/>
      <c r="M76" s="32"/>
    </row>
    <row r="77" spans="1:13" ht="21" customHeight="1" x14ac:dyDescent="0.15">
      <c r="A77" s="12">
        <v>68</v>
      </c>
      <c r="B77" s="18"/>
      <c r="C77" s="18"/>
      <c r="D77" s="18"/>
      <c r="E77" s="9"/>
      <c r="F77" s="20"/>
      <c r="G77" s="21"/>
      <c r="H77" s="35" t="str">
        <f t="shared" si="1"/>
        <v/>
      </c>
      <c r="I77" s="22"/>
      <c r="J77" s="12"/>
      <c r="K77" s="23"/>
      <c r="L77" s="32"/>
      <c r="M77" s="32"/>
    </row>
    <row r="78" spans="1:13" ht="21" customHeight="1" x14ac:dyDescent="0.15">
      <c r="A78" s="12">
        <v>69</v>
      </c>
      <c r="B78" s="18"/>
      <c r="C78" s="18"/>
      <c r="D78" s="18"/>
      <c r="E78" s="9"/>
      <c r="F78" s="20"/>
      <c r="G78" s="21"/>
      <c r="H78" s="35" t="str">
        <f t="shared" si="1"/>
        <v/>
      </c>
      <c r="I78" s="22"/>
      <c r="J78" s="12"/>
      <c r="K78" s="23"/>
      <c r="L78" s="32"/>
      <c r="M78" s="32"/>
    </row>
    <row r="79" spans="1:13" ht="21" customHeight="1" x14ac:dyDescent="0.15">
      <c r="A79" s="12">
        <v>70</v>
      </c>
      <c r="B79" s="18"/>
      <c r="C79" s="18"/>
      <c r="D79" s="18"/>
      <c r="E79" s="9"/>
      <c r="F79" s="20"/>
      <c r="G79" s="21"/>
      <c r="H79" s="35" t="str">
        <f t="shared" si="1"/>
        <v/>
      </c>
      <c r="I79" s="22"/>
      <c r="J79" s="12"/>
      <c r="K79" s="23"/>
      <c r="L79" s="32"/>
      <c r="M79" s="32"/>
    </row>
    <row r="80" spans="1:13" ht="21" customHeight="1" x14ac:dyDescent="0.15">
      <c r="A80" s="12">
        <v>71</v>
      </c>
      <c r="B80" s="18"/>
      <c r="C80" s="18"/>
      <c r="D80" s="18"/>
      <c r="E80" s="9"/>
      <c r="F80" s="20"/>
      <c r="G80" s="21"/>
      <c r="H80" s="35" t="str">
        <f t="shared" si="1"/>
        <v/>
      </c>
      <c r="I80" s="22"/>
      <c r="J80" s="12"/>
      <c r="K80" s="23"/>
      <c r="L80" s="32"/>
      <c r="M80" s="32"/>
    </row>
    <row r="81" spans="1:13" ht="21" customHeight="1" x14ac:dyDescent="0.15">
      <c r="A81" s="12">
        <v>72</v>
      </c>
      <c r="B81" s="18"/>
      <c r="C81" s="18"/>
      <c r="D81" s="18"/>
      <c r="E81" s="9"/>
      <c r="F81" s="20"/>
      <c r="G81" s="21"/>
      <c r="H81" s="35" t="str">
        <f t="shared" si="1"/>
        <v/>
      </c>
      <c r="I81" s="22"/>
      <c r="J81" s="12"/>
      <c r="K81" s="23"/>
      <c r="L81" s="32"/>
      <c r="M81" s="32"/>
    </row>
    <row r="82" spans="1:13" ht="21" customHeight="1" x14ac:dyDescent="0.15">
      <c r="A82" s="12">
        <v>73</v>
      </c>
      <c r="B82" s="18"/>
      <c r="C82" s="18"/>
      <c r="D82" s="18"/>
      <c r="E82" s="9"/>
      <c r="F82" s="20"/>
      <c r="G82" s="21"/>
      <c r="H82" s="35" t="str">
        <f t="shared" si="1"/>
        <v/>
      </c>
      <c r="I82" s="22"/>
      <c r="J82" s="12"/>
      <c r="K82" s="23"/>
      <c r="L82" s="32"/>
      <c r="M82" s="32"/>
    </row>
    <row r="83" spans="1:13" ht="21" customHeight="1" x14ac:dyDescent="0.15">
      <c r="A83" s="12">
        <v>74</v>
      </c>
      <c r="B83" s="18"/>
      <c r="C83" s="18"/>
      <c r="D83" s="18"/>
      <c r="E83" s="9"/>
      <c r="F83" s="20"/>
      <c r="G83" s="21"/>
      <c r="H83" s="35" t="str">
        <f t="shared" si="1"/>
        <v/>
      </c>
      <c r="I83" s="22"/>
      <c r="J83" s="12"/>
      <c r="K83" s="23"/>
      <c r="L83" s="32"/>
      <c r="M83" s="32"/>
    </row>
    <row r="84" spans="1:13" ht="21" customHeight="1" x14ac:dyDescent="0.15">
      <c r="A84" s="12">
        <v>75</v>
      </c>
      <c r="B84" s="18"/>
      <c r="C84" s="18"/>
      <c r="D84" s="18"/>
      <c r="E84" s="9"/>
      <c r="F84" s="20"/>
      <c r="G84" s="21"/>
      <c r="H84" s="35" t="str">
        <f t="shared" si="1"/>
        <v/>
      </c>
      <c r="I84" s="22"/>
      <c r="J84" s="12"/>
      <c r="K84" s="23"/>
      <c r="L84" s="32"/>
      <c r="M84" s="32"/>
    </row>
    <row r="85" spans="1:13" ht="21" customHeight="1" x14ac:dyDescent="0.15">
      <c r="A85" s="12">
        <v>76</v>
      </c>
      <c r="B85" s="18"/>
      <c r="C85" s="18"/>
      <c r="D85" s="18"/>
      <c r="E85" s="9"/>
      <c r="F85" s="20"/>
      <c r="G85" s="21"/>
      <c r="H85" s="35" t="str">
        <f t="shared" si="1"/>
        <v/>
      </c>
      <c r="I85" s="22"/>
      <c r="J85" s="12"/>
      <c r="K85" s="23"/>
      <c r="L85" s="32"/>
      <c r="M85" s="32"/>
    </row>
    <row r="86" spans="1:13" ht="21" customHeight="1" x14ac:dyDescent="0.15">
      <c r="A86" s="12">
        <v>77</v>
      </c>
      <c r="B86" s="18"/>
      <c r="C86" s="18"/>
      <c r="D86" s="18"/>
      <c r="E86" s="9"/>
      <c r="F86" s="20"/>
      <c r="G86" s="21"/>
      <c r="H86" s="35" t="str">
        <f t="shared" si="1"/>
        <v/>
      </c>
      <c r="I86" s="22"/>
      <c r="J86" s="12"/>
      <c r="K86" s="23"/>
      <c r="L86" s="32"/>
      <c r="M86" s="32"/>
    </row>
    <row r="87" spans="1:13" ht="21" customHeight="1" x14ac:dyDescent="0.15">
      <c r="A87" s="12">
        <v>78</v>
      </c>
      <c r="B87" s="18"/>
      <c r="C87" s="18"/>
      <c r="D87" s="18"/>
      <c r="E87" s="9"/>
      <c r="F87" s="20"/>
      <c r="G87" s="21"/>
      <c r="H87" s="35" t="str">
        <f t="shared" si="1"/>
        <v/>
      </c>
      <c r="I87" s="22"/>
      <c r="J87" s="12"/>
      <c r="K87" s="23"/>
      <c r="L87" s="32"/>
      <c r="M87" s="32"/>
    </row>
    <row r="88" spans="1:13" ht="21" customHeight="1" x14ac:dyDescent="0.15">
      <c r="A88" s="12">
        <v>79</v>
      </c>
      <c r="B88" s="18"/>
      <c r="C88" s="18"/>
      <c r="D88" s="18"/>
      <c r="E88" s="9"/>
      <c r="F88" s="20"/>
      <c r="G88" s="21"/>
      <c r="H88" s="35" t="str">
        <f t="shared" si="1"/>
        <v/>
      </c>
      <c r="I88" s="22"/>
      <c r="J88" s="12"/>
      <c r="K88" s="23"/>
      <c r="L88" s="32"/>
      <c r="M88" s="32"/>
    </row>
    <row r="89" spans="1:13" ht="21" customHeight="1" x14ac:dyDescent="0.15">
      <c r="A89" s="12">
        <v>80</v>
      </c>
      <c r="B89" s="18"/>
      <c r="C89" s="18"/>
      <c r="D89" s="18"/>
      <c r="E89" s="9"/>
      <c r="F89" s="20"/>
      <c r="G89" s="21"/>
      <c r="H89" s="35" t="str">
        <f t="shared" si="1"/>
        <v/>
      </c>
      <c r="I89" s="22"/>
      <c r="J89" s="12"/>
      <c r="K89" s="23"/>
      <c r="L89" s="32"/>
      <c r="M89" s="32"/>
    </row>
    <row r="90" spans="1:13" ht="21" customHeight="1" x14ac:dyDescent="0.15">
      <c r="A90" s="12">
        <v>81</v>
      </c>
      <c r="B90" s="18"/>
      <c r="C90" s="18"/>
      <c r="D90" s="18"/>
      <c r="E90" s="9"/>
      <c r="F90" s="20"/>
      <c r="G90" s="21"/>
      <c r="H90" s="35" t="str">
        <f t="shared" si="1"/>
        <v/>
      </c>
      <c r="I90" s="22"/>
      <c r="J90" s="12"/>
      <c r="K90" s="23"/>
      <c r="L90" s="32"/>
      <c r="M90" s="32"/>
    </row>
    <row r="91" spans="1:13" ht="21" customHeight="1" x14ac:dyDescent="0.15">
      <c r="A91" s="12">
        <v>82</v>
      </c>
      <c r="B91" s="18"/>
      <c r="C91" s="18"/>
      <c r="D91" s="18"/>
      <c r="E91" s="9"/>
      <c r="F91" s="20"/>
      <c r="G91" s="21"/>
      <c r="H91" s="35" t="str">
        <f t="shared" si="1"/>
        <v/>
      </c>
      <c r="I91" s="22"/>
      <c r="J91" s="12"/>
      <c r="K91" s="23"/>
      <c r="L91" s="32"/>
      <c r="M91" s="32"/>
    </row>
    <row r="92" spans="1:13" ht="21" customHeight="1" x14ac:dyDescent="0.15">
      <c r="A92" s="12">
        <v>83</v>
      </c>
      <c r="B92" s="18"/>
      <c r="C92" s="18"/>
      <c r="D92" s="18"/>
      <c r="E92" s="9"/>
      <c r="F92" s="20"/>
      <c r="G92" s="21"/>
      <c r="H92" s="35" t="str">
        <f t="shared" si="1"/>
        <v/>
      </c>
      <c r="I92" s="22"/>
      <c r="J92" s="12"/>
      <c r="K92" s="23"/>
      <c r="L92" s="32"/>
      <c r="M92" s="32"/>
    </row>
    <row r="93" spans="1:13" ht="21" customHeight="1" x14ac:dyDescent="0.15">
      <c r="A93" s="12">
        <v>84</v>
      </c>
      <c r="B93" s="18"/>
      <c r="C93" s="18"/>
      <c r="D93" s="18"/>
      <c r="E93" s="9"/>
      <c r="F93" s="20"/>
      <c r="G93" s="21"/>
      <c r="H93" s="35"/>
      <c r="I93" s="22"/>
      <c r="J93" s="12"/>
      <c r="K93" s="23"/>
      <c r="L93" s="32"/>
      <c r="M93" s="32"/>
    </row>
    <row r="94" spans="1:13" ht="21" customHeight="1" x14ac:dyDescent="0.15">
      <c r="A94" s="12">
        <v>85</v>
      </c>
      <c r="B94" s="18"/>
      <c r="C94" s="18"/>
      <c r="D94" s="18"/>
      <c r="E94" s="9"/>
      <c r="F94" s="20"/>
      <c r="G94" s="21"/>
      <c r="H94" s="35"/>
      <c r="I94" s="22"/>
      <c r="J94" s="12"/>
      <c r="K94" s="23"/>
      <c r="L94" s="32"/>
      <c r="M94" s="32"/>
    </row>
    <row r="95" spans="1:13" ht="21" customHeight="1" x14ac:dyDescent="0.15">
      <c r="A95" s="12">
        <v>86</v>
      </c>
      <c r="B95" s="18"/>
      <c r="C95" s="18"/>
      <c r="D95" s="18"/>
      <c r="E95" s="9"/>
      <c r="F95" s="20"/>
      <c r="G95" s="21"/>
      <c r="H95" s="35"/>
      <c r="I95" s="22"/>
      <c r="J95" s="12"/>
      <c r="K95" s="23"/>
      <c r="L95" s="32"/>
      <c r="M95" s="32"/>
    </row>
    <row r="96" spans="1:13" ht="21" customHeight="1" x14ac:dyDescent="0.15">
      <c r="A96" s="12">
        <v>87</v>
      </c>
      <c r="B96" s="18"/>
      <c r="C96" s="18"/>
      <c r="D96" s="18"/>
      <c r="E96" s="9"/>
      <c r="F96" s="20"/>
      <c r="G96" s="21"/>
      <c r="H96" s="35"/>
      <c r="I96" s="22"/>
      <c r="J96" s="12"/>
      <c r="K96" s="23"/>
      <c r="L96" s="32"/>
      <c r="M96" s="32"/>
    </row>
    <row r="97" spans="1:13" ht="21" customHeight="1" x14ac:dyDescent="0.15">
      <c r="A97" s="12">
        <v>88</v>
      </c>
      <c r="B97" s="18"/>
      <c r="C97" s="18"/>
      <c r="D97" s="18"/>
      <c r="E97" s="9"/>
      <c r="F97" s="20"/>
      <c r="G97" s="21"/>
      <c r="H97" s="35"/>
      <c r="I97" s="22"/>
      <c r="J97" s="12"/>
      <c r="K97" s="23"/>
      <c r="L97" s="32"/>
      <c r="M97" s="32"/>
    </row>
    <row r="98" spans="1:13" ht="21" customHeight="1" x14ac:dyDescent="0.15">
      <c r="A98" s="12">
        <v>89</v>
      </c>
      <c r="B98" s="18"/>
      <c r="C98" s="18"/>
      <c r="D98" s="18"/>
      <c r="E98" s="9"/>
      <c r="F98" s="20"/>
      <c r="G98" s="21"/>
      <c r="H98" s="35"/>
      <c r="I98" s="22"/>
      <c r="J98" s="12"/>
      <c r="K98" s="23"/>
      <c r="L98" s="32"/>
      <c r="M98" s="32"/>
    </row>
    <row r="99" spans="1:13" ht="21" customHeight="1" x14ac:dyDescent="0.15">
      <c r="A99" s="12">
        <v>90</v>
      </c>
      <c r="B99" s="18"/>
      <c r="C99" s="18"/>
      <c r="D99" s="18"/>
      <c r="E99" s="9"/>
      <c r="F99" s="20"/>
      <c r="G99" s="21"/>
      <c r="H99" s="35"/>
      <c r="I99" s="22"/>
      <c r="J99" s="12"/>
      <c r="K99" s="23"/>
      <c r="L99" s="32"/>
      <c r="M99" s="32"/>
    </row>
    <row r="100" spans="1:13" ht="21" customHeight="1" x14ac:dyDescent="0.15">
      <c r="A100" s="12">
        <v>91</v>
      </c>
      <c r="B100" s="18"/>
      <c r="C100" s="18"/>
      <c r="D100" s="18"/>
      <c r="E100" s="9"/>
      <c r="F100" s="20"/>
      <c r="G100" s="21"/>
      <c r="H100" s="35"/>
      <c r="I100" s="22"/>
      <c r="J100" s="12"/>
      <c r="K100" s="23"/>
      <c r="L100" s="32"/>
      <c r="M100" s="32"/>
    </row>
    <row r="101" spans="1:13" ht="21" customHeight="1" x14ac:dyDescent="0.15">
      <c r="A101" s="12">
        <v>92</v>
      </c>
      <c r="B101" s="18"/>
      <c r="C101" s="18"/>
      <c r="D101" s="18"/>
      <c r="E101" s="9"/>
      <c r="F101" s="20"/>
      <c r="G101" s="21"/>
      <c r="H101" s="35"/>
      <c r="I101" s="22"/>
      <c r="J101" s="12"/>
      <c r="K101" s="23"/>
      <c r="L101" s="32"/>
      <c r="M101" s="32"/>
    </row>
    <row r="102" spans="1:13" ht="21" customHeight="1" x14ac:dyDescent="0.15">
      <c r="A102" s="12">
        <v>93</v>
      </c>
      <c r="B102" s="18"/>
      <c r="C102" s="18"/>
      <c r="D102" s="18"/>
      <c r="E102" s="9"/>
      <c r="F102" s="20"/>
      <c r="G102" s="21"/>
      <c r="H102" s="35"/>
      <c r="I102" s="22"/>
      <c r="J102" s="12"/>
      <c r="K102" s="23"/>
      <c r="L102" s="32"/>
      <c r="M102" s="32"/>
    </row>
    <row r="103" spans="1:13" ht="21" customHeight="1" x14ac:dyDescent="0.15">
      <c r="A103" s="12">
        <v>94</v>
      </c>
      <c r="B103" s="18"/>
      <c r="C103" s="18"/>
      <c r="D103" s="18"/>
      <c r="E103" s="9"/>
      <c r="F103" s="20"/>
      <c r="G103" s="21"/>
      <c r="H103" s="35"/>
      <c r="I103" s="22"/>
      <c r="J103" s="12"/>
      <c r="K103" s="23"/>
      <c r="L103" s="32"/>
      <c r="M103" s="32"/>
    </row>
    <row r="104" spans="1:13" ht="21" customHeight="1" x14ac:dyDescent="0.15">
      <c r="A104" s="12">
        <v>95</v>
      </c>
      <c r="B104" s="18"/>
      <c r="C104" s="18"/>
      <c r="D104" s="18"/>
      <c r="E104" s="9"/>
      <c r="F104" s="20"/>
      <c r="G104" s="21"/>
      <c r="H104" s="35"/>
      <c r="I104" s="22"/>
      <c r="J104" s="12"/>
      <c r="K104" s="23"/>
      <c r="L104" s="32"/>
      <c r="M104" s="32"/>
    </row>
    <row r="105" spans="1:13" ht="21" customHeight="1" x14ac:dyDescent="0.15">
      <c r="A105" s="12">
        <v>96</v>
      </c>
      <c r="B105" s="18"/>
      <c r="C105" s="18"/>
      <c r="D105" s="18"/>
      <c r="E105" s="9"/>
      <c r="F105" s="20"/>
      <c r="G105" s="21"/>
      <c r="H105" s="35"/>
      <c r="I105" s="22"/>
      <c r="J105" s="12"/>
      <c r="K105" s="23"/>
      <c r="L105" s="32"/>
      <c r="M105" s="32"/>
    </row>
    <row r="106" spans="1:13" ht="21" customHeight="1" x14ac:dyDescent="0.15">
      <c r="A106" s="12">
        <v>97</v>
      </c>
      <c r="B106" s="18"/>
      <c r="C106" s="18"/>
      <c r="D106" s="18"/>
      <c r="E106" s="9"/>
      <c r="F106" s="20"/>
      <c r="G106" s="21"/>
      <c r="H106" s="35"/>
      <c r="I106" s="22"/>
      <c r="J106" s="12"/>
      <c r="K106" s="23"/>
      <c r="L106" s="32"/>
      <c r="M106" s="32"/>
    </row>
    <row r="107" spans="1:13" ht="21" customHeight="1" x14ac:dyDescent="0.15">
      <c r="A107" s="12">
        <v>98</v>
      </c>
      <c r="B107" s="18"/>
      <c r="C107" s="18"/>
      <c r="D107" s="18"/>
      <c r="E107" s="9"/>
      <c r="F107" s="20"/>
      <c r="G107" s="21"/>
      <c r="H107" s="35"/>
      <c r="I107" s="22"/>
      <c r="J107" s="12"/>
      <c r="K107" s="23"/>
      <c r="L107" s="32"/>
      <c r="M107" s="32"/>
    </row>
    <row r="108" spans="1:13" ht="21" customHeight="1" x14ac:dyDescent="0.15">
      <c r="A108" s="12">
        <v>99</v>
      </c>
      <c r="B108" s="18"/>
      <c r="C108" s="18"/>
      <c r="D108" s="18"/>
      <c r="E108" s="9"/>
      <c r="F108" s="20"/>
      <c r="G108" s="21"/>
      <c r="H108" s="35"/>
      <c r="I108" s="22"/>
      <c r="J108" s="12"/>
      <c r="K108" s="23"/>
      <c r="L108" s="32"/>
      <c r="M108" s="32"/>
    </row>
    <row r="109" spans="1:13" ht="21" customHeight="1" x14ac:dyDescent="0.15">
      <c r="A109" s="12">
        <v>100</v>
      </c>
      <c r="B109" s="18"/>
      <c r="C109" s="18"/>
      <c r="D109" s="18"/>
      <c r="E109" s="9"/>
      <c r="F109" s="20"/>
      <c r="G109" s="21"/>
      <c r="H109" s="35"/>
      <c r="I109" s="22"/>
      <c r="J109" s="12"/>
      <c r="K109" s="23"/>
      <c r="L109" s="32"/>
      <c r="M109" s="32"/>
    </row>
    <row r="110" spans="1:13" ht="21" customHeight="1" x14ac:dyDescent="0.15">
      <c r="A110" s="12">
        <v>101</v>
      </c>
      <c r="B110" s="18"/>
      <c r="C110" s="18"/>
      <c r="D110" s="18"/>
      <c r="E110" s="9"/>
      <c r="F110" s="20"/>
      <c r="G110" s="21"/>
      <c r="H110" s="35"/>
      <c r="I110" s="22"/>
      <c r="J110" s="12"/>
      <c r="K110" s="23"/>
      <c r="L110" s="32"/>
      <c r="M110" s="32"/>
    </row>
    <row r="111" spans="1:13" ht="21" customHeight="1" x14ac:dyDescent="0.15">
      <c r="A111" s="12">
        <v>102</v>
      </c>
      <c r="B111" s="18"/>
      <c r="C111" s="18"/>
      <c r="D111" s="18"/>
      <c r="E111" s="9"/>
      <c r="F111" s="20"/>
      <c r="G111" s="21"/>
      <c r="H111" s="35"/>
      <c r="I111" s="22"/>
      <c r="J111" s="12"/>
      <c r="K111" s="23"/>
      <c r="L111" s="32"/>
      <c r="M111" s="32"/>
    </row>
    <row r="112" spans="1:13" ht="21" customHeight="1" x14ac:dyDescent="0.15">
      <c r="A112" s="12"/>
      <c r="B112" s="18"/>
      <c r="C112" s="18"/>
      <c r="D112" s="18"/>
      <c r="E112" s="9"/>
      <c r="F112" s="20"/>
      <c r="G112" s="21"/>
      <c r="H112" s="35" t="str">
        <f t="shared" ref="H112:H123" si="3">IF(G112="","",(F112*100000000+G112)-7*INT((F112*100000000+G112)/7))</f>
        <v/>
      </c>
      <c r="I112" s="22"/>
      <c r="J112" s="12"/>
      <c r="K112" s="23"/>
      <c r="L112" s="32"/>
      <c r="M112" s="32"/>
    </row>
    <row r="113" spans="1:13" ht="21" customHeight="1" x14ac:dyDescent="0.15">
      <c r="A113" s="12"/>
      <c r="B113" s="18"/>
      <c r="C113" s="18"/>
      <c r="D113" s="18"/>
      <c r="E113" s="9"/>
      <c r="F113" s="20"/>
      <c r="G113" s="21"/>
      <c r="H113" s="35" t="str">
        <f t="shared" si="3"/>
        <v/>
      </c>
      <c r="I113" s="22"/>
      <c r="J113" s="12"/>
      <c r="K113" s="23"/>
      <c r="L113" s="32"/>
      <c r="M113" s="32"/>
    </row>
    <row r="114" spans="1:13" ht="21" customHeight="1" x14ac:dyDescent="0.15">
      <c r="A114" s="12"/>
      <c r="B114" s="18"/>
      <c r="C114" s="18"/>
      <c r="D114" s="18"/>
      <c r="E114" s="9"/>
      <c r="F114" s="20"/>
      <c r="G114" s="21"/>
      <c r="H114" s="35" t="str">
        <f t="shared" si="3"/>
        <v/>
      </c>
      <c r="I114" s="22"/>
      <c r="J114" s="12"/>
      <c r="K114" s="23"/>
      <c r="L114" s="32"/>
      <c r="M114" s="32"/>
    </row>
    <row r="115" spans="1:13" ht="21" customHeight="1" x14ac:dyDescent="0.15">
      <c r="A115" s="12"/>
      <c r="B115" s="18"/>
      <c r="C115" s="18"/>
      <c r="D115" s="18"/>
      <c r="E115" s="9"/>
      <c r="F115" s="20"/>
      <c r="G115" s="21"/>
      <c r="H115" s="35" t="str">
        <f t="shared" si="3"/>
        <v/>
      </c>
      <c r="I115" s="22"/>
      <c r="J115" s="12"/>
      <c r="K115" s="23"/>
      <c r="L115" s="32"/>
      <c r="M115" s="32"/>
    </row>
    <row r="116" spans="1:13" ht="21" customHeight="1" x14ac:dyDescent="0.15">
      <c r="A116" s="12"/>
      <c r="B116" s="18"/>
      <c r="C116" s="18"/>
      <c r="D116" s="18"/>
      <c r="E116" s="9"/>
      <c r="F116" s="20"/>
      <c r="G116" s="21"/>
      <c r="H116" s="35" t="str">
        <f t="shared" si="3"/>
        <v/>
      </c>
      <c r="I116" s="22"/>
      <c r="J116" s="12"/>
      <c r="K116" s="23"/>
      <c r="L116" s="32"/>
      <c r="M116" s="32"/>
    </row>
    <row r="117" spans="1:13" ht="21" customHeight="1" x14ac:dyDescent="0.15">
      <c r="A117" s="12"/>
      <c r="B117" s="18"/>
      <c r="C117" s="18"/>
      <c r="D117" s="18"/>
      <c r="E117" s="9"/>
      <c r="F117" s="20"/>
      <c r="G117" s="21"/>
      <c r="H117" s="35" t="str">
        <f t="shared" si="3"/>
        <v/>
      </c>
      <c r="I117" s="22"/>
      <c r="J117" s="12"/>
      <c r="K117" s="23"/>
      <c r="L117" s="32"/>
      <c r="M117" s="32"/>
    </row>
    <row r="118" spans="1:13" ht="21" customHeight="1" x14ac:dyDescent="0.15">
      <c r="A118" s="12"/>
      <c r="B118" s="18"/>
      <c r="C118" s="18"/>
      <c r="D118" s="18"/>
      <c r="E118" s="9"/>
      <c r="F118" s="20"/>
      <c r="G118" s="21"/>
      <c r="H118" s="35" t="str">
        <f t="shared" si="3"/>
        <v/>
      </c>
      <c r="I118" s="22"/>
      <c r="J118" s="12"/>
      <c r="K118" s="23"/>
      <c r="L118" s="32"/>
      <c r="M118" s="32"/>
    </row>
    <row r="119" spans="1:13" ht="21" customHeight="1" x14ac:dyDescent="0.15">
      <c r="A119" s="12"/>
      <c r="B119" s="18"/>
      <c r="C119" s="18"/>
      <c r="D119" s="18"/>
      <c r="E119" s="9"/>
      <c r="F119" s="20"/>
      <c r="G119" s="21"/>
      <c r="H119" s="35" t="str">
        <f t="shared" si="3"/>
        <v/>
      </c>
      <c r="I119" s="22"/>
      <c r="J119" s="12"/>
      <c r="K119" s="23"/>
      <c r="L119" s="32"/>
      <c r="M119" s="32"/>
    </row>
    <row r="120" spans="1:13" ht="21" customHeight="1" x14ac:dyDescent="0.15">
      <c r="A120" s="12"/>
      <c r="B120" s="18"/>
      <c r="C120" s="18"/>
      <c r="D120" s="18"/>
      <c r="E120" s="9"/>
      <c r="F120" s="20"/>
      <c r="G120" s="21"/>
      <c r="H120" s="35" t="str">
        <f t="shared" si="3"/>
        <v/>
      </c>
      <c r="I120" s="22"/>
      <c r="J120" s="12"/>
      <c r="K120" s="23"/>
      <c r="L120" s="32"/>
      <c r="M120" s="32"/>
    </row>
    <row r="121" spans="1:13" ht="21" customHeight="1" x14ac:dyDescent="0.15">
      <c r="A121" s="12"/>
      <c r="B121" s="18"/>
      <c r="C121" s="18"/>
      <c r="D121" s="18"/>
      <c r="E121" s="9"/>
      <c r="F121" s="20"/>
      <c r="G121" s="21"/>
      <c r="H121" s="35" t="str">
        <f t="shared" si="3"/>
        <v/>
      </c>
      <c r="I121" s="22"/>
      <c r="J121" s="12"/>
      <c r="K121" s="23"/>
      <c r="L121" s="32"/>
      <c r="M121" s="32"/>
    </row>
    <row r="122" spans="1:13" ht="21" customHeight="1" x14ac:dyDescent="0.15">
      <c r="A122" s="12"/>
      <c r="B122" s="18"/>
      <c r="C122" s="18"/>
      <c r="D122" s="18"/>
      <c r="E122" s="9"/>
      <c r="F122" s="20"/>
      <c r="G122" s="21"/>
      <c r="H122" s="35" t="str">
        <f t="shared" si="3"/>
        <v/>
      </c>
      <c r="I122" s="22"/>
      <c r="J122" s="12"/>
      <c r="K122" s="23"/>
      <c r="L122" s="32"/>
      <c r="M122" s="32"/>
    </row>
    <row r="123" spans="1:13" ht="21" customHeight="1" x14ac:dyDescent="0.15">
      <c r="A123" s="12"/>
      <c r="B123" s="18"/>
      <c r="C123" s="18"/>
      <c r="D123" s="18"/>
      <c r="E123" s="9"/>
      <c r="F123" s="20"/>
      <c r="G123" s="21"/>
      <c r="H123" s="35" t="str">
        <f t="shared" si="3"/>
        <v/>
      </c>
      <c r="I123" s="22"/>
      <c r="J123" s="12"/>
      <c r="K123" s="23"/>
      <c r="L123" s="32"/>
      <c r="M123" s="32"/>
    </row>
    <row r="124" spans="1:13" ht="21" customHeight="1" x14ac:dyDescent="0.15">
      <c r="A124" s="12"/>
      <c r="B124" s="18"/>
      <c r="C124" s="18"/>
      <c r="D124" s="18"/>
      <c r="E124" s="9"/>
      <c r="F124" s="20"/>
      <c r="G124" s="21"/>
      <c r="H124" s="35" t="str">
        <f t="shared" ref="H124:H155" si="4">IF(G124="","",(F124*100000000+G124)-7*INT((F124*100000000+G124)/7))</f>
        <v/>
      </c>
      <c r="I124" s="22"/>
      <c r="J124" s="12"/>
      <c r="K124" s="23"/>
      <c r="L124" s="32"/>
      <c r="M124" s="32"/>
    </row>
    <row r="125" spans="1:13" ht="21" customHeight="1" x14ac:dyDescent="0.15">
      <c r="A125" s="12"/>
      <c r="B125" s="18"/>
      <c r="C125" s="18"/>
      <c r="D125" s="18"/>
      <c r="E125" s="9"/>
      <c r="F125" s="20"/>
      <c r="G125" s="21"/>
      <c r="H125" s="35" t="str">
        <f t="shared" si="4"/>
        <v/>
      </c>
      <c r="I125" s="22"/>
      <c r="J125" s="12"/>
      <c r="K125" s="23"/>
      <c r="L125" s="32"/>
      <c r="M125" s="32"/>
    </row>
    <row r="126" spans="1:13" ht="21" customHeight="1" x14ac:dyDescent="0.15">
      <c r="A126" s="12"/>
      <c r="B126" s="18"/>
      <c r="C126" s="18"/>
      <c r="D126" s="18"/>
      <c r="E126" s="9"/>
      <c r="F126" s="20"/>
      <c r="G126" s="21"/>
      <c r="H126" s="35" t="str">
        <f t="shared" si="4"/>
        <v/>
      </c>
      <c r="I126" s="22"/>
      <c r="J126" s="12"/>
      <c r="K126" s="23"/>
      <c r="L126" s="32"/>
      <c r="M126" s="32"/>
    </row>
    <row r="127" spans="1:13" ht="21" customHeight="1" x14ac:dyDescent="0.15">
      <c r="A127" s="12"/>
      <c r="B127" s="18"/>
      <c r="C127" s="18"/>
      <c r="D127" s="18"/>
      <c r="E127" s="9"/>
      <c r="F127" s="20"/>
      <c r="G127" s="21"/>
      <c r="H127" s="35" t="str">
        <f t="shared" si="4"/>
        <v/>
      </c>
      <c r="I127" s="22"/>
      <c r="J127" s="12"/>
      <c r="K127" s="23"/>
      <c r="L127" s="32"/>
      <c r="M127" s="32"/>
    </row>
    <row r="128" spans="1:13" ht="21" customHeight="1" x14ac:dyDescent="0.15">
      <c r="A128" s="12"/>
      <c r="B128" s="18"/>
      <c r="C128" s="18"/>
      <c r="D128" s="18"/>
      <c r="E128" s="9"/>
      <c r="F128" s="20"/>
      <c r="G128" s="21"/>
      <c r="H128" s="35" t="str">
        <f t="shared" si="4"/>
        <v/>
      </c>
      <c r="I128" s="22"/>
      <c r="J128" s="12"/>
      <c r="K128" s="23"/>
      <c r="L128" s="32"/>
      <c r="M128" s="32"/>
    </row>
    <row r="129" spans="1:13" ht="21" customHeight="1" x14ac:dyDescent="0.15">
      <c r="A129" s="12"/>
      <c r="B129" s="18"/>
      <c r="C129" s="18"/>
      <c r="D129" s="18"/>
      <c r="E129" s="9"/>
      <c r="F129" s="20"/>
      <c r="G129" s="21"/>
      <c r="H129" s="35" t="str">
        <f t="shared" si="4"/>
        <v/>
      </c>
      <c r="I129" s="22"/>
      <c r="J129" s="12"/>
      <c r="K129" s="23"/>
      <c r="L129" s="32"/>
      <c r="M129" s="32"/>
    </row>
    <row r="130" spans="1:13" ht="21" customHeight="1" x14ac:dyDescent="0.15">
      <c r="A130" s="12"/>
      <c r="B130" s="18"/>
      <c r="C130" s="18"/>
      <c r="D130" s="18"/>
      <c r="E130" s="9"/>
      <c r="F130" s="20"/>
      <c r="G130" s="21"/>
      <c r="H130" s="35" t="str">
        <f t="shared" si="4"/>
        <v/>
      </c>
      <c r="I130" s="22"/>
      <c r="J130" s="12"/>
      <c r="K130" s="23"/>
      <c r="L130" s="32"/>
      <c r="M130" s="32"/>
    </row>
    <row r="131" spans="1:13" ht="17.25" customHeight="1" x14ac:dyDescent="0.15">
      <c r="A131" s="12"/>
      <c r="B131" s="18"/>
      <c r="C131" s="12"/>
      <c r="D131" s="18"/>
      <c r="E131" s="9"/>
      <c r="F131" s="20"/>
      <c r="G131" s="21"/>
      <c r="H131" s="35" t="str">
        <f t="shared" si="4"/>
        <v/>
      </c>
      <c r="I131" s="22"/>
      <c r="J131" s="12"/>
      <c r="K131" s="23"/>
      <c r="L131" s="24"/>
      <c r="M131" s="24"/>
    </row>
    <row r="132" spans="1:13" ht="17.25" customHeight="1" x14ac:dyDescent="0.15">
      <c r="A132" s="12"/>
      <c r="B132" s="18"/>
      <c r="C132" s="12"/>
      <c r="D132" s="18"/>
      <c r="E132" s="9"/>
      <c r="F132" s="20"/>
      <c r="G132" s="21"/>
      <c r="H132" s="35" t="str">
        <f t="shared" si="4"/>
        <v/>
      </c>
      <c r="I132" s="22"/>
      <c r="J132" s="12"/>
      <c r="K132" s="23"/>
      <c r="L132" s="24"/>
      <c r="M132" s="24"/>
    </row>
    <row r="133" spans="1:13" ht="17.25" customHeight="1" x14ac:dyDescent="0.15">
      <c r="A133" s="12"/>
      <c r="B133" s="18"/>
      <c r="C133" s="12"/>
      <c r="D133" s="18"/>
      <c r="E133" s="9"/>
      <c r="F133" s="20"/>
      <c r="G133" s="21"/>
      <c r="H133" s="35" t="str">
        <f t="shared" si="4"/>
        <v/>
      </c>
      <c r="I133" s="22"/>
      <c r="J133" s="12"/>
      <c r="K133" s="23"/>
      <c r="L133" s="24"/>
      <c r="M133" s="24"/>
    </row>
    <row r="134" spans="1:13" ht="17.25" customHeight="1" x14ac:dyDescent="0.15">
      <c r="A134" s="12"/>
      <c r="B134" s="18"/>
      <c r="C134" s="12"/>
      <c r="D134" s="18"/>
      <c r="E134" s="9"/>
      <c r="F134" s="20"/>
      <c r="G134" s="21"/>
      <c r="H134" s="35" t="str">
        <f t="shared" si="4"/>
        <v/>
      </c>
      <c r="I134" s="22"/>
      <c r="J134" s="12"/>
      <c r="K134" s="23"/>
      <c r="L134" s="24"/>
      <c r="M134" s="24"/>
    </row>
    <row r="135" spans="1:13" ht="17.25" customHeight="1" x14ac:dyDescent="0.15">
      <c r="A135" s="12"/>
      <c r="B135" s="18"/>
      <c r="C135" s="12"/>
      <c r="D135" s="18"/>
      <c r="E135" s="9"/>
      <c r="F135" s="20"/>
      <c r="G135" s="21"/>
      <c r="H135" s="35" t="str">
        <f t="shared" si="4"/>
        <v/>
      </c>
      <c r="I135" s="22"/>
      <c r="J135" s="12"/>
      <c r="K135" s="23"/>
      <c r="L135" s="24"/>
      <c r="M135" s="24"/>
    </row>
    <row r="136" spans="1:13" ht="17.25" customHeight="1" x14ac:dyDescent="0.15">
      <c r="A136" s="12"/>
      <c r="B136" s="18"/>
      <c r="C136" s="12"/>
      <c r="D136" s="18"/>
      <c r="E136" s="9"/>
      <c r="F136" s="20"/>
      <c r="G136" s="21"/>
      <c r="H136" s="35" t="str">
        <f t="shared" si="4"/>
        <v/>
      </c>
      <c r="I136" s="22"/>
      <c r="J136" s="12"/>
      <c r="K136" s="23"/>
      <c r="L136" s="24"/>
      <c r="M136" s="24"/>
    </row>
    <row r="137" spans="1:13" ht="17.25" customHeight="1" x14ac:dyDescent="0.15">
      <c r="A137" s="12"/>
      <c r="B137" s="18"/>
      <c r="C137" s="12"/>
      <c r="D137" s="12"/>
      <c r="E137" s="9"/>
      <c r="F137" s="20"/>
      <c r="G137" s="21"/>
      <c r="H137" s="35" t="str">
        <f t="shared" si="4"/>
        <v/>
      </c>
      <c r="I137" s="22"/>
      <c r="J137" s="12"/>
      <c r="K137" s="23"/>
      <c r="L137" s="24"/>
      <c r="M137" s="24"/>
    </row>
    <row r="138" spans="1:13" ht="17.25" customHeight="1" x14ac:dyDescent="0.15">
      <c r="A138" s="12"/>
      <c r="B138" s="18"/>
      <c r="C138" s="12"/>
      <c r="D138" s="18"/>
      <c r="E138" s="9"/>
      <c r="F138" s="20"/>
      <c r="G138" s="21"/>
      <c r="H138" s="35" t="str">
        <f t="shared" si="4"/>
        <v/>
      </c>
      <c r="I138" s="22"/>
      <c r="J138" s="12"/>
      <c r="K138" s="23"/>
      <c r="L138" s="24"/>
      <c r="M138" s="24"/>
    </row>
    <row r="139" spans="1:13" ht="17.25" customHeight="1" x14ac:dyDescent="0.15">
      <c r="A139" s="12"/>
      <c r="B139" s="18"/>
      <c r="C139" s="18"/>
      <c r="D139" s="18"/>
      <c r="E139" s="9"/>
      <c r="F139" s="20"/>
      <c r="G139" s="21"/>
      <c r="H139" s="35" t="str">
        <f t="shared" si="4"/>
        <v/>
      </c>
      <c r="I139" s="22"/>
      <c r="J139" s="12"/>
      <c r="K139" s="23"/>
      <c r="L139" s="24"/>
      <c r="M139" s="24"/>
    </row>
    <row r="140" spans="1:13" ht="17.25" customHeight="1" x14ac:dyDescent="0.15">
      <c r="A140" s="12"/>
      <c r="B140" s="18"/>
      <c r="C140" s="18"/>
      <c r="D140" s="18"/>
      <c r="E140" s="9"/>
      <c r="F140" s="20"/>
      <c r="G140" s="21"/>
      <c r="H140" s="35" t="str">
        <f t="shared" si="4"/>
        <v/>
      </c>
      <c r="I140" s="22"/>
      <c r="J140" s="12"/>
      <c r="K140" s="23"/>
      <c r="L140" s="24"/>
      <c r="M140" s="24"/>
    </row>
    <row r="141" spans="1:13" ht="17.25" customHeight="1" x14ac:dyDescent="0.15">
      <c r="A141" s="12"/>
      <c r="B141" s="18"/>
      <c r="C141" s="12"/>
      <c r="D141" s="18"/>
      <c r="E141" s="9"/>
      <c r="F141" s="20"/>
      <c r="G141" s="21"/>
      <c r="H141" s="35" t="str">
        <f t="shared" si="4"/>
        <v/>
      </c>
      <c r="I141" s="22"/>
      <c r="J141" s="12"/>
      <c r="K141" s="23"/>
      <c r="L141" s="24"/>
      <c r="M141" s="24"/>
    </row>
    <row r="142" spans="1:13" ht="17.25" customHeight="1" x14ac:dyDescent="0.15">
      <c r="A142" s="12"/>
      <c r="B142" s="18"/>
      <c r="C142" s="12"/>
      <c r="D142" s="18"/>
      <c r="E142" s="9"/>
      <c r="F142" s="20"/>
      <c r="G142" s="21"/>
      <c r="H142" s="35" t="str">
        <f t="shared" si="4"/>
        <v/>
      </c>
      <c r="I142" s="22"/>
      <c r="J142" s="12"/>
      <c r="K142" s="23"/>
      <c r="L142" s="29"/>
      <c r="M142" s="29"/>
    </row>
    <row r="143" spans="1:13" ht="17.25" customHeight="1" x14ac:dyDescent="0.15">
      <c r="A143" s="12"/>
      <c r="B143" s="18"/>
      <c r="C143" s="12"/>
      <c r="D143" s="18"/>
      <c r="E143" s="9"/>
      <c r="F143" s="20"/>
      <c r="G143" s="21"/>
      <c r="H143" s="35" t="str">
        <f t="shared" si="4"/>
        <v/>
      </c>
      <c r="I143" s="22"/>
      <c r="J143" s="12"/>
      <c r="K143" s="23"/>
      <c r="L143" s="29"/>
      <c r="M143" s="29"/>
    </row>
    <row r="144" spans="1:13" ht="17.25" customHeight="1" x14ac:dyDescent="0.15">
      <c r="A144" s="12"/>
      <c r="B144" s="18"/>
      <c r="C144" s="12"/>
      <c r="D144" s="18"/>
      <c r="E144" s="9"/>
      <c r="F144" s="20"/>
      <c r="G144" s="21"/>
      <c r="H144" s="35" t="str">
        <f t="shared" si="4"/>
        <v/>
      </c>
      <c r="I144" s="22"/>
      <c r="J144" s="12"/>
      <c r="K144" s="23"/>
      <c r="L144" s="29"/>
      <c r="M144" s="29"/>
    </row>
    <row r="145" spans="1:13" ht="17.25" customHeight="1" x14ac:dyDescent="0.15">
      <c r="A145" s="12"/>
      <c r="B145" s="18"/>
      <c r="C145" s="12"/>
      <c r="D145" s="18"/>
      <c r="E145" s="9"/>
      <c r="F145" s="20"/>
      <c r="G145" s="21"/>
      <c r="H145" s="35" t="str">
        <f t="shared" si="4"/>
        <v/>
      </c>
      <c r="I145" s="22"/>
      <c r="J145" s="12"/>
      <c r="K145" s="23"/>
      <c r="L145" s="29"/>
      <c r="M145" s="29"/>
    </row>
    <row r="146" spans="1:13" ht="17.25" customHeight="1" x14ac:dyDescent="0.15">
      <c r="A146" s="12"/>
      <c r="B146" s="18"/>
      <c r="C146" s="12"/>
      <c r="D146" s="18"/>
      <c r="E146" s="9"/>
      <c r="F146" s="20"/>
      <c r="G146" s="21"/>
      <c r="H146" s="35" t="str">
        <f t="shared" si="4"/>
        <v/>
      </c>
      <c r="I146" s="22"/>
      <c r="J146" s="12"/>
      <c r="K146" s="23"/>
      <c r="L146" s="29"/>
      <c r="M146" s="29"/>
    </row>
    <row r="147" spans="1:13" ht="17.25" customHeight="1" x14ac:dyDescent="0.15">
      <c r="A147" s="12"/>
      <c r="B147" s="18"/>
      <c r="C147" s="12"/>
      <c r="D147" s="18"/>
      <c r="E147" s="9"/>
      <c r="F147" s="20"/>
      <c r="G147" s="21"/>
      <c r="H147" s="35" t="str">
        <f t="shared" si="4"/>
        <v/>
      </c>
      <c r="I147" s="22"/>
      <c r="J147" s="12"/>
      <c r="K147" s="23"/>
      <c r="L147" s="29"/>
      <c r="M147" s="29"/>
    </row>
    <row r="148" spans="1:13" ht="17.25" customHeight="1" x14ac:dyDescent="0.15">
      <c r="A148" s="12"/>
      <c r="B148" s="18"/>
      <c r="C148" s="12"/>
      <c r="D148" s="18"/>
      <c r="E148" s="9"/>
      <c r="F148" s="20"/>
      <c r="G148" s="21"/>
      <c r="H148" s="35" t="str">
        <f t="shared" si="4"/>
        <v/>
      </c>
      <c r="I148" s="22"/>
      <c r="J148" s="12"/>
      <c r="K148" s="23"/>
      <c r="L148" s="29"/>
      <c r="M148" s="29"/>
    </row>
    <row r="149" spans="1:13" ht="17.25" customHeight="1" x14ac:dyDescent="0.15">
      <c r="A149" s="12"/>
      <c r="B149" s="18"/>
      <c r="C149" s="12"/>
      <c r="D149" s="18"/>
      <c r="E149" s="9"/>
      <c r="F149" s="20"/>
      <c r="G149" s="21"/>
      <c r="H149" s="35" t="str">
        <f t="shared" si="4"/>
        <v/>
      </c>
      <c r="I149" s="22"/>
      <c r="J149" s="12"/>
      <c r="K149" s="23"/>
      <c r="L149" s="29"/>
      <c r="M149" s="29"/>
    </row>
    <row r="150" spans="1:13" ht="17.25" customHeight="1" x14ac:dyDescent="0.15">
      <c r="A150" s="12"/>
      <c r="B150" s="18"/>
      <c r="C150" s="12"/>
      <c r="D150" s="18"/>
      <c r="E150" s="9"/>
      <c r="F150" s="20"/>
      <c r="G150" s="21"/>
      <c r="H150" s="35" t="str">
        <f t="shared" si="4"/>
        <v/>
      </c>
      <c r="I150" s="22"/>
      <c r="J150" s="12"/>
      <c r="K150" s="23"/>
      <c r="L150" s="29"/>
      <c r="M150" s="29"/>
    </row>
    <row r="151" spans="1:13" ht="17.25" customHeight="1" x14ac:dyDescent="0.15">
      <c r="A151" s="12"/>
      <c r="B151" s="18"/>
      <c r="C151" s="12"/>
      <c r="D151" s="18"/>
      <c r="E151" s="9"/>
      <c r="F151" s="20"/>
      <c r="G151" s="21"/>
      <c r="H151" s="35" t="str">
        <f t="shared" si="4"/>
        <v/>
      </c>
      <c r="I151" s="22"/>
      <c r="J151" s="12"/>
      <c r="K151" s="23"/>
      <c r="L151" s="29"/>
      <c r="M151" s="29"/>
    </row>
    <row r="152" spans="1:13" ht="17.25" customHeight="1" x14ac:dyDescent="0.15">
      <c r="A152" s="12"/>
      <c r="B152" s="18"/>
      <c r="C152" s="12"/>
      <c r="D152" s="18"/>
      <c r="E152" s="9"/>
      <c r="F152" s="20"/>
      <c r="G152" s="21"/>
      <c r="H152" s="35" t="str">
        <f t="shared" si="4"/>
        <v/>
      </c>
      <c r="I152" s="22"/>
      <c r="J152" s="12"/>
      <c r="K152" s="23"/>
      <c r="L152" s="29"/>
      <c r="M152" s="29"/>
    </row>
    <row r="153" spans="1:13" ht="17.25" customHeight="1" x14ac:dyDescent="0.15">
      <c r="A153" s="12"/>
      <c r="B153" s="18"/>
      <c r="C153" s="12"/>
      <c r="D153" s="18"/>
      <c r="E153" s="9"/>
      <c r="F153" s="20"/>
      <c r="G153" s="21"/>
      <c r="H153" s="35" t="str">
        <f t="shared" si="4"/>
        <v/>
      </c>
      <c r="I153" s="22"/>
      <c r="J153" s="12"/>
      <c r="K153" s="23"/>
      <c r="L153" s="29"/>
      <c r="M153" s="29"/>
    </row>
    <row r="154" spans="1:13" ht="17.25" customHeight="1" x14ac:dyDescent="0.15">
      <c r="A154" s="12"/>
      <c r="B154" s="18"/>
      <c r="C154" s="12"/>
      <c r="D154" s="18"/>
      <c r="E154" s="9"/>
      <c r="F154" s="20"/>
      <c r="G154" s="21"/>
      <c r="H154" s="35" t="str">
        <f t="shared" si="4"/>
        <v/>
      </c>
      <c r="I154" s="22"/>
      <c r="J154" s="12"/>
      <c r="K154" s="23"/>
      <c r="L154" s="29"/>
      <c r="M154" s="29"/>
    </row>
    <row r="155" spans="1:13" ht="17.25" customHeight="1" x14ac:dyDescent="0.15">
      <c r="A155" s="12"/>
      <c r="B155" s="18"/>
      <c r="C155" s="12"/>
      <c r="D155" s="18"/>
      <c r="E155" s="9"/>
      <c r="F155" s="20"/>
      <c r="G155" s="21"/>
      <c r="H155" s="35" t="str">
        <f t="shared" si="4"/>
        <v/>
      </c>
      <c r="I155" s="22"/>
      <c r="J155" s="12"/>
      <c r="K155" s="23"/>
      <c r="L155" s="29"/>
      <c r="M155" s="29"/>
    </row>
    <row r="156" spans="1:13" ht="17.25" customHeight="1" x14ac:dyDescent="0.15">
      <c r="A156" s="12"/>
      <c r="B156" s="18"/>
      <c r="C156" s="12"/>
      <c r="D156" s="18"/>
      <c r="E156" s="9"/>
      <c r="F156" s="20"/>
      <c r="G156" s="21"/>
      <c r="H156" s="35" t="str">
        <f t="shared" ref="H156:H187" si="5">IF(G156="","",(F156*100000000+G156)-7*INT((F156*100000000+G156)/7))</f>
        <v/>
      </c>
      <c r="I156" s="22"/>
      <c r="J156" s="12"/>
      <c r="K156" s="23"/>
      <c r="L156" s="29"/>
      <c r="M156" s="29"/>
    </row>
    <row r="157" spans="1:13" ht="17.25" customHeight="1" x14ac:dyDescent="0.15">
      <c r="A157" s="12"/>
      <c r="B157" s="18"/>
      <c r="C157" s="12"/>
      <c r="D157" s="18"/>
      <c r="E157" s="9"/>
      <c r="F157" s="20"/>
      <c r="G157" s="21"/>
      <c r="H157" s="35" t="str">
        <f t="shared" si="5"/>
        <v/>
      </c>
      <c r="I157" s="22"/>
      <c r="J157" s="12"/>
      <c r="K157" s="23"/>
      <c r="L157" s="29"/>
      <c r="M157" s="29"/>
    </row>
    <row r="158" spans="1:13" ht="17.25" customHeight="1" x14ac:dyDescent="0.15">
      <c r="A158" s="12"/>
      <c r="B158" s="18"/>
      <c r="C158" s="12"/>
      <c r="D158" s="18"/>
      <c r="E158" s="9"/>
      <c r="F158" s="20"/>
      <c r="G158" s="21"/>
      <c r="H158" s="35" t="str">
        <f t="shared" si="5"/>
        <v/>
      </c>
      <c r="I158" s="22"/>
      <c r="J158" s="12"/>
      <c r="K158" s="23"/>
      <c r="L158" s="29"/>
      <c r="M158" s="29"/>
    </row>
    <row r="159" spans="1:13" ht="17.25" customHeight="1" x14ac:dyDescent="0.15">
      <c r="A159" s="12"/>
      <c r="B159" s="18"/>
      <c r="C159" s="12"/>
      <c r="D159" s="18"/>
      <c r="E159" s="9"/>
      <c r="F159" s="20"/>
      <c r="G159" s="21"/>
      <c r="H159" s="35" t="str">
        <f t="shared" si="5"/>
        <v/>
      </c>
      <c r="I159" s="22"/>
      <c r="J159" s="12"/>
      <c r="K159" s="23"/>
      <c r="L159" s="29"/>
      <c r="M159" s="29"/>
    </row>
    <row r="160" spans="1:13" ht="17.25" customHeight="1" x14ac:dyDescent="0.15">
      <c r="A160" s="12"/>
      <c r="B160" s="18"/>
      <c r="C160" s="12"/>
      <c r="D160" s="18"/>
      <c r="E160" s="9"/>
      <c r="F160" s="20"/>
      <c r="G160" s="21"/>
      <c r="H160" s="35" t="str">
        <f t="shared" si="5"/>
        <v/>
      </c>
      <c r="I160" s="22"/>
      <c r="J160" s="12"/>
      <c r="K160" s="23"/>
      <c r="L160" s="29"/>
      <c r="M160" s="29"/>
    </row>
    <row r="161" spans="1:13" ht="17.25" customHeight="1" x14ac:dyDescent="0.15">
      <c r="A161" s="12"/>
      <c r="B161" s="18"/>
      <c r="C161" s="12"/>
      <c r="D161" s="18"/>
      <c r="E161" s="9"/>
      <c r="F161" s="20"/>
      <c r="G161" s="21"/>
      <c r="H161" s="35" t="str">
        <f t="shared" si="5"/>
        <v/>
      </c>
      <c r="I161" s="22"/>
      <c r="J161" s="12"/>
      <c r="K161" s="23"/>
      <c r="L161" s="29"/>
      <c r="M161" s="29"/>
    </row>
    <row r="162" spans="1:13" ht="17.25" customHeight="1" x14ac:dyDescent="0.15">
      <c r="A162" s="12"/>
      <c r="B162" s="18"/>
      <c r="C162" s="12"/>
      <c r="D162" s="18"/>
      <c r="E162" s="9"/>
      <c r="F162" s="20"/>
      <c r="G162" s="21"/>
      <c r="H162" s="35" t="str">
        <f t="shared" si="5"/>
        <v/>
      </c>
      <c r="I162" s="22"/>
      <c r="J162" s="12"/>
      <c r="K162" s="23"/>
      <c r="L162" s="29"/>
      <c r="M162" s="29"/>
    </row>
    <row r="163" spans="1:13" ht="17.25" customHeight="1" x14ac:dyDescent="0.15">
      <c r="A163" s="12"/>
      <c r="B163" s="18"/>
      <c r="C163" s="12"/>
      <c r="D163" s="18"/>
      <c r="E163" s="9"/>
      <c r="F163" s="20"/>
      <c r="G163" s="21"/>
      <c r="H163" s="35" t="str">
        <f t="shared" si="5"/>
        <v/>
      </c>
      <c r="I163" s="22"/>
      <c r="J163" s="12"/>
      <c r="K163" s="23"/>
      <c r="L163" s="29"/>
      <c r="M163" s="29"/>
    </row>
    <row r="164" spans="1:13" ht="17.25" customHeight="1" x14ac:dyDescent="0.15">
      <c r="A164" s="12"/>
      <c r="B164" s="18"/>
      <c r="C164" s="12"/>
      <c r="D164" s="18"/>
      <c r="E164" s="9"/>
      <c r="F164" s="20"/>
      <c r="G164" s="21"/>
      <c r="H164" s="35" t="str">
        <f t="shared" si="5"/>
        <v/>
      </c>
      <c r="I164" s="22"/>
      <c r="J164" s="12"/>
      <c r="K164" s="23"/>
      <c r="L164" s="29"/>
      <c r="M164" s="29"/>
    </row>
    <row r="165" spans="1:13" ht="17.25" customHeight="1" x14ac:dyDescent="0.15">
      <c r="A165" s="12"/>
      <c r="B165" s="18"/>
      <c r="C165" s="12"/>
      <c r="D165" s="18"/>
      <c r="E165" s="9"/>
      <c r="F165" s="20"/>
      <c r="G165" s="21"/>
      <c r="H165" s="35" t="str">
        <f t="shared" si="5"/>
        <v/>
      </c>
      <c r="I165" s="22"/>
      <c r="J165" s="12"/>
      <c r="K165" s="23"/>
      <c r="L165" s="29"/>
      <c r="M165" s="29"/>
    </row>
    <row r="166" spans="1:13" ht="17.25" customHeight="1" x14ac:dyDescent="0.15">
      <c r="A166" s="12"/>
      <c r="B166" s="18"/>
      <c r="C166" s="12"/>
      <c r="D166" s="18"/>
      <c r="E166" s="9"/>
      <c r="F166" s="20"/>
      <c r="G166" s="21"/>
      <c r="H166" s="35" t="str">
        <f t="shared" si="5"/>
        <v/>
      </c>
      <c r="I166" s="22"/>
      <c r="J166" s="12"/>
      <c r="K166" s="23"/>
      <c r="L166" s="29"/>
      <c r="M166" s="29"/>
    </row>
    <row r="167" spans="1:13" ht="17.25" customHeight="1" x14ac:dyDescent="0.15">
      <c r="A167" s="12"/>
      <c r="B167" s="18"/>
      <c r="C167" s="12"/>
      <c r="D167" s="18"/>
      <c r="E167" s="9"/>
      <c r="F167" s="20"/>
      <c r="G167" s="21"/>
      <c r="H167" s="35" t="str">
        <f t="shared" si="5"/>
        <v/>
      </c>
      <c r="I167" s="22"/>
      <c r="J167" s="12"/>
      <c r="K167" s="23"/>
      <c r="L167" s="29"/>
      <c r="M167" s="29"/>
    </row>
    <row r="168" spans="1:13" ht="17.25" customHeight="1" x14ac:dyDescent="0.15">
      <c r="A168" s="12"/>
      <c r="B168" s="18"/>
      <c r="C168" s="12"/>
      <c r="D168" s="18"/>
      <c r="E168" s="9"/>
      <c r="F168" s="20"/>
      <c r="G168" s="21"/>
      <c r="H168" s="35" t="str">
        <f t="shared" si="5"/>
        <v/>
      </c>
      <c r="I168" s="22"/>
      <c r="J168" s="12"/>
      <c r="K168" s="23"/>
      <c r="L168" s="29"/>
      <c r="M168" s="29"/>
    </row>
    <row r="169" spans="1:13" ht="17.25" customHeight="1" x14ac:dyDescent="0.15">
      <c r="A169" s="12"/>
      <c r="B169" s="18"/>
      <c r="C169" s="12"/>
      <c r="D169" s="18"/>
      <c r="E169" s="9"/>
      <c r="F169" s="20"/>
      <c r="G169" s="21"/>
      <c r="H169" s="35" t="str">
        <f t="shared" si="5"/>
        <v/>
      </c>
      <c r="I169" s="22"/>
      <c r="J169" s="12"/>
      <c r="K169" s="23"/>
      <c r="L169" s="29"/>
      <c r="M169" s="29"/>
    </row>
    <row r="170" spans="1:13" ht="17.25" customHeight="1" x14ac:dyDescent="0.15">
      <c r="A170" s="12"/>
      <c r="B170" s="18"/>
      <c r="C170" s="12"/>
      <c r="D170" s="18"/>
      <c r="E170" s="9"/>
      <c r="F170" s="20"/>
      <c r="G170" s="21"/>
      <c r="H170" s="35" t="str">
        <f t="shared" si="5"/>
        <v/>
      </c>
      <c r="I170" s="22"/>
      <c r="J170" s="12"/>
      <c r="K170" s="23"/>
      <c r="L170" s="29"/>
      <c r="M170" s="29"/>
    </row>
    <row r="171" spans="1:13" ht="17.25" customHeight="1" x14ac:dyDescent="0.15">
      <c r="A171" s="12"/>
      <c r="B171" s="18"/>
      <c r="C171" s="12"/>
      <c r="D171" s="18"/>
      <c r="E171" s="9"/>
      <c r="F171" s="20"/>
      <c r="G171" s="21"/>
      <c r="H171" s="35" t="str">
        <f t="shared" si="5"/>
        <v/>
      </c>
      <c r="I171" s="22"/>
      <c r="J171" s="12"/>
      <c r="K171" s="23"/>
      <c r="L171" s="29"/>
      <c r="M171" s="29"/>
    </row>
    <row r="172" spans="1:13" ht="17.25" customHeight="1" x14ac:dyDescent="0.15">
      <c r="A172" s="12"/>
      <c r="B172" s="18"/>
      <c r="C172" s="12"/>
      <c r="D172" s="18"/>
      <c r="E172" s="9"/>
      <c r="F172" s="20"/>
      <c r="G172" s="21"/>
      <c r="H172" s="35" t="str">
        <f t="shared" si="5"/>
        <v/>
      </c>
      <c r="I172" s="22"/>
      <c r="J172" s="12"/>
      <c r="K172" s="23"/>
      <c r="L172" s="29"/>
      <c r="M172" s="29"/>
    </row>
    <row r="173" spans="1:13" ht="17.25" customHeight="1" x14ac:dyDescent="0.15">
      <c r="A173" s="12"/>
      <c r="B173" s="18"/>
      <c r="C173" s="12"/>
      <c r="D173" s="18"/>
      <c r="E173" s="9"/>
      <c r="F173" s="20"/>
      <c r="G173" s="21"/>
      <c r="H173" s="35" t="str">
        <f t="shared" si="5"/>
        <v/>
      </c>
      <c r="I173" s="22"/>
      <c r="J173" s="12"/>
      <c r="K173" s="23"/>
      <c r="L173" s="29"/>
      <c r="M173" s="29"/>
    </row>
    <row r="174" spans="1:13" ht="17.25" customHeight="1" x14ac:dyDescent="0.15">
      <c r="A174" s="12"/>
      <c r="B174" s="18"/>
      <c r="C174" s="12"/>
      <c r="D174" s="18"/>
      <c r="E174" s="9"/>
      <c r="F174" s="20"/>
      <c r="G174" s="21"/>
      <c r="H174" s="35" t="str">
        <f t="shared" si="5"/>
        <v/>
      </c>
      <c r="I174" s="22"/>
      <c r="J174" s="12"/>
      <c r="K174" s="23"/>
      <c r="L174" s="29"/>
      <c r="M174" s="29"/>
    </row>
    <row r="175" spans="1:13" ht="17.25" customHeight="1" x14ac:dyDescent="0.15">
      <c r="A175" s="12"/>
      <c r="B175" s="18"/>
      <c r="C175" s="12"/>
      <c r="D175" s="18"/>
      <c r="E175" s="9"/>
      <c r="F175" s="20"/>
      <c r="G175" s="21"/>
      <c r="H175" s="35" t="str">
        <f t="shared" si="5"/>
        <v/>
      </c>
      <c r="I175" s="22"/>
      <c r="J175" s="12"/>
      <c r="K175" s="23"/>
      <c r="L175" s="29"/>
      <c r="M175" s="29"/>
    </row>
    <row r="176" spans="1:13" ht="17.25" customHeight="1" x14ac:dyDescent="0.15">
      <c r="A176" s="12"/>
      <c r="B176" s="18"/>
      <c r="C176" s="12"/>
      <c r="D176" s="18"/>
      <c r="E176" s="9"/>
      <c r="F176" s="20"/>
      <c r="G176" s="21"/>
      <c r="H176" s="35" t="str">
        <f t="shared" si="5"/>
        <v/>
      </c>
      <c r="I176" s="22"/>
      <c r="J176" s="12"/>
      <c r="K176" s="23"/>
      <c r="L176" s="29"/>
      <c r="M176" s="29"/>
    </row>
    <row r="177" spans="1:13" ht="17.25" customHeight="1" x14ac:dyDescent="0.15">
      <c r="A177" s="12"/>
      <c r="B177" s="18"/>
      <c r="C177" s="12"/>
      <c r="D177" s="18"/>
      <c r="E177" s="9"/>
      <c r="F177" s="20"/>
      <c r="G177" s="21"/>
      <c r="H177" s="35" t="str">
        <f t="shared" si="5"/>
        <v/>
      </c>
      <c r="I177" s="22"/>
      <c r="J177" s="12"/>
      <c r="K177" s="23"/>
      <c r="L177" s="29"/>
      <c r="M177" s="29"/>
    </row>
    <row r="178" spans="1:13" ht="17.25" customHeight="1" x14ac:dyDescent="0.15">
      <c r="A178" s="12"/>
      <c r="B178" s="18"/>
      <c r="C178" s="12"/>
      <c r="D178" s="18"/>
      <c r="E178" s="9"/>
      <c r="F178" s="20"/>
      <c r="G178" s="21"/>
      <c r="H178" s="35" t="str">
        <f t="shared" si="5"/>
        <v/>
      </c>
      <c r="I178" s="22"/>
      <c r="J178" s="12"/>
      <c r="K178" s="23"/>
      <c r="L178" s="29"/>
      <c r="M178" s="29"/>
    </row>
    <row r="179" spans="1:13" ht="17.25" customHeight="1" x14ac:dyDescent="0.15">
      <c r="A179" s="12"/>
      <c r="B179" s="18"/>
      <c r="C179" s="12"/>
      <c r="D179" s="18"/>
      <c r="E179" s="9"/>
      <c r="F179" s="20"/>
      <c r="G179" s="21"/>
      <c r="H179" s="35" t="str">
        <f t="shared" si="5"/>
        <v/>
      </c>
      <c r="I179" s="22"/>
      <c r="J179" s="12"/>
      <c r="K179" s="23"/>
      <c r="L179" s="29"/>
      <c r="M179" s="29"/>
    </row>
    <row r="180" spans="1:13" ht="17.25" customHeight="1" x14ac:dyDescent="0.15">
      <c r="A180" s="12"/>
      <c r="B180" s="18"/>
      <c r="C180" s="12"/>
      <c r="D180" s="18"/>
      <c r="E180" s="9"/>
      <c r="F180" s="20"/>
      <c r="G180" s="21"/>
      <c r="H180" s="35" t="str">
        <f t="shared" si="5"/>
        <v/>
      </c>
      <c r="I180" s="22"/>
      <c r="J180" s="12"/>
      <c r="K180" s="23"/>
      <c r="L180" s="29"/>
      <c r="M180" s="29"/>
    </row>
    <row r="181" spans="1:13" ht="17.25" customHeight="1" x14ac:dyDescent="0.15">
      <c r="A181" s="12"/>
      <c r="B181" s="18"/>
      <c r="C181" s="12"/>
      <c r="D181" s="18"/>
      <c r="E181" s="9"/>
      <c r="F181" s="20"/>
      <c r="G181" s="21"/>
      <c r="H181" s="35" t="str">
        <f t="shared" si="5"/>
        <v/>
      </c>
      <c r="I181" s="22"/>
      <c r="J181" s="12"/>
      <c r="K181" s="23"/>
      <c r="L181" s="29"/>
      <c r="M181" s="29"/>
    </row>
    <row r="182" spans="1:13" ht="17.25" customHeight="1" x14ac:dyDescent="0.15">
      <c r="A182" s="12"/>
      <c r="B182" s="18"/>
      <c r="C182" s="12"/>
      <c r="D182" s="18"/>
      <c r="E182" s="9"/>
      <c r="F182" s="20"/>
      <c r="G182" s="21"/>
      <c r="H182" s="35" t="str">
        <f t="shared" si="5"/>
        <v/>
      </c>
      <c r="I182" s="22"/>
      <c r="J182" s="12"/>
      <c r="K182" s="23"/>
      <c r="L182" s="29"/>
      <c r="M182" s="29"/>
    </row>
    <row r="183" spans="1:13" ht="17.25" customHeight="1" x14ac:dyDescent="0.15">
      <c r="A183" s="12"/>
      <c r="B183" s="18"/>
      <c r="C183" s="12"/>
      <c r="D183" s="18"/>
      <c r="E183" s="9"/>
      <c r="F183" s="20"/>
      <c r="G183" s="21"/>
      <c r="H183" s="35" t="str">
        <f t="shared" si="5"/>
        <v/>
      </c>
      <c r="I183" s="22"/>
      <c r="J183" s="12"/>
      <c r="K183" s="23"/>
      <c r="L183" s="29"/>
      <c r="M183" s="29"/>
    </row>
    <row r="184" spans="1:13" ht="17.25" customHeight="1" x14ac:dyDescent="0.15">
      <c r="A184" s="12"/>
      <c r="B184" s="18"/>
      <c r="C184" s="12"/>
      <c r="D184" s="18"/>
      <c r="E184" s="9"/>
      <c r="F184" s="20"/>
      <c r="G184" s="21"/>
      <c r="H184" s="35" t="str">
        <f t="shared" si="5"/>
        <v/>
      </c>
      <c r="I184" s="22"/>
      <c r="J184" s="12"/>
      <c r="K184" s="23"/>
      <c r="L184" s="29"/>
      <c r="M184" s="29"/>
    </row>
    <row r="185" spans="1:13" ht="17.25" customHeight="1" x14ac:dyDescent="0.15">
      <c r="A185" s="12"/>
      <c r="B185" s="18"/>
      <c r="C185" s="12"/>
      <c r="D185" s="18"/>
      <c r="E185" s="9"/>
      <c r="F185" s="20"/>
      <c r="G185" s="21"/>
      <c r="H185" s="35" t="str">
        <f t="shared" si="5"/>
        <v/>
      </c>
      <c r="I185" s="22"/>
      <c r="J185" s="12"/>
      <c r="K185" s="23"/>
      <c r="L185" s="29"/>
      <c r="M185" s="29"/>
    </row>
    <row r="186" spans="1:13" ht="17.25" customHeight="1" x14ac:dyDescent="0.15">
      <c r="A186" s="12"/>
      <c r="B186" s="18"/>
      <c r="C186" s="12"/>
      <c r="D186" s="18"/>
      <c r="E186" s="9"/>
      <c r="F186" s="20"/>
      <c r="G186" s="21"/>
      <c r="H186" s="35" t="str">
        <f t="shared" si="5"/>
        <v/>
      </c>
      <c r="I186" s="22"/>
      <c r="J186" s="12"/>
      <c r="K186" s="23"/>
      <c r="L186" s="29"/>
      <c r="M186" s="29"/>
    </row>
    <row r="187" spans="1:13" ht="17.25" customHeight="1" x14ac:dyDescent="0.15">
      <c r="A187" s="12"/>
      <c r="B187" s="18"/>
      <c r="C187" s="12"/>
      <c r="D187" s="18"/>
      <c r="E187" s="9"/>
      <c r="F187" s="20"/>
      <c r="G187" s="21"/>
      <c r="H187" s="35" t="str">
        <f t="shared" si="5"/>
        <v/>
      </c>
      <c r="I187" s="22"/>
      <c r="J187" s="12"/>
      <c r="K187" s="23"/>
      <c r="L187" s="29"/>
      <c r="M187" s="29"/>
    </row>
    <row r="188" spans="1:13" ht="17.25" customHeight="1" x14ac:dyDescent="0.15">
      <c r="A188" s="12"/>
      <c r="B188" s="18"/>
      <c r="C188" s="12"/>
      <c r="D188" s="18"/>
      <c r="E188" s="9"/>
      <c r="F188" s="20"/>
      <c r="G188" s="21"/>
      <c r="H188" s="35" t="str">
        <f t="shared" ref="H188:H210" si="6">IF(G188="","",(F188*100000000+G188)-7*INT((F188*100000000+G188)/7))</f>
        <v/>
      </c>
      <c r="I188" s="22"/>
      <c r="J188" s="12"/>
      <c r="K188" s="23"/>
      <c r="L188" s="29"/>
      <c r="M188" s="29"/>
    </row>
    <row r="189" spans="1:13" ht="17.25" customHeight="1" x14ac:dyDescent="0.15">
      <c r="A189" s="12"/>
      <c r="B189" s="18"/>
      <c r="C189" s="12"/>
      <c r="D189" s="18"/>
      <c r="E189" s="9"/>
      <c r="F189" s="20"/>
      <c r="G189" s="21"/>
      <c r="H189" s="35" t="str">
        <f t="shared" si="6"/>
        <v/>
      </c>
      <c r="I189" s="22"/>
      <c r="J189" s="12"/>
      <c r="K189" s="23"/>
      <c r="L189" s="29"/>
      <c r="M189" s="29"/>
    </row>
    <row r="190" spans="1:13" ht="17.25" customHeight="1" x14ac:dyDescent="0.15">
      <c r="A190" s="12"/>
      <c r="B190" s="18"/>
      <c r="C190" s="12"/>
      <c r="D190" s="18"/>
      <c r="E190" s="9"/>
      <c r="F190" s="20"/>
      <c r="G190" s="21"/>
      <c r="H190" s="35" t="str">
        <f t="shared" si="6"/>
        <v/>
      </c>
      <c r="I190" s="22"/>
      <c r="J190" s="12"/>
      <c r="K190" s="23"/>
      <c r="L190" s="29"/>
      <c r="M190" s="29"/>
    </row>
    <row r="191" spans="1:13" ht="17.25" customHeight="1" x14ac:dyDescent="0.15">
      <c r="A191" s="12"/>
      <c r="B191" s="18"/>
      <c r="C191" s="12"/>
      <c r="D191" s="18"/>
      <c r="E191" s="9"/>
      <c r="F191" s="20"/>
      <c r="G191" s="21"/>
      <c r="H191" s="35" t="str">
        <f t="shared" si="6"/>
        <v/>
      </c>
      <c r="I191" s="22"/>
      <c r="J191" s="12"/>
      <c r="K191" s="23"/>
      <c r="L191" s="29"/>
      <c r="M191" s="29"/>
    </row>
    <row r="192" spans="1:13" ht="17.25" customHeight="1" x14ac:dyDescent="0.15">
      <c r="A192" s="12"/>
      <c r="B192" s="18"/>
      <c r="C192" s="12"/>
      <c r="D192" s="18"/>
      <c r="E192" s="9"/>
      <c r="F192" s="20"/>
      <c r="G192" s="21"/>
      <c r="H192" s="35" t="str">
        <f t="shared" si="6"/>
        <v/>
      </c>
      <c r="I192" s="22"/>
      <c r="J192" s="12"/>
      <c r="K192" s="23"/>
      <c r="L192" s="29"/>
      <c r="M192" s="29"/>
    </row>
    <row r="193" spans="1:13" ht="17.25" customHeight="1" x14ac:dyDescent="0.15">
      <c r="A193" s="12"/>
      <c r="B193" s="18"/>
      <c r="C193" s="12"/>
      <c r="D193" s="18"/>
      <c r="E193" s="9"/>
      <c r="F193" s="20"/>
      <c r="G193" s="21"/>
      <c r="H193" s="35" t="str">
        <f t="shared" si="6"/>
        <v/>
      </c>
      <c r="I193" s="22"/>
      <c r="J193" s="12"/>
      <c r="K193" s="23"/>
      <c r="L193" s="29"/>
      <c r="M193" s="29"/>
    </row>
    <row r="194" spans="1:13" ht="17.25" customHeight="1" x14ac:dyDescent="0.15">
      <c r="A194" s="12"/>
      <c r="B194" s="18"/>
      <c r="C194" s="12"/>
      <c r="D194" s="18"/>
      <c r="E194" s="9"/>
      <c r="F194" s="20"/>
      <c r="G194" s="21"/>
      <c r="H194" s="35" t="str">
        <f t="shared" si="6"/>
        <v/>
      </c>
      <c r="I194" s="22"/>
      <c r="J194" s="12"/>
      <c r="K194" s="23"/>
      <c r="L194" s="29"/>
      <c r="M194" s="29"/>
    </row>
    <row r="195" spans="1:13" ht="17.25" customHeight="1" x14ac:dyDescent="0.15">
      <c r="A195" s="12"/>
      <c r="B195" s="18"/>
      <c r="C195" s="12"/>
      <c r="D195" s="18"/>
      <c r="E195" s="9"/>
      <c r="F195" s="20"/>
      <c r="G195" s="21"/>
      <c r="H195" s="35" t="str">
        <f t="shared" si="6"/>
        <v/>
      </c>
      <c r="I195" s="22"/>
      <c r="J195" s="12"/>
      <c r="K195" s="23"/>
      <c r="L195" s="29"/>
      <c r="M195" s="29"/>
    </row>
    <row r="196" spans="1:13" ht="17.25" customHeight="1" x14ac:dyDescent="0.15">
      <c r="A196" s="12"/>
      <c r="B196" s="18"/>
      <c r="C196" s="12"/>
      <c r="D196" s="18"/>
      <c r="E196" s="9"/>
      <c r="F196" s="20"/>
      <c r="G196" s="21"/>
      <c r="H196" s="35" t="str">
        <f t="shared" si="6"/>
        <v/>
      </c>
      <c r="I196" s="22"/>
      <c r="J196" s="12"/>
      <c r="K196" s="23"/>
      <c r="L196" s="29"/>
      <c r="M196" s="29"/>
    </row>
    <row r="197" spans="1:13" ht="17.25" customHeight="1" x14ac:dyDescent="0.15">
      <c r="A197" s="12"/>
      <c r="B197" s="18"/>
      <c r="C197" s="12"/>
      <c r="D197" s="18"/>
      <c r="E197" s="9"/>
      <c r="F197" s="20"/>
      <c r="G197" s="21"/>
      <c r="H197" s="35" t="str">
        <f t="shared" si="6"/>
        <v/>
      </c>
      <c r="I197" s="22"/>
      <c r="J197" s="12"/>
      <c r="K197" s="23"/>
      <c r="L197" s="29"/>
      <c r="M197" s="29"/>
    </row>
    <row r="198" spans="1:13" ht="17.25" customHeight="1" x14ac:dyDescent="0.15">
      <c r="A198" s="12"/>
      <c r="B198" s="18"/>
      <c r="C198" s="12"/>
      <c r="D198" s="18"/>
      <c r="E198" s="9"/>
      <c r="F198" s="20"/>
      <c r="G198" s="21"/>
      <c r="H198" s="35" t="str">
        <f t="shared" si="6"/>
        <v/>
      </c>
      <c r="I198" s="22"/>
      <c r="J198" s="12"/>
      <c r="K198" s="23"/>
      <c r="L198" s="29"/>
      <c r="M198" s="29"/>
    </row>
    <row r="199" spans="1:13" ht="17.25" customHeight="1" x14ac:dyDescent="0.15">
      <c r="A199" s="12"/>
      <c r="B199" s="18"/>
      <c r="C199" s="12"/>
      <c r="D199" s="18"/>
      <c r="E199" s="9"/>
      <c r="F199" s="20"/>
      <c r="G199" s="21"/>
      <c r="H199" s="35" t="str">
        <f t="shared" si="6"/>
        <v/>
      </c>
      <c r="I199" s="22"/>
      <c r="J199" s="12"/>
      <c r="K199" s="23"/>
      <c r="L199" s="29"/>
      <c r="M199" s="29"/>
    </row>
    <row r="200" spans="1:13" ht="17.25" customHeight="1" x14ac:dyDescent="0.15">
      <c r="A200" s="12"/>
      <c r="B200" s="18"/>
      <c r="C200" s="12"/>
      <c r="D200" s="18"/>
      <c r="E200" s="9"/>
      <c r="F200" s="20"/>
      <c r="G200" s="21"/>
      <c r="H200" s="35" t="str">
        <f t="shared" si="6"/>
        <v/>
      </c>
      <c r="I200" s="22"/>
      <c r="J200" s="12"/>
      <c r="K200" s="23"/>
      <c r="L200" s="29"/>
      <c r="M200" s="29"/>
    </row>
    <row r="201" spans="1:13" ht="17.25" customHeight="1" x14ac:dyDescent="0.15">
      <c r="A201" s="12"/>
      <c r="B201" s="18"/>
      <c r="C201" s="12"/>
      <c r="D201" s="18"/>
      <c r="E201" s="9"/>
      <c r="F201" s="20"/>
      <c r="G201" s="21"/>
      <c r="H201" s="35" t="str">
        <f t="shared" si="6"/>
        <v/>
      </c>
      <c r="I201" s="22"/>
      <c r="J201" s="12"/>
      <c r="K201" s="23"/>
      <c r="L201" s="29"/>
      <c r="M201" s="29"/>
    </row>
    <row r="202" spans="1:13" ht="17.25" customHeight="1" x14ac:dyDescent="0.15">
      <c r="A202" s="12"/>
      <c r="B202" s="18"/>
      <c r="C202" s="12"/>
      <c r="D202" s="18"/>
      <c r="E202" s="9"/>
      <c r="F202" s="20"/>
      <c r="G202" s="21"/>
      <c r="H202" s="35" t="str">
        <f t="shared" si="6"/>
        <v/>
      </c>
      <c r="I202" s="22"/>
      <c r="J202" s="12"/>
      <c r="K202" s="23"/>
      <c r="L202" s="29"/>
      <c r="M202" s="29"/>
    </row>
    <row r="203" spans="1:13" ht="17.25" customHeight="1" x14ac:dyDescent="0.15">
      <c r="A203" s="12"/>
      <c r="B203" s="18"/>
      <c r="C203" s="12"/>
      <c r="D203" s="18"/>
      <c r="E203" s="9"/>
      <c r="F203" s="20"/>
      <c r="G203" s="21"/>
      <c r="H203" s="35" t="str">
        <f t="shared" si="6"/>
        <v/>
      </c>
      <c r="I203" s="22"/>
      <c r="J203" s="12"/>
      <c r="K203" s="23"/>
      <c r="L203" s="29"/>
      <c r="M203" s="29"/>
    </row>
    <row r="204" spans="1:13" ht="17.25" customHeight="1" x14ac:dyDescent="0.15">
      <c r="A204" s="12"/>
      <c r="B204" s="18"/>
      <c r="C204" s="12"/>
      <c r="D204" s="18"/>
      <c r="E204" s="9"/>
      <c r="F204" s="20"/>
      <c r="G204" s="21"/>
      <c r="H204" s="35" t="str">
        <f t="shared" si="6"/>
        <v/>
      </c>
      <c r="I204" s="22"/>
      <c r="J204" s="12"/>
      <c r="K204" s="23"/>
      <c r="L204" s="29"/>
      <c r="M204" s="29"/>
    </row>
    <row r="205" spans="1:13" ht="17.25" customHeight="1" x14ac:dyDescent="0.15">
      <c r="A205" s="12"/>
      <c r="B205" s="18"/>
      <c r="C205" s="12"/>
      <c r="D205" s="18"/>
      <c r="E205" s="9"/>
      <c r="F205" s="20"/>
      <c r="G205" s="21"/>
      <c r="H205" s="35" t="str">
        <f t="shared" si="6"/>
        <v/>
      </c>
      <c r="I205" s="22"/>
      <c r="J205" s="12"/>
      <c r="K205" s="23"/>
      <c r="L205" s="29"/>
      <c r="M205" s="29"/>
    </row>
    <row r="206" spans="1:13" ht="17.25" customHeight="1" x14ac:dyDescent="0.15">
      <c r="A206" s="12"/>
      <c r="B206" s="18"/>
      <c r="C206" s="12"/>
      <c r="D206" s="18"/>
      <c r="E206" s="9"/>
      <c r="F206" s="20"/>
      <c r="G206" s="21"/>
      <c r="H206" s="35" t="str">
        <f t="shared" si="6"/>
        <v/>
      </c>
      <c r="I206" s="22"/>
      <c r="J206" s="12"/>
      <c r="K206" s="23"/>
      <c r="L206" s="29"/>
      <c r="M206" s="29"/>
    </row>
    <row r="207" spans="1:13" ht="17.25" customHeight="1" x14ac:dyDescent="0.15">
      <c r="A207" s="12"/>
      <c r="B207" s="18"/>
      <c r="C207" s="12"/>
      <c r="D207" s="18"/>
      <c r="E207" s="9"/>
      <c r="F207" s="20"/>
      <c r="G207" s="21"/>
      <c r="H207" s="35" t="str">
        <f t="shared" si="6"/>
        <v/>
      </c>
      <c r="I207" s="22"/>
      <c r="J207" s="12"/>
      <c r="K207" s="23"/>
      <c r="L207" s="29"/>
      <c r="M207" s="29"/>
    </row>
    <row r="208" spans="1:13" ht="17.25" customHeight="1" x14ac:dyDescent="0.15">
      <c r="A208" s="12"/>
      <c r="B208" s="18"/>
      <c r="C208" s="12"/>
      <c r="D208" s="18"/>
      <c r="E208" s="9"/>
      <c r="F208" s="20"/>
      <c r="G208" s="21"/>
      <c r="H208" s="35" t="str">
        <f t="shared" si="6"/>
        <v/>
      </c>
      <c r="I208" s="22"/>
      <c r="J208" s="12"/>
      <c r="K208" s="23"/>
      <c r="L208" s="29"/>
      <c r="M208" s="29"/>
    </row>
    <row r="209" spans="1:13" ht="17.25" customHeight="1" x14ac:dyDescent="0.15">
      <c r="A209" s="12"/>
      <c r="B209" s="18"/>
      <c r="C209" s="12"/>
      <c r="D209" s="18"/>
      <c r="E209" s="9"/>
      <c r="F209" s="20"/>
      <c r="G209" s="21"/>
      <c r="H209" s="35" t="str">
        <f t="shared" si="6"/>
        <v/>
      </c>
      <c r="I209" s="22"/>
      <c r="J209" s="12"/>
      <c r="K209" s="23"/>
      <c r="L209" s="29"/>
      <c r="M209" s="29"/>
    </row>
    <row r="210" spans="1:13" ht="17.25" customHeight="1" x14ac:dyDescent="0.15">
      <c r="A210" s="12"/>
      <c r="B210" s="18"/>
      <c r="C210" s="12"/>
      <c r="D210" s="18"/>
      <c r="E210" s="9"/>
      <c r="F210" s="20"/>
      <c r="G210" s="21"/>
      <c r="H210" s="35" t="str">
        <f t="shared" si="6"/>
        <v/>
      </c>
      <c r="I210" s="22"/>
      <c r="J210" s="12"/>
      <c r="K210" s="23"/>
      <c r="L210" s="29"/>
      <c r="M210" s="29"/>
    </row>
    <row r="211" spans="1:13" ht="17.25" customHeight="1" x14ac:dyDescent="0.15"/>
    <row r="212" spans="1:13" ht="17.25" customHeight="1" x14ac:dyDescent="0.15"/>
    <row r="213" spans="1:13" ht="17.25" customHeight="1" x14ac:dyDescent="0.15"/>
    <row r="214" spans="1:13" ht="17.25" customHeight="1" x14ac:dyDescent="0.15"/>
    <row r="215" spans="1:13" ht="17.25" customHeight="1" x14ac:dyDescent="0.15"/>
    <row r="216" spans="1:13" ht="17.25" customHeight="1" x14ac:dyDescent="0.15"/>
    <row r="217" spans="1:13" ht="17.25" customHeight="1" x14ac:dyDescent="0.15"/>
    <row r="218" spans="1:13" ht="17.25" customHeight="1" x14ac:dyDescent="0.15"/>
    <row r="219" spans="1:13" ht="17.25" customHeight="1" x14ac:dyDescent="0.15"/>
    <row r="220" spans="1:13" ht="17.25" customHeight="1" x14ac:dyDescent="0.15"/>
    <row r="221" spans="1:13" ht="17.25" customHeight="1" x14ac:dyDescent="0.15"/>
    <row r="222" spans="1:13" ht="17.25" customHeight="1" x14ac:dyDescent="0.15"/>
    <row r="223" spans="1:13" ht="17.25" customHeight="1" x14ac:dyDescent="0.15"/>
    <row r="224" spans="1:13" ht="17.25" customHeight="1" x14ac:dyDescent="0.15"/>
    <row r="225" ht="17.25" customHeight="1" x14ac:dyDescent="0.15"/>
  </sheetData>
  <mergeCells count="4">
    <mergeCell ref="F9:H9"/>
    <mergeCell ref="A3:B3"/>
    <mergeCell ref="A4:B4"/>
    <mergeCell ref="A1:M1"/>
  </mergeCells>
  <phoneticPr fontId="1"/>
  <dataValidations count="2">
    <dataValidation imeMode="on" allowBlank="1" showInputMessage="1" showErrorMessage="1" sqref="D131:D136 D140:D210 D138 C140 C139:D139 E131:E210 C10:E130" xr:uid="{FD18367B-BD16-471B-9DA5-87C96B59A6A3}"/>
    <dataValidation imeMode="disabled" allowBlank="1" showInputMessage="1" showErrorMessage="1" sqref="C141:C210 D137 C131:C138 F10:K210 A10:B210" xr:uid="{73C11CA5-8A2F-43C8-826B-72B048B91849}"/>
  </dataValidations>
  <printOptions horizontalCentered="1"/>
  <pageMargins left="0.39370078740157483" right="0.39370078740157483" top="0.78740157480314965" bottom="0.78740157480314965" header="0" footer="0"/>
  <pageSetup paperSize="9" orientation="portrait" horizontalDpi="4294967293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4203A-A9C6-4F25-B999-81F086544D79}">
  <sheetPr>
    <tabColor rgb="FF00B0F0"/>
  </sheetPr>
  <dimension ref="A1:Q210"/>
  <sheetViews>
    <sheetView workbookViewId="0">
      <pane ySplit="9" topLeftCell="A10" activePane="bottomLeft" state="frozen"/>
      <selection pane="bottomLeft" activeCell="N1" sqref="N1"/>
    </sheetView>
  </sheetViews>
  <sheetFormatPr defaultRowHeight="14.25" x14ac:dyDescent="0.15"/>
  <cols>
    <col min="1" max="1" width="5.25" style="6" customWidth="1"/>
    <col min="2" max="2" width="7" style="6" customWidth="1"/>
    <col min="3" max="4" width="4" style="6" customWidth="1"/>
    <col min="5" max="5" width="23.5" style="6" customWidth="1"/>
    <col min="6" max="6" width="6.25" style="6" customWidth="1"/>
    <col min="7" max="7" width="10.5" style="6" customWidth="1"/>
    <col min="8" max="8" width="2.125" style="6" customWidth="1"/>
    <col min="9" max="9" width="7" style="6" customWidth="1"/>
    <col min="10" max="10" width="5" style="6" customWidth="1"/>
    <col min="11" max="11" width="10.375" style="30" customWidth="1"/>
    <col min="12" max="13" width="4.625" style="6" customWidth="1"/>
    <col min="14" max="16384" width="9" style="6"/>
  </cols>
  <sheetData>
    <row r="1" spans="1:14" s="1" customFormat="1" ht="19.5" customHeight="1" x14ac:dyDescent="0.15">
      <c r="A1" s="80" t="str">
        <f>[1]Sheet1!$B$2&amp;"年度家電リサイクル一覧表　　（Ｂグループ）"</f>
        <v>2026年度家電リサイクル一覧表　　（Ｂグループ）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</row>
    <row r="2" spans="1:14" s="1" customFormat="1" ht="19.5" customHeight="1" x14ac:dyDescent="0.15">
      <c r="A2" s="4"/>
      <c r="B2" s="4"/>
      <c r="C2" s="4"/>
      <c r="D2" s="4"/>
      <c r="E2" s="2" t="s">
        <v>14</v>
      </c>
      <c r="F2" s="2" t="s">
        <v>19</v>
      </c>
      <c r="G2" s="4"/>
      <c r="H2" s="4"/>
      <c r="I2" s="4"/>
      <c r="J2" s="4"/>
      <c r="K2" s="15"/>
      <c r="L2" s="4"/>
      <c r="M2" s="4"/>
    </row>
    <row r="3" spans="1:14" s="1" customFormat="1" ht="19.5" customHeight="1" x14ac:dyDescent="0.15">
      <c r="A3" s="80" t="s">
        <v>11</v>
      </c>
      <c r="B3" s="80"/>
      <c r="C3" s="4"/>
      <c r="D3" s="4"/>
      <c r="E3" s="31" t="s">
        <v>18</v>
      </c>
      <c r="F3" s="11">
        <f>COUNTIF(J10:J157,10)</f>
        <v>0</v>
      </c>
      <c r="G3" s="10"/>
      <c r="H3" s="4"/>
      <c r="I3" s="4"/>
      <c r="J3" s="4"/>
      <c r="K3" s="15"/>
    </row>
    <row r="4" spans="1:14" s="1" customFormat="1" ht="19.5" customHeight="1" x14ac:dyDescent="0.15">
      <c r="A4" s="80" t="s">
        <v>10</v>
      </c>
      <c r="B4" s="80"/>
      <c r="C4" s="4"/>
      <c r="D4" s="4"/>
      <c r="E4" s="31" t="s">
        <v>9</v>
      </c>
      <c r="F4" s="11">
        <f>COUNTIF(J10:J157,20)+COUNTIF(J10:J157,21)+COUNTIF(J10:J157,22)+COUNTIF(J10:J157,51)+COUNTIF(J10:J157,52)+COUNTIF(J10:J157,50)</f>
        <v>0</v>
      </c>
      <c r="G4" s="10"/>
      <c r="H4" s="4"/>
      <c r="J4" s="4"/>
      <c r="K4" s="15"/>
    </row>
    <row r="5" spans="1:14" s="1" customFormat="1" ht="19.5" customHeight="1" x14ac:dyDescent="0.15">
      <c r="A5" s="4"/>
      <c r="B5" s="4" t="s">
        <v>44</v>
      </c>
      <c r="C5" s="4"/>
      <c r="D5" s="4"/>
      <c r="E5" s="31" t="s">
        <v>7</v>
      </c>
      <c r="F5" s="11">
        <f>COUNTIF(J10:J157,30)+COUNTIF(J10:J157,31)+COUNTIF(J10:J157,32)</f>
        <v>0</v>
      </c>
      <c r="G5" s="10"/>
      <c r="H5" s="4"/>
      <c r="I5" s="4"/>
      <c r="J5" s="4"/>
      <c r="K5" s="15"/>
      <c r="N5" s="13"/>
    </row>
    <row r="6" spans="1:14" s="1" customFormat="1" ht="19.5" customHeight="1" x14ac:dyDescent="0.15">
      <c r="A6" s="4"/>
      <c r="B6" s="4"/>
      <c r="C6" s="4"/>
      <c r="D6" s="4"/>
      <c r="E6" s="31" t="s">
        <v>8</v>
      </c>
      <c r="F6" s="11">
        <f>COUNTIF(J10:J157,40)</f>
        <v>0</v>
      </c>
      <c r="G6" s="10"/>
      <c r="H6" s="4"/>
      <c r="I6" s="4"/>
      <c r="J6" s="4"/>
      <c r="K6" s="15"/>
      <c r="N6" s="13"/>
    </row>
    <row r="7" spans="1:14" s="1" customFormat="1" ht="19.5" customHeight="1" x14ac:dyDescent="0.15">
      <c r="A7" s="4"/>
      <c r="B7" s="4"/>
      <c r="C7" s="4"/>
      <c r="D7" s="4"/>
      <c r="E7" s="2" t="s">
        <v>13</v>
      </c>
      <c r="F7" s="11">
        <f>SUM(F3:F6)</f>
        <v>0</v>
      </c>
      <c r="G7" s="10"/>
      <c r="H7" s="4"/>
      <c r="I7" s="4"/>
      <c r="J7" s="4"/>
      <c r="K7" s="15"/>
    </row>
    <row r="8" spans="1:14" ht="7.5" customHeight="1" x14ac:dyDescent="0.15">
      <c r="A8" s="5"/>
      <c r="B8" s="5"/>
      <c r="C8" s="5"/>
      <c r="D8" s="5"/>
      <c r="E8" s="5"/>
      <c r="F8" s="19"/>
      <c r="G8" s="19"/>
      <c r="H8" s="5"/>
      <c r="I8" s="5"/>
      <c r="J8" s="5"/>
      <c r="K8" s="16"/>
      <c r="L8" s="5"/>
      <c r="M8" s="5"/>
    </row>
    <row r="9" spans="1:14" s="8" customFormat="1" ht="21" customHeight="1" x14ac:dyDescent="0.15">
      <c r="A9" s="7" t="s">
        <v>1</v>
      </c>
      <c r="B9" s="7" t="s">
        <v>5</v>
      </c>
      <c r="C9" s="7" t="s">
        <v>16</v>
      </c>
      <c r="D9" s="7" t="s">
        <v>17</v>
      </c>
      <c r="E9" s="7" t="s">
        <v>6</v>
      </c>
      <c r="F9" s="77" t="s">
        <v>0</v>
      </c>
      <c r="G9" s="78"/>
      <c r="H9" s="79"/>
      <c r="I9" s="7" t="s">
        <v>2</v>
      </c>
      <c r="J9" s="7" t="s">
        <v>3</v>
      </c>
      <c r="K9" s="17" t="s">
        <v>4</v>
      </c>
      <c r="L9" s="7" t="s">
        <v>15</v>
      </c>
      <c r="M9" s="7" t="s">
        <v>39</v>
      </c>
    </row>
    <row r="10" spans="1:14" ht="21" customHeight="1" x14ac:dyDescent="0.15">
      <c r="A10" s="12">
        <v>1</v>
      </c>
      <c r="B10" s="18"/>
      <c r="C10" s="18"/>
      <c r="D10" s="18"/>
      <c r="E10" s="9"/>
      <c r="F10" s="25"/>
      <c r="G10" s="26"/>
      <c r="H10" s="35" t="str">
        <f t="shared" ref="H10:H17" si="0">IF(G10="","",(F10*100000000+G10)-7*INT((F10*100000000+G10)/7))</f>
        <v/>
      </c>
      <c r="I10" s="22"/>
      <c r="J10" s="12"/>
      <c r="K10" s="23"/>
      <c r="L10" s="32"/>
      <c r="M10" s="32"/>
    </row>
    <row r="11" spans="1:14" ht="21" customHeight="1" x14ac:dyDescent="0.15">
      <c r="A11" s="12">
        <v>2</v>
      </c>
      <c r="B11" s="18"/>
      <c r="C11" s="18"/>
      <c r="D11" s="18"/>
      <c r="E11" s="73"/>
      <c r="F11" s="25"/>
      <c r="G11" s="26"/>
      <c r="H11" s="35" t="str">
        <f t="shared" si="0"/>
        <v/>
      </c>
      <c r="I11" s="22"/>
      <c r="J11" s="12"/>
      <c r="K11" s="23"/>
      <c r="L11" s="32"/>
      <c r="M11" s="32"/>
    </row>
    <row r="12" spans="1:14" ht="21" customHeight="1" x14ac:dyDescent="0.15">
      <c r="A12" s="12">
        <v>3</v>
      </c>
      <c r="B12" s="18"/>
      <c r="C12" s="18"/>
      <c r="D12" s="18"/>
      <c r="E12" s="9"/>
      <c r="F12" s="20"/>
      <c r="G12" s="26"/>
      <c r="H12" s="35" t="str">
        <f t="shared" si="0"/>
        <v/>
      </c>
      <c r="I12" s="22"/>
      <c r="J12" s="12"/>
      <c r="K12" s="23"/>
      <c r="L12" s="32"/>
      <c r="M12" s="32"/>
      <c r="N12" s="14"/>
    </row>
    <row r="13" spans="1:14" ht="21" customHeight="1" x14ac:dyDescent="0.15">
      <c r="A13" s="12">
        <v>4</v>
      </c>
      <c r="B13" s="18"/>
      <c r="C13" s="18"/>
      <c r="D13" s="18"/>
      <c r="E13" s="9"/>
      <c r="F13" s="20"/>
      <c r="G13" s="26"/>
      <c r="H13" s="35" t="str">
        <f t="shared" si="0"/>
        <v/>
      </c>
      <c r="I13" s="22"/>
      <c r="J13" s="12"/>
      <c r="K13" s="23"/>
      <c r="L13" s="32"/>
      <c r="M13" s="32"/>
    </row>
    <row r="14" spans="1:14" ht="21" customHeight="1" x14ac:dyDescent="0.15">
      <c r="A14" s="12">
        <v>5</v>
      </c>
      <c r="B14" s="18"/>
      <c r="C14" s="18"/>
      <c r="D14" s="18"/>
      <c r="E14" s="9"/>
      <c r="F14" s="20"/>
      <c r="G14" s="26"/>
      <c r="H14" s="35" t="str">
        <f t="shared" si="0"/>
        <v/>
      </c>
      <c r="I14" s="22"/>
      <c r="J14" s="12"/>
      <c r="K14" s="23"/>
      <c r="L14" s="32"/>
      <c r="M14" s="32"/>
    </row>
    <row r="15" spans="1:14" ht="21" customHeight="1" x14ac:dyDescent="0.15">
      <c r="A15" s="12">
        <v>6</v>
      </c>
      <c r="B15" s="18"/>
      <c r="C15" s="18"/>
      <c r="D15" s="18"/>
      <c r="E15" s="9"/>
      <c r="F15" s="20"/>
      <c r="G15" s="26"/>
      <c r="H15" s="35" t="str">
        <f t="shared" si="0"/>
        <v/>
      </c>
      <c r="I15" s="22"/>
      <c r="J15" s="12"/>
      <c r="K15" s="23"/>
      <c r="L15" s="32"/>
      <c r="M15" s="32"/>
    </row>
    <row r="16" spans="1:14" ht="21" customHeight="1" x14ac:dyDescent="0.15">
      <c r="A16" s="12">
        <v>7</v>
      </c>
      <c r="B16" s="18"/>
      <c r="C16" s="18"/>
      <c r="D16" s="18"/>
      <c r="E16" s="73"/>
      <c r="F16" s="20"/>
      <c r="G16" s="26"/>
      <c r="H16" s="35" t="str">
        <f t="shared" si="0"/>
        <v/>
      </c>
      <c r="I16" s="22"/>
      <c r="J16" s="12"/>
      <c r="K16" s="23"/>
      <c r="L16" s="32"/>
      <c r="M16" s="32"/>
    </row>
    <row r="17" spans="1:13" ht="21" customHeight="1" x14ac:dyDescent="0.15">
      <c r="A17" s="12">
        <v>8</v>
      </c>
      <c r="B17" s="18"/>
      <c r="C17" s="18"/>
      <c r="D17" s="18"/>
      <c r="E17" s="9"/>
      <c r="F17" s="20"/>
      <c r="G17" s="26"/>
      <c r="H17" s="35" t="str">
        <f t="shared" si="0"/>
        <v/>
      </c>
      <c r="I17" s="22"/>
      <c r="J17" s="12"/>
      <c r="K17" s="23"/>
      <c r="L17" s="32"/>
      <c r="M17" s="32"/>
    </row>
    <row r="18" spans="1:13" ht="21" customHeight="1" x14ac:dyDescent="0.15">
      <c r="A18" s="12">
        <v>9</v>
      </c>
      <c r="B18" s="18"/>
      <c r="C18" s="18"/>
      <c r="D18" s="18"/>
      <c r="E18" s="9"/>
      <c r="F18" s="20"/>
      <c r="G18" s="26"/>
      <c r="H18" s="35" t="str">
        <f t="shared" ref="H18:H58" si="1">IF(G18="","",(F18*100000000+G18)-7*INT((F18*100000000+G18)/7))</f>
        <v/>
      </c>
      <c r="I18" s="22"/>
      <c r="J18" s="12"/>
      <c r="K18" s="23"/>
      <c r="L18" s="32"/>
      <c r="M18" s="32"/>
    </row>
    <row r="19" spans="1:13" ht="21" customHeight="1" x14ac:dyDescent="0.15">
      <c r="A19" s="12">
        <v>10</v>
      </c>
      <c r="B19" s="18"/>
      <c r="C19" s="18"/>
      <c r="D19" s="18"/>
      <c r="E19" s="9"/>
      <c r="F19" s="20"/>
      <c r="G19" s="26"/>
      <c r="H19" s="35" t="str">
        <f t="shared" si="1"/>
        <v/>
      </c>
      <c r="I19" s="22"/>
      <c r="J19" s="12"/>
      <c r="K19" s="23"/>
      <c r="L19" s="32"/>
      <c r="M19" s="32"/>
    </row>
    <row r="20" spans="1:13" ht="21" customHeight="1" x14ac:dyDescent="0.15">
      <c r="A20" s="12">
        <v>11</v>
      </c>
      <c r="B20" s="18"/>
      <c r="C20" s="18"/>
      <c r="D20" s="18"/>
      <c r="E20" s="9"/>
      <c r="F20" s="20"/>
      <c r="G20" s="26"/>
      <c r="H20" s="35" t="str">
        <f t="shared" si="1"/>
        <v/>
      </c>
      <c r="I20" s="22"/>
      <c r="J20" s="12"/>
      <c r="K20" s="23"/>
      <c r="L20" s="32"/>
      <c r="M20" s="32"/>
    </row>
    <row r="21" spans="1:13" ht="21" customHeight="1" x14ac:dyDescent="0.15">
      <c r="A21" s="12">
        <v>12</v>
      </c>
      <c r="B21" s="18"/>
      <c r="C21" s="18"/>
      <c r="D21" s="18"/>
      <c r="E21" s="9"/>
      <c r="F21" s="20"/>
      <c r="G21" s="21"/>
      <c r="H21" s="35" t="str">
        <f t="shared" si="1"/>
        <v/>
      </c>
      <c r="I21" s="22"/>
      <c r="J21" s="12"/>
      <c r="K21" s="23"/>
      <c r="L21" s="32"/>
      <c r="M21" s="32"/>
    </row>
    <row r="22" spans="1:13" ht="21" customHeight="1" x14ac:dyDescent="0.15">
      <c r="A22" s="12">
        <v>13</v>
      </c>
      <c r="B22" s="18"/>
      <c r="C22" s="18"/>
      <c r="D22" s="18"/>
      <c r="E22" s="9"/>
      <c r="F22" s="20"/>
      <c r="G22" s="21"/>
      <c r="H22" s="35" t="str">
        <f t="shared" si="1"/>
        <v/>
      </c>
      <c r="I22" s="22"/>
      <c r="J22" s="12"/>
      <c r="K22" s="23"/>
      <c r="L22" s="32"/>
      <c r="M22" s="32"/>
    </row>
    <row r="23" spans="1:13" ht="21" customHeight="1" x14ac:dyDescent="0.15">
      <c r="A23" s="12">
        <v>14</v>
      </c>
      <c r="B23" s="18"/>
      <c r="C23" s="18"/>
      <c r="D23" s="18"/>
      <c r="E23" s="9"/>
      <c r="F23" s="20"/>
      <c r="G23" s="21"/>
      <c r="H23" s="35" t="str">
        <f t="shared" si="1"/>
        <v/>
      </c>
      <c r="I23" s="22"/>
      <c r="J23" s="12"/>
      <c r="K23" s="23"/>
      <c r="L23" s="32"/>
      <c r="M23" s="32"/>
    </row>
    <row r="24" spans="1:13" ht="21" customHeight="1" x14ac:dyDescent="0.15">
      <c r="A24" s="12">
        <v>15</v>
      </c>
      <c r="B24" s="18"/>
      <c r="C24" s="18"/>
      <c r="D24" s="18"/>
      <c r="E24" s="9"/>
      <c r="F24" s="20"/>
      <c r="G24" s="21"/>
      <c r="H24" s="35" t="str">
        <f t="shared" si="1"/>
        <v/>
      </c>
      <c r="I24" s="22"/>
      <c r="J24" s="12"/>
      <c r="K24" s="23"/>
      <c r="L24" s="32"/>
      <c r="M24" s="32"/>
    </row>
    <row r="25" spans="1:13" ht="21" customHeight="1" x14ac:dyDescent="0.15">
      <c r="A25" s="12">
        <v>16</v>
      </c>
      <c r="B25" s="18"/>
      <c r="C25" s="18"/>
      <c r="D25" s="18"/>
      <c r="E25" s="9"/>
      <c r="F25" s="20"/>
      <c r="G25" s="21"/>
      <c r="H25" s="35" t="str">
        <f t="shared" si="1"/>
        <v/>
      </c>
      <c r="I25" s="22"/>
      <c r="J25" s="12"/>
      <c r="K25" s="23"/>
      <c r="L25" s="32"/>
      <c r="M25" s="32"/>
    </row>
    <row r="26" spans="1:13" ht="21" customHeight="1" x14ac:dyDescent="0.15">
      <c r="A26" s="12">
        <v>17</v>
      </c>
      <c r="B26" s="18"/>
      <c r="C26" s="18"/>
      <c r="D26" s="18"/>
      <c r="E26" s="9"/>
      <c r="F26" s="20"/>
      <c r="G26" s="21"/>
      <c r="H26" s="35" t="str">
        <f t="shared" si="1"/>
        <v/>
      </c>
      <c r="I26" s="22"/>
      <c r="J26" s="12"/>
      <c r="K26" s="23"/>
      <c r="L26" s="32"/>
      <c r="M26" s="32"/>
    </row>
    <row r="27" spans="1:13" ht="21" customHeight="1" x14ac:dyDescent="0.15">
      <c r="A27" s="12">
        <v>18</v>
      </c>
      <c r="B27" s="18"/>
      <c r="C27" s="18"/>
      <c r="D27" s="18"/>
      <c r="E27" s="9"/>
      <c r="F27" s="20"/>
      <c r="G27" s="21"/>
      <c r="H27" s="35" t="str">
        <f t="shared" si="1"/>
        <v/>
      </c>
      <c r="I27" s="22"/>
      <c r="J27" s="12"/>
      <c r="K27" s="23"/>
      <c r="L27" s="32"/>
      <c r="M27" s="32"/>
    </row>
    <row r="28" spans="1:13" ht="21" customHeight="1" x14ac:dyDescent="0.15">
      <c r="A28" s="12">
        <v>19</v>
      </c>
      <c r="B28" s="18"/>
      <c r="C28" s="18"/>
      <c r="D28" s="18"/>
      <c r="E28" s="9"/>
      <c r="F28" s="20"/>
      <c r="G28" s="21"/>
      <c r="H28" s="35" t="str">
        <f t="shared" si="1"/>
        <v/>
      </c>
      <c r="I28" s="22"/>
      <c r="J28" s="12"/>
      <c r="K28" s="23"/>
      <c r="L28" s="32"/>
      <c r="M28" s="32"/>
    </row>
    <row r="29" spans="1:13" ht="21" customHeight="1" x14ac:dyDescent="0.15">
      <c r="A29" s="12">
        <v>20</v>
      </c>
      <c r="B29" s="18"/>
      <c r="C29" s="18"/>
      <c r="D29" s="18"/>
      <c r="E29" s="9"/>
      <c r="F29" s="20"/>
      <c r="G29" s="21"/>
      <c r="H29" s="35" t="str">
        <f t="shared" si="1"/>
        <v/>
      </c>
      <c r="I29" s="22"/>
      <c r="J29" s="12"/>
      <c r="K29" s="23"/>
      <c r="L29" s="32"/>
      <c r="M29" s="32"/>
    </row>
    <row r="30" spans="1:13" ht="21" customHeight="1" x14ac:dyDescent="0.15">
      <c r="A30" s="12">
        <v>21</v>
      </c>
      <c r="B30" s="18"/>
      <c r="C30" s="18"/>
      <c r="D30" s="18"/>
      <c r="E30" s="9"/>
      <c r="F30" s="20"/>
      <c r="G30" s="21"/>
      <c r="H30" s="35" t="str">
        <f t="shared" si="1"/>
        <v/>
      </c>
      <c r="I30" s="22"/>
      <c r="J30" s="12"/>
      <c r="K30" s="23"/>
      <c r="L30" s="32"/>
      <c r="M30" s="32"/>
    </row>
    <row r="31" spans="1:13" ht="21" customHeight="1" x14ac:dyDescent="0.15">
      <c r="A31" s="12">
        <v>22</v>
      </c>
      <c r="B31" s="18"/>
      <c r="C31" s="18"/>
      <c r="D31" s="18"/>
      <c r="E31" s="9"/>
      <c r="F31" s="20"/>
      <c r="G31" s="21"/>
      <c r="H31" s="35" t="str">
        <f t="shared" si="1"/>
        <v/>
      </c>
      <c r="I31" s="22"/>
      <c r="J31" s="12"/>
      <c r="K31" s="23"/>
      <c r="L31" s="32"/>
      <c r="M31" s="32"/>
    </row>
    <row r="32" spans="1:13" ht="21" customHeight="1" x14ac:dyDescent="0.15">
      <c r="A32" s="12">
        <v>23</v>
      </c>
      <c r="B32" s="18"/>
      <c r="C32" s="18"/>
      <c r="D32" s="18"/>
      <c r="E32" s="9"/>
      <c r="F32" s="20"/>
      <c r="G32" s="21"/>
      <c r="H32" s="35" t="str">
        <f t="shared" si="1"/>
        <v/>
      </c>
      <c r="I32" s="22"/>
      <c r="J32" s="12"/>
      <c r="K32" s="23"/>
      <c r="L32" s="32"/>
      <c r="M32" s="32"/>
    </row>
    <row r="33" spans="1:13" ht="21" customHeight="1" x14ac:dyDescent="0.15">
      <c r="A33" s="12">
        <v>24</v>
      </c>
      <c r="B33" s="18"/>
      <c r="C33" s="18"/>
      <c r="D33" s="18"/>
      <c r="E33" s="9"/>
      <c r="F33" s="20"/>
      <c r="G33" s="21"/>
      <c r="H33" s="35" t="str">
        <f t="shared" si="1"/>
        <v/>
      </c>
      <c r="I33" s="22"/>
      <c r="J33" s="12"/>
      <c r="K33" s="23"/>
      <c r="L33" s="32"/>
      <c r="M33" s="32"/>
    </row>
    <row r="34" spans="1:13" ht="21" customHeight="1" x14ac:dyDescent="0.15">
      <c r="A34" s="12">
        <v>25</v>
      </c>
      <c r="B34" s="18"/>
      <c r="C34" s="18"/>
      <c r="D34" s="18"/>
      <c r="E34" s="9"/>
      <c r="F34" s="20"/>
      <c r="G34" s="21"/>
      <c r="H34" s="35" t="str">
        <f t="shared" si="1"/>
        <v/>
      </c>
      <c r="I34" s="22"/>
      <c r="J34" s="12"/>
      <c r="K34" s="23"/>
      <c r="L34" s="32"/>
      <c r="M34" s="32"/>
    </row>
    <row r="35" spans="1:13" ht="21" customHeight="1" x14ac:dyDescent="0.15">
      <c r="A35" s="12">
        <v>26</v>
      </c>
      <c r="B35" s="18"/>
      <c r="C35" s="18"/>
      <c r="D35" s="18"/>
      <c r="E35" s="9"/>
      <c r="F35" s="20"/>
      <c r="G35" s="21"/>
      <c r="H35" s="35" t="str">
        <f t="shared" si="1"/>
        <v/>
      </c>
      <c r="I35" s="22"/>
      <c r="J35" s="12"/>
      <c r="K35" s="23"/>
      <c r="L35" s="32"/>
      <c r="M35" s="32"/>
    </row>
    <row r="36" spans="1:13" ht="21" customHeight="1" x14ac:dyDescent="0.15">
      <c r="A36" s="12">
        <v>27</v>
      </c>
      <c r="B36" s="18"/>
      <c r="C36" s="18"/>
      <c r="D36" s="18"/>
      <c r="E36" s="9"/>
      <c r="F36" s="20"/>
      <c r="G36" s="21"/>
      <c r="H36" s="35" t="str">
        <f t="shared" si="1"/>
        <v/>
      </c>
      <c r="I36" s="22"/>
      <c r="J36" s="12"/>
      <c r="K36" s="23"/>
      <c r="L36" s="32"/>
      <c r="M36" s="32"/>
    </row>
    <row r="37" spans="1:13" ht="21" customHeight="1" x14ac:dyDescent="0.15">
      <c r="A37" s="12">
        <v>28</v>
      </c>
      <c r="B37" s="18"/>
      <c r="C37" s="18"/>
      <c r="D37" s="18"/>
      <c r="E37" s="9"/>
      <c r="F37" s="20"/>
      <c r="G37" s="21"/>
      <c r="H37" s="35" t="str">
        <f t="shared" si="1"/>
        <v/>
      </c>
      <c r="I37" s="22"/>
      <c r="J37" s="12"/>
      <c r="K37" s="23"/>
      <c r="L37" s="32"/>
      <c r="M37" s="32"/>
    </row>
    <row r="38" spans="1:13" ht="21" customHeight="1" x14ac:dyDescent="0.15">
      <c r="A38" s="12">
        <v>29</v>
      </c>
      <c r="B38" s="18"/>
      <c r="C38" s="18"/>
      <c r="D38" s="18"/>
      <c r="E38" s="9"/>
      <c r="F38" s="20"/>
      <c r="G38" s="21"/>
      <c r="H38" s="35" t="str">
        <f t="shared" si="1"/>
        <v/>
      </c>
      <c r="I38" s="22"/>
      <c r="J38" s="12"/>
      <c r="K38" s="23"/>
      <c r="L38" s="32"/>
      <c r="M38" s="32"/>
    </row>
    <row r="39" spans="1:13" ht="21" customHeight="1" x14ac:dyDescent="0.15">
      <c r="A39" s="12">
        <v>30</v>
      </c>
      <c r="B39" s="18"/>
      <c r="C39" s="18"/>
      <c r="D39" s="18"/>
      <c r="E39" s="9"/>
      <c r="F39" s="20"/>
      <c r="G39" s="21"/>
      <c r="H39" s="35" t="str">
        <f t="shared" si="1"/>
        <v/>
      </c>
      <c r="I39" s="22"/>
      <c r="J39" s="12"/>
      <c r="K39" s="23"/>
      <c r="L39" s="32"/>
      <c r="M39" s="32"/>
    </row>
    <row r="40" spans="1:13" ht="21" customHeight="1" x14ac:dyDescent="0.15">
      <c r="A40" s="12">
        <v>31</v>
      </c>
      <c r="B40" s="18"/>
      <c r="C40" s="18"/>
      <c r="D40" s="18"/>
      <c r="E40" s="9"/>
      <c r="F40" s="20"/>
      <c r="G40" s="21"/>
      <c r="H40" s="35" t="str">
        <f t="shared" si="1"/>
        <v/>
      </c>
      <c r="I40" s="22"/>
      <c r="J40" s="12"/>
      <c r="K40" s="23"/>
      <c r="L40" s="32"/>
      <c r="M40" s="32"/>
    </row>
    <row r="41" spans="1:13" ht="21" customHeight="1" x14ac:dyDescent="0.15">
      <c r="A41" s="12">
        <v>32</v>
      </c>
      <c r="B41" s="18"/>
      <c r="C41" s="18"/>
      <c r="D41" s="18"/>
      <c r="E41" s="9"/>
      <c r="F41" s="20"/>
      <c r="G41" s="21"/>
      <c r="H41" s="35" t="str">
        <f t="shared" si="1"/>
        <v/>
      </c>
      <c r="I41" s="22"/>
      <c r="J41" s="12"/>
      <c r="K41" s="23"/>
      <c r="L41" s="32"/>
      <c r="M41" s="32"/>
    </row>
    <row r="42" spans="1:13" ht="21" customHeight="1" x14ac:dyDescent="0.15">
      <c r="A42" s="12">
        <v>33</v>
      </c>
      <c r="B42" s="18"/>
      <c r="C42" s="18"/>
      <c r="D42" s="18"/>
      <c r="E42" s="9"/>
      <c r="F42" s="20"/>
      <c r="G42" s="21"/>
      <c r="H42" s="35" t="str">
        <f t="shared" si="1"/>
        <v/>
      </c>
      <c r="I42" s="22"/>
      <c r="J42" s="12"/>
      <c r="K42" s="23"/>
      <c r="L42" s="32"/>
      <c r="M42" s="32"/>
    </row>
    <row r="43" spans="1:13" ht="21" customHeight="1" x14ac:dyDescent="0.15">
      <c r="A43" s="12">
        <v>34</v>
      </c>
      <c r="B43" s="18"/>
      <c r="C43" s="18"/>
      <c r="D43" s="18"/>
      <c r="E43" s="9"/>
      <c r="F43" s="20"/>
      <c r="G43" s="21"/>
      <c r="H43" s="35" t="str">
        <f t="shared" si="1"/>
        <v/>
      </c>
      <c r="I43" s="22"/>
      <c r="J43" s="12"/>
      <c r="K43" s="23"/>
      <c r="L43" s="32"/>
      <c r="M43" s="32"/>
    </row>
    <row r="44" spans="1:13" ht="21" customHeight="1" x14ac:dyDescent="0.15">
      <c r="A44" s="12">
        <v>35</v>
      </c>
      <c r="B44" s="18"/>
      <c r="C44" s="18"/>
      <c r="D44" s="18"/>
      <c r="E44" s="9"/>
      <c r="F44" s="20"/>
      <c r="G44" s="21"/>
      <c r="H44" s="35" t="str">
        <f t="shared" si="1"/>
        <v/>
      </c>
      <c r="I44" s="22"/>
      <c r="J44" s="12"/>
      <c r="K44" s="23"/>
      <c r="L44" s="32"/>
      <c r="M44" s="32"/>
    </row>
    <row r="45" spans="1:13" ht="21" customHeight="1" x14ac:dyDescent="0.15">
      <c r="A45" s="12">
        <v>36</v>
      </c>
      <c r="B45" s="18"/>
      <c r="C45" s="18"/>
      <c r="D45" s="18"/>
      <c r="E45" s="9"/>
      <c r="F45" s="20"/>
      <c r="G45" s="21"/>
      <c r="H45" s="35" t="str">
        <f t="shared" si="1"/>
        <v/>
      </c>
      <c r="I45" s="22"/>
      <c r="J45" s="12"/>
      <c r="K45" s="23"/>
      <c r="L45" s="32"/>
      <c r="M45" s="32"/>
    </row>
    <row r="46" spans="1:13" ht="21" customHeight="1" x14ac:dyDescent="0.15">
      <c r="A46" s="12">
        <v>37</v>
      </c>
      <c r="B46" s="18"/>
      <c r="C46" s="18"/>
      <c r="D46" s="18"/>
      <c r="E46" s="9"/>
      <c r="F46" s="20"/>
      <c r="G46" s="21"/>
      <c r="H46" s="35" t="str">
        <f t="shared" si="1"/>
        <v/>
      </c>
      <c r="I46" s="22"/>
      <c r="J46" s="12"/>
      <c r="K46" s="23"/>
      <c r="L46" s="32"/>
      <c r="M46" s="32"/>
    </row>
    <row r="47" spans="1:13" ht="21" customHeight="1" x14ac:dyDescent="0.15">
      <c r="A47" s="12">
        <v>38</v>
      </c>
      <c r="B47" s="18"/>
      <c r="C47" s="18"/>
      <c r="D47" s="18"/>
      <c r="E47" s="9"/>
      <c r="F47" s="20"/>
      <c r="G47" s="21"/>
      <c r="H47" s="35" t="str">
        <f t="shared" si="1"/>
        <v/>
      </c>
      <c r="I47" s="22"/>
      <c r="J47" s="12"/>
      <c r="K47" s="23"/>
      <c r="L47" s="32"/>
      <c r="M47" s="32"/>
    </row>
    <row r="48" spans="1:13" ht="21" customHeight="1" x14ac:dyDescent="0.15">
      <c r="A48" s="12">
        <v>39</v>
      </c>
      <c r="B48" s="18"/>
      <c r="C48" s="18"/>
      <c r="D48" s="18"/>
      <c r="E48" s="9"/>
      <c r="F48" s="20"/>
      <c r="G48" s="21"/>
      <c r="H48" s="35" t="str">
        <f t="shared" si="1"/>
        <v/>
      </c>
      <c r="I48" s="22"/>
      <c r="J48" s="12"/>
      <c r="K48" s="23"/>
      <c r="L48" s="32"/>
      <c r="M48" s="32"/>
    </row>
    <row r="49" spans="1:13" ht="21" customHeight="1" x14ac:dyDescent="0.15">
      <c r="A49" s="12">
        <v>40</v>
      </c>
      <c r="B49" s="18"/>
      <c r="C49" s="18"/>
      <c r="D49" s="18"/>
      <c r="E49" s="9"/>
      <c r="F49" s="20"/>
      <c r="G49" s="21"/>
      <c r="H49" s="35" t="str">
        <f t="shared" si="1"/>
        <v/>
      </c>
      <c r="I49" s="22"/>
      <c r="J49" s="12"/>
      <c r="K49" s="23"/>
      <c r="L49" s="32"/>
      <c r="M49" s="32"/>
    </row>
    <row r="50" spans="1:13" ht="21" customHeight="1" x14ac:dyDescent="0.15">
      <c r="A50" s="12">
        <v>41</v>
      </c>
      <c r="B50" s="18"/>
      <c r="C50" s="18"/>
      <c r="D50" s="18"/>
      <c r="E50" s="9"/>
      <c r="F50" s="20"/>
      <c r="G50" s="21"/>
      <c r="H50" s="35" t="str">
        <f t="shared" si="1"/>
        <v/>
      </c>
      <c r="I50" s="22"/>
      <c r="J50" s="12"/>
      <c r="K50" s="23"/>
      <c r="L50" s="32"/>
      <c r="M50" s="32"/>
    </row>
    <row r="51" spans="1:13" ht="21" customHeight="1" x14ac:dyDescent="0.15">
      <c r="A51" s="12">
        <v>42</v>
      </c>
      <c r="B51" s="18"/>
      <c r="C51" s="18"/>
      <c r="D51" s="18"/>
      <c r="E51" s="9"/>
      <c r="F51" s="20"/>
      <c r="G51" s="21"/>
      <c r="H51" s="35" t="str">
        <f t="shared" si="1"/>
        <v/>
      </c>
      <c r="I51" s="22"/>
      <c r="J51" s="12"/>
      <c r="K51" s="23"/>
      <c r="L51" s="32"/>
      <c r="M51" s="32"/>
    </row>
    <row r="52" spans="1:13" ht="21" customHeight="1" x14ac:dyDescent="0.15">
      <c r="A52" s="12">
        <v>43</v>
      </c>
      <c r="B52" s="18"/>
      <c r="C52" s="18"/>
      <c r="D52" s="18"/>
      <c r="E52" s="9"/>
      <c r="F52" s="20"/>
      <c r="G52" s="21"/>
      <c r="H52" s="35" t="str">
        <f t="shared" si="1"/>
        <v/>
      </c>
      <c r="I52" s="22"/>
      <c r="J52" s="12"/>
      <c r="K52" s="23"/>
      <c r="L52" s="32"/>
      <c r="M52" s="32"/>
    </row>
    <row r="53" spans="1:13" ht="21" customHeight="1" x14ac:dyDescent="0.15">
      <c r="A53" s="12">
        <v>44</v>
      </c>
      <c r="B53" s="18"/>
      <c r="C53" s="18"/>
      <c r="D53" s="18"/>
      <c r="E53" s="9"/>
      <c r="F53" s="20"/>
      <c r="G53" s="21"/>
      <c r="H53" s="35" t="str">
        <f t="shared" si="1"/>
        <v/>
      </c>
      <c r="I53" s="22"/>
      <c r="J53" s="12"/>
      <c r="K53" s="23"/>
      <c r="L53" s="32"/>
      <c r="M53" s="32"/>
    </row>
    <row r="54" spans="1:13" ht="21" customHeight="1" x14ac:dyDescent="0.15">
      <c r="A54" s="12">
        <v>45</v>
      </c>
      <c r="B54" s="18"/>
      <c r="C54" s="18"/>
      <c r="D54" s="18"/>
      <c r="E54" s="9"/>
      <c r="F54" s="20"/>
      <c r="G54" s="21"/>
      <c r="H54" s="35" t="str">
        <f t="shared" si="1"/>
        <v/>
      </c>
      <c r="I54" s="22"/>
      <c r="J54" s="12"/>
      <c r="K54" s="23"/>
      <c r="L54" s="32"/>
      <c r="M54" s="32"/>
    </row>
    <row r="55" spans="1:13" ht="21" customHeight="1" x14ac:dyDescent="0.15">
      <c r="A55" s="12">
        <v>46</v>
      </c>
      <c r="B55" s="18"/>
      <c r="C55" s="18"/>
      <c r="D55" s="18"/>
      <c r="E55" s="9"/>
      <c r="F55" s="20"/>
      <c r="G55" s="21"/>
      <c r="H55" s="35" t="str">
        <f t="shared" si="1"/>
        <v/>
      </c>
      <c r="I55" s="22"/>
      <c r="J55" s="12"/>
      <c r="K55" s="23"/>
      <c r="L55" s="32"/>
      <c r="M55" s="32"/>
    </row>
    <row r="56" spans="1:13" ht="21" customHeight="1" x14ac:dyDescent="0.15">
      <c r="A56" s="12">
        <v>47</v>
      </c>
      <c r="B56" s="18"/>
      <c r="C56" s="18"/>
      <c r="D56" s="18"/>
      <c r="E56" s="9"/>
      <c r="F56" s="20"/>
      <c r="G56" s="21"/>
      <c r="H56" s="35" t="str">
        <f t="shared" si="1"/>
        <v/>
      </c>
      <c r="I56" s="22"/>
      <c r="J56" s="12"/>
      <c r="K56" s="23"/>
      <c r="L56" s="32"/>
      <c r="M56" s="32"/>
    </row>
    <row r="57" spans="1:13" ht="21" customHeight="1" x14ac:dyDescent="0.15">
      <c r="A57" s="12">
        <v>48</v>
      </c>
      <c r="B57" s="18"/>
      <c r="C57" s="18"/>
      <c r="D57" s="18"/>
      <c r="E57" s="9"/>
      <c r="F57" s="20"/>
      <c r="G57" s="21"/>
      <c r="H57" s="35" t="str">
        <f t="shared" si="1"/>
        <v/>
      </c>
      <c r="I57" s="22"/>
      <c r="J57" s="12"/>
      <c r="K57" s="23"/>
      <c r="L57" s="32"/>
      <c r="M57" s="32"/>
    </row>
    <row r="58" spans="1:13" ht="21" customHeight="1" x14ac:dyDescent="0.15">
      <c r="A58" s="12">
        <v>49</v>
      </c>
      <c r="B58" s="18"/>
      <c r="C58" s="18"/>
      <c r="D58" s="18"/>
      <c r="E58" s="9"/>
      <c r="F58" s="20"/>
      <c r="G58" s="21"/>
      <c r="H58" s="35" t="str">
        <f t="shared" si="1"/>
        <v/>
      </c>
      <c r="I58" s="22"/>
      <c r="J58" s="12"/>
      <c r="K58" s="23"/>
      <c r="L58" s="32"/>
      <c r="M58" s="32"/>
    </row>
    <row r="59" spans="1:13" ht="21" customHeight="1" x14ac:dyDescent="0.15">
      <c r="A59" s="12">
        <v>50</v>
      </c>
      <c r="B59" s="18"/>
      <c r="C59" s="18"/>
      <c r="D59" s="18"/>
      <c r="E59" s="9"/>
      <c r="F59" s="20"/>
      <c r="G59" s="21"/>
      <c r="H59" s="35"/>
      <c r="I59" s="22"/>
      <c r="J59" s="12"/>
      <c r="K59" s="23"/>
      <c r="L59" s="32"/>
      <c r="M59" s="32"/>
    </row>
    <row r="60" spans="1:13" ht="21" customHeight="1" x14ac:dyDescent="0.15">
      <c r="A60" s="12">
        <v>51</v>
      </c>
      <c r="B60" s="18"/>
      <c r="C60" s="18"/>
      <c r="D60" s="18"/>
      <c r="E60" s="9"/>
      <c r="F60" s="20"/>
      <c r="G60" s="21"/>
      <c r="H60" s="35"/>
      <c r="I60" s="22"/>
      <c r="J60" s="12"/>
      <c r="K60" s="23"/>
      <c r="L60" s="32"/>
      <c r="M60" s="32"/>
    </row>
    <row r="61" spans="1:13" ht="21" customHeight="1" x14ac:dyDescent="0.15">
      <c r="A61" s="12">
        <v>52</v>
      </c>
      <c r="B61" s="18"/>
      <c r="C61" s="18"/>
      <c r="D61" s="18"/>
      <c r="E61" s="9"/>
      <c r="F61" s="20"/>
      <c r="G61" s="21"/>
      <c r="H61" s="35"/>
      <c r="I61" s="22"/>
      <c r="J61" s="12"/>
      <c r="K61" s="23"/>
      <c r="L61" s="32"/>
      <c r="M61" s="32"/>
    </row>
    <row r="62" spans="1:13" ht="21" customHeight="1" x14ac:dyDescent="0.15">
      <c r="A62" s="12">
        <v>53</v>
      </c>
      <c r="B62" s="18"/>
      <c r="C62" s="18"/>
      <c r="D62" s="18"/>
      <c r="E62" s="9"/>
      <c r="F62" s="20"/>
      <c r="G62" s="21"/>
      <c r="H62" s="35"/>
      <c r="I62" s="22"/>
      <c r="J62" s="12"/>
      <c r="K62" s="23"/>
      <c r="L62" s="32"/>
      <c r="M62" s="32"/>
    </row>
    <row r="63" spans="1:13" ht="21" customHeight="1" x14ac:dyDescent="0.15">
      <c r="A63" s="12">
        <v>54</v>
      </c>
      <c r="B63" s="18"/>
      <c r="C63" s="18"/>
      <c r="D63" s="18"/>
      <c r="E63" s="9"/>
      <c r="F63" s="20"/>
      <c r="G63" s="21"/>
      <c r="H63" s="35"/>
      <c r="I63" s="22"/>
      <c r="J63" s="12"/>
      <c r="K63" s="23"/>
      <c r="L63" s="32"/>
      <c r="M63" s="32"/>
    </row>
    <row r="64" spans="1:13" ht="21" customHeight="1" x14ac:dyDescent="0.15">
      <c r="A64" s="12">
        <v>55</v>
      </c>
      <c r="B64" s="18"/>
      <c r="C64" s="18"/>
      <c r="D64" s="18"/>
      <c r="E64" s="9"/>
      <c r="F64" s="20"/>
      <c r="G64" s="21"/>
      <c r="H64" s="35"/>
      <c r="I64" s="22"/>
      <c r="J64" s="12"/>
      <c r="K64" s="23"/>
      <c r="L64" s="32"/>
      <c r="M64" s="32"/>
    </row>
    <row r="65" spans="1:17" ht="21" customHeight="1" x14ac:dyDescent="0.15">
      <c r="A65" s="12">
        <v>56</v>
      </c>
      <c r="B65" s="18"/>
      <c r="C65" s="18"/>
      <c r="D65" s="18"/>
      <c r="E65" s="9"/>
      <c r="F65" s="20"/>
      <c r="G65" s="21"/>
      <c r="H65" s="35"/>
      <c r="I65" s="22"/>
      <c r="J65" s="12"/>
      <c r="K65" s="23"/>
      <c r="L65" s="32"/>
      <c r="M65" s="32"/>
    </row>
    <row r="66" spans="1:17" ht="21" customHeight="1" x14ac:dyDescent="0.15">
      <c r="A66" s="12">
        <v>57</v>
      </c>
      <c r="B66" s="18"/>
      <c r="C66" s="18"/>
      <c r="D66" s="18"/>
      <c r="E66" s="9"/>
      <c r="F66" s="20"/>
      <c r="G66" s="21"/>
      <c r="H66" s="35"/>
      <c r="I66" s="22"/>
      <c r="J66" s="12"/>
      <c r="K66" s="23"/>
      <c r="L66" s="32"/>
      <c r="M66" s="32"/>
    </row>
    <row r="67" spans="1:17" ht="21" customHeight="1" x14ac:dyDescent="0.15">
      <c r="A67" s="12">
        <v>58</v>
      </c>
      <c r="B67" s="18"/>
      <c r="C67" s="18"/>
      <c r="D67" s="18"/>
      <c r="E67" s="9"/>
      <c r="F67" s="20"/>
      <c r="G67" s="21"/>
      <c r="H67" s="35"/>
      <c r="I67" s="22"/>
      <c r="J67" s="12"/>
      <c r="K67" s="23"/>
      <c r="L67" s="32"/>
      <c r="M67" s="32"/>
    </row>
    <row r="68" spans="1:17" ht="21" customHeight="1" x14ac:dyDescent="0.15">
      <c r="A68" s="12">
        <v>59</v>
      </c>
      <c r="B68" s="18"/>
      <c r="C68" s="18"/>
      <c r="D68" s="18"/>
      <c r="E68" s="9"/>
      <c r="F68" s="20"/>
      <c r="G68" s="21"/>
      <c r="H68" s="35"/>
      <c r="I68" s="22"/>
      <c r="J68" s="12"/>
      <c r="K68" s="23"/>
      <c r="L68" s="32"/>
      <c r="M68" s="32"/>
      <c r="Q68" s="6" t="s">
        <v>43</v>
      </c>
    </row>
    <row r="69" spans="1:17" ht="21" customHeight="1" x14ac:dyDescent="0.15">
      <c r="A69" s="12">
        <v>60</v>
      </c>
      <c r="B69" s="18"/>
      <c r="C69" s="18"/>
      <c r="D69" s="18"/>
      <c r="E69" s="9"/>
      <c r="F69" s="20"/>
      <c r="G69" s="21"/>
      <c r="H69" s="35"/>
      <c r="I69" s="22"/>
      <c r="J69" s="12"/>
      <c r="K69" s="23"/>
      <c r="L69" s="32"/>
      <c r="M69" s="32"/>
    </row>
    <row r="70" spans="1:17" ht="21" customHeight="1" x14ac:dyDescent="0.15">
      <c r="A70" s="12">
        <v>61</v>
      </c>
      <c r="B70" s="18"/>
      <c r="C70" s="18"/>
      <c r="D70" s="18"/>
      <c r="E70" s="9"/>
      <c r="F70" s="20"/>
      <c r="G70" s="21"/>
      <c r="H70" s="35"/>
      <c r="I70" s="22"/>
      <c r="J70" s="12"/>
      <c r="K70" s="23"/>
      <c r="L70" s="32"/>
      <c r="M70" s="32"/>
    </row>
    <row r="71" spans="1:17" ht="21" customHeight="1" x14ac:dyDescent="0.15">
      <c r="A71" s="12">
        <v>62</v>
      </c>
      <c r="B71" s="18"/>
      <c r="C71" s="18"/>
      <c r="D71" s="18"/>
      <c r="E71" s="9"/>
      <c r="F71" s="20"/>
      <c r="G71" s="21"/>
      <c r="H71" s="35"/>
      <c r="I71" s="22"/>
      <c r="J71" s="12"/>
      <c r="K71" s="23"/>
      <c r="L71" s="32"/>
      <c r="M71" s="32"/>
    </row>
    <row r="72" spans="1:17" ht="21" customHeight="1" x14ac:dyDescent="0.15">
      <c r="A72" s="12">
        <v>63</v>
      </c>
      <c r="B72" s="18"/>
      <c r="C72" s="18"/>
      <c r="D72" s="18"/>
      <c r="E72" s="9"/>
      <c r="F72" s="20"/>
      <c r="G72" s="21"/>
      <c r="H72" s="35"/>
      <c r="I72" s="22"/>
      <c r="J72" s="12"/>
      <c r="K72" s="23"/>
      <c r="L72" s="32"/>
      <c r="M72" s="32"/>
    </row>
    <row r="73" spans="1:17" ht="21" customHeight="1" x14ac:dyDescent="0.15">
      <c r="A73" s="12">
        <v>64</v>
      </c>
      <c r="B73" s="18"/>
      <c r="C73" s="18"/>
      <c r="D73" s="18"/>
      <c r="E73" s="9"/>
      <c r="F73" s="20"/>
      <c r="G73" s="21"/>
      <c r="H73" s="35"/>
      <c r="I73" s="22"/>
      <c r="J73" s="12"/>
      <c r="K73" s="23"/>
      <c r="L73" s="32"/>
      <c r="M73" s="32"/>
    </row>
    <row r="74" spans="1:17" ht="21" customHeight="1" x14ac:dyDescent="0.15">
      <c r="A74" s="12">
        <v>65</v>
      </c>
      <c r="B74" s="18"/>
      <c r="C74" s="18"/>
      <c r="D74" s="18"/>
      <c r="E74" s="9"/>
      <c r="F74" s="20"/>
      <c r="G74" s="21"/>
      <c r="H74" s="35"/>
      <c r="I74" s="22"/>
      <c r="J74" s="12"/>
      <c r="K74" s="23"/>
      <c r="L74" s="32"/>
      <c r="M74" s="32"/>
    </row>
    <row r="75" spans="1:17" ht="21" customHeight="1" x14ac:dyDescent="0.15">
      <c r="A75" s="12">
        <v>66</v>
      </c>
      <c r="B75" s="18"/>
      <c r="C75" s="18"/>
      <c r="D75" s="18"/>
      <c r="E75" s="9"/>
      <c r="F75" s="20"/>
      <c r="G75" s="21"/>
      <c r="H75" s="35"/>
      <c r="I75" s="22"/>
      <c r="J75" s="12"/>
      <c r="K75" s="23"/>
      <c r="L75" s="32"/>
      <c r="M75" s="32"/>
    </row>
    <row r="76" spans="1:17" ht="21" customHeight="1" x14ac:dyDescent="0.15">
      <c r="A76" s="12">
        <v>67</v>
      </c>
      <c r="B76" s="18"/>
      <c r="C76" s="18"/>
      <c r="D76" s="18"/>
      <c r="E76" s="9"/>
      <c r="F76" s="20"/>
      <c r="G76" s="21"/>
      <c r="H76" s="35"/>
      <c r="I76" s="22"/>
      <c r="J76" s="12"/>
      <c r="K76" s="23"/>
      <c r="L76" s="32"/>
      <c r="M76" s="32"/>
    </row>
    <row r="77" spans="1:17" ht="21" customHeight="1" x14ac:dyDescent="0.15">
      <c r="A77" s="12">
        <v>68</v>
      </c>
      <c r="B77" s="18"/>
      <c r="C77" s="18"/>
      <c r="D77" s="18"/>
      <c r="E77" s="9"/>
      <c r="F77" s="20"/>
      <c r="G77" s="21"/>
      <c r="H77" s="35"/>
      <c r="I77" s="22"/>
      <c r="J77" s="12"/>
      <c r="K77" s="23"/>
      <c r="L77" s="32"/>
      <c r="M77" s="32"/>
    </row>
    <row r="78" spans="1:17" ht="21" customHeight="1" x14ac:dyDescent="0.15">
      <c r="A78" s="12">
        <v>69</v>
      </c>
      <c r="B78" s="18"/>
      <c r="C78" s="18"/>
      <c r="D78" s="18"/>
      <c r="E78" s="9"/>
      <c r="F78" s="20"/>
      <c r="G78" s="21"/>
      <c r="H78" s="35"/>
      <c r="I78" s="22"/>
      <c r="J78" s="12"/>
      <c r="K78" s="23"/>
      <c r="L78" s="32"/>
      <c r="M78" s="32"/>
    </row>
    <row r="79" spans="1:17" ht="21" customHeight="1" x14ac:dyDescent="0.15">
      <c r="A79" s="12">
        <v>70</v>
      </c>
      <c r="B79" s="18"/>
      <c r="C79" s="18"/>
      <c r="D79" s="18"/>
      <c r="E79" s="9"/>
      <c r="F79" s="20"/>
      <c r="G79" s="21"/>
      <c r="H79" s="35"/>
      <c r="I79" s="22"/>
      <c r="J79" s="12"/>
      <c r="K79" s="23"/>
      <c r="L79" s="32"/>
      <c r="M79" s="32"/>
    </row>
    <row r="80" spans="1:17" ht="21" customHeight="1" x14ac:dyDescent="0.15">
      <c r="A80" s="12">
        <v>71</v>
      </c>
      <c r="B80" s="18"/>
      <c r="C80" s="18"/>
      <c r="D80" s="18"/>
      <c r="E80" s="9"/>
      <c r="F80" s="20"/>
      <c r="G80" s="21"/>
      <c r="H80" s="35"/>
      <c r="I80" s="22"/>
      <c r="J80" s="12"/>
      <c r="K80" s="23"/>
      <c r="L80" s="32"/>
      <c r="M80" s="32"/>
    </row>
    <row r="81" spans="1:13" ht="21" customHeight="1" x14ac:dyDescent="0.15">
      <c r="A81" s="12">
        <v>72</v>
      </c>
      <c r="B81" s="18"/>
      <c r="C81" s="18"/>
      <c r="D81" s="18"/>
      <c r="E81" s="9"/>
      <c r="F81" s="20"/>
      <c r="G81" s="21"/>
      <c r="H81" s="35"/>
      <c r="I81" s="22"/>
      <c r="J81" s="12"/>
      <c r="K81" s="23"/>
      <c r="L81" s="32"/>
      <c r="M81" s="32"/>
    </row>
    <row r="82" spans="1:13" ht="21" customHeight="1" x14ac:dyDescent="0.15">
      <c r="A82" s="12">
        <v>73</v>
      </c>
      <c r="B82" s="18"/>
      <c r="C82" s="18"/>
      <c r="D82" s="18"/>
      <c r="E82" s="9"/>
      <c r="F82" s="20"/>
      <c r="G82" s="21"/>
      <c r="H82" s="35"/>
      <c r="I82" s="22"/>
      <c r="J82" s="12"/>
      <c r="K82" s="23"/>
      <c r="L82" s="32"/>
      <c r="M82" s="32"/>
    </row>
    <row r="83" spans="1:13" ht="21" customHeight="1" x14ac:dyDescent="0.15">
      <c r="A83" s="12">
        <v>74</v>
      </c>
      <c r="B83" s="18"/>
      <c r="C83" s="18"/>
      <c r="D83" s="18"/>
      <c r="E83" s="9"/>
      <c r="F83" s="20"/>
      <c r="G83" s="21"/>
      <c r="H83" s="35"/>
      <c r="I83" s="22"/>
      <c r="J83" s="12"/>
      <c r="K83" s="23"/>
      <c r="L83" s="32"/>
      <c r="M83" s="32"/>
    </row>
    <row r="84" spans="1:13" ht="21" customHeight="1" x14ac:dyDescent="0.15">
      <c r="A84" s="12">
        <v>75</v>
      </c>
      <c r="B84" s="18"/>
      <c r="C84" s="18"/>
      <c r="D84" s="18"/>
      <c r="E84" s="9"/>
      <c r="F84" s="20"/>
      <c r="G84" s="21"/>
      <c r="H84" s="35"/>
      <c r="I84" s="22"/>
      <c r="J84" s="12"/>
      <c r="K84" s="23"/>
      <c r="L84" s="32"/>
      <c r="M84" s="32"/>
    </row>
    <row r="85" spans="1:13" ht="21" customHeight="1" x14ac:dyDescent="0.15">
      <c r="A85" s="12">
        <v>76</v>
      </c>
      <c r="B85" s="18"/>
      <c r="C85" s="18"/>
      <c r="D85" s="18"/>
      <c r="E85" s="9"/>
      <c r="F85" s="20"/>
      <c r="G85" s="21"/>
      <c r="H85" s="35"/>
      <c r="I85" s="22"/>
      <c r="J85" s="12"/>
      <c r="K85" s="23"/>
      <c r="L85" s="32"/>
      <c r="M85" s="32"/>
    </row>
    <row r="86" spans="1:13" ht="21" customHeight="1" x14ac:dyDescent="0.15">
      <c r="A86" s="12">
        <v>77</v>
      </c>
      <c r="B86" s="18"/>
      <c r="C86" s="18"/>
      <c r="D86" s="18"/>
      <c r="E86" s="9"/>
      <c r="F86" s="20"/>
      <c r="G86" s="21"/>
      <c r="H86" s="35"/>
      <c r="I86" s="22"/>
      <c r="J86" s="12"/>
      <c r="K86" s="23"/>
      <c r="L86" s="32"/>
      <c r="M86" s="32"/>
    </row>
    <row r="87" spans="1:13" ht="21" customHeight="1" x14ac:dyDescent="0.15">
      <c r="A87" s="12">
        <v>78</v>
      </c>
      <c r="B87" s="18"/>
      <c r="C87" s="18"/>
      <c r="D87" s="18"/>
      <c r="E87" s="9"/>
      <c r="F87" s="20"/>
      <c r="G87" s="21"/>
      <c r="H87" s="35"/>
      <c r="I87" s="22"/>
      <c r="J87" s="12"/>
      <c r="K87" s="23"/>
      <c r="L87" s="32"/>
      <c r="M87" s="32"/>
    </row>
    <row r="88" spans="1:13" ht="21" customHeight="1" x14ac:dyDescent="0.15">
      <c r="A88" s="12">
        <v>79</v>
      </c>
      <c r="B88" s="18"/>
      <c r="C88" s="18"/>
      <c r="D88" s="18"/>
      <c r="E88" s="9"/>
      <c r="F88" s="20"/>
      <c r="G88" s="21"/>
      <c r="H88" s="35"/>
      <c r="I88" s="22"/>
      <c r="J88" s="12"/>
      <c r="K88" s="23"/>
      <c r="L88" s="32"/>
      <c r="M88" s="32"/>
    </row>
    <row r="89" spans="1:13" ht="21" customHeight="1" x14ac:dyDescent="0.15">
      <c r="A89" s="12">
        <v>80</v>
      </c>
      <c r="B89" s="18"/>
      <c r="C89" s="18"/>
      <c r="D89" s="18"/>
      <c r="E89" s="9"/>
      <c r="F89" s="20"/>
      <c r="G89" s="21"/>
      <c r="H89" s="35"/>
      <c r="I89" s="22"/>
      <c r="J89" s="12"/>
      <c r="K89" s="23"/>
      <c r="L89" s="32"/>
      <c r="M89" s="32"/>
    </row>
    <row r="90" spans="1:13" ht="21" customHeight="1" x14ac:dyDescent="0.15">
      <c r="A90" s="12">
        <v>81</v>
      </c>
      <c r="B90" s="18"/>
      <c r="C90" s="18"/>
      <c r="D90" s="18"/>
      <c r="E90" s="9"/>
      <c r="F90" s="20"/>
      <c r="G90" s="21"/>
      <c r="H90" s="35"/>
      <c r="I90" s="22"/>
      <c r="J90" s="12"/>
      <c r="K90" s="23"/>
      <c r="L90" s="32"/>
      <c r="M90" s="24"/>
    </row>
    <row r="91" spans="1:13" ht="21" customHeight="1" x14ac:dyDescent="0.15">
      <c r="A91" s="12">
        <v>82</v>
      </c>
      <c r="B91" s="18"/>
      <c r="C91" s="18"/>
      <c r="D91" s="18"/>
      <c r="E91" s="9"/>
      <c r="F91" s="20"/>
      <c r="G91" s="21"/>
      <c r="H91" s="35"/>
      <c r="I91" s="22"/>
      <c r="J91" s="12"/>
      <c r="K91" s="23"/>
      <c r="L91" s="32"/>
      <c r="M91" s="24"/>
    </row>
    <row r="92" spans="1:13" ht="21" customHeight="1" x14ac:dyDescent="0.15">
      <c r="A92" s="12">
        <v>83</v>
      </c>
      <c r="B92" s="18"/>
      <c r="C92" s="18"/>
      <c r="D92" s="18"/>
      <c r="E92" s="9"/>
      <c r="F92" s="20"/>
      <c r="G92" s="21"/>
      <c r="H92" s="35"/>
      <c r="I92" s="22"/>
      <c r="J92" s="12"/>
      <c r="K92" s="23"/>
      <c r="L92" s="32"/>
      <c r="M92" s="24"/>
    </row>
    <row r="93" spans="1:13" ht="21" customHeight="1" x14ac:dyDescent="0.15">
      <c r="A93" s="12">
        <v>84</v>
      </c>
      <c r="B93" s="18"/>
      <c r="C93" s="18"/>
      <c r="D93" s="18"/>
      <c r="E93" s="9"/>
      <c r="F93" s="20"/>
      <c r="G93" s="21"/>
      <c r="H93" s="35" t="str">
        <f t="shared" ref="H93:H100" si="2">IF(G93="","",(F93*100000000+G93)-7*INT((F93*100000000+G93)/7))</f>
        <v/>
      </c>
      <c r="I93" s="22"/>
      <c r="J93" s="12"/>
      <c r="K93" s="23"/>
      <c r="L93" s="32"/>
      <c r="M93" s="24"/>
    </row>
    <row r="94" spans="1:13" ht="21" customHeight="1" x14ac:dyDescent="0.15">
      <c r="A94" s="12">
        <v>85</v>
      </c>
      <c r="B94" s="18"/>
      <c r="C94" s="18"/>
      <c r="D94" s="18"/>
      <c r="E94" s="9"/>
      <c r="F94" s="20"/>
      <c r="G94" s="21"/>
      <c r="H94" s="35" t="str">
        <f t="shared" si="2"/>
        <v/>
      </c>
      <c r="I94" s="22"/>
      <c r="J94" s="12"/>
      <c r="K94" s="23"/>
      <c r="L94" s="32"/>
      <c r="M94" s="24"/>
    </row>
    <row r="95" spans="1:13" ht="21" customHeight="1" x14ac:dyDescent="0.15">
      <c r="A95" s="12">
        <v>86</v>
      </c>
      <c r="B95" s="18"/>
      <c r="C95" s="18"/>
      <c r="D95" s="18"/>
      <c r="E95" s="9"/>
      <c r="F95" s="20"/>
      <c r="G95" s="21"/>
      <c r="H95" s="35" t="str">
        <f t="shared" si="2"/>
        <v/>
      </c>
      <c r="I95" s="22"/>
      <c r="J95" s="12"/>
      <c r="K95" s="23"/>
      <c r="L95" s="32"/>
      <c r="M95" s="24"/>
    </row>
    <row r="96" spans="1:13" ht="21" customHeight="1" x14ac:dyDescent="0.15">
      <c r="A96" s="12">
        <v>87</v>
      </c>
      <c r="B96" s="18"/>
      <c r="C96" s="18"/>
      <c r="D96" s="18"/>
      <c r="E96" s="9"/>
      <c r="F96" s="20"/>
      <c r="G96" s="21"/>
      <c r="H96" s="35" t="str">
        <f t="shared" si="2"/>
        <v/>
      </c>
      <c r="I96" s="22"/>
      <c r="J96" s="12"/>
      <c r="K96" s="23"/>
      <c r="L96" s="32"/>
      <c r="M96" s="24"/>
    </row>
    <row r="97" spans="1:13" ht="21" customHeight="1" x14ac:dyDescent="0.15">
      <c r="A97" s="12">
        <v>88</v>
      </c>
      <c r="B97" s="18"/>
      <c r="C97" s="18"/>
      <c r="D97" s="18"/>
      <c r="E97" s="9"/>
      <c r="F97" s="20"/>
      <c r="G97" s="21"/>
      <c r="H97" s="35" t="str">
        <f t="shared" si="2"/>
        <v/>
      </c>
      <c r="I97" s="22"/>
      <c r="J97" s="12"/>
      <c r="K97" s="23"/>
      <c r="L97" s="32"/>
      <c r="M97" s="24"/>
    </row>
    <row r="98" spans="1:13" ht="21" customHeight="1" x14ac:dyDescent="0.15">
      <c r="A98" s="12">
        <v>89</v>
      </c>
      <c r="B98" s="18"/>
      <c r="C98" s="18"/>
      <c r="D98" s="18"/>
      <c r="E98" s="9"/>
      <c r="F98" s="20"/>
      <c r="G98" s="21"/>
      <c r="H98" s="35" t="str">
        <f t="shared" si="2"/>
        <v/>
      </c>
      <c r="I98" s="22"/>
      <c r="J98" s="12"/>
      <c r="K98" s="23"/>
      <c r="L98" s="32"/>
      <c r="M98" s="24"/>
    </row>
    <row r="99" spans="1:13" ht="21" customHeight="1" x14ac:dyDescent="0.15">
      <c r="A99" s="12">
        <v>90</v>
      </c>
      <c r="B99" s="18"/>
      <c r="C99" s="18"/>
      <c r="D99" s="18"/>
      <c r="E99" s="9"/>
      <c r="F99" s="20"/>
      <c r="G99" s="21"/>
      <c r="H99" s="35" t="str">
        <f t="shared" si="2"/>
        <v/>
      </c>
      <c r="I99" s="22"/>
      <c r="J99" s="12"/>
      <c r="K99" s="23"/>
      <c r="L99" s="32"/>
      <c r="M99" s="24"/>
    </row>
    <row r="100" spans="1:13" ht="21" customHeight="1" x14ac:dyDescent="0.15">
      <c r="A100" s="12">
        <v>91</v>
      </c>
      <c r="B100" s="18"/>
      <c r="C100" s="18"/>
      <c r="D100" s="18"/>
      <c r="E100" s="9"/>
      <c r="F100" s="20"/>
      <c r="G100" s="21"/>
      <c r="H100" s="35" t="str">
        <f t="shared" si="2"/>
        <v/>
      </c>
      <c r="I100" s="22"/>
      <c r="J100" s="12"/>
      <c r="K100" s="23"/>
      <c r="L100" s="32"/>
      <c r="M100" s="24"/>
    </row>
    <row r="101" spans="1:13" ht="21" customHeight="1" x14ac:dyDescent="0.15">
      <c r="A101" s="12">
        <v>92</v>
      </c>
      <c r="B101" s="18"/>
      <c r="C101" s="18"/>
      <c r="D101" s="18"/>
      <c r="E101" s="9"/>
      <c r="F101" s="20"/>
      <c r="G101" s="21"/>
      <c r="H101" s="35" t="str">
        <f t="shared" ref="H101:H118" si="3">IF(G101="","",(F101*100000000+G101)-7*INT((F101*100000000+G101)/7))</f>
        <v/>
      </c>
      <c r="I101" s="22"/>
      <c r="J101" s="12"/>
      <c r="K101" s="23"/>
      <c r="L101" s="32"/>
      <c r="M101" s="24"/>
    </row>
    <row r="102" spans="1:13" ht="21" customHeight="1" x14ac:dyDescent="0.15">
      <c r="A102" s="12">
        <v>93</v>
      </c>
      <c r="B102" s="18"/>
      <c r="C102" s="18"/>
      <c r="D102" s="18"/>
      <c r="E102" s="9"/>
      <c r="F102" s="20"/>
      <c r="G102" s="21"/>
      <c r="H102" s="35" t="str">
        <f t="shared" si="3"/>
        <v/>
      </c>
      <c r="I102" s="22"/>
      <c r="J102" s="12"/>
      <c r="K102" s="23"/>
      <c r="L102" s="32"/>
      <c r="M102" s="24"/>
    </row>
    <row r="103" spans="1:13" ht="21" customHeight="1" x14ac:dyDescent="0.15">
      <c r="A103" s="12">
        <v>94</v>
      </c>
      <c r="B103" s="18"/>
      <c r="C103" s="18"/>
      <c r="D103" s="18"/>
      <c r="E103" s="9"/>
      <c r="F103" s="20"/>
      <c r="G103" s="21"/>
      <c r="H103" s="35" t="str">
        <f t="shared" si="3"/>
        <v/>
      </c>
      <c r="I103" s="22"/>
      <c r="J103" s="12"/>
      <c r="K103" s="23"/>
      <c r="L103" s="32"/>
      <c r="M103" s="24"/>
    </row>
    <row r="104" spans="1:13" ht="21" customHeight="1" x14ac:dyDescent="0.15">
      <c r="A104" s="12">
        <v>95</v>
      </c>
      <c r="B104" s="18"/>
      <c r="C104" s="18"/>
      <c r="D104" s="18"/>
      <c r="E104" s="9"/>
      <c r="F104" s="20"/>
      <c r="G104" s="21"/>
      <c r="H104" s="35" t="str">
        <f t="shared" si="3"/>
        <v/>
      </c>
      <c r="I104" s="22"/>
      <c r="J104" s="12"/>
      <c r="K104" s="23"/>
      <c r="L104" s="32"/>
      <c r="M104" s="24"/>
    </row>
    <row r="105" spans="1:13" ht="21" customHeight="1" x14ac:dyDescent="0.15">
      <c r="A105" s="12">
        <v>96</v>
      </c>
      <c r="B105" s="18"/>
      <c r="C105" s="18"/>
      <c r="D105" s="18"/>
      <c r="E105" s="9"/>
      <c r="F105" s="20"/>
      <c r="G105" s="21"/>
      <c r="H105" s="35" t="str">
        <f t="shared" si="3"/>
        <v/>
      </c>
      <c r="I105" s="22"/>
      <c r="J105" s="12"/>
      <c r="K105" s="23"/>
      <c r="L105" s="32"/>
      <c r="M105" s="24"/>
    </row>
    <row r="106" spans="1:13" ht="21" customHeight="1" x14ac:dyDescent="0.15">
      <c r="A106" s="12">
        <v>97</v>
      </c>
      <c r="B106" s="18"/>
      <c r="C106" s="18"/>
      <c r="D106" s="18"/>
      <c r="E106" s="9"/>
      <c r="F106" s="20"/>
      <c r="G106" s="21"/>
      <c r="H106" s="35" t="str">
        <f t="shared" si="3"/>
        <v/>
      </c>
      <c r="I106" s="22"/>
      <c r="J106" s="12"/>
      <c r="K106" s="23"/>
      <c r="L106" s="32"/>
      <c r="M106" s="24"/>
    </row>
    <row r="107" spans="1:13" ht="21" customHeight="1" x14ac:dyDescent="0.15">
      <c r="A107" s="12">
        <v>98</v>
      </c>
      <c r="B107" s="18"/>
      <c r="C107" s="18"/>
      <c r="D107" s="18"/>
      <c r="E107" s="9"/>
      <c r="F107" s="20"/>
      <c r="G107" s="21"/>
      <c r="H107" s="35" t="str">
        <f t="shared" si="3"/>
        <v/>
      </c>
      <c r="I107" s="22"/>
      <c r="J107" s="12"/>
      <c r="K107" s="23"/>
      <c r="L107" s="32"/>
      <c r="M107" s="24"/>
    </row>
    <row r="108" spans="1:13" ht="21" customHeight="1" x14ac:dyDescent="0.15">
      <c r="A108" s="12">
        <v>99</v>
      </c>
      <c r="B108" s="18"/>
      <c r="C108" s="18"/>
      <c r="D108" s="18"/>
      <c r="E108" s="9"/>
      <c r="F108" s="20"/>
      <c r="G108" s="21"/>
      <c r="H108" s="35" t="str">
        <f t="shared" si="3"/>
        <v/>
      </c>
      <c r="I108" s="22"/>
      <c r="J108" s="12"/>
      <c r="K108" s="23"/>
      <c r="L108" s="32"/>
      <c r="M108" s="24"/>
    </row>
    <row r="109" spans="1:13" ht="21" customHeight="1" x14ac:dyDescent="0.15">
      <c r="A109" s="12">
        <v>100</v>
      </c>
      <c r="B109" s="18"/>
      <c r="C109" s="18"/>
      <c r="D109" s="18"/>
      <c r="E109" s="9"/>
      <c r="F109" s="20"/>
      <c r="G109" s="21"/>
      <c r="H109" s="35" t="str">
        <f t="shared" si="3"/>
        <v/>
      </c>
      <c r="I109" s="22"/>
      <c r="J109" s="12"/>
      <c r="K109" s="23"/>
      <c r="L109" s="32"/>
      <c r="M109" s="24"/>
    </row>
    <row r="110" spans="1:13" ht="21" customHeight="1" x14ac:dyDescent="0.15">
      <c r="A110" s="12"/>
      <c r="B110" s="18"/>
      <c r="C110" s="18"/>
      <c r="D110" s="18"/>
      <c r="E110" s="9"/>
      <c r="F110" s="20"/>
      <c r="G110" s="21"/>
      <c r="H110" s="35" t="str">
        <f t="shared" si="3"/>
        <v/>
      </c>
      <c r="I110" s="22"/>
      <c r="J110" s="12"/>
      <c r="K110" s="23"/>
      <c r="L110" s="24"/>
      <c r="M110" s="24"/>
    </row>
    <row r="111" spans="1:13" ht="21" customHeight="1" x14ac:dyDescent="0.15">
      <c r="A111" s="12"/>
      <c r="B111" s="18"/>
      <c r="C111" s="18"/>
      <c r="D111" s="18"/>
      <c r="E111" s="9"/>
      <c r="F111" s="20"/>
      <c r="G111" s="21"/>
      <c r="H111" s="35" t="str">
        <f t="shared" si="3"/>
        <v/>
      </c>
      <c r="I111" s="22"/>
      <c r="J111" s="12"/>
      <c r="K111" s="23"/>
      <c r="L111" s="24"/>
      <c r="M111" s="24"/>
    </row>
    <row r="112" spans="1:13" ht="21" customHeight="1" x14ac:dyDescent="0.15">
      <c r="A112" s="12"/>
      <c r="B112" s="18"/>
      <c r="C112" s="18"/>
      <c r="D112" s="18"/>
      <c r="E112" s="9"/>
      <c r="F112" s="20"/>
      <c r="G112" s="21"/>
      <c r="H112" s="35" t="str">
        <f t="shared" si="3"/>
        <v/>
      </c>
      <c r="I112" s="22"/>
      <c r="J112" s="12"/>
      <c r="K112" s="23"/>
      <c r="L112" s="24"/>
      <c r="M112" s="24"/>
    </row>
    <row r="113" spans="1:13" ht="21" customHeight="1" x14ac:dyDescent="0.15">
      <c r="A113" s="12"/>
      <c r="B113" s="18"/>
      <c r="C113" s="18"/>
      <c r="D113" s="18"/>
      <c r="E113" s="9"/>
      <c r="F113" s="20"/>
      <c r="G113" s="21"/>
      <c r="H113" s="35" t="str">
        <f t="shared" si="3"/>
        <v/>
      </c>
      <c r="I113" s="22"/>
      <c r="J113" s="12"/>
      <c r="K113" s="23"/>
      <c r="L113" s="24"/>
      <c r="M113" s="24"/>
    </row>
    <row r="114" spans="1:13" ht="21" customHeight="1" x14ac:dyDescent="0.15">
      <c r="A114" s="12"/>
      <c r="B114" s="18"/>
      <c r="C114" s="18"/>
      <c r="D114" s="18"/>
      <c r="E114" s="9"/>
      <c r="F114" s="20"/>
      <c r="G114" s="21"/>
      <c r="H114" s="35" t="str">
        <f t="shared" si="3"/>
        <v/>
      </c>
      <c r="I114" s="22"/>
      <c r="J114" s="12"/>
      <c r="K114" s="23"/>
      <c r="L114" s="24"/>
      <c r="M114" s="24"/>
    </row>
    <row r="115" spans="1:13" ht="21" customHeight="1" x14ac:dyDescent="0.15">
      <c r="A115" s="12"/>
      <c r="B115" s="18"/>
      <c r="C115" s="18"/>
      <c r="D115" s="18"/>
      <c r="E115" s="9"/>
      <c r="F115" s="20"/>
      <c r="G115" s="21"/>
      <c r="H115" s="35" t="str">
        <f t="shared" si="3"/>
        <v/>
      </c>
      <c r="I115" s="22"/>
      <c r="J115" s="12"/>
      <c r="K115" s="23"/>
      <c r="L115" s="24"/>
      <c r="M115" s="24"/>
    </row>
    <row r="116" spans="1:13" ht="21" customHeight="1" x14ac:dyDescent="0.15">
      <c r="A116" s="12"/>
      <c r="B116" s="18"/>
      <c r="C116" s="18"/>
      <c r="D116" s="18"/>
      <c r="E116" s="9"/>
      <c r="F116" s="20"/>
      <c r="G116" s="21"/>
      <c r="H116" s="35" t="str">
        <f t="shared" si="3"/>
        <v/>
      </c>
      <c r="I116" s="22"/>
      <c r="J116" s="12"/>
      <c r="K116" s="23"/>
      <c r="L116" s="24"/>
      <c r="M116" s="24"/>
    </row>
    <row r="117" spans="1:13" ht="21" customHeight="1" x14ac:dyDescent="0.15">
      <c r="A117" s="12"/>
      <c r="B117" s="18"/>
      <c r="C117" s="18"/>
      <c r="D117" s="18"/>
      <c r="E117" s="9"/>
      <c r="F117" s="20"/>
      <c r="G117" s="21"/>
      <c r="H117" s="35" t="str">
        <f t="shared" si="3"/>
        <v/>
      </c>
      <c r="I117" s="22"/>
      <c r="J117" s="12"/>
      <c r="K117" s="23"/>
      <c r="L117" s="24"/>
      <c r="M117" s="24"/>
    </row>
    <row r="118" spans="1:13" ht="21" customHeight="1" x14ac:dyDescent="0.15">
      <c r="A118" s="12"/>
      <c r="B118" s="18"/>
      <c r="C118" s="18"/>
      <c r="D118" s="18"/>
      <c r="E118" s="9"/>
      <c r="F118" s="20"/>
      <c r="G118" s="21"/>
      <c r="H118" s="35" t="str">
        <f t="shared" si="3"/>
        <v/>
      </c>
      <c r="I118" s="22"/>
      <c r="J118" s="12"/>
      <c r="K118" s="23"/>
      <c r="L118" s="24"/>
      <c r="M118" s="24"/>
    </row>
    <row r="119" spans="1:13" ht="15" x14ac:dyDescent="0.15">
      <c r="A119" s="12"/>
      <c r="B119" s="18"/>
      <c r="C119" s="18"/>
      <c r="D119" s="18"/>
      <c r="E119" s="9"/>
      <c r="F119" s="20"/>
      <c r="G119" s="21"/>
      <c r="H119" s="35" t="str">
        <f t="shared" ref="H119:H137" si="4">IF(G119="","",(F119*100000000+G119)-7*INT((F119*100000000+G119)/7))</f>
        <v/>
      </c>
      <c r="I119" s="22"/>
      <c r="J119" s="12"/>
      <c r="K119" s="23"/>
      <c r="L119" s="24"/>
      <c r="M119" s="24"/>
    </row>
    <row r="120" spans="1:13" ht="15" x14ac:dyDescent="0.15">
      <c r="A120" s="12"/>
      <c r="B120" s="18"/>
      <c r="C120" s="18"/>
      <c r="D120" s="18"/>
      <c r="E120" s="9"/>
      <c r="F120" s="20"/>
      <c r="G120" s="21"/>
      <c r="H120" s="35" t="str">
        <f t="shared" si="4"/>
        <v/>
      </c>
      <c r="I120" s="22"/>
      <c r="J120" s="12"/>
      <c r="K120" s="23"/>
      <c r="L120" s="24"/>
      <c r="M120" s="24"/>
    </row>
    <row r="121" spans="1:13" ht="15" x14ac:dyDescent="0.15">
      <c r="A121" s="12"/>
      <c r="B121" s="18"/>
      <c r="C121" s="18"/>
      <c r="D121" s="18"/>
      <c r="E121" s="9"/>
      <c r="F121" s="20"/>
      <c r="G121" s="21"/>
      <c r="H121" s="35" t="str">
        <f t="shared" si="4"/>
        <v/>
      </c>
      <c r="I121" s="22"/>
      <c r="J121" s="12"/>
      <c r="K121" s="23"/>
      <c r="L121" s="24"/>
      <c r="M121" s="24"/>
    </row>
    <row r="122" spans="1:13" ht="15" x14ac:dyDescent="0.15">
      <c r="A122" s="12"/>
      <c r="B122" s="18"/>
      <c r="C122" s="18"/>
      <c r="D122" s="18"/>
      <c r="E122" s="9"/>
      <c r="F122" s="20"/>
      <c r="G122" s="21"/>
      <c r="H122" s="35" t="str">
        <f t="shared" si="4"/>
        <v/>
      </c>
      <c r="I122" s="22"/>
      <c r="J122" s="12"/>
      <c r="K122" s="23"/>
      <c r="L122" s="24"/>
      <c r="M122" s="24"/>
    </row>
    <row r="123" spans="1:13" ht="15" x14ac:dyDescent="0.15">
      <c r="A123" s="12"/>
      <c r="B123" s="18"/>
      <c r="C123" s="18"/>
      <c r="D123" s="18"/>
      <c r="E123" s="9"/>
      <c r="F123" s="20"/>
      <c r="G123" s="21"/>
      <c r="H123" s="35" t="str">
        <f t="shared" si="4"/>
        <v/>
      </c>
      <c r="I123" s="22"/>
      <c r="J123" s="12"/>
      <c r="K123" s="23"/>
      <c r="L123" s="24"/>
      <c r="M123" s="24"/>
    </row>
    <row r="124" spans="1:13" ht="15" x14ac:dyDescent="0.15">
      <c r="A124" s="12"/>
      <c r="B124" s="18"/>
      <c r="C124" s="18"/>
      <c r="D124" s="18"/>
      <c r="E124" s="9"/>
      <c r="F124" s="20"/>
      <c r="G124" s="21"/>
      <c r="H124" s="35" t="str">
        <f t="shared" si="4"/>
        <v/>
      </c>
      <c r="I124" s="22"/>
      <c r="J124" s="12"/>
      <c r="K124" s="23"/>
      <c r="L124" s="24"/>
      <c r="M124" s="24"/>
    </row>
    <row r="125" spans="1:13" ht="15" x14ac:dyDescent="0.15">
      <c r="A125" s="12"/>
      <c r="B125" s="18"/>
      <c r="C125" s="18"/>
      <c r="D125" s="18"/>
      <c r="E125" s="9"/>
      <c r="F125" s="20"/>
      <c r="G125" s="21"/>
      <c r="H125" s="35" t="str">
        <f t="shared" si="4"/>
        <v/>
      </c>
      <c r="I125" s="22"/>
      <c r="J125" s="12"/>
      <c r="K125" s="23"/>
      <c r="L125" s="24"/>
      <c r="M125" s="24"/>
    </row>
    <row r="126" spans="1:13" ht="15" x14ac:dyDescent="0.15">
      <c r="A126" s="12"/>
      <c r="B126" s="18"/>
      <c r="C126" s="18"/>
      <c r="D126" s="18"/>
      <c r="E126" s="9"/>
      <c r="F126" s="20"/>
      <c r="G126" s="21"/>
      <c r="H126" s="35" t="str">
        <f t="shared" si="4"/>
        <v/>
      </c>
      <c r="I126" s="22"/>
      <c r="J126" s="12"/>
      <c r="K126" s="23"/>
      <c r="L126" s="24"/>
      <c r="M126" s="24"/>
    </row>
    <row r="127" spans="1:13" ht="15" x14ac:dyDescent="0.15">
      <c r="A127" s="12"/>
      <c r="B127" s="18"/>
      <c r="C127" s="18"/>
      <c r="D127" s="18"/>
      <c r="E127" s="9"/>
      <c r="F127" s="20"/>
      <c r="G127" s="21"/>
      <c r="H127" s="35" t="str">
        <f t="shared" si="4"/>
        <v/>
      </c>
      <c r="I127" s="22"/>
      <c r="J127" s="12"/>
      <c r="K127" s="23"/>
      <c r="L127" s="24"/>
      <c r="M127" s="24"/>
    </row>
    <row r="128" spans="1:13" ht="15" x14ac:dyDescent="0.15">
      <c r="A128" s="12"/>
      <c r="B128" s="18"/>
      <c r="C128" s="18"/>
      <c r="D128" s="18"/>
      <c r="E128" s="9"/>
      <c r="F128" s="20"/>
      <c r="G128" s="21"/>
      <c r="H128" s="35" t="str">
        <f t="shared" si="4"/>
        <v/>
      </c>
      <c r="I128" s="22"/>
      <c r="J128" s="12"/>
      <c r="K128" s="23"/>
      <c r="L128" s="24"/>
      <c r="M128" s="24"/>
    </row>
    <row r="129" spans="1:13" ht="15" x14ac:dyDescent="0.15">
      <c r="A129" s="12"/>
      <c r="B129" s="18"/>
      <c r="C129" s="18"/>
      <c r="D129" s="18"/>
      <c r="E129" s="9"/>
      <c r="F129" s="20"/>
      <c r="G129" s="21"/>
      <c r="H129" s="35" t="str">
        <f t="shared" si="4"/>
        <v/>
      </c>
      <c r="I129" s="22"/>
      <c r="J129" s="12"/>
      <c r="K129" s="23"/>
      <c r="L129" s="24"/>
      <c r="M129" s="24"/>
    </row>
    <row r="130" spans="1:13" ht="15" x14ac:dyDescent="0.15">
      <c r="A130" s="12"/>
      <c r="B130" s="18"/>
      <c r="C130" s="18"/>
      <c r="D130" s="18"/>
      <c r="E130" s="9"/>
      <c r="F130" s="20"/>
      <c r="G130" s="21"/>
      <c r="H130" s="35" t="str">
        <f t="shared" si="4"/>
        <v/>
      </c>
      <c r="I130" s="22"/>
      <c r="J130" s="12"/>
      <c r="K130" s="23"/>
      <c r="L130" s="24"/>
      <c r="M130" s="24"/>
    </row>
    <row r="131" spans="1:13" ht="15" x14ac:dyDescent="0.15">
      <c r="A131" s="12"/>
      <c r="B131" s="18"/>
      <c r="C131" s="18"/>
      <c r="D131" s="18"/>
      <c r="E131" s="9"/>
      <c r="F131" s="20"/>
      <c r="G131" s="21"/>
      <c r="H131" s="35" t="str">
        <f t="shared" si="4"/>
        <v/>
      </c>
      <c r="I131" s="22"/>
      <c r="J131" s="12"/>
      <c r="K131" s="23"/>
      <c r="L131" s="24"/>
      <c r="M131" s="24"/>
    </row>
    <row r="132" spans="1:13" ht="15" x14ac:dyDescent="0.15">
      <c r="A132" s="12"/>
      <c r="B132" s="18"/>
      <c r="C132" s="18"/>
      <c r="D132" s="18"/>
      <c r="E132" s="9"/>
      <c r="F132" s="20"/>
      <c r="G132" s="21"/>
      <c r="H132" s="35" t="str">
        <f t="shared" si="4"/>
        <v/>
      </c>
      <c r="I132" s="22"/>
      <c r="J132" s="12"/>
      <c r="K132" s="23"/>
      <c r="L132" s="24"/>
      <c r="M132" s="24"/>
    </row>
    <row r="133" spans="1:13" ht="15" x14ac:dyDescent="0.15">
      <c r="A133" s="12"/>
      <c r="B133" s="18"/>
      <c r="C133" s="18"/>
      <c r="D133" s="18"/>
      <c r="E133" s="9"/>
      <c r="F133" s="20"/>
      <c r="G133" s="21"/>
      <c r="H133" s="35" t="str">
        <f t="shared" si="4"/>
        <v/>
      </c>
      <c r="I133" s="22"/>
      <c r="J133" s="12"/>
      <c r="K133" s="23"/>
      <c r="L133" s="24"/>
      <c r="M133" s="24"/>
    </row>
    <row r="134" spans="1:13" ht="15" x14ac:dyDescent="0.15">
      <c r="A134" s="12"/>
      <c r="B134" s="18"/>
      <c r="C134" s="18"/>
      <c r="D134" s="18"/>
      <c r="E134" s="9"/>
      <c r="F134" s="20"/>
      <c r="G134" s="21"/>
      <c r="H134" s="35" t="str">
        <f t="shared" si="4"/>
        <v/>
      </c>
      <c r="I134" s="22"/>
      <c r="J134" s="12"/>
      <c r="K134" s="23"/>
      <c r="L134" s="24"/>
      <c r="M134" s="24"/>
    </row>
    <row r="135" spans="1:13" ht="15" x14ac:dyDescent="0.15">
      <c r="A135" s="12"/>
      <c r="B135" s="18"/>
      <c r="C135" s="18"/>
      <c r="D135" s="18"/>
      <c r="E135" s="9"/>
      <c r="F135" s="20"/>
      <c r="G135" s="21"/>
      <c r="H135" s="35" t="str">
        <f t="shared" si="4"/>
        <v/>
      </c>
      <c r="I135" s="22"/>
      <c r="J135" s="12"/>
      <c r="K135" s="23"/>
      <c r="L135" s="24"/>
      <c r="M135" s="24"/>
    </row>
    <row r="136" spans="1:13" ht="15" x14ac:dyDescent="0.15">
      <c r="A136" s="12"/>
      <c r="B136" s="18"/>
      <c r="C136" s="18"/>
      <c r="D136" s="18"/>
      <c r="E136" s="9"/>
      <c r="F136" s="20"/>
      <c r="G136" s="21"/>
      <c r="H136" s="35" t="str">
        <f t="shared" si="4"/>
        <v/>
      </c>
      <c r="I136" s="22"/>
      <c r="J136" s="12"/>
      <c r="K136" s="23"/>
      <c r="L136" s="24"/>
      <c r="M136" s="24"/>
    </row>
    <row r="137" spans="1:13" ht="15" x14ac:dyDescent="0.15">
      <c r="A137" s="12"/>
      <c r="B137" s="18"/>
      <c r="C137" s="18"/>
      <c r="D137" s="18"/>
      <c r="E137" s="9"/>
      <c r="F137" s="20"/>
      <c r="G137" s="21"/>
      <c r="H137" s="35" t="str">
        <f t="shared" si="4"/>
        <v/>
      </c>
      <c r="I137" s="22"/>
      <c r="J137" s="12"/>
      <c r="K137" s="23"/>
      <c r="L137" s="24"/>
      <c r="M137" s="24"/>
    </row>
    <row r="138" spans="1:13" ht="15" x14ac:dyDescent="0.15">
      <c r="A138" s="12"/>
      <c r="B138" s="18"/>
      <c r="C138" s="18"/>
      <c r="D138" s="18"/>
      <c r="E138" s="9"/>
      <c r="F138" s="20"/>
      <c r="G138" s="21"/>
      <c r="H138" s="35" t="str">
        <f t="shared" ref="H138:H169" si="5">IF(G138="","",(F138*100000000+G138)-7*INT((F138*100000000+G138)/7))</f>
        <v/>
      </c>
      <c r="I138" s="22"/>
      <c r="J138" s="12"/>
      <c r="K138" s="23"/>
      <c r="L138" s="24"/>
      <c r="M138" s="24"/>
    </row>
    <row r="139" spans="1:13" ht="15" x14ac:dyDescent="0.15">
      <c r="A139" s="12"/>
      <c r="B139" s="18"/>
      <c r="C139" s="18"/>
      <c r="D139" s="18"/>
      <c r="E139" s="9"/>
      <c r="F139" s="20"/>
      <c r="G139" s="21"/>
      <c r="H139" s="35" t="str">
        <f t="shared" si="5"/>
        <v/>
      </c>
      <c r="I139" s="22"/>
      <c r="J139" s="12"/>
      <c r="K139" s="23"/>
      <c r="L139" s="24"/>
      <c r="M139" s="24"/>
    </row>
    <row r="140" spans="1:13" ht="15" x14ac:dyDescent="0.15">
      <c r="A140" s="12"/>
      <c r="B140" s="18"/>
      <c r="C140" s="18"/>
      <c r="D140" s="18"/>
      <c r="E140" s="9"/>
      <c r="F140" s="20"/>
      <c r="G140" s="21"/>
      <c r="H140" s="35" t="str">
        <f t="shared" si="5"/>
        <v/>
      </c>
      <c r="I140" s="22"/>
      <c r="J140" s="12"/>
      <c r="K140" s="23"/>
      <c r="L140" s="24"/>
      <c r="M140" s="24"/>
    </row>
    <row r="141" spans="1:13" ht="15" x14ac:dyDescent="0.15">
      <c r="A141" s="12"/>
      <c r="B141" s="18"/>
      <c r="C141" s="18"/>
      <c r="D141" s="18"/>
      <c r="E141" s="9"/>
      <c r="F141" s="20"/>
      <c r="G141" s="21"/>
      <c r="H141" s="35" t="str">
        <f t="shared" si="5"/>
        <v/>
      </c>
      <c r="I141" s="22"/>
      <c r="J141" s="12"/>
      <c r="K141" s="23"/>
      <c r="L141" s="24"/>
      <c r="M141" s="24"/>
    </row>
    <row r="142" spans="1:13" ht="15" x14ac:dyDescent="0.15">
      <c r="A142" s="12"/>
      <c r="B142" s="18"/>
      <c r="C142" s="18"/>
      <c r="D142" s="18"/>
      <c r="E142" s="9"/>
      <c r="F142" s="20"/>
      <c r="G142" s="21"/>
      <c r="H142" s="35" t="str">
        <f t="shared" si="5"/>
        <v/>
      </c>
      <c r="I142" s="22"/>
      <c r="J142" s="12"/>
      <c r="K142" s="23"/>
      <c r="L142" s="24"/>
      <c r="M142" s="24"/>
    </row>
    <row r="143" spans="1:13" ht="15" x14ac:dyDescent="0.15">
      <c r="A143" s="12"/>
      <c r="B143" s="18"/>
      <c r="C143" s="18"/>
      <c r="D143" s="18"/>
      <c r="E143" s="9"/>
      <c r="F143" s="20"/>
      <c r="G143" s="21"/>
      <c r="H143" s="35" t="str">
        <f t="shared" si="5"/>
        <v/>
      </c>
      <c r="I143" s="22"/>
      <c r="J143" s="12"/>
      <c r="K143" s="23"/>
      <c r="L143" s="24"/>
      <c r="M143" s="24"/>
    </row>
    <row r="144" spans="1:13" ht="15" x14ac:dyDescent="0.15">
      <c r="A144" s="12"/>
      <c r="B144" s="18"/>
      <c r="C144" s="18"/>
      <c r="D144" s="18"/>
      <c r="E144" s="9"/>
      <c r="F144" s="20"/>
      <c r="G144" s="21"/>
      <c r="H144" s="35" t="str">
        <f t="shared" si="5"/>
        <v/>
      </c>
      <c r="I144" s="22"/>
      <c r="J144" s="12"/>
      <c r="K144" s="23"/>
      <c r="L144" s="24"/>
      <c r="M144" s="24"/>
    </row>
    <row r="145" spans="1:13" ht="15" x14ac:dyDescent="0.15">
      <c r="A145" s="12"/>
      <c r="B145" s="18"/>
      <c r="C145" s="18"/>
      <c r="D145" s="18"/>
      <c r="E145" s="9"/>
      <c r="F145" s="20"/>
      <c r="G145" s="21"/>
      <c r="H145" s="35" t="str">
        <f t="shared" si="5"/>
        <v/>
      </c>
      <c r="I145" s="22"/>
      <c r="J145" s="12"/>
      <c r="K145" s="23"/>
      <c r="L145" s="24"/>
      <c r="M145" s="24"/>
    </row>
    <row r="146" spans="1:13" ht="15" x14ac:dyDescent="0.15">
      <c r="A146" s="12"/>
      <c r="B146" s="18"/>
      <c r="C146" s="18"/>
      <c r="D146" s="18"/>
      <c r="E146" s="9"/>
      <c r="F146" s="20"/>
      <c r="G146" s="21"/>
      <c r="H146" s="35" t="str">
        <f t="shared" si="5"/>
        <v/>
      </c>
      <c r="I146" s="22"/>
      <c r="J146" s="12"/>
      <c r="K146" s="23"/>
      <c r="L146" s="24"/>
      <c r="M146" s="24"/>
    </row>
    <row r="147" spans="1:13" ht="15" x14ac:dyDescent="0.15">
      <c r="A147" s="12"/>
      <c r="B147" s="18"/>
      <c r="C147" s="18"/>
      <c r="D147" s="18"/>
      <c r="E147" s="9"/>
      <c r="F147" s="20"/>
      <c r="G147" s="21"/>
      <c r="H147" s="35" t="str">
        <f t="shared" si="5"/>
        <v/>
      </c>
      <c r="I147" s="22"/>
      <c r="J147" s="12"/>
      <c r="K147" s="23"/>
      <c r="L147" s="24"/>
      <c r="M147" s="24"/>
    </row>
    <row r="148" spans="1:13" ht="15" x14ac:dyDescent="0.15">
      <c r="A148" s="12"/>
      <c r="B148" s="18"/>
      <c r="C148" s="18"/>
      <c r="D148" s="18"/>
      <c r="E148" s="9"/>
      <c r="F148" s="20"/>
      <c r="G148" s="21"/>
      <c r="H148" s="35" t="str">
        <f t="shared" si="5"/>
        <v/>
      </c>
      <c r="I148" s="22"/>
      <c r="J148" s="12"/>
      <c r="K148" s="23"/>
      <c r="L148" s="24"/>
      <c r="M148" s="24"/>
    </row>
    <row r="149" spans="1:13" ht="15" x14ac:dyDescent="0.15">
      <c r="A149" s="12"/>
      <c r="B149" s="18"/>
      <c r="C149" s="18"/>
      <c r="D149" s="18"/>
      <c r="E149" s="9"/>
      <c r="F149" s="20"/>
      <c r="G149" s="21"/>
      <c r="H149" s="35" t="str">
        <f t="shared" si="5"/>
        <v/>
      </c>
      <c r="I149" s="22"/>
      <c r="J149" s="12"/>
      <c r="K149" s="23"/>
      <c r="L149" s="24"/>
      <c r="M149" s="24"/>
    </row>
    <row r="150" spans="1:13" ht="15" x14ac:dyDescent="0.15">
      <c r="A150" s="12"/>
      <c r="B150" s="18"/>
      <c r="C150" s="18"/>
      <c r="D150" s="18"/>
      <c r="E150" s="9"/>
      <c r="F150" s="20"/>
      <c r="G150" s="21"/>
      <c r="H150" s="35" t="str">
        <f t="shared" si="5"/>
        <v/>
      </c>
      <c r="I150" s="22"/>
      <c r="J150" s="12"/>
      <c r="K150" s="23"/>
      <c r="L150" s="24"/>
      <c r="M150" s="24"/>
    </row>
    <row r="151" spans="1:13" ht="15" x14ac:dyDescent="0.15">
      <c r="A151" s="12"/>
      <c r="B151" s="18"/>
      <c r="C151" s="18"/>
      <c r="D151" s="18"/>
      <c r="E151" s="9"/>
      <c r="F151" s="20"/>
      <c r="G151" s="21"/>
      <c r="H151" s="35" t="str">
        <f t="shared" si="5"/>
        <v/>
      </c>
      <c r="I151" s="22"/>
      <c r="J151" s="12"/>
      <c r="K151" s="23"/>
      <c r="L151" s="29"/>
      <c r="M151" s="24"/>
    </row>
    <row r="152" spans="1:13" ht="15" x14ac:dyDescent="0.15">
      <c r="A152" s="12"/>
      <c r="B152" s="18"/>
      <c r="C152" s="18"/>
      <c r="D152" s="18"/>
      <c r="E152" s="9"/>
      <c r="F152" s="20"/>
      <c r="G152" s="21"/>
      <c r="H152" s="35" t="str">
        <f t="shared" si="5"/>
        <v/>
      </c>
      <c r="I152" s="22"/>
      <c r="J152" s="12"/>
      <c r="K152" s="23"/>
      <c r="L152" s="29"/>
      <c r="M152" s="24"/>
    </row>
    <row r="153" spans="1:13" ht="15" x14ac:dyDescent="0.15">
      <c r="A153" s="12"/>
      <c r="B153" s="18"/>
      <c r="C153" s="18"/>
      <c r="D153" s="18"/>
      <c r="E153" s="9"/>
      <c r="F153" s="20"/>
      <c r="G153" s="21"/>
      <c r="H153" s="35" t="str">
        <f t="shared" si="5"/>
        <v/>
      </c>
      <c r="I153" s="22"/>
      <c r="J153" s="12"/>
      <c r="K153" s="23"/>
      <c r="L153" s="29"/>
      <c r="M153" s="24"/>
    </row>
    <row r="154" spans="1:13" ht="15" x14ac:dyDescent="0.15">
      <c r="A154" s="12"/>
      <c r="B154" s="18"/>
      <c r="C154" s="18"/>
      <c r="D154" s="18"/>
      <c r="E154" s="9"/>
      <c r="F154" s="20"/>
      <c r="G154" s="21"/>
      <c r="H154" s="35" t="str">
        <f t="shared" si="5"/>
        <v/>
      </c>
      <c r="I154" s="22"/>
      <c r="J154" s="12"/>
      <c r="K154" s="23"/>
      <c r="L154" s="29"/>
      <c r="M154" s="24"/>
    </row>
    <row r="155" spans="1:13" ht="15" x14ac:dyDescent="0.15">
      <c r="A155" s="12"/>
      <c r="B155" s="18"/>
      <c r="C155" s="18"/>
      <c r="D155" s="18"/>
      <c r="E155" s="9"/>
      <c r="F155" s="20"/>
      <c r="G155" s="21"/>
      <c r="H155" s="35" t="str">
        <f t="shared" si="5"/>
        <v/>
      </c>
      <c r="I155" s="22"/>
      <c r="J155" s="12"/>
      <c r="K155" s="23"/>
      <c r="L155" s="29"/>
      <c r="M155" s="24"/>
    </row>
    <row r="156" spans="1:13" ht="15" x14ac:dyDescent="0.15">
      <c r="A156" s="12"/>
      <c r="B156" s="18"/>
      <c r="C156" s="18"/>
      <c r="D156" s="18"/>
      <c r="E156" s="9"/>
      <c r="F156" s="20"/>
      <c r="G156" s="21"/>
      <c r="H156" s="35" t="str">
        <f t="shared" si="5"/>
        <v/>
      </c>
      <c r="I156" s="22"/>
      <c r="J156" s="12"/>
      <c r="K156" s="23"/>
      <c r="L156" s="29"/>
      <c r="M156" s="24"/>
    </row>
    <row r="157" spans="1:13" ht="15" x14ac:dyDescent="0.15">
      <c r="A157" s="12"/>
      <c r="B157" s="18"/>
      <c r="C157" s="18"/>
      <c r="D157" s="18"/>
      <c r="E157" s="9"/>
      <c r="F157" s="20"/>
      <c r="G157" s="21"/>
      <c r="H157" s="35" t="str">
        <f t="shared" si="5"/>
        <v/>
      </c>
      <c r="I157" s="22"/>
      <c r="J157" s="12"/>
      <c r="K157" s="23"/>
      <c r="L157" s="29"/>
      <c r="M157" s="24"/>
    </row>
    <row r="158" spans="1:13" ht="15" x14ac:dyDescent="0.15">
      <c r="A158" s="12"/>
      <c r="B158" s="18"/>
      <c r="C158" s="18"/>
      <c r="D158" s="18"/>
      <c r="E158" s="9"/>
      <c r="F158" s="20"/>
      <c r="G158" s="21"/>
      <c r="H158" s="35" t="str">
        <f t="shared" si="5"/>
        <v/>
      </c>
      <c r="I158" s="22"/>
      <c r="J158" s="12"/>
      <c r="K158" s="23"/>
      <c r="L158" s="29"/>
      <c r="M158" s="24"/>
    </row>
    <row r="159" spans="1:13" ht="15" x14ac:dyDescent="0.15">
      <c r="A159" s="12"/>
      <c r="B159" s="18"/>
      <c r="C159" s="18"/>
      <c r="D159" s="18"/>
      <c r="E159" s="9"/>
      <c r="F159" s="20"/>
      <c r="G159" s="21"/>
      <c r="H159" s="35" t="str">
        <f t="shared" si="5"/>
        <v/>
      </c>
      <c r="I159" s="22"/>
      <c r="J159" s="12"/>
      <c r="K159" s="23"/>
      <c r="L159" s="29"/>
      <c r="M159" s="24"/>
    </row>
    <row r="160" spans="1:13" ht="15" x14ac:dyDescent="0.15">
      <c r="A160" s="12"/>
      <c r="B160" s="18"/>
      <c r="C160" s="18"/>
      <c r="D160" s="18"/>
      <c r="E160" s="9"/>
      <c r="F160" s="20"/>
      <c r="G160" s="21"/>
      <c r="H160" s="35" t="str">
        <f t="shared" si="5"/>
        <v/>
      </c>
      <c r="I160" s="22"/>
      <c r="J160" s="12"/>
      <c r="K160" s="23"/>
      <c r="L160" s="29"/>
      <c r="M160" s="24"/>
    </row>
    <row r="161" spans="1:13" ht="15" x14ac:dyDescent="0.15">
      <c r="A161" s="12"/>
      <c r="B161" s="18"/>
      <c r="C161" s="18"/>
      <c r="D161" s="18"/>
      <c r="E161" s="9"/>
      <c r="F161" s="20"/>
      <c r="G161" s="21"/>
      <c r="H161" s="35" t="str">
        <f t="shared" si="5"/>
        <v/>
      </c>
      <c r="I161" s="22"/>
      <c r="J161" s="12"/>
      <c r="K161" s="23"/>
      <c r="L161" s="29"/>
      <c r="M161" s="24"/>
    </row>
    <row r="162" spans="1:13" ht="15" x14ac:dyDescent="0.15">
      <c r="A162" s="12"/>
      <c r="B162" s="18"/>
      <c r="C162" s="18"/>
      <c r="D162" s="18"/>
      <c r="E162" s="9"/>
      <c r="F162" s="20"/>
      <c r="G162" s="21"/>
      <c r="H162" s="35" t="str">
        <f t="shared" si="5"/>
        <v/>
      </c>
      <c r="I162" s="22"/>
      <c r="J162" s="12"/>
      <c r="K162" s="23"/>
      <c r="L162" s="29"/>
      <c r="M162" s="24"/>
    </row>
    <row r="163" spans="1:13" ht="15" x14ac:dyDescent="0.15">
      <c r="A163" s="12"/>
      <c r="B163" s="18"/>
      <c r="C163" s="18"/>
      <c r="D163" s="18"/>
      <c r="E163" s="9"/>
      <c r="F163" s="20"/>
      <c r="G163" s="21"/>
      <c r="H163" s="35" t="str">
        <f t="shared" si="5"/>
        <v/>
      </c>
      <c r="I163" s="22"/>
      <c r="J163" s="12"/>
      <c r="K163" s="23"/>
      <c r="L163" s="29"/>
      <c r="M163" s="24"/>
    </row>
    <row r="164" spans="1:13" ht="15" x14ac:dyDescent="0.15">
      <c r="A164" s="12"/>
      <c r="B164" s="18"/>
      <c r="C164" s="18"/>
      <c r="D164" s="18"/>
      <c r="E164" s="9"/>
      <c r="F164" s="20"/>
      <c r="G164" s="21"/>
      <c r="H164" s="35" t="str">
        <f t="shared" si="5"/>
        <v/>
      </c>
      <c r="I164" s="22"/>
      <c r="J164" s="12"/>
      <c r="K164" s="23"/>
      <c r="L164" s="29"/>
      <c r="M164" s="24"/>
    </row>
    <row r="165" spans="1:13" ht="15" x14ac:dyDescent="0.15">
      <c r="A165" s="12"/>
      <c r="B165" s="18"/>
      <c r="C165" s="18"/>
      <c r="D165" s="18"/>
      <c r="E165" s="9"/>
      <c r="F165" s="20"/>
      <c r="G165" s="21"/>
      <c r="H165" s="35" t="str">
        <f t="shared" si="5"/>
        <v/>
      </c>
      <c r="I165" s="22"/>
      <c r="J165" s="12"/>
      <c r="K165" s="23"/>
      <c r="L165" s="29"/>
      <c r="M165" s="24"/>
    </row>
    <row r="166" spans="1:13" ht="15" x14ac:dyDescent="0.15">
      <c r="A166" s="12"/>
      <c r="B166" s="18"/>
      <c r="C166" s="18"/>
      <c r="D166" s="18"/>
      <c r="E166" s="9"/>
      <c r="F166" s="20"/>
      <c r="G166" s="21"/>
      <c r="H166" s="35" t="str">
        <f t="shared" si="5"/>
        <v/>
      </c>
      <c r="I166" s="22"/>
      <c r="J166" s="12"/>
      <c r="K166" s="23"/>
      <c r="L166" s="29"/>
      <c r="M166" s="24"/>
    </row>
    <row r="167" spans="1:13" ht="15" x14ac:dyDescent="0.15">
      <c r="A167" s="12"/>
      <c r="B167" s="18"/>
      <c r="C167" s="18"/>
      <c r="D167" s="18"/>
      <c r="E167" s="9"/>
      <c r="F167" s="20"/>
      <c r="G167" s="21"/>
      <c r="H167" s="35" t="str">
        <f t="shared" si="5"/>
        <v/>
      </c>
      <c r="I167" s="22"/>
      <c r="J167" s="12"/>
      <c r="K167" s="23"/>
      <c r="L167" s="29"/>
      <c r="M167" s="24"/>
    </row>
    <row r="168" spans="1:13" ht="15" x14ac:dyDescent="0.15">
      <c r="A168" s="12"/>
      <c r="B168" s="18"/>
      <c r="C168" s="18"/>
      <c r="D168" s="18"/>
      <c r="E168" s="9"/>
      <c r="F168" s="20"/>
      <c r="G168" s="21"/>
      <c r="H168" s="35" t="str">
        <f t="shared" si="5"/>
        <v/>
      </c>
      <c r="I168" s="22"/>
      <c r="J168" s="12"/>
      <c r="K168" s="23"/>
      <c r="L168" s="29"/>
      <c r="M168" s="24"/>
    </row>
    <row r="169" spans="1:13" ht="15" x14ac:dyDescent="0.15">
      <c r="A169" s="12"/>
      <c r="B169" s="18"/>
      <c r="C169" s="18"/>
      <c r="D169" s="18"/>
      <c r="E169" s="9"/>
      <c r="F169" s="20"/>
      <c r="G169" s="21"/>
      <c r="H169" s="35" t="str">
        <f t="shared" si="5"/>
        <v/>
      </c>
      <c r="I169" s="22"/>
      <c r="J169" s="12"/>
      <c r="K169" s="23"/>
      <c r="L169" s="29"/>
      <c r="M169" s="24"/>
    </row>
    <row r="170" spans="1:13" ht="15" x14ac:dyDescent="0.15">
      <c r="A170" s="12"/>
      <c r="B170" s="18"/>
      <c r="C170" s="18"/>
      <c r="D170" s="18"/>
      <c r="E170" s="9"/>
      <c r="F170" s="20"/>
      <c r="G170" s="21"/>
      <c r="H170" s="35" t="str">
        <f t="shared" ref="H170:H177" si="6">IF(G170="","",(F170*100000000+G170)-7*INT((F170*100000000+G170)/7))</f>
        <v/>
      </c>
      <c r="I170" s="22"/>
      <c r="J170" s="12"/>
      <c r="K170" s="23"/>
      <c r="L170" s="29"/>
      <c r="M170" s="24"/>
    </row>
    <row r="171" spans="1:13" ht="15" x14ac:dyDescent="0.15">
      <c r="A171" s="12"/>
      <c r="B171" s="18"/>
      <c r="C171" s="18"/>
      <c r="D171" s="18"/>
      <c r="E171" s="9"/>
      <c r="F171" s="20"/>
      <c r="G171" s="21"/>
      <c r="H171" s="35" t="str">
        <f t="shared" si="6"/>
        <v/>
      </c>
      <c r="I171" s="22"/>
      <c r="J171" s="12"/>
      <c r="K171" s="23"/>
      <c r="L171" s="29"/>
      <c r="M171" s="24"/>
    </row>
    <row r="172" spans="1:13" ht="15" x14ac:dyDescent="0.15">
      <c r="A172" s="12"/>
      <c r="B172" s="18"/>
      <c r="C172" s="18"/>
      <c r="D172" s="18"/>
      <c r="E172" s="9"/>
      <c r="F172" s="20"/>
      <c r="G172" s="21"/>
      <c r="H172" s="35" t="str">
        <f t="shared" si="6"/>
        <v/>
      </c>
      <c r="I172" s="22"/>
      <c r="J172" s="12"/>
      <c r="K172" s="23"/>
      <c r="L172" s="29"/>
      <c r="M172" s="24"/>
    </row>
    <row r="173" spans="1:13" ht="15" x14ac:dyDescent="0.15">
      <c r="A173" s="12"/>
      <c r="B173" s="18"/>
      <c r="C173" s="18"/>
      <c r="D173" s="18"/>
      <c r="E173" s="9"/>
      <c r="F173" s="20"/>
      <c r="G173" s="21"/>
      <c r="H173" s="35" t="str">
        <f t="shared" si="6"/>
        <v/>
      </c>
      <c r="I173" s="22"/>
      <c r="J173" s="12"/>
      <c r="K173" s="23"/>
      <c r="L173" s="29"/>
      <c r="M173" s="24"/>
    </row>
    <row r="174" spans="1:13" ht="15" x14ac:dyDescent="0.15">
      <c r="A174" s="12"/>
      <c r="B174" s="18"/>
      <c r="C174" s="18"/>
      <c r="D174" s="18"/>
      <c r="E174" s="9"/>
      <c r="F174" s="20"/>
      <c r="G174" s="21"/>
      <c r="H174" s="35" t="str">
        <f t="shared" si="6"/>
        <v/>
      </c>
      <c r="I174" s="22"/>
      <c r="J174" s="12"/>
      <c r="K174" s="23"/>
      <c r="L174" s="29"/>
      <c r="M174" s="24"/>
    </row>
    <row r="175" spans="1:13" ht="15" x14ac:dyDescent="0.15">
      <c r="A175" s="12"/>
      <c r="B175" s="18"/>
      <c r="C175" s="18"/>
      <c r="D175" s="18"/>
      <c r="E175" s="9"/>
      <c r="F175" s="20"/>
      <c r="G175" s="21"/>
      <c r="H175" s="35" t="str">
        <f t="shared" si="6"/>
        <v/>
      </c>
      <c r="I175" s="22"/>
      <c r="J175" s="12"/>
      <c r="K175" s="23"/>
      <c r="L175" s="29"/>
      <c r="M175" s="24"/>
    </row>
    <row r="176" spans="1:13" ht="15" x14ac:dyDescent="0.15">
      <c r="A176" s="12"/>
      <c r="B176" s="18"/>
      <c r="C176" s="18"/>
      <c r="D176" s="18"/>
      <c r="E176" s="9"/>
      <c r="F176" s="20"/>
      <c r="G176" s="21"/>
      <c r="H176" s="35" t="str">
        <f t="shared" si="6"/>
        <v/>
      </c>
      <c r="I176" s="22"/>
      <c r="J176" s="12"/>
      <c r="K176" s="23"/>
      <c r="L176" s="29"/>
      <c r="M176" s="24"/>
    </row>
    <row r="177" spans="1:13" ht="15" x14ac:dyDescent="0.15">
      <c r="A177" s="12"/>
      <c r="B177" s="18"/>
      <c r="C177" s="18"/>
      <c r="D177" s="18"/>
      <c r="E177" s="9"/>
      <c r="F177" s="20"/>
      <c r="G177" s="21"/>
      <c r="H177" s="35" t="str">
        <f t="shared" si="6"/>
        <v/>
      </c>
      <c r="I177" s="22"/>
      <c r="J177" s="12"/>
      <c r="K177" s="23"/>
      <c r="L177" s="29"/>
      <c r="M177" s="24"/>
    </row>
    <row r="178" spans="1:13" ht="15" x14ac:dyDescent="0.15">
      <c r="M178" s="24"/>
    </row>
    <row r="179" spans="1:13" ht="15" x14ac:dyDescent="0.15">
      <c r="M179" s="24"/>
    </row>
    <row r="180" spans="1:13" ht="15" x14ac:dyDescent="0.15">
      <c r="M180" s="24"/>
    </row>
    <row r="181" spans="1:13" ht="15" x14ac:dyDescent="0.15">
      <c r="M181" s="24"/>
    </row>
    <row r="182" spans="1:13" ht="15" x14ac:dyDescent="0.15">
      <c r="M182" s="24"/>
    </row>
    <row r="183" spans="1:13" ht="15" x14ac:dyDescent="0.15">
      <c r="M183" s="24"/>
    </row>
    <row r="184" spans="1:13" x14ac:dyDescent="0.15">
      <c r="M184" s="29"/>
    </row>
    <row r="185" spans="1:13" x14ac:dyDescent="0.15">
      <c r="M185" s="29"/>
    </row>
    <row r="186" spans="1:13" x14ac:dyDescent="0.15">
      <c r="M186" s="29"/>
    </row>
    <row r="187" spans="1:13" x14ac:dyDescent="0.15">
      <c r="M187" s="29"/>
    </row>
    <row r="188" spans="1:13" x14ac:dyDescent="0.15">
      <c r="M188" s="29"/>
    </row>
    <row r="189" spans="1:13" x14ac:dyDescent="0.15">
      <c r="M189" s="29"/>
    </row>
    <row r="190" spans="1:13" x14ac:dyDescent="0.15">
      <c r="M190" s="29"/>
    </row>
    <row r="191" spans="1:13" x14ac:dyDescent="0.15">
      <c r="M191" s="29"/>
    </row>
    <row r="192" spans="1:13" x14ac:dyDescent="0.15">
      <c r="M192" s="29"/>
    </row>
    <row r="193" spans="13:13" x14ac:dyDescent="0.15">
      <c r="M193" s="29"/>
    </row>
    <row r="194" spans="13:13" x14ac:dyDescent="0.15">
      <c r="M194" s="29"/>
    </row>
    <row r="195" spans="13:13" x14ac:dyDescent="0.15">
      <c r="M195" s="29"/>
    </row>
    <row r="196" spans="13:13" x14ac:dyDescent="0.15">
      <c r="M196" s="29"/>
    </row>
    <row r="197" spans="13:13" x14ac:dyDescent="0.15">
      <c r="M197" s="29"/>
    </row>
    <row r="198" spans="13:13" x14ac:dyDescent="0.15">
      <c r="M198" s="29"/>
    </row>
    <row r="199" spans="13:13" x14ac:dyDescent="0.15">
      <c r="M199" s="29"/>
    </row>
    <row r="200" spans="13:13" x14ac:dyDescent="0.15">
      <c r="M200" s="29"/>
    </row>
    <row r="201" spans="13:13" x14ac:dyDescent="0.15">
      <c r="M201" s="29"/>
    </row>
    <row r="202" spans="13:13" x14ac:dyDescent="0.15">
      <c r="M202" s="29"/>
    </row>
    <row r="203" spans="13:13" x14ac:dyDescent="0.15">
      <c r="M203" s="29"/>
    </row>
    <row r="204" spans="13:13" x14ac:dyDescent="0.15">
      <c r="M204" s="29"/>
    </row>
    <row r="205" spans="13:13" x14ac:dyDescent="0.15">
      <c r="M205" s="29"/>
    </row>
    <row r="206" spans="13:13" x14ac:dyDescent="0.15">
      <c r="M206" s="29"/>
    </row>
    <row r="207" spans="13:13" x14ac:dyDescent="0.15">
      <c r="M207" s="29"/>
    </row>
    <row r="208" spans="13:13" x14ac:dyDescent="0.15">
      <c r="M208" s="29"/>
    </row>
    <row r="209" spans="13:13" x14ac:dyDescent="0.15">
      <c r="M209" s="29"/>
    </row>
    <row r="210" spans="13:13" x14ac:dyDescent="0.15">
      <c r="M210" s="29"/>
    </row>
  </sheetData>
  <mergeCells count="4">
    <mergeCell ref="F9:H9"/>
    <mergeCell ref="A3:B3"/>
    <mergeCell ref="A4:B4"/>
    <mergeCell ref="A1:M1"/>
  </mergeCells>
  <phoneticPr fontId="1"/>
  <dataValidations count="2">
    <dataValidation imeMode="on" allowBlank="1" showInputMessage="1" showErrorMessage="1" sqref="C119:D254 E119:E177 C10:E118" xr:uid="{1A2145B9-80F3-4189-A25E-244CDFF21AE6}"/>
    <dataValidation imeMode="disabled" allowBlank="1" showInputMessage="1" showErrorMessage="1" sqref="F10:K177 A10:B177" xr:uid="{C3050696-3F86-4862-94C4-98C375FD0C46}"/>
  </dataValidations>
  <printOptions horizontalCentered="1"/>
  <pageMargins left="0.39370078740157483" right="0.39370078740157483" top="0.78740157480314965" bottom="0.78740157480314965" header="0" footer="0"/>
  <pageSetup paperSize="9" orientation="portrait" horizontalDpi="4294967293" verticalDpi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556E4-9970-46E5-AD12-2325A12A2B8E}">
  <sheetPr>
    <tabColor rgb="FFFF0000"/>
  </sheetPr>
  <dimension ref="A1:V24"/>
  <sheetViews>
    <sheetView tabSelected="1" zoomScale="90" zoomScaleNormal="90" workbookViewId="0">
      <selection activeCell="R1" sqref="R1"/>
    </sheetView>
  </sheetViews>
  <sheetFormatPr defaultRowHeight="21" x14ac:dyDescent="0.2"/>
  <cols>
    <col min="1" max="1" width="12.625" style="69" customWidth="1"/>
    <col min="2" max="16" width="7.125" style="65" customWidth="1"/>
    <col min="17" max="17" width="8.25" style="65" customWidth="1"/>
    <col min="18" max="16384" width="9" style="65"/>
  </cols>
  <sheetData>
    <row r="1" spans="1:22" s="55" customFormat="1" ht="22.5" customHeight="1" x14ac:dyDescent="0.15">
      <c r="A1" s="85" t="str">
        <f>[1]Sheet1!$B$2&amp;"年度　家電リサイクル実績表"</f>
        <v>2026年度　家電リサイクル実績表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</row>
    <row r="2" spans="1:22" s="55" customFormat="1" ht="22.5" customHeight="1" x14ac:dyDescent="0.15">
      <c r="A2" s="54" t="s">
        <v>34</v>
      </c>
    </row>
    <row r="3" spans="1:22" s="55" customFormat="1" ht="22.5" customHeight="1" x14ac:dyDescent="0.15">
      <c r="A3" s="56" t="s">
        <v>37</v>
      </c>
      <c r="B3" s="84" t="s">
        <v>25</v>
      </c>
      <c r="C3" s="84"/>
      <c r="D3" s="84"/>
      <c r="E3" s="84" t="s">
        <v>26</v>
      </c>
      <c r="F3" s="84"/>
      <c r="G3" s="84"/>
      <c r="H3" s="84" t="s">
        <v>23</v>
      </c>
      <c r="I3" s="84"/>
      <c r="J3" s="84"/>
      <c r="K3" s="84" t="s">
        <v>21</v>
      </c>
      <c r="L3" s="84"/>
      <c r="M3" s="84"/>
      <c r="N3" s="84" t="s">
        <v>8</v>
      </c>
      <c r="O3" s="84"/>
      <c r="P3" s="84"/>
      <c r="Q3" s="57"/>
    </row>
    <row r="4" spans="1:22" s="54" customFormat="1" ht="22.5" customHeight="1" x14ac:dyDescent="0.15">
      <c r="A4" s="56" t="s">
        <v>36</v>
      </c>
      <c r="B4" s="56" t="s">
        <v>27</v>
      </c>
      <c r="C4" s="56" t="s">
        <v>28</v>
      </c>
      <c r="D4" s="56" t="s">
        <v>12</v>
      </c>
      <c r="E4" s="56" t="s">
        <v>29</v>
      </c>
      <c r="F4" s="56" t="s">
        <v>30</v>
      </c>
      <c r="G4" s="56" t="s">
        <v>12</v>
      </c>
      <c r="H4" s="56" t="s">
        <v>29</v>
      </c>
      <c r="I4" s="56" t="s">
        <v>30</v>
      </c>
      <c r="J4" s="56" t="s">
        <v>12</v>
      </c>
      <c r="K4" s="56" t="s">
        <v>29</v>
      </c>
      <c r="L4" s="56" t="s">
        <v>30</v>
      </c>
      <c r="M4" s="56" t="s">
        <v>12</v>
      </c>
      <c r="N4" s="56" t="s">
        <v>29</v>
      </c>
      <c r="O4" s="56" t="s">
        <v>30</v>
      </c>
      <c r="P4" s="56" t="s">
        <v>12</v>
      </c>
      <c r="Q4" s="56" t="s">
        <v>22</v>
      </c>
    </row>
    <row r="5" spans="1:22" s="55" customFormat="1" ht="22.5" customHeight="1" x14ac:dyDescent="0.15">
      <c r="A5" s="58" t="s">
        <v>45</v>
      </c>
      <c r="B5" s="59"/>
      <c r="C5" s="59"/>
      <c r="D5" s="59">
        <f>SUM(B5:C5)</f>
        <v>0</v>
      </c>
      <c r="E5" s="59"/>
      <c r="F5" s="59"/>
      <c r="G5" s="59">
        <f>SUM(E5:F5)</f>
        <v>0</v>
      </c>
      <c r="H5" s="59"/>
      <c r="I5" s="59"/>
      <c r="J5" s="59">
        <f>SUM(H5:I5)</f>
        <v>0</v>
      </c>
      <c r="K5" s="59"/>
      <c r="L5" s="59"/>
      <c r="M5" s="59">
        <f>SUM(K5:L5)</f>
        <v>0</v>
      </c>
      <c r="N5" s="59"/>
      <c r="O5" s="59"/>
      <c r="P5" s="59">
        <f>SUM(N5:O5)</f>
        <v>0</v>
      </c>
      <c r="Q5" s="59">
        <f>D5+G5+J5+M5+P5</f>
        <v>0</v>
      </c>
    </row>
    <row r="6" spans="1:22" s="55" customFormat="1" ht="22.5" customHeight="1" x14ac:dyDescent="0.15">
      <c r="A6" s="56" t="s">
        <v>24</v>
      </c>
      <c r="B6" s="57">
        <f>SUMPRODUCT((発送済Ａ!$D$3:$D$999="○")*(発送済Ａ!$J$3:$J$999=10))</f>
        <v>0</v>
      </c>
      <c r="C6" s="57">
        <f>SUMPRODUCT((発送済Ｂ!$D$3:$D$999="○")*(発送済Ｂ!$J$3:$J$999=10))</f>
        <v>0</v>
      </c>
      <c r="D6" s="57">
        <f>SUM(B6:C6)</f>
        <v>0</v>
      </c>
      <c r="E6" s="60">
        <f>SUMPRODUCT((発送済Ａ!$D$3:$D$999="○")*(発送済Ａ!$J$3:$J$999=20))+SUMPRODUCT((発送済Ａ!$D$3:$D$999="○")*(発送済Ａ!$J$3:$J$999=21))+SUMPRODUCT((発送済Ａ!$D$3:$D$999="○")*(発送済Ａ!$J$3:$J$999=22))</f>
        <v>0</v>
      </c>
      <c r="F6" s="60">
        <f>SUMPRODUCT((発送済Ｂ!$D$3:$D$999="○")*(発送済Ｂ!$J$3:$J$999=20))+SUMPRODUCT((発送済Ｂ!$D$3:$D$999="○")*(発送済Ｂ!$J$3:$J$999=21))+SUMPRODUCT((発送済Ｂ!$D$3:$D$999="○")*(発送済Ｂ!$J$3:$J$999=22))</f>
        <v>0</v>
      </c>
      <c r="G6" s="60">
        <f>SUM(E6:F6)</f>
        <v>0</v>
      </c>
      <c r="H6" s="57">
        <f>SUMPRODUCT((発送済Ａ!$D$3:$D$999="○")*(発送済Ａ!$J$3:$J$999=50))+SUMPRODUCT((発送済Ａ!$D$3:$D$999="○")*(発送済Ａ!$J$3:$J$999=51))+SUMPRODUCT((発送済Ａ!$D$3:$D$999="○")*(発送済Ａ!$J$3:$J$999=52))</f>
        <v>0</v>
      </c>
      <c r="I6" s="57">
        <f>SUMPRODUCT((発送済Ｂ!$D$3:$D$999="○")*(発送済Ｂ!$J$3:$J$999=50))+SUMPRODUCT((発送済Ｂ!$D$3:$D$999="○")*(発送済Ｂ!$J$3:$J$999=51))+SUMPRODUCT((発送済Ｂ!$D$3:$D$999="○")*(発送済Ｂ!$J$3:$J$999=52))</f>
        <v>0</v>
      </c>
      <c r="J6" s="57">
        <f>SUM(H6:I6)</f>
        <v>0</v>
      </c>
      <c r="K6" s="57">
        <f>SUMPRODUCT((発送済Ａ!$D$3:$D$999="○")*(発送済Ａ!$J$3:$J$999=30))+SUMPRODUCT((発送済Ａ!$D$3:$D$999="○")*(発送済Ａ!$J$3:$J$999=31))+SUMPRODUCT((発送済Ａ!$D$3:$D$999="○")*(発送済Ａ!$J$3:$J$999=32))</f>
        <v>0</v>
      </c>
      <c r="L6" s="57">
        <f>SUMPRODUCT((発送済Ｂ!$D$3:$D$999="○")*(発送済Ｂ!$J$3:$J$999=30))+SUMPRODUCT((発送済Ｂ!$D$3:$D$999="○")*(発送済Ｂ!$J$3:$J$999=31))+SUMPRODUCT((発送済Ｂ!$D$3:$D$999="○")*(発送済Ｂ!$J$3:$J$999=32))</f>
        <v>0</v>
      </c>
      <c r="M6" s="57">
        <f>SUM(K6:L6)</f>
        <v>0</v>
      </c>
      <c r="N6" s="57">
        <f>SUMPRODUCT((発送済Ａ!$D$3:$D$999="○")*(発送済Ａ!$J$3:$J$999=40))</f>
        <v>0</v>
      </c>
      <c r="O6" s="57">
        <f>SUMPRODUCT((発送済Ｂ!$D$3:$D$999="○")*(発送済Ｂ!$J$3:$J$999=40))</f>
        <v>0</v>
      </c>
      <c r="P6" s="57">
        <f>SUM(N6:O6)</f>
        <v>0</v>
      </c>
      <c r="Q6" s="57">
        <f>D6+G6+J6+M6+P6</f>
        <v>0</v>
      </c>
    </row>
    <row r="7" spans="1:22" s="55" customFormat="1" ht="22.5" customHeight="1" x14ac:dyDescent="0.15">
      <c r="A7" s="56" t="s">
        <v>20</v>
      </c>
      <c r="B7" s="57">
        <f>SUMPRODUCT((発送済Ａ!$C$3:$C$999="○")*(発送済Ａ!$J$3:$J$999=10))</f>
        <v>0</v>
      </c>
      <c r="C7" s="57">
        <f>SUMPRODUCT((発送済Ｂ!$C$3:$C$999="○")*(発送済Ｂ!$J$3:$J$999=10))</f>
        <v>0</v>
      </c>
      <c r="D7" s="57">
        <f>SUM(B7:C7)</f>
        <v>0</v>
      </c>
      <c r="E7" s="60">
        <f>SUMPRODUCT((発送済Ａ!$C$3:$C$999="○")*(発送済Ａ!$J$3:$J$999=20))+SUMPRODUCT((発送済Ａ!$C$3:$C$999="○")*(発送済Ａ!$J$3:$J$999=21))+SUMPRODUCT((発送済Ａ!$C$3:$C$999="○")*(発送済Ａ!$J$3:$J$999=22))</f>
        <v>0</v>
      </c>
      <c r="F7" s="60">
        <f>SUMPRODUCT((発送済Ｂ!$C$3:$C$999="○")*(発送済Ｂ!$J$3:$J$999=20))+SUMPRODUCT((発送済Ｂ!$C$3:$C$999="○")*(発送済Ｂ!$J$3:$J$999=21))+SUMPRODUCT((発送済Ｂ!$C$3:$C$999="○")*(発送済Ｂ!$J$3:$J$999=22))</f>
        <v>0</v>
      </c>
      <c r="G7" s="60">
        <f>SUM(E7:F7)</f>
        <v>0</v>
      </c>
      <c r="H7" s="57">
        <f>SUMPRODUCT((発送済Ａ!$C$3:$C$999="○")*(発送済Ａ!$J$3:$J$999=50))+SUMPRODUCT((発送済Ａ!$C$3:$C$999="○")*(発送済Ａ!$J$3:$J$999=51))+SUMPRODUCT((発送済Ａ!$C$3:$C$999="○")*(発送済Ａ!$J$3:$J$999=52))</f>
        <v>0</v>
      </c>
      <c r="I7" s="57">
        <f>SUMPRODUCT((発送済Ｂ!$C$3:$C$999="○")*(発送済Ｂ!$J$3:$J$999=50))+SUMPRODUCT((発送済Ｂ!$C$3:$C$999="○")*(発送済Ｂ!$J$3:$J$999=51))+SUMPRODUCT((発送済Ｂ!$C$3:$C$999="○")*(発送済Ｂ!$J$3:$J$999=52))</f>
        <v>0</v>
      </c>
      <c r="J7" s="57">
        <f>SUM(H7:I7)</f>
        <v>0</v>
      </c>
      <c r="K7" s="57">
        <f>SUMPRODUCT((発送済Ａ!$C$3:$C$999="○")*(発送済Ａ!$J$3:$J$999=30))+SUMPRODUCT((発送済Ａ!$C$3:$C$999="○")*(発送済Ａ!$J$3:$J$999=31))+SUMPRODUCT((発送済Ａ!$C$3:$C$999="○")*(発送済Ａ!$J$3:$J$999=32))</f>
        <v>0</v>
      </c>
      <c r="L7" s="57">
        <f>SUMPRODUCT((発送済Ｂ!$C$3:$C$999="○")*(発送済Ｂ!$J$3:$J$999=30))+SUMPRODUCT((発送済Ｂ!$C$3:$C$999="○")*(発送済Ｂ!$J$3:$J$999=31))+SUMPRODUCT((発送済Ｂ!$C$3:$C$999="○")*(発送済Ｂ!$J$3:$J$999=32))</f>
        <v>0</v>
      </c>
      <c r="M7" s="57">
        <f>SUM(K7:L7)</f>
        <v>0</v>
      </c>
      <c r="N7" s="57">
        <f>SUMPRODUCT((発送済Ａ!$C$3:$C$999="○")*(発送済Ａ!$J$3:$J$999=40))</f>
        <v>0</v>
      </c>
      <c r="O7" s="57">
        <f>SUMPRODUCT((発送済Ｂ!$C$3:$C$999="○")*(発送済Ｂ!$J$3:$J$999=40))</f>
        <v>0</v>
      </c>
      <c r="P7" s="57">
        <f>SUM(N7:O7)</f>
        <v>0</v>
      </c>
      <c r="Q7" s="57">
        <f>D7+G7+J7+M7+P7</f>
        <v>0</v>
      </c>
    </row>
    <row r="8" spans="1:22" s="55" customFormat="1" ht="22.5" customHeight="1" x14ac:dyDescent="0.15">
      <c r="A8" s="74" t="s">
        <v>46</v>
      </c>
      <c r="B8" s="57">
        <f t="shared" ref="B8:G8" si="0">SUM(B6:B7)</f>
        <v>0</v>
      </c>
      <c r="C8" s="57">
        <f t="shared" si="0"/>
        <v>0</v>
      </c>
      <c r="D8" s="57">
        <f t="shared" si="0"/>
        <v>0</v>
      </c>
      <c r="E8" s="60">
        <f t="shared" si="0"/>
        <v>0</v>
      </c>
      <c r="F8" s="60">
        <f t="shared" si="0"/>
        <v>0</v>
      </c>
      <c r="G8" s="60">
        <f t="shared" si="0"/>
        <v>0</v>
      </c>
      <c r="H8" s="57">
        <f t="shared" ref="H8:O8" si="1">SUM(H6:H7)</f>
        <v>0</v>
      </c>
      <c r="I8" s="57">
        <f t="shared" si="1"/>
        <v>0</v>
      </c>
      <c r="J8" s="57">
        <f t="shared" si="1"/>
        <v>0</v>
      </c>
      <c r="K8" s="57">
        <f t="shared" si="1"/>
        <v>0</v>
      </c>
      <c r="L8" s="57">
        <f t="shared" si="1"/>
        <v>0</v>
      </c>
      <c r="M8" s="57">
        <f t="shared" si="1"/>
        <v>0</v>
      </c>
      <c r="N8" s="57">
        <f t="shared" si="1"/>
        <v>0</v>
      </c>
      <c r="O8" s="57">
        <f t="shared" si="1"/>
        <v>0</v>
      </c>
      <c r="P8" s="57">
        <f>SUM(P6:P7)</f>
        <v>0</v>
      </c>
      <c r="Q8" s="61">
        <f>SUM(Q6:Q7)</f>
        <v>0</v>
      </c>
    </row>
    <row r="9" spans="1:22" ht="22.5" customHeight="1" x14ac:dyDescent="0.2">
      <c r="A9" s="62" t="s">
        <v>35</v>
      </c>
      <c r="B9" s="63">
        <f t="shared" ref="B9:Q9" si="2">SUM(B5:B7)</f>
        <v>0</v>
      </c>
      <c r="C9" s="63">
        <f t="shared" si="2"/>
        <v>0</v>
      </c>
      <c r="D9" s="63">
        <f t="shared" si="2"/>
        <v>0</v>
      </c>
      <c r="E9" s="64">
        <f t="shared" si="2"/>
        <v>0</v>
      </c>
      <c r="F9" s="64">
        <f t="shared" si="2"/>
        <v>0</v>
      </c>
      <c r="G9" s="64">
        <f t="shared" si="2"/>
        <v>0</v>
      </c>
      <c r="H9" s="63">
        <f t="shared" si="2"/>
        <v>0</v>
      </c>
      <c r="I9" s="63">
        <f t="shared" si="2"/>
        <v>0</v>
      </c>
      <c r="J9" s="63">
        <f t="shared" si="2"/>
        <v>0</v>
      </c>
      <c r="K9" s="63">
        <f t="shared" si="2"/>
        <v>0</v>
      </c>
      <c r="L9" s="63">
        <f t="shared" si="2"/>
        <v>0</v>
      </c>
      <c r="M9" s="63">
        <f t="shared" si="2"/>
        <v>0</v>
      </c>
      <c r="N9" s="63">
        <f t="shared" si="2"/>
        <v>0</v>
      </c>
      <c r="O9" s="63">
        <f t="shared" si="2"/>
        <v>0</v>
      </c>
      <c r="P9" s="63">
        <f t="shared" si="2"/>
        <v>0</v>
      </c>
      <c r="Q9" s="63">
        <f t="shared" si="2"/>
        <v>0</v>
      </c>
    </row>
    <row r="10" spans="1:22" s="55" customFormat="1" ht="22.5" customHeight="1" x14ac:dyDescent="0.15">
      <c r="A10" s="66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V10" s="55" t="s">
        <v>42</v>
      </c>
    </row>
    <row r="11" spans="1:22" s="55" customFormat="1" ht="22.5" customHeight="1" x14ac:dyDescent="0.15">
      <c r="A11" s="54" t="s">
        <v>11</v>
      </c>
    </row>
    <row r="12" spans="1:22" s="55" customFormat="1" ht="22.5" customHeight="1" x14ac:dyDescent="0.15">
      <c r="A12" s="56" t="s">
        <v>37</v>
      </c>
      <c r="B12" s="84" t="s">
        <v>25</v>
      </c>
      <c r="C12" s="84"/>
      <c r="D12" s="84"/>
      <c r="E12" s="84" t="s">
        <v>26</v>
      </c>
      <c r="F12" s="84"/>
      <c r="G12" s="84"/>
      <c r="H12" s="84" t="s">
        <v>23</v>
      </c>
      <c r="I12" s="84"/>
      <c r="J12" s="84"/>
      <c r="K12" s="84" t="s">
        <v>21</v>
      </c>
      <c r="L12" s="84"/>
      <c r="M12" s="84"/>
      <c r="N12" s="84" t="s">
        <v>8</v>
      </c>
      <c r="O12" s="84"/>
      <c r="P12" s="84"/>
      <c r="Q12" s="57"/>
    </row>
    <row r="13" spans="1:22" s="55" customFormat="1" ht="22.5" customHeight="1" x14ac:dyDescent="0.15">
      <c r="A13" s="56" t="s">
        <v>36</v>
      </c>
      <c r="B13" s="56" t="s">
        <v>27</v>
      </c>
      <c r="C13" s="56" t="s">
        <v>28</v>
      </c>
      <c r="D13" s="56" t="s">
        <v>12</v>
      </c>
      <c r="E13" s="56" t="s">
        <v>29</v>
      </c>
      <c r="F13" s="56" t="s">
        <v>30</v>
      </c>
      <c r="G13" s="56" t="s">
        <v>12</v>
      </c>
      <c r="H13" s="56" t="s">
        <v>29</v>
      </c>
      <c r="I13" s="56" t="s">
        <v>30</v>
      </c>
      <c r="J13" s="56" t="s">
        <v>12</v>
      </c>
      <c r="K13" s="56" t="s">
        <v>29</v>
      </c>
      <c r="L13" s="56" t="s">
        <v>30</v>
      </c>
      <c r="M13" s="56" t="s">
        <v>12</v>
      </c>
      <c r="N13" s="56" t="s">
        <v>29</v>
      </c>
      <c r="O13" s="56" t="s">
        <v>30</v>
      </c>
      <c r="P13" s="56" t="s">
        <v>12</v>
      </c>
      <c r="Q13" s="56" t="s">
        <v>22</v>
      </c>
    </row>
    <row r="14" spans="1:22" s="55" customFormat="1" ht="22.5" customHeight="1" x14ac:dyDescent="0.15">
      <c r="A14" s="58" t="s">
        <v>45</v>
      </c>
      <c r="B14" s="59"/>
      <c r="C14" s="59"/>
      <c r="D14" s="59">
        <f>SUM(B14:C14)</f>
        <v>0</v>
      </c>
      <c r="E14" s="59"/>
      <c r="F14" s="59"/>
      <c r="G14" s="59">
        <f>SUM(E14:F14)</f>
        <v>0</v>
      </c>
      <c r="H14" s="59"/>
      <c r="I14" s="59"/>
      <c r="J14" s="59">
        <f>SUM(H14:I14)</f>
        <v>0</v>
      </c>
      <c r="K14" s="59"/>
      <c r="L14" s="59"/>
      <c r="M14" s="59">
        <f>SUM(K14:L14)</f>
        <v>0</v>
      </c>
      <c r="N14" s="59"/>
      <c r="O14" s="59"/>
      <c r="P14" s="59">
        <f>SUM(N14:O14)</f>
        <v>0</v>
      </c>
      <c r="Q14" s="59">
        <f>D14+G14+J14+M14+P14</f>
        <v>0</v>
      </c>
    </row>
    <row r="15" spans="1:22" s="55" customFormat="1" ht="22.5" customHeight="1" x14ac:dyDescent="0.15">
      <c r="A15" s="56" t="s">
        <v>24</v>
      </c>
      <c r="B15" s="57">
        <f>SUMPRODUCT((発送前A!$D$10:$D$999="○")*(発送前A!$J$10:$J$999=10))</f>
        <v>0</v>
      </c>
      <c r="C15" s="57">
        <f>SUMPRODUCT((発送前Ｂ!$D$10:$D$966="○")*(発送前Ｂ!$J$10:$J$966=10))</f>
        <v>0</v>
      </c>
      <c r="D15" s="57">
        <f>SUM(B15:C15)</f>
        <v>0</v>
      </c>
      <c r="E15" s="57">
        <f>SUMPRODUCT((発送前A!$D$10:$D$999="○")*(発送前A!$J$10:$J$999=20))+SUMPRODUCT((発送前A!$D$10:$D$999="○")*(発送前A!$J$10:$J$999=21))+SUMPRODUCT((発送前A!$D$10:$D$999="○")*(発送前A!$J$10:$J$999=22))</f>
        <v>0</v>
      </c>
      <c r="F15" s="57">
        <f>SUMPRODUCT((発送前Ｂ!$D$10:$D$966="○")*(発送前Ｂ!$J$10:$J$966=20))+SUMPRODUCT((発送前Ｂ!$D$10:$D$966="○")*(発送前Ｂ!$J$10:$J$966=21))+SUMPRODUCT((発送前Ｂ!$D$10:$D$966="○")*(発送前Ｂ!$J$10:$J$966=22))</f>
        <v>0</v>
      </c>
      <c r="G15" s="57">
        <f>SUM(E15:F15)</f>
        <v>0</v>
      </c>
      <c r="H15" s="57">
        <f>SUMPRODUCT((発送前A!$D$10:$D$999="○")*(発送前A!$J$10:$J$999=50))+SUMPRODUCT((発送前A!$D$10:$D$999="○")*(発送前A!$J$10:$J$999=51))+SUMPRODUCT((発送前A!$D$10:$D$999="○")*(発送前A!$J$10:$J$999=52))</f>
        <v>0</v>
      </c>
      <c r="I15" s="57">
        <f>SUMPRODUCT((発送前Ｂ!$D$10:$D$966="○")*(発送前Ｂ!$J$10:$J$966=50))+SUMPRODUCT((発送前Ｂ!$D$10:$D$966="○")*(発送前Ｂ!$J$10:$J$966=51))+SUMPRODUCT((発送前Ｂ!$D$10:$D$966="○")*(発送前Ｂ!$J$10:$J$966=52))</f>
        <v>0</v>
      </c>
      <c r="J15" s="57">
        <f>SUM(H15:I15)</f>
        <v>0</v>
      </c>
      <c r="K15" s="57">
        <f>SUMPRODUCT((発送前A!$D$10:$D$999="○")*(発送前A!$J$10:$J$999=30))+SUMPRODUCT((発送前A!$D$10:$D$999="○")*(発送前A!$J$10:$J$999=31))+SUMPRODUCT((発送前A!$D$10:$D$999="○")*(発送前A!$J$10:$J$999=32))</f>
        <v>0</v>
      </c>
      <c r="L15" s="57">
        <f>SUMPRODUCT((発送前Ｂ!$D$10:$D$966="○")*(発送前Ｂ!$J$10:$J$966=30))+SUMPRODUCT((発送前Ｂ!$D$10:$D$966="○")*(発送前Ｂ!$J$10:$J$966=31))+SUMPRODUCT((発送前Ｂ!$D$10:$D$966="○")*(発送前Ｂ!$J$10:$J$966=32))</f>
        <v>0</v>
      </c>
      <c r="M15" s="57">
        <f>SUM(K15:L15)</f>
        <v>0</v>
      </c>
      <c r="N15" s="57">
        <f>SUMPRODUCT((発送前A!$D$10:$D$999="○")*(発送前A!$J$10:$J$999=40))</f>
        <v>0</v>
      </c>
      <c r="O15" s="57">
        <f>SUMPRODUCT((発送前Ｂ!$D$10:$D$966="○")*(発送前Ｂ!$J$10:$J$966=40))</f>
        <v>0</v>
      </c>
      <c r="P15" s="57">
        <f>SUM(N15:O15)</f>
        <v>0</v>
      </c>
      <c r="Q15" s="57">
        <f>D15+G15+J15+M15+P15</f>
        <v>0</v>
      </c>
    </row>
    <row r="16" spans="1:22" s="55" customFormat="1" ht="22.5" customHeight="1" x14ac:dyDescent="0.15">
      <c r="A16" s="56" t="s">
        <v>20</v>
      </c>
      <c r="B16" s="57">
        <f>SUMPRODUCT((発送前A!$C$10:$C$999="○")*(発送前A!$J$10:$J$999=10))</f>
        <v>0</v>
      </c>
      <c r="C16" s="57">
        <f>SUMPRODUCT((発送前Ｂ!$C$10:$C$966="○")*(発送前Ｂ!$J$10:$J$966=10))</f>
        <v>0</v>
      </c>
      <c r="D16" s="57">
        <f>SUM(B16:C16)</f>
        <v>0</v>
      </c>
      <c r="E16" s="57">
        <f>SUMPRODUCT((発送前A!$C$10:$C$999="○")*(発送前A!$J$10:$J$999=20))+SUMPRODUCT((発送前A!$C$10:$C$999="○")*(発送前A!$J$10:$J$999=21))+SUMPRODUCT((発送前A!$C$10:$C$999="○")*(発送前A!$J$10:$J$999=22))</f>
        <v>0</v>
      </c>
      <c r="F16" s="57">
        <f>SUMPRODUCT((発送前Ｂ!$C$10:$C$966="○")*(発送前Ｂ!$J$10:$J$966=20))+SUMPRODUCT((発送前Ｂ!$C$10:$C$966="○")*(発送前Ｂ!$J$10:$J$966=21))+SUMPRODUCT((発送前Ｂ!$C$10:$C$966="○")*(発送前Ｂ!$J$10:$J$966=22))</f>
        <v>0</v>
      </c>
      <c r="G16" s="57">
        <f>SUM(E16:F16)</f>
        <v>0</v>
      </c>
      <c r="H16" s="57">
        <f>SUMPRODUCT((発送前A!$C$10:$C$999="○")*(発送前A!$J$10:$J$999=50))+SUMPRODUCT((発送前A!$C$10:$C$999="○")*(発送前A!$J$10:$J$999=51))+SUMPRODUCT((発送前A!$C$10:$C$999="○")*(発送前A!$J$10:$J$999=52))</f>
        <v>0</v>
      </c>
      <c r="I16" s="57">
        <f>SUMPRODUCT((発送前Ｂ!$C$10:$C$966="○")*(発送前Ｂ!$J$10:$J$966=50))+SUMPRODUCT((発送前Ｂ!$C$10:$C$966="○")*(発送前Ｂ!$J$10:$J$966=51))+SUMPRODUCT((発送前Ｂ!$C$10:$C$966="○")*(発送前Ｂ!$J$10:$J$966=52))</f>
        <v>0</v>
      </c>
      <c r="J16" s="57">
        <f>SUM(H16:I16)</f>
        <v>0</v>
      </c>
      <c r="K16" s="57">
        <f>SUMPRODUCT((発送前A!$C$10:$C$999="○")*(発送前A!$J$10:$J$999=30))+SUMPRODUCT((発送前A!$C$10:$C$999="○")*(発送前A!$J$10:$J$999=31))+SUMPRODUCT((発送前A!$C$10:$C$999="○")*(発送前A!$J$10:$J$999=32))</f>
        <v>0</v>
      </c>
      <c r="L16" s="57">
        <f>SUMPRODUCT((発送前Ｂ!$C$10:$C$966="○")*(発送前Ｂ!$J$10:$J$966=30))+SUMPRODUCT((発送前Ｂ!$C$10:$C$966="○")*(発送前Ｂ!$J$10:$J$966=31))+SUMPRODUCT((発送前Ｂ!$C$10:$C$966="○")*(発送前Ｂ!$J$10:$J$966=32))</f>
        <v>0</v>
      </c>
      <c r="M16" s="57">
        <f>SUM(K16:L16)</f>
        <v>0</v>
      </c>
      <c r="N16" s="57">
        <f>SUMPRODUCT((発送前A!$C$10:$C$999="○")*(発送前A!$J$10:$J$999=40))</f>
        <v>0</v>
      </c>
      <c r="O16" s="57">
        <f>SUMPRODUCT((発送前Ｂ!$C$10:$C$966="○")*(発送前Ｂ!$J$10:$J$966=40))</f>
        <v>0</v>
      </c>
      <c r="P16" s="57">
        <f>SUM(N16:O16)</f>
        <v>0</v>
      </c>
      <c r="Q16" s="57">
        <f>D16+G16+J16+M16+P16</f>
        <v>0</v>
      </c>
    </row>
    <row r="17" spans="1:17" s="55" customFormat="1" ht="22.5" customHeight="1" x14ac:dyDescent="0.15">
      <c r="A17" s="56" t="s">
        <v>41</v>
      </c>
      <c r="B17" s="57">
        <f t="shared" ref="B17:P17" si="3">SUM(B15:B16)</f>
        <v>0</v>
      </c>
      <c r="C17" s="57">
        <f t="shared" si="3"/>
        <v>0</v>
      </c>
      <c r="D17" s="57">
        <f t="shared" si="3"/>
        <v>0</v>
      </c>
      <c r="E17" s="57">
        <f t="shared" si="3"/>
        <v>0</v>
      </c>
      <c r="F17" s="57">
        <f t="shared" si="3"/>
        <v>0</v>
      </c>
      <c r="G17" s="57">
        <f t="shared" si="3"/>
        <v>0</v>
      </c>
      <c r="H17" s="57">
        <f t="shared" si="3"/>
        <v>0</v>
      </c>
      <c r="I17" s="57">
        <f t="shared" si="3"/>
        <v>0</v>
      </c>
      <c r="J17" s="57">
        <f t="shared" si="3"/>
        <v>0</v>
      </c>
      <c r="K17" s="57">
        <f t="shared" si="3"/>
        <v>0</v>
      </c>
      <c r="L17" s="57">
        <f t="shared" si="3"/>
        <v>0</v>
      </c>
      <c r="M17" s="57">
        <f t="shared" si="3"/>
        <v>0</v>
      </c>
      <c r="N17" s="57">
        <f t="shared" si="3"/>
        <v>0</v>
      </c>
      <c r="O17" s="57">
        <f t="shared" si="3"/>
        <v>0</v>
      </c>
      <c r="P17" s="57">
        <f t="shared" si="3"/>
        <v>0</v>
      </c>
      <c r="Q17" s="68">
        <f>D17+G17+J17+M17+P17</f>
        <v>0</v>
      </c>
    </row>
    <row r="18" spans="1:17" s="55" customFormat="1" ht="22.5" customHeight="1" x14ac:dyDescent="0.15">
      <c r="A18" s="54"/>
    </row>
    <row r="19" spans="1:17" s="55" customFormat="1" ht="22.5" customHeight="1" x14ac:dyDescent="0.15">
      <c r="A19" s="54" t="s">
        <v>33</v>
      </c>
    </row>
    <row r="20" spans="1:17" s="54" customFormat="1" ht="22.5" customHeight="1" x14ac:dyDescent="0.15">
      <c r="A20" s="56" t="s">
        <v>37</v>
      </c>
      <c r="B20" s="84" t="s">
        <v>31</v>
      </c>
      <c r="C20" s="84"/>
      <c r="D20" s="84"/>
      <c r="E20" s="84" t="s">
        <v>32</v>
      </c>
      <c r="F20" s="84"/>
      <c r="G20" s="84"/>
      <c r="H20" s="84" t="s">
        <v>23</v>
      </c>
      <c r="I20" s="84"/>
      <c r="J20" s="84"/>
      <c r="K20" s="84" t="s">
        <v>21</v>
      </c>
      <c r="L20" s="84"/>
      <c r="M20" s="84"/>
      <c r="N20" s="84" t="s">
        <v>8</v>
      </c>
      <c r="O20" s="84"/>
      <c r="P20" s="84"/>
      <c r="Q20" s="57"/>
    </row>
    <row r="21" spans="1:17" s="54" customFormat="1" ht="22.5" customHeight="1" x14ac:dyDescent="0.15">
      <c r="A21" s="56" t="s">
        <v>36</v>
      </c>
      <c r="B21" s="56" t="s">
        <v>27</v>
      </c>
      <c r="C21" s="56" t="s">
        <v>28</v>
      </c>
      <c r="D21" s="56" t="s">
        <v>12</v>
      </c>
      <c r="E21" s="56" t="s">
        <v>29</v>
      </c>
      <c r="F21" s="56" t="s">
        <v>30</v>
      </c>
      <c r="G21" s="56" t="s">
        <v>12</v>
      </c>
      <c r="H21" s="56" t="s">
        <v>29</v>
      </c>
      <c r="I21" s="56" t="s">
        <v>30</v>
      </c>
      <c r="J21" s="56" t="s">
        <v>12</v>
      </c>
      <c r="K21" s="56" t="s">
        <v>29</v>
      </c>
      <c r="L21" s="56" t="s">
        <v>30</v>
      </c>
      <c r="M21" s="56" t="s">
        <v>12</v>
      </c>
      <c r="N21" s="56" t="s">
        <v>29</v>
      </c>
      <c r="O21" s="56" t="s">
        <v>30</v>
      </c>
      <c r="P21" s="56" t="s">
        <v>12</v>
      </c>
      <c r="Q21" s="56" t="s">
        <v>22</v>
      </c>
    </row>
    <row r="22" spans="1:17" s="55" customFormat="1" ht="22.5" customHeight="1" x14ac:dyDescent="0.15">
      <c r="A22" s="56" t="s">
        <v>24</v>
      </c>
      <c r="B22" s="57">
        <f>B6+B15</f>
        <v>0</v>
      </c>
      <c r="C22" s="57">
        <f>C6+C15</f>
        <v>0</v>
      </c>
      <c r="D22" s="57">
        <f>SUM(B22:C22)</f>
        <v>0</v>
      </c>
      <c r="E22" s="57">
        <f>E6+E15</f>
        <v>0</v>
      </c>
      <c r="F22" s="57">
        <f>F6+F15</f>
        <v>0</v>
      </c>
      <c r="G22" s="57">
        <f>SUM(E22:F22)</f>
        <v>0</v>
      </c>
      <c r="H22" s="57">
        <f>H6+H15</f>
        <v>0</v>
      </c>
      <c r="I22" s="57">
        <f>I6+I15</f>
        <v>0</v>
      </c>
      <c r="J22" s="57">
        <f>SUM(H22:I22)</f>
        <v>0</v>
      </c>
      <c r="K22" s="57">
        <f>K6+K15</f>
        <v>0</v>
      </c>
      <c r="L22" s="57">
        <f>L6+L15</f>
        <v>0</v>
      </c>
      <c r="M22" s="57">
        <f>SUM(K22:L22)</f>
        <v>0</v>
      </c>
      <c r="N22" s="57">
        <f>N6+N15</f>
        <v>0</v>
      </c>
      <c r="O22" s="57">
        <f>O6+O15</f>
        <v>0</v>
      </c>
      <c r="P22" s="57">
        <f>SUM(N22:O22)</f>
        <v>0</v>
      </c>
      <c r="Q22" s="57">
        <f>D22+G22+J22+M22+P22</f>
        <v>0</v>
      </c>
    </row>
    <row r="23" spans="1:17" s="55" customFormat="1" ht="22.5" customHeight="1" x14ac:dyDescent="0.15">
      <c r="A23" s="56" t="s">
        <v>20</v>
      </c>
      <c r="B23" s="57">
        <f>B7+B16</f>
        <v>0</v>
      </c>
      <c r="C23" s="57">
        <f>C7+C16</f>
        <v>0</v>
      </c>
      <c r="D23" s="57">
        <f>SUM(B23:C23)</f>
        <v>0</v>
      </c>
      <c r="E23" s="57">
        <f>E7+E16</f>
        <v>0</v>
      </c>
      <c r="F23" s="57">
        <f>F7+F16</f>
        <v>0</v>
      </c>
      <c r="G23" s="57">
        <f>SUM(E23:F23)</f>
        <v>0</v>
      </c>
      <c r="H23" s="57">
        <f>H7+H16</f>
        <v>0</v>
      </c>
      <c r="I23" s="57">
        <f>I7+I16</f>
        <v>0</v>
      </c>
      <c r="J23" s="57">
        <f>SUM(H23:I23)</f>
        <v>0</v>
      </c>
      <c r="K23" s="57">
        <f>K7+K16</f>
        <v>0</v>
      </c>
      <c r="L23" s="57">
        <f>L7+L16</f>
        <v>0</v>
      </c>
      <c r="M23" s="57">
        <f>SUM(K23:L23)</f>
        <v>0</v>
      </c>
      <c r="N23" s="57">
        <f>N7+N16</f>
        <v>0</v>
      </c>
      <c r="O23" s="57">
        <f>O7+O16</f>
        <v>0</v>
      </c>
      <c r="P23" s="57">
        <f>SUM(N23:O23)</f>
        <v>0</v>
      </c>
      <c r="Q23" s="57">
        <f>D23+G23+J23+M23+P23</f>
        <v>0</v>
      </c>
    </row>
    <row r="24" spans="1:17" s="55" customFormat="1" ht="22.5" customHeight="1" x14ac:dyDescent="0.15">
      <c r="A24" s="56" t="s">
        <v>41</v>
      </c>
      <c r="B24" s="57">
        <f t="shared" ref="B24:P24" si="4">SUM(B22:B23)</f>
        <v>0</v>
      </c>
      <c r="C24" s="57">
        <f t="shared" si="4"/>
        <v>0</v>
      </c>
      <c r="D24" s="57">
        <f t="shared" si="4"/>
        <v>0</v>
      </c>
      <c r="E24" s="57">
        <f t="shared" si="4"/>
        <v>0</v>
      </c>
      <c r="F24" s="57">
        <f t="shared" si="4"/>
        <v>0</v>
      </c>
      <c r="G24" s="57">
        <f t="shared" si="4"/>
        <v>0</v>
      </c>
      <c r="H24" s="57">
        <f t="shared" si="4"/>
        <v>0</v>
      </c>
      <c r="I24" s="57">
        <f t="shared" si="4"/>
        <v>0</v>
      </c>
      <c r="J24" s="57">
        <f t="shared" si="4"/>
        <v>0</v>
      </c>
      <c r="K24" s="57">
        <f t="shared" si="4"/>
        <v>0</v>
      </c>
      <c r="L24" s="57">
        <f t="shared" si="4"/>
        <v>0</v>
      </c>
      <c r="M24" s="57">
        <f t="shared" si="4"/>
        <v>0</v>
      </c>
      <c r="N24" s="57">
        <f t="shared" si="4"/>
        <v>0</v>
      </c>
      <c r="O24" s="57">
        <f t="shared" si="4"/>
        <v>0</v>
      </c>
      <c r="P24" s="57">
        <f t="shared" si="4"/>
        <v>0</v>
      </c>
      <c r="Q24" s="61">
        <f>D24+G24+J24+M24+P24</f>
        <v>0</v>
      </c>
    </row>
  </sheetData>
  <mergeCells count="16">
    <mergeCell ref="K20:M20"/>
    <mergeCell ref="K12:M12"/>
    <mergeCell ref="A1:Q1"/>
    <mergeCell ref="N20:P20"/>
    <mergeCell ref="B3:D3"/>
    <mergeCell ref="E3:G3"/>
    <mergeCell ref="K3:M3"/>
    <mergeCell ref="N3:P3"/>
    <mergeCell ref="H3:J3"/>
    <mergeCell ref="N12:P12"/>
    <mergeCell ref="E12:G12"/>
    <mergeCell ref="H12:J12"/>
    <mergeCell ref="B20:D20"/>
    <mergeCell ref="E20:G20"/>
    <mergeCell ref="H20:J20"/>
    <mergeCell ref="B12:D12"/>
  </mergeCells>
  <phoneticPr fontId="1"/>
  <printOptions horizontalCentered="1" verticalCentered="1"/>
  <pageMargins left="0.78740157480314965" right="0.78740157480314965" top="0.78740157480314965" bottom="0.78740157480314965" header="0" footer="0"/>
  <pageSetup paperSize="9" orientation="landscape" horizontalDpi="4294967293" verticalDpi="0" r:id="rId1"/>
  <headerFooter alignWithMargins="0"/>
  <ignoredErrors>
    <ignoredError sqref="J22:J23 M22:M23 D22:D23 G22:G2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発送済Ａ</vt:lpstr>
      <vt:lpstr>発送済Ｂ</vt:lpstr>
      <vt:lpstr>発送済A控え</vt:lpstr>
      <vt:lpstr>発送済Ｂ控え</vt:lpstr>
      <vt:lpstr>発送前A</vt:lpstr>
      <vt:lpstr>発送前Ｂ</vt:lpstr>
      <vt:lpstr>実績表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ごみ処理場</dc:creator>
  <cp:lastModifiedBy>Lay Hirosaki</cp:lastModifiedBy>
  <cp:lastPrinted>2017-12-05T04:55:21Z</cp:lastPrinted>
  <dcterms:created xsi:type="dcterms:W3CDTF">2011-04-01T05:01:22Z</dcterms:created>
  <dcterms:modified xsi:type="dcterms:W3CDTF">2026-03-05T04:26:27Z</dcterms:modified>
</cp:coreProperties>
</file>