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C:\Users\layhi\OneDrive\ドキュメント\日報月報他\(枠)◯年度一式\"/>
    </mc:Choice>
  </mc:AlternateContent>
  <xr:revisionPtr revIDLastSave="0" documentId="13_ncr:1_{B09C35A0-707D-455B-B988-30706AB24313}" xr6:coauthVersionLast="47" xr6:coauthVersionMax="47" xr10:uidLastSave="{00000000-0000-0000-0000-000000000000}"/>
  <bookViews>
    <workbookView xWindow="13785" yWindow="0" windowWidth="13215" windowHeight="15480" activeTab="5" xr2:uid="{DEC9D196-2D5E-46FA-B56B-3B2E57D6F36C}"/>
  </bookViews>
  <sheets>
    <sheet name="06" sheetId="4" r:id="rId1"/>
    <sheet name="07" sheetId="5" r:id="rId2"/>
    <sheet name="08" sheetId="6" r:id="rId3"/>
    <sheet name="09" sheetId="7" r:id="rId4"/>
    <sheet name="実績" sheetId="8" r:id="rId5"/>
    <sheet name="サケ" sheetId="9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" i="4" l="1"/>
  <c r="A1" i="8"/>
  <c r="A1" i="9"/>
  <c r="G8" i="8" l="1"/>
  <c r="F8" i="8"/>
  <c r="D8" i="8"/>
  <c r="C8" i="8"/>
  <c r="B8" i="8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B36" i="4"/>
  <c r="B5" i="8"/>
  <c r="C36" i="4"/>
  <c r="C36" i="7"/>
  <c r="D36" i="4"/>
  <c r="D36" i="7"/>
  <c r="D5" i="8"/>
  <c r="E36" i="4"/>
  <c r="E36" i="7"/>
  <c r="E5" i="8"/>
  <c r="F36" i="4"/>
  <c r="F5" i="8"/>
  <c r="G36" i="4"/>
  <c r="G5" i="8"/>
  <c r="E12" i="8"/>
  <c r="A1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B36" i="5"/>
  <c r="B36" i="7"/>
  <c r="B6" i="8"/>
  <c r="B12" i="8"/>
  <c r="C36" i="5"/>
  <c r="C6" i="8"/>
  <c r="D36" i="5"/>
  <c r="D6" i="8"/>
  <c r="E36" i="5"/>
  <c r="E6" i="8"/>
  <c r="F36" i="5"/>
  <c r="F6" i="8"/>
  <c r="G36" i="5"/>
  <c r="G6" i="8"/>
  <c r="A1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B36" i="6"/>
  <c r="H36" i="6"/>
  <c r="H7" i="8"/>
  <c r="B7" i="8"/>
  <c r="C36" i="6"/>
  <c r="C7" i="8"/>
  <c r="D36" i="6"/>
  <c r="D7" i="8"/>
  <c r="E36" i="6"/>
  <c r="E7" i="8"/>
  <c r="D12" i="8"/>
  <c r="F36" i="6"/>
  <c r="F7" i="8"/>
  <c r="F36" i="7"/>
  <c r="G36" i="6"/>
  <c r="G7" i="8"/>
  <c r="A1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B35" i="9"/>
  <c r="C35" i="9"/>
  <c r="D35" i="9"/>
  <c r="F35" i="9"/>
  <c r="G35" i="9"/>
  <c r="H35" i="9"/>
  <c r="E8" i="8"/>
  <c r="H36" i="4"/>
  <c r="H5" i="8"/>
  <c r="C5" i="8"/>
  <c r="C12" i="8"/>
  <c r="H35" i="7"/>
  <c r="H8" i="8"/>
  <c r="G36" i="7"/>
  <c r="F12" i="8"/>
  <c r="H36" i="5"/>
  <c r="H6" i="8"/>
  <c r="H36" i="7"/>
</calcChain>
</file>

<file path=xl/sharedStrings.xml><?xml version="1.0" encoding="utf-8"?>
<sst xmlns="http://schemas.openxmlformats.org/spreadsheetml/2006/main" count="98" uniqueCount="26">
  <si>
    <t>亀田建設</t>
    <rPh sb="0" eb="2">
      <t>カメダ</t>
    </rPh>
    <rPh sb="2" eb="4">
      <t>ケンセツ</t>
    </rPh>
    <phoneticPr fontId="1"/>
  </si>
  <si>
    <t>山本建設</t>
    <rPh sb="0" eb="2">
      <t>ヤマモト</t>
    </rPh>
    <rPh sb="2" eb="4">
      <t>ケンセツ</t>
    </rPh>
    <phoneticPr fontId="1"/>
  </si>
  <si>
    <t>吉田産業</t>
    <rPh sb="0" eb="2">
      <t>ヨシダ</t>
    </rPh>
    <rPh sb="2" eb="4">
      <t>サンギョウ</t>
    </rPh>
    <phoneticPr fontId="1"/>
  </si>
  <si>
    <t>藤井組</t>
    <rPh sb="0" eb="3">
      <t>フジイグミ</t>
    </rPh>
    <phoneticPr fontId="1"/>
  </si>
  <si>
    <t>利尻島運輸</t>
    <rPh sb="0" eb="2">
      <t>リシリ</t>
    </rPh>
    <rPh sb="2" eb="3">
      <t>シマ</t>
    </rPh>
    <rPh sb="3" eb="5">
      <t>ウンユ</t>
    </rPh>
    <phoneticPr fontId="1"/>
  </si>
  <si>
    <t>鬼　脇</t>
    <rPh sb="0" eb="3">
      <t>オニ</t>
    </rPh>
    <phoneticPr fontId="1"/>
  </si>
  <si>
    <t>鴛　泊</t>
    <rPh sb="0" eb="3">
      <t>オシ</t>
    </rPh>
    <phoneticPr fontId="1"/>
  </si>
  <si>
    <t>仙法志</t>
    <rPh sb="0" eb="3">
      <t>セン</t>
    </rPh>
    <phoneticPr fontId="1"/>
  </si>
  <si>
    <t>沓　形</t>
    <rPh sb="0" eb="3">
      <t>クツ</t>
    </rPh>
    <phoneticPr fontId="1"/>
  </si>
  <si>
    <t>月</t>
    <rPh sb="0" eb="1">
      <t>ツキ</t>
    </rPh>
    <phoneticPr fontId="1"/>
  </si>
  <si>
    <t>計</t>
    <rPh sb="0" eb="1">
      <t>ケイ</t>
    </rPh>
    <phoneticPr fontId="1"/>
  </si>
  <si>
    <t>神造船建設</t>
    <rPh sb="0" eb="1">
      <t>ジン</t>
    </rPh>
    <rPh sb="1" eb="3">
      <t>ゾウセン</t>
    </rPh>
    <rPh sb="3" eb="5">
      <t>ケンセツ</t>
    </rPh>
    <phoneticPr fontId="1"/>
  </si>
  <si>
    <t>(単位:kg)</t>
    <rPh sb="1" eb="3">
      <t>タンイ</t>
    </rPh>
    <phoneticPr fontId="1"/>
  </si>
  <si>
    <t>合　計</t>
    <rPh sb="0" eb="1">
      <t>ゴウ</t>
    </rPh>
    <rPh sb="2" eb="3">
      <t>ケイ</t>
    </rPh>
    <phoneticPr fontId="1"/>
  </si>
  <si>
    <t>総計</t>
    <rPh sb="0" eb="2">
      <t>ソウケイ</t>
    </rPh>
    <phoneticPr fontId="1"/>
  </si>
  <si>
    <t>全地区</t>
    <rPh sb="0" eb="1">
      <t>ゼン</t>
    </rPh>
    <rPh sb="1" eb="3">
      <t>チク</t>
    </rPh>
    <phoneticPr fontId="1"/>
  </si>
  <si>
    <t>6月</t>
    <rPh sb="1" eb="2">
      <t>ガツ</t>
    </rPh>
    <phoneticPr fontId="1"/>
  </si>
  <si>
    <t>7月</t>
  </si>
  <si>
    <t>8月</t>
  </si>
  <si>
    <t>9月</t>
  </si>
  <si>
    <t>合計</t>
    <rPh sb="0" eb="2">
      <t>ゴウケイ</t>
    </rPh>
    <phoneticPr fontId="1"/>
  </si>
  <si>
    <t>※単位</t>
    <rPh sb="1" eb="3">
      <t>タンイ</t>
    </rPh>
    <phoneticPr fontId="1"/>
  </si>
  <si>
    <t>kg</t>
    <phoneticPr fontId="1"/>
  </si>
  <si>
    <t>福士水産㈱</t>
    <rPh sb="0" eb="2">
      <t>フクシ</t>
    </rPh>
    <rPh sb="2" eb="4">
      <t>スイサン</t>
    </rPh>
    <phoneticPr fontId="1"/>
  </si>
  <si>
    <t>米田水産㈱</t>
    <rPh sb="0" eb="2">
      <t>ヨネタ</t>
    </rPh>
    <rPh sb="2" eb="4">
      <t>スイサン</t>
    </rPh>
    <phoneticPr fontId="1"/>
  </si>
  <si>
    <t>利尻漁協鬼脇</t>
    <rPh sb="0" eb="2">
      <t>リシリ</t>
    </rPh>
    <rPh sb="2" eb="4">
      <t>ギョキョウ</t>
    </rPh>
    <rPh sb="4" eb="5">
      <t>オニ</t>
    </rPh>
    <rPh sb="5" eb="6">
      <t>ワキ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</si>
</sst>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[Red]\(#,##0\)"/>
    <numFmt numFmtId="177" formatCode="#,##0;[Red]#,##0"/>
  </numFmts>
  <fonts count="16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HGS創英角ｺﾞｼｯｸUB"/>
      <family val="3"/>
      <charset val="128"/>
    </font>
    <font>
      <sz val="16"/>
      <name val="HGS創英角ｺﾞｼｯｸUB"/>
      <family val="3"/>
      <charset val="128"/>
    </font>
    <font>
      <b/>
      <sz val="14"/>
      <name val="HGSｺﾞｼｯｸE"/>
      <family val="3"/>
      <charset val="128"/>
    </font>
    <font>
      <sz val="12"/>
      <name val="HGSｺﾞｼｯｸE"/>
      <family val="3"/>
      <charset val="128"/>
    </font>
    <font>
      <sz val="11"/>
      <name val="HGSｺﾞｼｯｸE"/>
      <family val="3"/>
      <charset val="128"/>
    </font>
    <font>
      <sz val="10"/>
      <name val="HGSｺﾞｼｯｸE"/>
      <family val="3"/>
      <charset val="128"/>
    </font>
    <font>
      <sz val="14"/>
      <name val="HGSｺﾞｼｯｸE"/>
      <family val="3"/>
      <charset val="128"/>
    </font>
    <font>
      <b/>
      <sz val="18"/>
      <name val="HGSｺﾞｼｯｸE"/>
      <family val="3"/>
      <charset val="128"/>
    </font>
    <font>
      <sz val="12"/>
      <color indexed="12"/>
      <name val="HGSｺﾞｼｯｸE"/>
      <family val="3"/>
      <charset val="128"/>
    </font>
    <font>
      <sz val="14"/>
      <color indexed="12"/>
      <name val="HGSｺﾞｼｯｸE"/>
      <family val="3"/>
      <charset val="128"/>
    </font>
    <font>
      <sz val="12"/>
      <color indexed="10"/>
      <name val="HGSｺﾞｼｯｸE"/>
      <family val="3"/>
      <charset val="128"/>
    </font>
    <font>
      <sz val="14"/>
      <color indexed="10"/>
      <name val="HGSｺﾞｼｯｸE"/>
      <family val="3"/>
      <charset val="128"/>
    </font>
    <font>
      <sz val="12"/>
      <color rgb="FFFF0000"/>
      <name val="HGSｺﾞｼｯｸE"/>
      <family val="3"/>
      <charset val="128"/>
    </font>
    <font>
      <sz val="14"/>
      <color rgb="FFFF0000"/>
      <name val="HGSｺﾞｼｯｸE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177" fontId="3" fillId="0" borderId="0" xfId="0" applyNumberFormat="1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176" fontId="5" fillId="0" borderId="3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176" fontId="8" fillId="0" borderId="1" xfId="0" applyNumberFormat="1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176" fontId="8" fillId="0" borderId="2" xfId="0" applyNumberFormat="1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176" fontId="8" fillId="0" borderId="3" xfId="0" applyNumberFormat="1" applyFont="1" applyBorder="1" applyAlignment="1">
      <alignment vertical="center"/>
    </xf>
    <xf numFmtId="0" fontId="8" fillId="0" borderId="0" xfId="0" applyFont="1" applyBorder="1" applyAlignment="1">
      <alignment vertical="center"/>
    </xf>
    <xf numFmtId="176" fontId="8" fillId="0" borderId="0" xfId="0" applyNumberFormat="1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176" fontId="5" fillId="0" borderId="1" xfId="0" applyNumberFormat="1" applyFont="1" applyBorder="1" applyAlignment="1"/>
    <xf numFmtId="176" fontId="5" fillId="0" borderId="2" xfId="0" applyNumberFormat="1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12" fillId="0" borderId="1" xfId="0" applyFont="1" applyBorder="1" applyAlignment="1">
      <alignment horizontal="center" vertical="center"/>
    </xf>
    <xf numFmtId="176" fontId="13" fillId="0" borderId="1" xfId="0" applyNumberFormat="1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3" fontId="5" fillId="0" borderId="0" xfId="0" applyNumberFormat="1" applyFont="1" applyAlignment="1">
      <alignment vertical="center"/>
    </xf>
    <xf numFmtId="0" fontId="8" fillId="0" borderId="4" xfId="0" applyFont="1" applyBorder="1" applyAlignment="1">
      <alignment vertical="center"/>
    </xf>
    <xf numFmtId="176" fontId="8" fillId="0" borderId="5" xfId="0" applyNumberFormat="1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標準" xfId="0" builtinId="0"/>
  </cellStyles>
  <dxfs count="34"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yhi\OneDrive\&#12489;&#12461;&#12517;&#12513;&#12531;&#12488;\&#26085;&#22577;&#26376;&#22577;&#20182;\(&#26528;)&#9711;&#24180;&#24230;&#19968;&#24335;\&#31649;&#29702;&#26376;&#22577;\&#31649;&#29702;&#26376;&#22577;04.xlsx" TargetMode="External"/><Relationship Id="rId1" Type="http://schemas.openxmlformats.org/officeDocument/2006/relationships/externalLinkPath" Target="&#31649;&#29702;&#26376;&#22577;/&#31649;&#29702;&#26376;&#22577;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-1"/>
      <sheetName val="A-2"/>
      <sheetName val="B-1"/>
      <sheetName val="収集（全般）"/>
      <sheetName val="可燃"/>
      <sheetName val="不燃・木くず・海岸清掃"/>
      <sheetName val="ビン類"/>
      <sheetName val="缶類"/>
      <sheetName val="ペットボトル"/>
      <sheetName val="紙類"/>
      <sheetName val="粗大"/>
      <sheetName val="産廃水産・医療・汚泥"/>
    </sheetNames>
    <sheetDataSet>
      <sheetData sheetId="0">
        <row r="9">
          <cell r="E9">
            <v>2027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41CD-BD7A-406F-8CC7-BCD96781C26A}">
  <dimension ref="A1:H36"/>
  <sheetViews>
    <sheetView zoomScaleNormal="100" workbookViewId="0">
      <pane ySplit="4" topLeftCell="A5" activePane="bottomLeft" state="frozen"/>
      <selection pane="bottomLeft" activeCell="I1" sqref="I1"/>
    </sheetView>
  </sheetViews>
  <sheetFormatPr defaultRowHeight="14.25" x14ac:dyDescent="0.15"/>
  <cols>
    <col min="1" max="1" width="4.875" style="8" customWidth="1"/>
    <col min="2" max="8" width="11.5" style="8" customWidth="1"/>
    <col min="9" max="16384" width="9" style="8"/>
  </cols>
  <sheetData>
    <row r="1" spans="1:8" ht="22.5" customHeight="1" x14ac:dyDescent="0.15">
      <c r="A1" s="53" t="str">
        <f>"令和"&amp;'[1]A-1'!$E$9-2018&amp;"年度ウニガラ受入れ簿"</f>
        <v>令和9年度ウニガラ受入れ簿</v>
      </c>
      <c r="B1" s="53"/>
      <c r="C1" s="53"/>
      <c r="D1" s="53"/>
      <c r="E1" s="53"/>
      <c r="F1" s="53"/>
      <c r="G1" s="53"/>
      <c r="H1" s="53"/>
    </row>
    <row r="2" spans="1:8" s="13" customFormat="1" ht="15" customHeight="1" x14ac:dyDescent="0.15">
      <c r="A2" s="9">
        <v>6</v>
      </c>
      <c r="B2" s="10" t="s">
        <v>9</v>
      </c>
      <c r="C2" s="9"/>
      <c r="D2" s="9"/>
      <c r="E2" s="9"/>
      <c r="F2" s="11"/>
      <c r="G2" s="12" t="s">
        <v>12</v>
      </c>
    </row>
    <row r="3" spans="1:8" s="15" customFormat="1" ht="20.25" customHeight="1" x14ac:dyDescent="0.15">
      <c r="A3" s="14"/>
      <c r="B3" s="14" t="s">
        <v>5</v>
      </c>
      <c r="C3" s="52" t="s">
        <v>6</v>
      </c>
      <c r="D3" s="52"/>
      <c r="E3" s="52" t="s">
        <v>7</v>
      </c>
      <c r="F3" s="52"/>
      <c r="G3" s="14" t="s">
        <v>8</v>
      </c>
      <c r="H3" s="14" t="s">
        <v>15</v>
      </c>
    </row>
    <row r="4" spans="1:8" s="9" customFormat="1" ht="20.25" customHeight="1" x14ac:dyDescent="0.15">
      <c r="A4" s="16"/>
      <c r="B4" s="16" t="s">
        <v>11</v>
      </c>
      <c r="C4" s="16" t="s">
        <v>0</v>
      </c>
      <c r="D4" s="16" t="s">
        <v>1</v>
      </c>
      <c r="E4" s="16" t="s">
        <v>2</v>
      </c>
      <c r="F4" s="16" t="s">
        <v>3</v>
      </c>
      <c r="G4" s="16" t="s">
        <v>4</v>
      </c>
      <c r="H4" s="16" t="s">
        <v>13</v>
      </c>
    </row>
    <row r="5" spans="1:8" ht="20.25" customHeight="1" x14ac:dyDescent="0.15">
      <c r="A5" s="14">
        <v>1</v>
      </c>
      <c r="B5" s="17"/>
      <c r="C5" s="17"/>
      <c r="D5" s="17"/>
      <c r="E5" s="17"/>
      <c r="F5" s="17"/>
      <c r="G5" s="17"/>
      <c r="H5" s="17" t="str">
        <f>IF(SUM(B5:G5)=0,"",SUM(B5:G5))</f>
        <v/>
      </c>
    </row>
    <row r="6" spans="1:8" ht="20.25" customHeight="1" x14ac:dyDescent="0.15">
      <c r="A6" s="14">
        <v>2</v>
      </c>
      <c r="B6" s="17"/>
      <c r="C6" s="17"/>
      <c r="D6" s="17"/>
      <c r="E6" s="17"/>
      <c r="F6" s="17"/>
      <c r="G6" s="17"/>
      <c r="H6" s="17" t="str">
        <f t="shared" ref="H6:H36" si="0">IF(SUM(B6:G6)=0,"",SUM(B6:G6))</f>
        <v/>
      </c>
    </row>
    <row r="7" spans="1:8" ht="20.25" customHeight="1" x14ac:dyDescent="0.15">
      <c r="A7" s="14">
        <v>3</v>
      </c>
      <c r="B7" s="17"/>
      <c r="C7" s="17"/>
      <c r="D7" s="17"/>
      <c r="E7" s="17"/>
      <c r="F7" s="17"/>
      <c r="G7" s="17"/>
      <c r="H7" s="17" t="str">
        <f t="shared" si="0"/>
        <v/>
      </c>
    </row>
    <row r="8" spans="1:8" ht="20.25" customHeight="1" x14ac:dyDescent="0.15">
      <c r="A8" s="35">
        <v>4</v>
      </c>
      <c r="B8" s="17"/>
      <c r="C8" s="17"/>
      <c r="D8" s="17"/>
      <c r="E8" s="17"/>
      <c r="F8" s="17"/>
      <c r="G8" s="17"/>
      <c r="H8" s="17" t="str">
        <f t="shared" si="0"/>
        <v/>
      </c>
    </row>
    <row r="9" spans="1:8" ht="20.25" customHeight="1" x14ac:dyDescent="0.15">
      <c r="A9" s="40">
        <v>5</v>
      </c>
      <c r="B9" s="17"/>
      <c r="C9" s="17"/>
      <c r="D9" s="17"/>
      <c r="E9" s="17"/>
      <c r="F9" s="17"/>
      <c r="G9" s="17"/>
      <c r="H9" s="17" t="str">
        <f t="shared" si="0"/>
        <v/>
      </c>
    </row>
    <row r="10" spans="1:8" ht="20.25" customHeight="1" x14ac:dyDescent="0.15">
      <c r="A10" s="14">
        <v>6</v>
      </c>
      <c r="B10" s="17"/>
      <c r="C10" s="17"/>
      <c r="D10" s="17"/>
      <c r="E10" s="17"/>
      <c r="F10" s="17"/>
      <c r="G10" s="17"/>
      <c r="H10" s="17" t="str">
        <f t="shared" si="0"/>
        <v/>
      </c>
    </row>
    <row r="11" spans="1:8" ht="20.25" customHeight="1" x14ac:dyDescent="0.15">
      <c r="A11" s="14">
        <v>7</v>
      </c>
      <c r="B11" s="17"/>
      <c r="C11" s="17"/>
      <c r="D11" s="17"/>
      <c r="E11" s="17"/>
      <c r="F11" s="17"/>
      <c r="G11" s="17"/>
      <c r="H11" s="17" t="str">
        <f t="shared" si="0"/>
        <v/>
      </c>
    </row>
    <row r="12" spans="1:8" ht="20.25" customHeight="1" x14ac:dyDescent="0.15">
      <c r="A12" s="14">
        <v>8</v>
      </c>
      <c r="B12" s="17"/>
      <c r="C12" s="17"/>
      <c r="D12" s="17"/>
      <c r="E12" s="17"/>
      <c r="F12" s="17"/>
      <c r="G12" s="17"/>
      <c r="H12" s="17" t="str">
        <f t="shared" si="0"/>
        <v/>
      </c>
    </row>
    <row r="13" spans="1:8" ht="20.25" customHeight="1" x14ac:dyDescent="0.15">
      <c r="A13" s="14">
        <v>9</v>
      </c>
      <c r="B13" s="17"/>
      <c r="C13" s="17"/>
      <c r="D13" s="17"/>
      <c r="E13" s="17"/>
      <c r="F13" s="17"/>
      <c r="G13" s="17"/>
      <c r="H13" s="17" t="str">
        <f t="shared" si="0"/>
        <v/>
      </c>
    </row>
    <row r="14" spans="1:8" ht="20.25" customHeight="1" x14ac:dyDescent="0.15">
      <c r="A14" s="14">
        <v>10</v>
      </c>
      <c r="B14" s="17"/>
      <c r="C14" s="17"/>
      <c r="D14" s="17"/>
      <c r="E14" s="17"/>
      <c r="F14" s="17"/>
      <c r="G14" s="17"/>
      <c r="H14" s="17" t="str">
        <f t="shared" si="0"/>
        <v/>
      </c>
    </row>
    <row r="15" spans="1:8" ht="20.25" customHeight="1" x14ac:dyDescent="0.15">
      <c r="A15" s="35">
        <v>11</v>
      </c>
      <c r="B15" s="17"/>
      <c r="C15" s="17"/>
      <c r="D15" s="17"/>
      <c r="E15" s="17"/>
      <c r="F15" s="17"/>
      <c r="G15" s="17"/>
      <c r="H15" s="17" t="str">
        <f t="shared" si="0"/>
        <v/>
      </c>
    </row>
    <row r="16" spans="1:8" ht="20.25" customHeight="1" x14ac:dyDescent="0.15">
      <c r="A16" s="40">
        <v>12</v>
      </c>
      <c r="B16" s="17"/>
      <c r="C16" s="17"/>
      <c r="D16" s="17"/>
      <c r="E16" s="17"/>
      <c r="F16" s="17"/>
      <c r="G16" s="17"/>
      <c r="H16" s="17" t="str">
        <f t="shared" si="0"/>
        <v/>
      </c>
    </row>
    <row r="17" spans="1:8" ht="20.25" customHeight="1" x14ac:dyDescent="0.15">
      <c r="A17" s="14">
        <v>13</v>
      </c>
      <c r="B17" s="17"/>
      <c r="C17" s="17"/>
      <c r="D17" s="17"/>
      <c r="E17" s="17"/>
      <c r="F17" s="17"/>
      <c r="G17" s="17"/>
      <c r="H17" s="17" t="str">
        <f t="shared" si="0"/>
        <v/>
      </c>
    </row>
    <row r="18" spans="1:8" ht="20.25" customHeight="1" x14ac:dyDescent="0.15">
      <c r="A18" s="14">
        <v>14</v>
      </c>
      <c r="B18" s="17"/>
      <c r="C18" s="17"/>
      <c r="D18" s="17"/>
      <c r="E18" s="17"/>
      <c r="F18" s="17"/>
      <c r="G18" s="17"/>
      <c r="H18" s="17" t="str">
        <f t="shared" si="0"/>
        <v/>
      </c>
    </row>
    <row r="19" spans="1:8" ht="20.25" customHeight="1" x14ac:dyDescent="0.15">
      <c r="A19" s="14">
        <v>15</v>
      </c>
      <c r="B19" s="17"/>
      <c r="C19" s="17"/>
      <c r="D19" s="17"/>
      <c r="E19" s="17"/>
      <c r="F19" s="17"/>
      <c r="G19" s="17"/>
      <c r="H19" s="17" t="str">
        <f t="shared" si="0"/>
        <v/>
      </c>
    </row>
    <row r="20" spans="1:8" ht="20.25" customHeight="1" x14ac:dyDescent="0.15">
      <c r="A20" s="14">
        <v>16</v>
      </c>
      <c r="B20" s="17"/>
      <c r="C20" s="17"/>
      <c r="D20" s="17"/>
      <c r="E20" s="33"/>
      <c r="F20" s="17"/>
      <c r="G20" s="17"/>
      <c r="H20" s="17" t="str">
        <f t="shared" si="0"/>
        <v/>
      </c>
    </row>
    <row r="21" spans="1:8" ht="20.25" customHeight="1" x14ac:dyDescent="0.15">
      <c r="A21" s="35">
        <v>17</v>
      </c>
      <c r="B21" s="17"/>
      <c r="C21" s="17"/>
      <c r="D21" s="17"/>
      <c r="E21" s="17"/>
      <c r="F21" s="17"/>
      <c r="G21" s="17"/>
      <c r="H21" s="17" t="str">
        <f t="shared" si="0"/>
        <v/>
      </c>
    </row>
    <row r="22" spans="1:8" ht="20.25" customHeight="1" x14ac:dyDescent="0.15">
      <c r="A22" s="47">
        <v>18</v>
      </c>
      <c r="B22" s="17"/>
      <c r="C22" s="17"/>
      <c r="D22" s="17"/>
      <c r="E22" s="17"/>
      <c r="F22" s="17"/>
      <c r="G22" s="17"/>
      <c r="H22" s="17" t="str">
        <f t="shared" si="0"/>
        <v/>
      </c>
    </row>
    <row r="23" spans="1:8" ht="20.25" customHeight="1" x14ac:dyDescent="0.15">
      <c r="A23" s="14">
        <v>19</v>
      </c>
      <c r="B23" s="17"/>
      <c r="C23" s="17"/>
      <c r="D23" s="17"/>
      <c r="E23" s="17"/>
      <c r="F23" s="17"/>
      <c r="G23" s="17"/>
      <c r="H23" s="17" t="str">
        <f t="shared" si="0"/>
        <v/>
      </c>
    </row>
    <row r="24" spans="1:8" ht="20.25" customHeight="1" x14ac:dyDescent="0.15">
      <c r="A24" s="14">
        <v>20</v>
      </c>
      <c r="B24" s="17"/>
      <c r="C24" s="17"/>
      <c r="D24" s="17"/>
      <c r="E24" s="17"/>
      <c r="F24" s="17"/>
      <c r="G24" s="17"/>
      <c r="H24" s="17" t="str">
        <f t="shared" si="0"/>
        <v/>
      </c>
    </row>
    <row r="25" spans="1:8" ht="20.25" customHeight="1" x14ac:dyDescent="0.15">
      <c r="A25" s="14">
        <v>21</v>
      </c>
      <c r="B25" s="17"/>
      <c r="C25" s="17"/>
      <c r="D25" s="17"/>
      <c r="E25" s="17"/>
      <c r="F25" s="17"/>
      <c r="G25" s="17"/>
      <c r="H25" s="17" t="str">
        <f t="shared" si="0"/>
        <v/>
      </c>
    </row>
    <row r="26" spans="1:8" ht="20.25" customHeight="1" x14ac:dyDescent="0.15">
      <c r="A26" s="14">
        <v>22</v>
      </c>
      <c r="B26" s="17"/>
      <c r="C26" s="17"/>
      <c r="D26" s="17"/>
      <c r="E26" s="17"/>
      <c r="F26" s="17"/>
      <c r="G26" s="17"/>
      <c r="H26" s="17" t="str">
        <f t="shared" si="0"/>
        <v/>
      </c>
    </row>
    <row r="27" spans="1:8" ht="20.25" customHeight="1" x14ac:dyDescent="0.15">
      <c r="A27" s="14">
        <v>23</v>
      </c>
      <c r="B27" s="17"/>
      <c r="C27" s="17"/>
      <c r="D27" s="17"/>
      <c r="E27" s="17"/>
      <c r="F27" s="17"/>
      <c r="G27" s="17"/>
      <c r="H27" s="17" t="str">
        <f t="shared" si="0"/>
        <v/>
      </c>
    </row>
    <row r="28" spans="1:8" ht="20.25" customHeight="1" x14ac:dyDescent="0.15">
      <c r="A28" s="35">
        <v>24</v>
      </c>
      <c r="B28" s="17"/>
      <c r="C28" s="17"/>
      <c r="D28" s="17"/>
      <c r="E28" s="17"/>
      <c r="F28" s="17"/>
      <c r="G28" s="17"/>
      <c r="H28" s="17" t="str">
        <f t="shared" si="0"/>
        <v/>
      </c>
    </row>
    <row r="29" spans="1:8" ht="20.25" customHeight="1" x14ac:dyDescent="0.15">
      <c r="A29" s="47">
        <v>25</v>
      </c>
      <c r="B29" s="17"/>
      <c r="C29" s="17"/>
      <c r="D29" s="17"/>
      <c r="E29" s="17"/>
      <c r="F29" s="17"/>
      <c r="G29" s="17"/>
      <c r="H29" s="17" t="str">
        <f t="shared" si="0"/>
        <v/>
      </c>
    </row>
    <row r="30" spans="1:8" ht="20.25" customHeight="1" x14ac:dyDescent="0.15">
      <c r="A30" s="14">
        <v>26</v>
      </c>
      <c r="B30" s="17"/>
      <c r="C30" s="17"/>
      <c r="D30" s="17"/>
      <c r="E30" s="17"/>
      <c r="F30" s="17"/>
      <c r="G30" s="17"/>
      <c r="H30" s="17" t="str">
        <f t="shared" si="0"/>
        <v/>
      </c>
    </row>
    <row r="31" spans="1:8" ht="20.25" customHeight="1" x14ac:dyDescent="0.15">
      <c r="A31" s="14">
        <v>27</v>
      </c>
      <c r="B31" s="17"/>
      <c r="C31" s="17"/>
      <c r="D31" s="17"/>
      <c r="E31" s="17"/>
      <c r="F31" s="17"/>
      <c r="G31" s="17"/>
      <c r="H31" s="17" t="str">
        <f t="shared" si="0"/>
        <v/>
      </c>
    </row>
    <row r="32" spans="1:8" ht="20.25" customHeight="1" x14ac:dyDescent="0.15">
      <c r="A32" s="14">
        <v>28</v>
      </c>
      <c r="B32" s="17"/>
      <c r="C32" s="17"/>
      <c r="D32" s="17"/>
      <c r="E32" s="17"/>
      <c r="F32" s="17"/>
      <c r="G32" s="17"/>
      <c r="H32" s="17" t="str">
        <f t="shared" si="0"/>
        <v/>
      </c>
    </row>
    <row r="33" spans="1:8" ht="20.25" customHeight="1" x14ac:dyDescent="0.15">
      <c r="A33" s="14">
        <v>29</v>
      </c>
      <c r="B33" s="17"/>
      <c r="C33" s="17"/>
      <c r="D33" s="17"/>
      <c r="E33" s="17"/>
      <c r="F33" s="17"/>
      <c r="G33" s="17"/>
      <c r="H33" s="17" t="str">
        <f t="shared" si="0"/>
        <v/>
      </c>
    </row>
    <row r="34" spans="1:8" ht="20.25" customHeight="1" x14ac:dyDescent="0.15">
      <c r="A34" s="14">
        <v>30</v>
      </c>
      <c r="B34" s="17"/>
      <c r="C34" s="17"/>
      <c r="D34" s="17"/>
      <c r="E34" s="17"/>
      <c r="F34" s="17"/>
      <c r="G34" s="17"/>
      <c r="H34" s="17" t="str">
        <f t="shared" si="0"/>
        <v/>
      </c>
    </row>
    <row r="35" spans="1:8" ht="20.25" customHeight="1" x14ac:dyDescent="0.15">
      <c r="A35" s="14"/>
      <c r="B35" s="17"/>
      <c r="C35" s="17"/>
      <c r="D35" s="17"/>
      <c r="E35" s="17"/>
      <c r="F35" s="17"/>
      <c r="G35" s="17"/>
      <c r="H35" s="17" t="str">
        <f t="shared" si="0"/>
        <v/>
      </c>
    </row>
    <row r="36" spans="1:8" ht="20.25" customHeight="1" x14ac:dyDescent="0.15">
      <c r="A36" s="14" t="s">
        <v>10</v>
      </c>
      <c r="B36" s="17" t="str">
        <f t="shared" ref="B36:G36" si="1">IF(SUM(B5:B35)=0,"",SUM(B5:B35))</f>
        <v/>
      </c>
      <c r="C36" s="17" t="str">
        <f t="shared" si="1"/>
        <v/>
      </c>
      <c r="D36" s="17" t="str">
        <f t="shared" si="1"/>
        <v/>
      </c>
      <c r="E36" s="17" t="str">
        <f t="shared" si="1"/>
        <v/>
      </c>
      <c r="F36" s="17" t="str">
        <f t="shared" si="1"/>
        <v/>
      </c>
      <c r="G36" s="17" t="str">
        <f t="shared" si="1"/>
        <v/>
      </c>
      <c r="H36" s="17" t="str">
        <f t="shared" si="0"/>
        <v/>
      </c>
    </row>
  </sheetData>
  <mergeCells count="3">
    <mergeCell ref="C3:D3"/>
    <mergeCell ref="E3:F3"/>
    <mergeCell ref="A1:H1"/>
  </mergeCells>
  <phoneticPr fontId="1"/>
  <conditionalFormatting sqref="A5:A6">
    <cfRule type="expression" dxfId="33" priority="1" stopIfTrue="1">
      <formula>WEEKDAY(DATE(2011,$A$2,A5))=7</formula>
    </cfRule>
    <cfRule type="expression" dxfId="32" priority="2" stopIfTrue="1">
      <formula>WEEKDAY(DATE(2011,$A$2,A5))=1</formula>
    </cfRule>
  </conditionalFormatting>
  <conditionalFormatting sqref="A7:A11 A14:A18 A21:A25 A28:A32">
    <cfRule type="expression" dxfId="31" priority="15" stopIfTrue="1">
      <formula>WEEKDAY(DATE(2013,$A$2,A7))=7</formula>
    </cfRule>
    <cfRule type="expression" dxfId="30" priority="16" stopIfTrue="1">
      <formula>WEEKDAY(DATE(2013,$A$2,A7))=1</formula>
    </cfRule>
  </conditionalFormatting>
  <conditionalFormatting sqref="A12:A13 A19:A20">
    <cfRule type="expression" dxfId="29" priority="3" stopIfTrue="1">
      <formula>WEEKDAY(DATE(2011,$A$2,A12))=7</formula>
    </cfRule>
    <cfRule type="expression" dxfId="28" priority="4" stopIfTrue="1">
      <formula>WEEKDAY(DATE(2011,$A$2,A12))=1</formula>
    </cfRule>
  </conditionalFormatting>
  <conditionalFormatting sqref="A26:A27 A33:A35">
    <cfRule type="expression" dxfId="27" priority="5" stopIfTrue="1">
      <formula>WEEKDAY(DATE(2011,$A$2,A26))=7</formula>
    </cfRule>
    <cfRule type="expression" dxfId="26" priority="6" stopIfTrue="1">
      <formula>WEEKDAY(DATE(2011,$A$2,A26))=1</formula>
    </cfRule>
  </conditionalFormatting>
  <printOptions horizontalCentered="1" verticalCentered="1"/>
  <pageMargins left="0.78740157480314965" right="0.78740157480314965" top="0.78740157480314965" bottom="0.78740157480314965" header="0" footer="0"/>
  <pageSetup paperSize="9" orientation="portrait" horizontalDpi="4294967293" verticalDpi="0" r:id="rId1"/>
  <headerFooter alignWithMargins="0"/>
  <ignoredErrors>
    <ignoredError sqref="H5:H3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827BB-1929-4DF3-86D2-E36C2787167C}">
  <dimension ref="A1:H36"/>
  <sheetViews>
    <sheetView workbookViewId="0">
      <pane ySplit="4" topLeftCell="A18" activePane="bottomLeft" state="frozen"/>
      <selection pane="bottomLeft" activeCell="B5" sqref="B5:G35"/>
    </sheetView>
  </sheetViews>
  <sheetFormatPr defaultRowHeight="14.25" x14ac:dyDescent="0.15"/>
  <cols>
    <col min="1" max="1" width="4.875" style="8" customWidth="1"/>
    <col min="2" max="7" width="11.5" style="8" customWidth="1"/>
    <col min="8" max="8" width="11.375" style="8" customWidth="1"/>
    <col min="9" max="16384" width="9" style="8"/>
  </cols>
  <sheetData>
    <row r="1" spans="1:8" ht="22.5" customHeight="1" x14ac:dyDescent="0.15">
      <c r="A1" s="53" t="str">
        <f>'06'!A1:H1</f>
        <v>令和9年度ウニガラ受入れ簿</v>
      </c>
      <c r="B1" s="53"/>
      <c r="C1" s="53"/>
      <c r="D1" s="53"/>
      <c r="E1" s="53"/>
      <c r="F1" s="53"/>
      <c r="G1" s="53"/>
      <c r="H1" s="53"/>
    </row>
    <row r="2" spans="1:8" s="13" customFormat="1" ht="15" customHeight="1" x14ac:dyDescent="0.15">
      <c r="A2" s="9">
        <v>7</v>
      </c>
      <c r="B2" s="10" t="s">
        <v>9</v>
      </c>
      <c r="C2" s="9"/>
      <c r="D2" s="9"/>
      <c r="E2" s="9"/>
      <c r="F2" s="11"/>
      <c r="G2" s="12" t="s">
        <v>12</v>
      </c>
    </row>
    <row r="3" spans="1:8" s="15" customFormat="1" ht="20.25" customHeight="1" x14ac:dyDescent="0.15">
      <c r="A3" s="14"/>
      <c r="B3" s="14" t="s">
        <v>5</v>
      </c>
      <c r="C3" s="52" t="s">
        <v>6</v>
      </c>
      <c r="D3" s="52"/>
      <c r="E3" s="52" t="s">
        <v>7</v>
      </c>
      <c r="F3" s="52"/>
      <c r="G3" s="14" t="s">
        <v>8</v>
      </c>
      <c r="H3" s="14" t="s">
        <v>15</v>
      </c>
    </row>
    <row r="4" spans="1:8" s="9" customFormat="1" ht="20.25" customHeight="1" x14ac:dyDescent="0.15">
      <c r="A4" s="16"/>
      <c r="B4" s="16" t="s">
        <v>11</v>
      </c>
      <c r="C4" s="16" t="s">
        <v>0</v>
      </c>
      <c r="D4" s="16" t="s">
        <v>1</v>
      </c>
      <c r="E4" s="16" t="s">
        <v>2</v>
      </c>
      <c r="F4" s="16" t="s">
        <v>3</v>
      </c>
      <c r="G4" s="16" t="s">
        <v>4</v>
      </c>
      <c r="H4" s="16" t="s">
        <v>13</v>
      </c>
    </row>
    <row r="5" spans="1:8" ht="20.25" customHeight="1" x14ac:dyDescent="0.15">
      <c r="A5" s="35">
        <v>1</v>
      </c>
      <c r="B5" s="17"/>
      <c r="C5" s="17"/>
      <c r="D5" s="17"/>
      <c r="E5" s="17"/>
      <c r="F5" s="17"/>
      <c r="G5" s="17"/>
      <c r="H5" s="17" t="str">
        <f>IF(SUM(B5:G5)=0,"",SUM(B5:G5))</f>
        <v/>
      </c>
    </row>
    <row r="6" spans="1:8" ht="20.25" customHeight="1" x14ac:dyDescent="0.15">
      <c r="A6" s="47">
        <v>2</v>
      </c>
      <c r="B6" s="17"/>
      <c r="C6" s="17"/>
      <c r="D6" s="17"/>
      <c r="E6" s="17"/>
      <c r="F6" s="17"/>
      <c r="G6" s="17"/>
      <c r="H6" s="17" t="str">
        <f t="shared" ref="H6:H36" si="0">IF(SUM(B6:G6)=0,"",SUM(B6:G6))</f>
        <v/>
      </c>
    </row>
    <row r="7" spans="1:8" ht="20.25" customHeight="1" x14ac:dyDescent="0.15">
      <c r="A7" s="14">
        <v>3</v>
      </c>
      <c r="B7" s="17"/>
      <c r="C7" s="17"/>
      <c r="D7" s="17"/>
      <c r="E7" s="17"/>
      <c r="F7" s="17"/>
      <c r="G7" s="17"/>
      <c r="H7" s="17" t="str">
        <f t="shared" si="0"/>
        <v/>
      </c>
    </row>
    <row r="8" spans="1:8" ht="20.25" customHeight="1" x14ac:dyDescent="0.15">
      <c r="A8" s="14">
        <v>4</v>
      </c>
      <c r="B8" s="17"/>
      <c r="C8" s="17"/>
      <c r="D8" s="17"/>
      <c r="E8" s="17"/>
      <c r="F8" s="17"/>
      <c r="G8" s="17"/>
      <c r="H8" s="17" t="str">
        <f t="shared" si="0"/>
        <v/>
      </c>
    </row>
    <row r="9" spans="1:8" ht="20.25" customHeight="1" x14ac:dyDescent="0.15">
      <c r="A9" s="14">
        <v>5</v>
      </c>
      <c r="B9" s="17"/>
      <c r="C9" s="17"/>
      <c r="D9" s="17"/>
      <c r="E9" s="17"/>
      <c r="F9" s="17"/>
      <c r="G9" s="17"/>
      <c r="H9" s="17" t="str">
        <f t="shared" si="0"/>
        <v/>
      </c>
    </row>
    <row r="10" spans="1:8" ht="20.25" customHeight="1" x14ac:dyDescent="0.15">
      <c r="A10" s="14">
        <v>6</v>
      </c>
      <c r="B10" s="17"/>
      <c r="C10" s="17"/>
      <c r="D10" s="17"/>
      <c r="E10" s="17"/>
      <c r="F10" s="17"/>
      <c r="G10" s="17"/>
      <c r="H10" s="17" t="str">
        <f t="shared" si="0"/>
        <v/>
      </c>
    </row>
    <row r="11" spans="1:8" ht="20.25" customHeight="1" x14ac:dyDescent="0.15">
      <c r="A11" s="14">
        <v>7</v>
      </c>
      <c r="B11" s="17"/>
      <c r="C11" s="17"/>
      <c r="D11" s="17"/>
      <c r="E11" s="17"/>
      <c r="F11" s="17"/>
      <c r="G11" s="17"/>
      <c r="H11" s="17" t="str">
        <f t="shared" si="0"/>
        <v/>
      </c>
    </row>
    <row r="12" spans="1:8" ht="20.25" customHeight="1" x14ac:dyDescent="0.15">
      <c r="A12" s="35">
        <v>8</v>
      </c>
      <c r="B12" s="17"/>
      <c r="C12" s="17"/>
      <c r="D12" s="17"/>
      <c r="E12" s="17"/>
      <c r="F12" s="17"/>
      <c r="G12" s="17"/>
      <c r="H12" s="17" t="str">
        <f t="shared" si="0"/>
        <v/>
      </c>
    </row>
    <row r="13" spans="1:8" ht="20.25" customHeight="1" x14ac:dyDescent="0.15">
      <c r="A13" s="47">
        <v>9</v>
      </c>
      <c r="B13" s="17"/>
      <c r="C13" s="17"/>
      <c r="D13" s="17"/>
      <c r="E13" s="17"/>
      <c r="F13" s="17"/>
      <c r="G13" s="17"/>
      <c r="H13" s="17" t="str">
        <f t="shared" si="0"/>
        <v/>
      </c>
    </row>
    <row r="14" spans="1:8" ht="20.25" customHeight="1" x14ac:dyDescent="0.15">
      <c r="A14" s="14">
        <v>10</v>
      </c>
      <c r="B14" s="17"/>
      <c r="C14" s="17"/>
      <c r="D14" s="17"/>
      <c r="E14" s="17"/>
      <c r="F14" s="17"/>
      <c r="G14" s="17"/>
      <c r="H14" s="17" t="str">
        <f t="shared" si="0"/>
        <v/>
      </c>
    </row>
    <row r="15" spans="1:8" ht="20.25" customHeight="1" x14ac:dyDescent="0.15">
      <c r="A15" s="14">
        <v>11</v>
      </c>
      <c r="B15" s="17"/>
      <c r="C15" s="17"/>
      <c r="D15" s="17"/>
      <c r="E15" s="17"/>
      <c r="F15" s="17"/>
      <c r="G15" s="17"/>
      <c r="H15" s="17" t="str">
        <f t="shared" si="0"/>
        <v/>
      </c>
    </row>
    <row r="16" spans="1:8" ht="20.25" customHeight="1" x14ac:dyDescent="0.15">
      <c r="A16" s="14">
        <v>12</v>
      </c>
      <c r="B16" s="17"/>
      <c r="C16" s="17"/>
      <c r="D16" s="17"/>
      <c r="E16" s="17"/>
      <c r="F16" s="17"/>
      <c r="G16" s="17"/>
      <c r="H16" s="17" t="str">
        <f t="shared" si="0"/>
        <v/>
      </c>
    </row>
    <row r="17" spans="1:8" ht="20.25" customHeight="1" x14ac:dyDescent="0.15">
      <c r="A17" s="14">
        <v>13</v>
      </c>
      <c r="B17" s="17"/>
      <c r="C17" s="17"/>
      <c r="D17" s="17"/>
      <c r="E17" s="17"/>
      <c r="F17" s="17"/>
      <c r="G17" s="17"/>
      <c r="H17" s="17" t="str">
        <f t="shared" si="0"/>
        <v/>
      </c>
    </row>
    <row r="18" spans="1:8" ht="20.25" customHeight="1" x14ac:dyDescent="0.15">
      <c r="A18" s="14">
        <v>14</v>
      </c>
      <c r="B18" s="17"/>
      <c r="C18" s="17"/>
      <c r="D18" s="17"/>
      <c r="E18" s="17"/>
      <c r="F18" s="17"/>
      <c r="G18" s="17"/>
      <c r="H18" s="17" t="str">
        <f t="shared" si="0"/>
        <v/>
      </c>
    </row>
    <row r="19" spans="1:8" ht="20.25" customHeight="1" x14ac:dyDescent="0.15">
      <c r="A19" s="35">
        <v>15</v>
      </c>
      <c r="B19" s="17"/>
      <c r="C19" s="17"/>
      <c r="D19" s="17"/>
      <c r="E19" s="17"/>
      <c r="F19" s="17"/>
      <c r="G19" s="17"/>
      <c r="H19" s="17" t="str">
        <f t="shared" si="0"/>
        <v/>
      </c>
    </row>
    <row r="20" spans="1:8" ht="20.25" customHeight="1" x14ac:dyDescent="0.15">
      <c r="A20" s="47">
        <v>16</v>
      </c>
      <c r="B20" s="17"/>
      <c r="C20" s="17"/>
      <c r="D20" s="17"/>
      <c r="E20" s="17"/>
      <c r="F20" s="17"/>
      <c r="G20" s="17"/>
      <c r="H20" s="17" t="str">
        <f t="shared" si="0"/>
        <v/>
      </c>
    </row>
    <row r="21" spans="1:8" ht="20.25" customHeight="1" x14ac:dyDescent="0.15">
      <c r="A21" s="40">
        <v>17</v>
      </c>
      <c r="B21" s="17"/>
      <c r="C21" s="17"/>
      <c r="D21" s="17"/>
      <c r="E21" s="17"/>
      <c r="F21" s="17"/>
      <c r="G21" s="17"/>
      <c r="H21" s="17" t="str">
        <f t="shared" si="0"/>
        <v/>
      </c>
    </row>
    <row r="22" spans="1:8" ht="20.25" customHeight="1" x14ac:dyDescent="0.15">
      <c r="A22" s="14">
        <v>18</v>
      </c>
      <c r="B22" s="17"/>
      <c r="C22" s="17"/>
      <c r="D22" s="17"/>
      <c r="E22" s="17"/>
      <c r="F22" s="17"/>
      <c r="G22" s="17"/>
      <c r="H22" s="17" t="str">
        <f t="shared" si="0"/>
        <v/>
      </c>
    </row>
    <row r="23" spans="1:8" ht="20.25" customHeight="1" x14ac:dyDescent="0.15">
      <c r="A23" s="14">
        <v>19</v>
      </c>
      <c r="B23" s="17"/>
      <c r="C23" s="17"/>
      <c r="D23" s="17"/>
      <c r="E23" s="17"/>
      <c r="F23" s="17"/>
      <c r="G23" s="17"/>
      <c r="H23" s="17" t="str">
        <f t="shared" si="0"/>
        <v/>
      </c>
    </row>
    <row r="24" spans="1:8" ht="20.25" customHeight="1" x14ac:dyDescent="0.15">
      <c r="A24" s="14">
        <v>20</v>
      </c>
      <c r="B24" s="17"/>
      <c r="C24" s="17"/>
      <c r="D24" s="17"/>
      <c r="E24" s="17"/>
      <c r="F24" s="17"/>
      <c r="G24" s="17"/>
      <c r="H24" s="17" t="str">
        <f t="shared" si="0"/>
        <v/>
      </c>
    </row>
    <row r="25" spans="1:8" ht="20.25" customHeight="1" x14ac:dyDescent="0.15">
      <c r="A25" s="14">
        <v>21</v>
      </c>
      <c r="B25" s="17"/>
      <c r="C25" s="17"/>
      <c r="D25" s="17"/>
      <c r="E25" s="17"/>
      <c r="F25" s="17"/>
      <c r="G25" s="17"/>
      <c r="H25" s="17" t="str">
        <f t="shared" si="0"/>
        <v/>
      </c>
    </row>
    <row r="26" spans="1:8" ht="20.25" customHeight="1" x14ac:dyDescent="0.15">
      <c r="A26" s="35">
        <v>22</v>
      </c>
      <c r="B26" s="17"/>
      <c r="C26" s="17"/>
      <c r="D26" s="17"/>
      <c r="E26" s="17"/>
      <c r="F26" s="17"/>
      <c r="G26" s="17"/>
      <c r="H26" s="17" t="str">
        <f t="shared" si="0"/>
        <v/>
      </c>
    </row>
    <row r="27" spans="1:8" ht="20.25" customHeight="1" x14ac:dyDescent="0.15">
      <c r="A27" s="47">
        <v>23</v>
      </c>
      <c r="B27" s="17"/>
      <c r="C27" s="17"/>
      <c r="D27" s="17"/>
      <c r="E27" s="17"/>
      <c r="F27" s="17"/>
      <c r="G27" s="17"/>
      <c r="H27" s="17" t="str">
        <f t="shared" si="0"/>
        <v/>
      </c>
    </row>
    <row r="28" spans="1:8" ht="20.25" customHeight="1" x14ac:dyDescent="0.15">
      <c r="A28" s="14">
        <v>24</v>
      </c>
      <c r="B28" s="17"/>
      <c r="C28" s="17"/>
      <c r="D28" s="17"/>
      <c r="E28" s="17"/>
      <c r="F28" s="17"/>
      <c r="G28" s="17"/>
      <c r="H28" s="17" t="str">
        <f t="shared" si="0"/>
        <v/>
      </c>
    </row>
    <row r="29" spans="1:8" ht="20.25" customHeight="1" x14ac:dyDescent="0.15">
      <c r="A29" s="14">
        <v>25</v>
      </c>
      <c r="B29" s="17"/>
      <c r="C29" s="17"/>
      <c r="D29" s="17"/>
      <c r="E29" s="17"/>
      <c r="F29" s="17"/>
      <c r="G29" s="17"/>
      <c r="H29" s="17" t="str">
        <f t="shared" si="0"/>
        <v/>
      </c>
    </row>
    <row r="30" spans="1:8" ht="20.25" customHeight="1" x14ac:dyDescent="0.15">
      <c r="A30" s="14">
        <v>26</v>
      </c>
      <c r="B30" s="17"/>
      <c r="C30" s="17"/>
      <c r="D30" s="17"/>
      <c r="E30" s="17"/>
      <c r="F30" s="17"/>
      <c r="G30" s="17"/>
      <c r="H30" s="17" t="str">
        <f t="shared" si="0"/>
        <v/>
      </c>
    </row>
    <row r="31" spans="1:8" ht="20.25" customHeight="1" x14ac:dyDescent="0.15">
      <c r="A31" s="14">
        <v>27</v>
      </c>
      <c r="B31" s="17"/>
      <c r="C31" s="17"/>
      <c r="D31" s="17"/>
      <c r="E31" s="17"/>
      <c r="F31" s="17"/>
      <c r="G31" s="17"/>
      <c r="H31" s="17" t="str">
        <f t="shared" si="0"/>
        <v/>
      </c>
    </row>
    <row r="32" spans="1:8" ht="20.25" customHeight="1" x14ac:dyDescent="0.15">
      <c r="A32" s="14">
        <v>28</v>
      </c>
      <c r="B32" s="17"/>
      <c r="C32" s="17"/>
      <c r="D32" s="17"/>
      <c r="E32" s="17"/>
      <c r="F32" s="17"/>
      <c r="G32" s="17"/>
      <c r="H32" s="17" t="str">
        <f t="shared" si="0"/>
        <v/>
      </c>
    </row>
    <row r="33" spans="1:8" ht="20.25" customHeight="1" x14ac:dyDescent="0.15">
      <c r="A33" s="35">
        <v>29</v>
      </c>
      <c r="B33" s="17"/>
      <c r="C33" s="17"/>
      <c r="D33" s="17"/>
      <c r="E33" s="17"/>
      <c r="F33" s="17"/>
      <c r="G33" s="17"/>
      <c r="H33" s="17" t="str">
        <f t="shared" si="0"/>
        <v/>
      </c>
    </row>
    <row r="34" spans="1:8" ht="20.25" customHeight="1" x14ac:dyDescent="0.15">
      <c r="A34" s="47">
        <v>30</v>
      </c>
      <c r="B34" s="17"/>
      <c r="C34" s="17"/>
      <c r="D34" s="17"/>
      <c r="E34" s="17"/>
      <c r="F34" s="17"/>
      <c r="G34" s="17"/>
      <c r="H34" s="17" t="str">
        <f t="shared" si="0"/>
        <v/>
      </c>
    </row>
    <row r="35" spans="1:8" ht="20.25" customHeight="1" x14ac:dyDescent="0.15">
      <c r="A35" s="14">
        <v>31</v>
      </c>
      <c r="B35" s="17"/>
      <c r="C35" s="17"/>
      <c r="D35" s="17"/>
      <c r="E35" s="17"/>
      <c r="F35" s="17"/>
      <c r="G35" s="17"/>
      <c r="H35" s="17" t="str">
        <f t="shared" si="0"/>
        <v/>
      </c>
    </row>
    <row r="36" spans="1:8" ht="20.25" customHeight="1" x14ac:dyDescent="0.15">
      <c r="A36" s="14" t="s">
        <v>10</v>
      </c>
      <c r="B36" s="17" t="str">
        <f t="shared" ref="B36:G36" si="1">IF(SUM(B5:B35)=0,"",SUM(B5:B35))</f>
        <v/>
      </c>
      <c r="C36" s="17" t="str">
        <f t="shared" si="1"/>
        <v/>
      </c>
      <c r="D36" s="17" t="str">
        <f t="shared" si="1"/>
        <v/>
      </c>
      <c r="E36" s="17" t="str">
        <f t="shared" si="1"/>
        <v/>
      </c>
      <c r="F36" s="17" t="str">
        <f t="shared" si="1"/>
        <v/>
      </c>
      <c r="G36" s="17" t="str">
        <f t="shared" si="1"/>
        <v/>
      </c>
      <c r="H36" s="17" t="str">
        <f t="shared" si="0"/>
        <v/>
      </c>
    </row>
  </sheetData>
  <mergeCells count="3">
    <mergeCell ref="C3:D3"/>
    <mergeCell ref="E3:F3"/>
    <mergeCell ref="A1:H1"/>
  </mergeCells>
  <phoneticPr fontId="1"/>
  <conditionalFormatting sqref="A5:A9 A12:A16 A26:A30 A33:A35">
    <cfRule type="expression" dxfId="25" priority="13" stopIfTrue="1">
      <formula>WEEKDAY(DATE(2013,$A$2,A5))=7</formula>
    </cfRule>
    <cfRule type="expression" dxfId="24" priority="14" stopIfTrue="1">
      <formula>WEEKDAY(DATE(2013,$A$2,A5))=1</formula>
    </cfRule>
  </conditionalFormatting>
  <conditionalFormatting sqref="A10:A11">
    <cfRule type="expression" dxfId="23" priority="5" stopIfTrue="1">
      <formula>WEEKDAY(DATE(2011,$A$2,A10))=7</formula>
    </cfRule>
    <cfRule type="expression" dxfId="22" priority="6" stopIfTrue="1">
      <formula>WEEKDAY(DATE(2011,$A$2,A10))=1</formula>
    </cfRule>
  </conditionalFormatting>
  <conditionalFormatting sqref="A17:A18 A24:A25">
    <cfRule type="expression" dxfId="21" priority="7" stopIfTrue="1">
      <formula>WEEKDAY(DATE(2011,$A$2,A17))=7</formula>
    </cfRule>
    <cfRule type="expression" dxfId="20" priority="8" stopIfTrue="1">
      <formula>WEEKDAY(DATE(2011,$A$2,A17))=1</formula>
    </cfRule>
  </conditionalFormatting>
  <conditionalFormatting sqref="A19:A23">
    <cfRule type="expression" dxfId="19" priority="1" stopIfTrue="1">
      <formula>WEEKDAY(DATE(2013,$A$2,A19))=7</formula>
    </cfRule>
    <cfRule type="expression" dxfId="18" priority="2" stopIfTrue="1">
      <formula>WEEKDAY(DATE(2013,$A$2,A19))=1</formula>
    </cfRule>
  </conditionalFormatting>
  <conditionalFormatting sqref="A31:A32">
    <cfRule type="expression" dxfId="17" priority="9" stopIfTrue="1">
      <formula>WEEKDAY(DATE(2011,$A$2,A31))=7</formula>
    </cfRule>
    <cfRule type="expression" dxfId="16" priority="10" stopIfTrue="1">
      <formula>WEEKDAY(DATE(2011,$A$2,A31))=1</formula>
    </cfRule>
  </conditionalFormatting>
  <printOptions horizontalCentered="1" verticalCentered="1"/>
  <pageMargins left="0.78740157480314965" right="0.78740157480314965" top="0.78740157480314965" bottom="0.78740157480314965" header="0" footer="0"/>
  <pageSetup paperSize="9" orientation="portrait" horizontalDpi="4294967293" verticalDpi="0" r:id="rId1"/>
  <headerFooter alignWithMargins="0"/>
  <ignoredErrors>
    <ignoredError sqref="H5:H35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BF201-1CA5-4AC8-AA67-0DEA381675DB}">
  <dimension ref="A1:J36"/>
  <sheetViews>
    <sheetView workbookViewId="0">
      <pane ySplit="4" topLeftCell="A6" activePane="bottomLeft" state="frozen"/>
      <selection pane="bottomLeft" activeCell="B5" sqref="B5:G35"/>
    </sheetView>
  </sheetViews>
  <sheetFormatPr defaultRowHeight="14.25" x14ac:dyDescent="0.15"/>
  <cols>
    <col min="1" max="1" width="4.875" style="8" customWidth="1"/>
    <col min="2" max="7" width="11.5" style="8" customWidth="1"/>
    <col min="8" max="8" width="11.375" style="8" customWidth="1"/>
    <col min="9" max="16384" width="9" style="8"/>
  </cols>
  <sheetData>
    <row r="1" spans="1:10" ht="22.5" customHeight="1" x14ac:dyDescent="0.15">
      <c r="A1" s="53" t="str">
        <f>'06'!A1:H1</f>
        <v>令和9年度ウニガラ受入れ簿</v>
      </c>
      <c r="B1" s="53"/>
      <c r="C1" s="53"/>
      <c r="D1" s="53"/>
      <c r="E1" s="53"/>
      <c r="F1" s="53"/>
      <c r="G1" s="53"/>
      <c r="H1" s="53"/>
    </row>
    <row r="2" spans="1:10" s="13" customFormat="1" ht="15" customHeight="1" x14ac:dyDescent="0.15">
      <c r="A2" s="9">
        <v>8</v>
      </c>
      <c r="B2" s="10" t="s">
        <v>9</v>
      </c>
      <c r="C2" s="9"/>
      <c r="D2" s="9"/>
      <c r="E2" s="9"/>
      <c r="F2" s="11"/>
      <c r="G2" s="12" t="s">
        <v>12</v>
      </c>
    </row>
    <row r="3" spans="1:10" s="15" customFormat="1" ht="20.25" customHeight="1" x14ac:dyDescent="0.15">
      <c r="A3" s="14"/>
      <c r="B3" s="14" t="s">
        <v>5</v>
      </c>
      <c r="C3" s="52" t="s">
        <v>6</v>
      </c>
      <c r="D3" s="52"/>
      <c r="E3" s="52" t="s">
        <v>7</v>
      </c>
      <c r="F3" s="52"/>
      <c r="G3" s="14" t="s">
        <v>8</v>
      </c>
      <c r="H3" s="14" t="s">
        <v>15</v>
      </c>
    </row>
    <row r="4" spans="1:10" s="9" customFormat="1" ht="20.25" customHeight="1" x14ac:dyDescent="0.15">
      <c r="A4" s="16"/>
      <c r="B4" s="16" t="s">
        <v>11</v>
      </c>
      <c r="C4" s="16" t="s">
        <v>0</v>
      </c>
      <c r="D4" s="16" t="s">
        <v>1</v>
      </c>
      <c r="E4" s="16" t="s">
        <v>2</v>
      </c>
      <c r="F4" s="16" t="s">
        <v>3</v>
      </c>
      <c r="G4" s="16" t="s">
        <v>4</v>
      </c>
      <c r="H4" s="16" t="s">
        <v>13</v>
      </c>
      <c r="J4" s="37"/>
    </row>
    <row r="5" spans="1:10" ht="20.25" customHeight="1" x14ac:dyDescent="0.15">
      <c r="A5" s="14">
        <v>1</v>
      </c>
      <c r="B5" s="17"/>
      <c r="C5" s="17"/>
      <c r="D5" s="17"/>
      <c r="E5" s="17"/>
      <c r="F5" s="17"/>
      <c r="G5" s="17"/>
      <c r="H5" s="17" t="str">
        <f t="shared" ref="H5:H36" si="0">IF(SUM(B5:G5)=0,"",SUM(B5:G5))</f>
        <v/>
      </c>
    </row>
    <row r="6" spans="1:10" ht="20.25" customHeight="1" x14ac:dyDescent="0.15">
      <c r="A6" s="14">
        <v>2</v>
      </c>
      <c r="B6" s="17"/>
      <c r="C6" s="17"/>
      <c r="D6" s="17"/>
      <c r="E6" s="17"/>
      <c r="F6" s="17"/>
      <c r="G6" s="17"/>
      <c r="H6" s="17" t="str">
        <f t="shared" si="0"/>
        <v/>
      </c>
    </row>
    <row r="7" spans="1:10" ht="20.25" customHeight="1" x14ac:dyDescent="0.15">
      <c r="A7" s="14">
        <v>3</v>
      </c>
      <c r="B7" s="17"/>
      <c r="C7" s="17"/>
      <c r="D7" s="17"/>
      <c r="E7" s="17"/>
      <c r="F7" s="17"/>
      <c r="G7" s="17"/>
      <c r="H7" s="17" t="str">
        <f t="shared" si="0"/>
        <v/>
      </c>
    </row>
    <row r="8" spans="1:10" ht="20.25" customHeight="1" x14ac:dyDescent="0.15">
      <c r="A8" s="14">
        <v>4</v>
      </c>
      <c r="B8" s="17"/>
      <c r="C8" s="17"/>
      <c r="D8" s="17"/>
      <c r="E8" s="17"/>
      <c r="F8" s="17"/>
      <c r="G8" s="17"/>
      <c r="H8" s="17" t="str">
        <f t="shared" si="0"/>
        <v/>
      </c>
    </row>
    <row r="9" spans="1:10" ht="20.25" customHeight="1" x14ac:dyDescent="0.15">
      <c r="A9" s="35">
        <v>5</v>
      </c>
      <c r="B9" s="17"/>
      <c r="C9" s="17"/>
      <c r="D9" s="17"/>
      <c r="E9" s="17"/>
      <c r="F9" s="17"/>
      <c r="G9" s="17"/>
      <c r="H9" s="17" t="str">
        <f t="shared" si="0"/>
        <v/>
      </c>
    </row>
    <row r="10" spans="1:10" ht="20.25" customHeight="1" x14ac:dyDescent="0.15">
      <c r="A10" s="47">
        <v>6</v>
      </c>
      <c r="B10" s="17"/>
      <c r="C10" s="17"/>
      <c r="D10" s="17"/>
      <c r="E10" s="17"/>
      <c r="F10" s="17"/>
      <c r="G10" s="17"/>
      <c r="H10" s="17" t="str">
        <f t="shared" si="0"/>
        <v/>
      </c>
    </row>
    <row r="11" spans="1:10" ht="20.25" customHeight="1" x14ac:dyDescent="0.15">
      <c r="A11" s="14">
        <v>7</v>
      </c>
      <c r="B11" s="17"/>
      <c r="C11" s="17"/>
      <c r="D11" s="17"/>
      <c r="E11" s="17"/>
      <c r="F11" s="17"/>
      <c r="G11" s="17"/>
      <c r="H11" s="17" t="str">
        <f t="shared" si="0"/>
        <v/>
      </c>
    </row>
    <row r="12" spans="1:10" ht="20.25" customHeight="1" x14ac:dyDescent="0.15">
      <c r="A12" s="14">
        <v>8</v>
      </c>
      <c r="B12" s="17"/>
      <c r="C12" s="17"/>
      <c r="D12" s="17"/>
      <c r="E12" s="17"/>
      <c r="F12" s="17"/>
      <c r="G12" s="17"/>
      <c r="H12" s="17" t="str">
        <f t="shared" si="0"/>
        <v/>
      </c>
    </row>
    <row r="13" spans="1:10" ht="20.25" customHeight="1" x14ac:dyDescent="0.15">
      <c r="A13" s="14">
        <v>9</v>
      </c>
      <c r="B13" s="17"/>
      <c r="C13" s="17"/>
      <c r="D13" s="17"/>
      <c r="E13" s="17"/>
      <c r="F13" s="17"/>
      <c r="G13" s="17"/>
      <c r="H13" s="17" t="str">
        <f t="shared" si="0"/>
        <v/>
      </c>
    </row>
    <row r="14" spans="1:10" ht="20.25" customHeight="1" x14ac:dyDescent="0.15">
      <c r="A14" s="14">
        <v>10</v>
      </c>
      <c r="B14" s="17"/>
      <c r="C14" s="17"/>
      <c r="D14" s="17"/>
      <c r="E14" s="17"/>
      <c r="F14" s="17"/>
      <c r="G14" s="17"/>
      <c r="H14" s="17" t="str">
        <f t="shared" si="0"/>
        <v/>
      </c>
    </row>
    <row r="15" spans="1:10" ht="20.25" customHeight="1" x14ac:dyDescent="0.15">
      <c r="A15" s="40">
        <v>11</v>
      </c>
      <c r="B15" s="17"/>
      <c r="C15" s="17"/>
      <c r="D15" s="17"/>
      <c r="E15" s="17"/>
      <c r="F15" s="17"/>
      <c r="G15" s="17"/>
      <c r="H15" s="17" t="str">
        <f t="shared" si="0"/>
        <v/>
      </c>
    </row>
    <row r="16" spans="1:10" ht="20.25" customHeight="1" x14ac:dyDescent="0.15">
      <c r="A16" s="35">
        <v>12</v>
      </c>
      <c r="B16" s="17"/>
      <c r="C16" s="17"/>
      <c r="D16" s="17"/>
      <c r="E16" s="17"/>
      <c r="F16" s="17"/>
      <c r="G16" s="17"/>
      <c r="H16" s="17" t="str">
        <f t="shared" si="0"/>
        <v/>
      </c>
    </row>
    <row r="17" spans="1:8" ht="20.25" customHeight="1" x14ac:dyDescent="0.15">
      <c r="A17" s="47">
        <v>13</v>
      </c>
      <c r="B17" s="17"/>
      <c r="C17" s="17"/>
      <c r="D17" s="17"/>
      <c r="E17" s="17"/>
      <c r="F17" s="17"/>
      <c r="G17" s="17"/>
      <c r="H17" s="17" t="str">
        <f t="shared" si="0"/>
        <v/>
      </c>
    </row>
    <row r="18" spans="1:8" ht="20.25" customHeight="1" x14ac:dyDescent="0.15">
      <c r="A18" s="14">
        <v>14</v>
      </c>
      <c r="B18" s="17"/>
      <c r="C18" s="17"/>
      <c r="D18" s="17"/>
      <c r="E18" s="17"/>
      <c r="F18" s="17"/>
      <c r="G18" s="17"/>
      <c r="H18" s="17" t="str">
        <f t="shared" si="0"/>
        <v/>
      </c>
    </row>
    <row r="19" spans="1:8" ht="20.25" customHeight="1" x14ac:dyDescent="0.15">
      <c r="A19" s="14">
        <v>15</v>
      </c>
      <c r="B19" s="17"/>
      <c r="C19" s="17"/>
      <c r="D19" s="17"/>
      <c r="E19" s="17"/>
      <c r="F19" s="17"/>
      <c r="G19" s="17"/>
      <c r="H19" s="17" t="str">
        <f t="shared" si="0"/>
        <v/>
      </c>
    </row>
    <row r="20" spans="1:8" ht="20.25" customHeight="1" x14ac:dyDescent="0.15">
      <c r="A20" s="14">
        <v>16</v>
      </c>
      <c r="B20" s="17"/>
      <c r="C20" s="17"/>
      <c r="D20" s="17"/>
      <c r="E20" s="17"/>
      <c r="F20" s="17"/>
      <c r="G20" s="17"/>
      <c r="H20" s="17" t="str">
        <f t="shared" si="0"/>
        <v/>
      </c>
    </row>
    <row r="21" spans="1:8" ht="20.25" customHeight="1" x14ac:dyDescent="0.15">
      <c r="A21" s="14">
        <v>17</v>
      </c>
      <c r="B21" s="17"/>
      <c r="C21" s="17"/>
      <c r="D21" s="17"/>
      <c r="E21" s="17"/>
      <c r="F21" s="17"/>
      <c r="G21" s="17"/>
      <c r="H21" s="17" t="str">
        <f t="shared" si="0"/>
        <v/>
      </c>
    </row>
    <row r="22" spans="1:8" ht="20.25" customHeight="1" x14ac:dyDescent="0.15">
      <c r="A22" s="14">
        <v>18</v>
      </c>
      <c r="B22" s="17"/>
      <c r="C22" s="17"/>
      <c r="D22" s="17"/>
      <c r="E22" s="17"/>
      <c r="F22" s="17"/>
      <c r="G22" s="17"/>
      <c r="H22" s="17" t="str">
        <f t="shared" si="0"/>
        <v/>
      </c>
    </row>
    <row r="23" spans="1:8" ht="20.25" customHeight="1" x14ac:dyDescent="0.15">
      <c r="A23" s="35">
        <v>19</v>
      </c>
      <c r="B23" s="17"/>
      <c r="C23" s="17"/>
      <c r="D23" s="17"/>
      <c r="E23" s="17"/>
      <c r="F23" s="17"/>
      <c r="G23" s="17"/>
      <c r="H23" s="17" t="str">
        <f t="shared" si="0"/>
        <v/>
      </c>
    </row>
    <row r="24" spans="1:8" ht="20.25" customHeight="1" x14ac:dyDescent="0.15">
      <c r="A24" s="47">
        <v>20</v>
      </c>
      <c r="B24" s="17"/>
      <c r="C24" s="17"/>
      <c r="D24" s="17"/>
      <c r="E24" s="17"/>
      <c r="F24" s="17"/>
      <c r="G24" s="17"/>
      <c r="H24" s="17" t="str">
        <f t="shared" si="0"/>
        <v/>
      </c>
    </row>
    <row r="25" spans="1:8" ht="20.25" customHeight="1" x14ac:dyDescent="0.15">
      <c r="A25" s="14">
        <v>21</v>
      </c>
      <c r="B25" s="17"/>
      <c r="C25" s="17"/>
      <c r="D25" s="17"/>
      <c r="E25" s="17"/>
      <c r="F25" s="17"/>
      <c r="G25" s="17"/>
      <c r="H25" s="17" t="str">
        <f t="shared" si="0"/>
        <v/>
      </c>
    </row>
    <row r="26" spans="1:8" ht="20.25" customHeight="1" x14ac:dyDescent="0.15">
      <c r="A26" s="14">
        <v>22</v>
      </c>
      <c r="B26" s="17"/>
      <c r="C26" s="17"/>
      <c r="D26" s="17"/>
      <c r="E26" s="17"/>
      <c r="F26" s="17"/>
      <c r="G26" s="17"/>
      <c r="H26" s="17" t="str">
        <f t="shared" si="0"/>
        <v/>
      </c>
    </row>
    <row r="27" spans="1:8" ht="20.25" customHeight="1" x14ac:dyDescent="0.15">
      <c r="A27" s="14">
        <v>23</v>
      </c>
      <c r="B27" s="17"/>
      <c r="C27" s="17"/>
      <c r="D27" s="17"/>
      <c r="E27" s="17"/>
      <c r="F27" s="17"/>
      <c r="G27" s="17"/>
      <c r="H27" s="17" t="str">
        <f t="shared" si="0"/>
        <v/>
      </c>
    </row>
    <row r="28" spans="1:8" ht="20.25" customHeight="1" x14ac:dyDescent="0.15">
      <c r="A28" s="14">
        <v>24</v>
      </c>
      <c r="B28" s="17"/>
      <c r="C28" s="17"/>
      <c r="D28" s="17"/>
      <c r="E28" s="17"/>
      <c r="F28" s="17"/>
      <c r="G28" s="17"/>
      <c r="H28" s="17" t="str">
        <f t="shared" si="0"/>
        <v/>
      </c>
    </row>
    <row r="29" spans="1:8" ht="20.25" customHeight="1" x14ac:dyDescent="0.15">
      <c r="A29" s="14">
        <v>25</v>
      </c>
      <c r="B29" s="17"/>
      <c r="C29" s="17"/>
      <c r="D29" s="17"/>
      <c r="E29" s="17"/>
      <c r="F29" s="17"/>
      <c r="G29" s="17"/>
      <c r="H29" s="17" t="str">
        <f t="shared" si="0"/>
        <v/>
      </c>
    </row>
    <row r="30" spans="1:8" ht="20.25" customHeight="1" x14ac:dyDescent="0.15">
      <c r="A30" s="35">
        <v>26</v>
      </c>
      <c r="B30" s="17"/>
      <c r="C30" s="17"/>
      <c r="D30" s="17"/>
      <c r="E30" s="17"/>
      <c r="F30" s="17"/>
      <c r="G30" s="17"/>
      <c r="H30" s="17" t="str">
        <f t="shared" si="0"/>
        <v/>
      </c>
    </row>
    <row r="31" spans="1:8" ht="20.25" customHeight="1" x14ac:dyDescent="0.15">
      <c r="A31" s="47">
        <v>27</v>
      </c>
      <c r="B31" s="17"/>
      <c r="C31" s="17"/>
      <c r="D31" s="17"/>
      <c r="E31" s="17"/>
      <c r="F31" s="17"/>
      <c r="G31" s="17"/>
      <c r="H31" s="17" t="str">
        <f t="shared" si="0"/>
        <v/>
      </c>
    </row>
    <row r="32" spans="1:8" ht="20.25" customHeight="1" x14ac:dyDescent="0.15">
      <c r="A32" s="14">
        <v>28</v>
      </c>
      <c r="B32" s="17"/>
      <c r="C32" s="17"/>
      <c r="D32" s="17"/>
      <c r="E32" s="17"/>
      <c r="F32" s="17"/>
      <c r="G32" s="17"/>
      <c r="H32" s="17" t="str">
        <f t="shared" si="0"/>
        <v/>
      </c>
    </row>
    <row r="33" spans="1:8" ht="20.25" customHeight="1" x14ac:dyDescent="0.15">
      <c r="A33" s="14">
        <v>29</v>
      </c>
      <c r="B33" s="17"/>
      <c r="C33" s="17"/>
      <c r="D33" s="17"/>
      <c r="E33" s="17"/>
      <c r="F33" s="17"/>
      <c r="G33" s="17"/>
      <c r="H33" s="17" t="str">
        <f t="shared" si="0"/>
        <v/>
      </c>
    </row>
    <row r="34" spans="1:8" ht="20.25" customHeight="1" x14ac:dyDescent="0.15">
      <c r="A34" s="14">
        <v>30</v>
      </c>
      <c r="B34" s="17"/>
      <c r="C34" s="17"/>
      <c r="D34" s="17"/>
      <c r="E34" s="17"/>
      <c r="F34" s="17"/>
      <c r="G34" s="17"/>
      <c r="H34" s="17" t="str">
        <f t="shared" si="0"/>
        <v/>
      </c>
    </row>
    <row r="35" spans="1:8" ht="20.25" customHeight="1" x14ac:dyDescent="0.15">
      <c r="A35" s="14">
        <v>31</v>
      </c>
      <c r="B35" s="17"/>
      <c r="C35" s="17"/>
      <c r="D35" s="17"/>
      <c r="E35" s="17"/>
      <c r="F35" s="17"/>
      <c r="G35" s="17"/>
      <c r="H35" s="17" t="str">
        <f t="shared" si="0"/>
        <v/>
      </c>
    </row>
    <row r="36" spans="1:8" ht="20.25" customHeight="1" x14ac:dyDescent="0.15">
      <c r="A36" s="14" t="s">
        <v>10</v>
      </c>
      <c r="B36" s="17" t="str">
        <f t="shared" ref="B36:G36" si="1">IF(SUM(B5:B35)=0,"",SUM(B5:B35))</f>
        <v/>
      </c>
      <c r="C36" s="17" t="str">
        <f t="shared" si="1"/>
        <v/>
      </c>
      <c r="D36" s="17" t="str">
        <f t="shared" si="1"/>
        <v/>
      </c>
      <c r="E36" s="17" t="str">
        <f>IF(SUM(E5:E35)=0,"",SUM(E5:E35))</f>
        <v/>
      </c>
      <c r="F36" s="17" t="str">
        <f t="shared" si="1"/>
        <v/>
      </c>
      <c r="G36" s="17" t="str">
        <f t="shared" si="1"/>
        <v/>
      </c>
      <c r="H36" s="17" t="str">
        <f t="shared" si="0"/>
        <v/>
      </c>
    </row>
  </sheetData>
  <mergeCells count="3">
    <mergeCell ref="C3:D3"/>
    <mergeCell ref="E3:F3"/>
    <mergeCell ref="A1:H1"/>
  </mergeCells>
  <phoneticPr fontId="1"/>
  <conditionalFormatting sqref="A5:A6 A9:A13 A16:A20 A23:A27 A30:A34">
    <cfRule type="expression" dxfId="15" priority="5" stopIfTrue="1">
      <formula>WEEKDAY(DATE(2013,$A$2,A5))=7</formula>
    </cfRule>
    <cfRule type="expression" dxfId="14" priority="6" stopIfTrue="1">
      <formula>WEEKDAY(DATE(2013,$A$2,A5))=1</formula>
    </cfRule>
  </conditionalFormatting>
  <conditionalFormatting sqref="A7:A8 A14:A15 A21:A22">
    <cfRule type="expression" dxfId="13" priority="3" stopIfTrue="1">
      <formula>WEEKDAY(DATE(2011,$A$2,A7))=7</formula>
    </cfRule>
    <cfRule type="expression" dxfId="12" priority="4" stopIfTrue="1">
      <formula>WEEKDAY(DATE(2011,$A$2,A7))=1</formula>
    </cfRule>
  </conditionalFormatting>
  <conditionalFormatting sqref="A28:A29 A35">
    <cfRule type="expression" dxfId="11" priority="1" stopIfTrue="1">
      <formula>WEEKDAY(DATE(2011,$A$2,A28))=7</formula>
    </cfRule>
    <cfRule type="expression" dxfId="10" priority="2" stopIfTrue="1">
      <formula>WEEKDAY(DATE(2011,$A$2,A28))=1</formula>
    </cfRule>
  </conditionalFormatting>
  <printOptions horizontalCentered="1" verticalCentered="1"/>
  <pageMargins left="0.78740157480314965" right="0.78740157480314965" top="0.78740157480314965" bottom="0.78740157480314965" header="0" footer="0"/>
  <pageSetup paperSize="9" orientation="portrait" horizontalDpi="4294967293" verticalDpi="0" r:id="rId1"/>
  <headerFooter alignWithMargins="0"/>
  <ignoredErrors>
    <ignoredError sqref="H5:H24 H25:H35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024A8-2083-4F09-8D4F-921FFF46DB5F}">
  <dimension ref="A1:H37"/>
  <sheetViews>
    <sheetView zoomScaleNormal="100" workbookViewId="0">
      <pane ySplit="4" topLeftCell="A9" activePane="bottomLeft" state="frozen"/>
      <selection pane="bottomLeft" sqref="A1:H1"/>
    </sheetView>
  </sheetViews>
  <sheetFormatPr defaultRowHeight="14.25" x14ac:dyDescent="0.15"/>
  <cols>
    <col min="1" max="1" width="4.875" style="8" customWidth="1"/>
    <col min="2" max="7" width="11.5" style="8" customWidth="1"/>
    <col min="8" max="8" width="11.375" style="8" customWidth="1"/>
    <col min="9" max="16384" width="9" style="8"/>
  </cols>
  <sheetData>
    <row r="1" spans="1:8" ht="22.5" customHeight="1" x14ac:dyDescent="0.15">
      <c r="A1" s="53" t="str">
        <f>'06'!A1:H1</f>
        <v>令和9年度ウニガラ受入れ簿</v>
      </c>
      <c r="B1" s="53"/>
      <c r="C1" s="53"/>
      <c r="D1" s="53"/>
      <c r="E1" s="53"/>
      <c r="F1" s="53"/>
      <c r="G1" s="53"/>
      <c r="H1" s="53"/>
    </row>
    <row r="2" spans="1:8" s="13" customFormat="1" ht="15" customHeight="1" x14ac:dyDescent="0.15">
      <c r="A2" s="9">
        <v>9</v>
      </c>
      <c r="B2" s="10" t="s">
        <v>9</v>
      </c>
      <c r="C2" s="9"/>
      <c r="D2" s="9"/>
      <c r="E2" s="9"/>
      <c r="F2" s="11"/>
      <c r="G2" s="12" t="s">
        <v>12</v>
      </c>
    </row>
    <row r="3" spans="1:8" s="15" customFormat="1" ht="20.25" customHeight="1" x14ac:dyDescent="0.15">
      <c r="A3" s="14"/>
      <c r="B3" s="14" t="s">
        <v>5</v>
      </c>
      <c r="C3" s="54" t="s">
        <v>6</v>
      </c>
      <c r="D3" s="55"/>
      <c r="E3" s="54" t="s">
        <v>7</v>
      </c>
      <c r="F3" s="55"/>
      <c r="G3" s="14" t="s">
        <v>8</v>
      </c>
      <c r="H3" s="14" t="s">
        <v>15</v>
      </c>
    </row>
    <row r="4" spans="1:8" s="9" customFormat="1" ht="20.25" customHeight="1" x14ac:dyDescent="0.15">
      <c r="A4" s="16"/>
      <c r="B4" s="16" t="s">
        <v>11</v>
      </c>
      <c r="C4" s="16" t="s">
        <v>0</v>
      </c>
      <c r="D4" s="16" t="s">
        <v>1</v>
      </c>
      <c r="E4" s="16" t="s">
        <v>2</v>
      </c>
      <c r="F4" s="16" t="s">
        <v>3</v>
      </c>
      <c r="G4" s="16" t="s">
        <v>4</v>
      </c>
      <c r="H4" s="16" t="s">
        <v>13</v>
      </c>
    </row>
    <row r="5" spans="1:8" ht="20.25" customHeight="1" x14ac:dyDescent="0.15">
      <c r="A5" s="14">
        <v>1</v>
      </c>
      <c r="B5" s="17"/>
      <c r="C5" s="17"/>
      <c r="D5" s="17"/>
      <c r="E5" s="17"/>
      <c r="F5" s="17"/>
      <c r="G5" s="17"/>
      <c r="H5" s="17" t="str">
        <f t="shared" ref="H5:H35" si="0">IF(SUM(B5:G5)=0,"",SUM(B5:G5))</f>
        <v/>
      </c>
    </row>
    <row r="6" spans="1:8" ht="20.25" customHeight="1" x14ac:dyDescent="0.15">
      <c r="A6" s="35">
        <v>2</v>
      </c>
      <c r="B6" s="17"/>
      <c r="C6" s="17"/>
      <c r="D6" s="17"/>
      <c r="E6" s="17"/>
      <c r="F6" s="17"/>
      <c r="G6" s="17"/>
      <c r="H6" s="17" t="str">
        <f t="shared" si="0"/>
        <v/>
      </c>
    </row>
    <row r="7" spans="1:8" ht="20.25" customHeight="1" x14ac:dyDescent="0.15">
      <c r="A7" s="47">
        <v>3</v>
      </c>
      <c r="B7" s="17"/>
      <c r="C7" s="17"/>
      <c r="D7" s="17"/>
      <c r="E7" s="17"/>
      <c r="F7" s="17"/>
      <c r="G7" s="17"/>
      <c r="H7" s="17" t="str">
        <f t="shared" si="0"/>
        <v/>
      </c>
    </row>
    <row r="8" spans="1:8" ht="20.25" customHeight="1" x14ac:dyDescent="0.15">
      <c r="A8" s="14">
        <v>4</v>
      </c>
      <c r="B8" s="17"/>
      <c r="C8" s="17"/>
      <c r="D8" s="17"/>
      <c r="E8" s="17"/>
      <c r="F8" s="17"/>
      <c r="G8" s="17"/>
      <c r="H8" s="17" t="str">
        <f t="shared" si="0"/>
        <v/>
      </c>
    </row>
    <row r="9" spans="1:8" ht="20.25" customHeight="1" x14ac:dyDescent="0.15">
      <c r="A9" s="14">
        <v>5</v>
      </c>
      <c r="B9" s="17"/>
      <c r="C9" s="17"/>
      <c r="D9" s="17"/>
      <c r="E9" s="17"/>
      <c r="F9" s="17"/>
      <c r="G9" s="17"/>
      <c r="H9" s="17" t="str">
        <f t="shared" si="0"/>
        <v/>
      </c>
    </row>
    <row r="10" spans="1:8" ht="20.25" customHeight="1" x14ac:dyDescent="0.15">
      <c r="A10" s="14">
        <v>6</v>
      </c>
      <c r="B10" s="17"/>
      <c r="C10" s="17"/>
      <c r="D10" s="17"/>
      <c r="E10" s="17"/>
      <c r="F10" s="17"/>
      <c r="G10" s="17"/>
      <c r="H10" s="17" t="str">
        <f t="shared" si="0"/>
        <v/>
      </c>
    </row>
    <row r="11" spans="1:8" ht="20.25" customHeight="1" x14ac:dyDescent="0.15">
      <c r="A11" s="14">
        <v>7</v>
      </c>
      <c r="B11" s="17"/>
      <c r="C11" s="17"/>
      <c r="D11" s="17"/>
      <c r="E11" s="17"/>
      <c r="F11" s="17"/>
      <c r="G11" s="17"/>
      <c r="H11" s="17" t="str">
        <f t="shared" si="0"/>
        <v/>
      </c>
    </row>
    <row r="12" spans="1:8" ht="20.25" customHeight="1" x14ac:dyDescent="0.15">
      <c r="A12" s="14">
        <v>8</v>
      </c>
      <c r="B12" s="17"/>
      <c r="C12" s="17"/>
      <c r="D12" s="17"/>
      <c r="E12" s="17"/>
      <c r="F12" s="17"/>
      <c r="G12" s="17"/>
      <c r="H12" s="17" t="str">
        <f t="shared" si="0"/>
        <v/>
      </c>
    </row>
    <row r="13" spans="1:8" ht="20.25" customHeight="1" x14ac:dyDescent="0.15">
      <c r="A13" s="35">
        <v>9</v>
      </c>
      <c r="B13" s="17"/>
      <c r="C13" s="17"/>
      <c r="D13" s="17"/>
      <c r="E13" s="17"/>
      <c r="F13" s="17"/>
      <c r="G13" s="17"/>
      <c r="H13" s="17" t="str">
        <f t="shared" si="0"/>
        <v/>
      </c>
    </row>
    <row r="14" spans="1:8" ht="20.25" customHeight="1" x14ac:dyDescent="0.15">
      <c r="A14" s="47">
        <v>10</v>
      </c>
      <c r="B14" s="17"/>
      <c r="C14" s="17"/>
      <c r="D14" s="17"/>
      <c r="E14" s="17"/>
      <c r="F14" s="17"/>
      <c r="G14" s="17"/>
      <c r="H14" s="17" t="str">
        <f t="shared" si="0"/>
        <v/>
      </c>
    </row>
    <row r="15" spans="1:8" ht="20.25" customHeight="1" x14ac:dyDescent="0.15">
      <c r="A15" s="14">
        <v>11</v>
      </c>
      <c r="B15" s="17"/>
      <c r="C15" s="17"/>
      <c r="D15" s="17"/>
      <c r="E15" s="17"/>
      <c r="F15" s="17"/>
      <c r="G15" s="17"/>
      <c r="H15" s="17" t="str">
        <f t="shared" si="0"/>
        <v/>
      </c>
    </row>
    <row r="16" spans="1:8" ht="20.25" customHeight="1" x14ac:dyDescent="0.15">
      <c r="A16" s="14">
        <v>12</v>
      </c>
      <c r="B16" s="17"/>
      <c r="C16" s="17"/>
      <c r="D16" s="17"/>
      <c r="E16" s="17"/>
      <c r="F16" s="17"/>
      <c r="G16" s="17"/>
      <c r="H16" s="17" t="str">
        <f t="shared" si="0"/>
        <v/>
      </c>
    </row>
    <row r="17" spans="1:8" ht="20.25" customHeight="1" x14ac:dyDescent="0.15">
      <c r="A17" s="14">
        <v>13</v>
      </c>
      <c r="B17" s="17"/>
      <c r="C17" s="17"/>
      <c r="D17" s="17"/>
      <c r="E17" s="17"/>
      <c r="F17" s="17"/>
      <c r="G17" s="17"/>
      <c r="H17" s="17" t="str">
        <f t="shared" si="0"/>
        <v/>
      </c>
    </row>
    <row r="18" spans="1:8" ht="20.25" customHeight="1" x14ac:dyDescent="0.15">
      <c r="A18" s="14">
        <v>14</v>
      </c>
      <c r="B18" s="17"/>
      <c r="C18" s="17"/>
      <c r="D18" s="17"/>
      <c r="E18" s="17"/>
      <c r="F18" s="17"/>
      <c r="G18" s="17"/>
      <c r="H18" s="17" t="str">
        <f t="shared" si="0"/>
        <v/>
      </c>
    </row>
    <row r="19" spans="1:8" ht="20.25" customHeight="1" x14ac:dyDescent="0.15">
      <c r="A19" s="14">
        <v>15</v>
      </c>
      <c r="B19" s="17"/>
      <c r="C19" s="17"/>
      <c r="D19" s="17"/>
      <c r="E19" s="17"/>
      <c r="F19" s="17"/>
      <c r="G19" s="17"/>
      <c r="H19" s="17" t="str">
        <f t="shared" si="0"/>
        <v/>
      </c>
    </row>
    <row r="20" spans="1:8" ht="20.25" customHeight="1" x14ac:dyDescent="0.15">
      <c r="A20" s="35">
        <v>16</v>
      </c>
      <c r="B20" s="17"/>
      <c r="C20" s="17"/>
      <c r="D20" s="17"/>
      <c r="E20" s="17"/>
      <c r="F20" s="17"/>
      <c r="G20" s="17"/>
      <c r="H20" s="17" t="str">
        <f t="shared" si="0"/>
        <v/>
      </c>
    </row>
    <row r="21" spans="1:8" ht="20.25" customHeight="1" x14ac:dyDescent="0.15">
      <c r="A21" s="47">
        <v>17</v>
      </c>
      <c r="B21" s="17"/>
      <c r="C21" s="17"/>
      <c r="D21" s="17"/>
      <c r="E21" s="17"/>
      <c r="F21" s="17"/>
      <c r="G21" s="17"/>
      <c r="H21" s="17" t="str">
        <f t="shared" si="0"/>
        <v/>
      </c>
    </row>
    <row r="22" spans="1:8" ht="20.25" customHeight="1" x14ac:dyDescent="0.15">
      <c r="A22" s="40">
        <v>18</v>
      </c>
      <c r="B22" s="17"/>
      <c r="C22" s="17"/>
      <c r="D22" s="17"/>
      <c r="E22" s="17"/>
      <c r="F22" s="17"/>
      <c r="G22" s="17"/>
      <c r="H22" s="17" t="str">
        <f t="shared" si="0"/>
        <v/>
      </c>
    </row>
    <row r="23" spans="1:8" ht="20.25" customHeight="1" x14ac:dyDescent="0.15">
      <c r="A23" s="14">
        <v>19</v>
      </c>
      <c r="B23" s="17"/>
      <c r="C23" s="17"/>
      <c r="D23" s="17"/>
      <c r="E23" s="17"/>
      <c r="F23" s="17"/>
      <c r="G23" s="17"/>
      <c r="H23" s="17" t="str">
        <f t="shared" si="0"/>
        <v/>
      </c>
    </row>
    <row r="24" spans="1:8" ht="20.25" customHeight="1" x14ac:dyDescent="0.15">
      <c r="A24" s="14">
        <v>20</v>
      </c>
      <c r="B24" s="17"/>
      <c r="C24" s="17"/>
      <c r="D24" s="17"/>
      <c r="E24" s="17"/>
      <c r="F24" s="17"/>
      <c r="G24" s="17"/>
      <c r="H24" s="17" t="str">
        <f t="shared" si="0"/>
        <v/>
      </c>
    </row>
    <row r="25" spans="1:8" ht="20.25" customHeight="1" x14ac:dyDescent="0.15">
      <c r="A25" s="14">
        <v>21</v>
      </c>
      <c r="B25" s="17"/>
      <c r="C25" s="17"/>
      <c r="D25" s="17"/>
      <c r="E25" s="17"/>
      <c r="F25" s="17"/>
      <c r="G25" s="17"/>
      <c r="H25" s="17" t="str">
        <f t="shared" si="0"/>
        <v/>
      </c>
    </row>
    <row r="26" spans="1:8" ht="20.25" customHeight="1" x14ac:dyDescent="0.15">
      <c r="A26" s="14">
        <v>22</v>
      </c>
      <c r="B26" s="17"/>
      <c r="C26" s="17"/>
      <c r="D26" s="17"/>
      <c r="E26" s="17"/>
      <c r="F26" s="17"/>
      <c r="G26" s="17"/>
      <c r="H26" s="17" t="str">
        <f t="shared" si="0"/>
        <v/>
      </c>
    </row>
    <row r="27" spans="1:8" ht="20.25" customHeight="1" x14ac:dyDescent="0.15">
      <c r="A27" s="47">
        <v>23</v>
      </c>
      <c r="B27" s="17"/>
      <c r="C27" s="17"/>
      <c r="D27" s="17"/>
      <c r="E27" s="17"/>
      <c r="F27" s="17"/>
      <c r="G27" s="17"/>
      <c r="H27" s="17" t="str">
        <f t="shared" si="0"/>
        <v/>
      </c>
    </row>
    <row r="28" spans="1:8" ht="20.25" customHeight="1" x14ac:dyDescent="0.15">
      <c r="A28" s="47">
        <v>24</v>
      </c>
      <c r="B28" s="17"/>
      <c r="C28" s="17"/>
      <c r="D28" s="17"/>
      <c r="E28" s="17"/>
      <c r="F28" s="17"/>
      <c r="G28" s="17"/>
      <c r="H28" s="17" t="str">
        <f t="shared" si="0"/>
        <v/>
      </c>
    </row>
    <row r="29" spans="1:8" ht="20.25" customHeight="1" x14ac:dyDescent="0.15">
      <c r="A29" s="14">
        <v>25</v>
      </c>
      <c r="B29" s="17"/>
      <c r="C29" s="17"/>
      <c r="D29" s="17"/>
      <c r="E29" s="17"/>
      <c r="F29" s="17"/>
      <c r="G29" s="17"/>
      <c r="H29" s="17" t="str">
        <f t="shared" si="0"/>
        <v/>
      </c>
    </row>
    <row r="30" spans="1:8" ht="20.25" customHeight="1" x14ac:dyDescent="0.15">
      <c r="A30" s="14">
        <v>26</v>
      </c>
      <c r="B30" s="17"/>
      <c r="C30" s="17"/>
      <c r="D30" s="17"/>
      <c r="E30" s="17"/>
      <c r="F30" s="17"/>
      <c r="G30" s="17"/>
      <c r="H30" s="17" t="str">
        <f t="shared" si="0"/>
        <v/>
      </c>
    </row>
    <row r="31" spans="1:8" ht="20.25" customHeight="1" x14ac:dyDescent="0.15">
      <c r="A31" s="14">
        <v>27</v>
      </c>
      <c r="B31" s="17"/>
      <c r="C31" s="17"/>
      <c r="D31" s="17"/>
      <c r="E31" s="17"/>
      <c r="F31" s="17"/>
      <c r="G31" s="17"/>
      <c r="H31" s="17" t="str">
        <f t="shared" si="0"/>
        <v/>
      </c>
    </row>
    <row r="32" spans="1:8" ht="20.25" customHeight="1" x14ac:dyDescent="0.15">
      <c r="A32" s="14">
        <v>28</v>
      </c>
      <c r="B32" s="17"/>
      <c r="C32" s="17"/>
      <c r="D32" s="17"/>
      <c r="E32" s="17"/>
      <c r="F32" s="17"/>
      <c r="G32" s="17"/>
      <c r="H32" s="17" t="str">
        <f t="shared" si="0"/>
        <v/>
      </c>
    </row>
    <row r="33" spans="1:8" ht="20.25" customHeight="1" x14ac:dyDescent="0.15">
      <c r="A33" s="14">
        <v>29</v>
      </c>
      <c r="B33" s="17"/>
      <c r="C33" s="17"/>
      <c r="D33" s="17"/>
      <c r="E33" s="17"/>
      <c r="F33" s="17"/>
      <c r="G33" s="17"/>
      <c r="H33" s="17" t="str">
        <f t="shared" si="0"/>
        <v/>
      </c>
    </row>
    <row r="34" spans="1:8" ht="20.25" customHeight="1" x14ac:dyDescent="0.15">
      <c r="A34" s="35">
        <v>30</v>
      </c>
      <c r="B34" s="17"/>
      <c r="C34" s="17"/>
      <c r="D34" s="17"/>
      <c r="E34" s="17"/>
      <c r="F34" s="17"/>
      <c r="G34" s="17"/>
      <c r="H34" s="17" t="str">
        <f t="shared" si="0"/>
        <v/>
      </c>
    </row>
    <row r="35" spans="1:8" ht="20.25" customHeight="1" thickBot="1" x14ac:dyDescent="0.2">
      <c r="A35" s="18" t="s">
        <v>10</v>
      </c>
      <c r="B35" s="34"/>
      <c r="C35" s="34"/>
      <c r="D35" s="34"/>
      <c r="E35" s="34"/>
      <c r="F35" s="34"/>
      <c r="G35" s="34"/>
      <c r="H35" s="34" t="str">
        <f t="shared" si="0"/>
        <v/>
      </c>
    </row>
    <row r="36" spans="1:8" ht="20.25" customHeight="1" thickTop="1" x14ac:dyDescent="0.15">
      <c r="A36" s="19" t="s">
        <v>14</v>
      </c>
      <c r="B36" s="20">
        <f>SUM('06'!B36)+SUM('07'!B36)+SUM('08'!B36)+SUM(B35)</f>
        <v>0</v>
      </c>
      <c r="C36" s="20">
        <f>SUM('06'!C36)+SUM('07'!C36)+SUM('08'!C36)+SUM(C35)</f>
        <v>0</v>
      </c>
      <c r="D36" s="20">
        <f>SUM('06'!D36)+SUM('07'!D36)+SUM('08'!D36)+SUM(D35)</f>
        <v>0</v>
      </c>
      <c r="E36" s="20">
        <f>SUM('06'!E36)+SUM('07'!E36)+SUM('08'!E36)+SUM(E35)</f>
        <v>0</v>
      </c>
      <c r="F36" s="20">
        <f>SUM('06'!F36)+SUM('07'!F36)+SUM('08'!F36)+SUM(F35)</f>
        <v>0</v>
      </c>
      <c r="G36" s="20">
        <f>SUM('06'!G36)+SUM('07'!G36)+SUM('08'!G36)+SUM(G35)</f>
        <v>0</v>
      </c>
      <c r="H36" s="20">
        <f>SUM('06'!H36)+SUM('07'!H36)+SUM('08'!H36)+SUM(H35)</f>
        <v>0</v>
      </c>
    </row>
    <row r="37" spans="1:8" x14ac:dyDescent="0.15">
      <c r="D37" s="44"/>
      <c r="F37" s="44"/>
    </row>
  </sheetData>
  <mergeCells count="3">
    <mergeCell ref="C3:D3"/>
    <mergeCell ref="E3:F3"/>
    <mergeCell ref="A1:H1"/>
  </mergeCells>
  <phoneticPr fontId="1"/>
  <conditionalFormatting sqref="A5 A11:A12 A18:A19">
    <cfRule type="expression" dxfId="9" priority="5" stopIfTrue="1">
      <formula>WEEKDAY(DATE(2011,$A$2,A5))=7</formula>
    </cfRule>
    <cfRule type="expression" dxfId="8" priority="6" stopIfTrue="1">
      <formula>WEEKDAY(DATE(2011,$A$2,A5))=1</formula>
    </cfRule>
  </conditionalFormatting>
  <conditionalFormatting sqref="A6:A10 A13:A17 A28:A31 A34">
    <cfRule type="expression" dxfId="7" priority="9" stopIfTrue="1">
      <formula>WEEKDAY(DATE(2013,$A$2,A6))=7</formula>
    </cfRule>
    <cfRule type="expression" dxfId="6" priority="10" stopIfTrue="1">
      <formula>WEEKDAY(DATE(2013,$A$2,A6))=1</formula>
    </cfRule>
  </conditionalFormatting>
  <conditionalFormatting sqref="A20:A24">
    <cfRule type="expression" dxfId="5" priority="1" stopIfTrue="1">
      <formula>WEEKDAY(DATE(2013,$A$2,A20))=7</formula>
    </cfRule>
    <cfRule type="expression" dxfId="4" priority="2" stopIfTrue="1">
      <formula>WEEKDAY(DATE(2013,$A$2,A20))=1</formula>
    </cfRule>
  </conditionalFormatting>
  <conditionalFormatting sqref="A25:A27">
    <cfRule type="expression" dxfId="3" priority="3" stopIfTrue="1">
      <formula>WEEKDAY(DATE(2011,$A$2,A25))=7</formula>
    </cfRule>
    <cfRule type="expression" dxfId="2" priority="4" stopIfTrue="1">
      <formula>WEEKDAY(DATE(2011,$A$2,A25))=1</formula>
    </cfRule>
  </conditionalFormatting>
  <conditionalFormatting sqref="A32:A33">
    <cfRule type="expression" dxfId="1" priority="7" stopIfTrue="1">
      <formula>WEEKDAY(DATE(2011,$A$2,A32))=7</formula>
    </cfRule>
    <cfRule type="expression" dxfId="0" priority="8" stopIfTrue="1">
      <formula>WEEKDAY(DATE(2011,$A$2,A32))=1</formula>
    </cfRule>
  </conditionalFormatting>
  <printOptions horizontalCentered="1" verticalCentered="1"/>
  <pageMargins left="0.78740157480314965" right="0.78740157480314965" top="0.78740157480314965" bottom="0.78740157480314965" header="0" footer="0"/>
  <pageSetup paperSize="9" orientation="portrait" horizontalDpi="4294967293" verticalDpi="0" r:id="rId1"/>
  <headerFooter alignWithMargins="0"/>
  <ignoredErrors>
    <ignoredError sqref="H14:H34 H5:H13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B5D84-6E6A-494F-B3C2-4EB19938ECF1}">
  <dimension ref="A1:H12"/>
  <sheetViews>
    <sheetView workbookViewId="0">
      <selection sqref="A1:H1"/>
    </sheetView>
  </sheetViews>
  <sheetFormatPr defaultRowHeight="17.25" x14ac:dyDescent="0.15"/>
  <cols>
    <col min="1" max="1" width="9" style="2"/>
    <col min="2" max="8" width="13.5" style="2" customWidth="1"/>
    <col min="9" max="16384" width="9" style="2"/>
  </cols>
  <sheetData>
    <row r="1" spans="1:8" ht="22.5" customHeight="1" x14ac:dyDescent="0.15">
      <c r="A1" s="57" t="str">
        <f>"令和"&amp;'[1]A-1'!$E$9-2018&amp;"年度ウニガラ受入れ実績表"</f>
        <v>令和9年度ウニガラ受入れ実績表</v>
      </c>
      <c r="B1" s="57"/>
      <c r="C1" s="57"/>
      <c r="D1" s="57"/>
      <c r="E1" s="57"/>
      <c r="F1" s="57"/>
      <c r="G1" s="57"/>
      <c r="H1" s="57"/>
    </row>
    <row r="3" spans="1:8" s="3" customFormat="1" x14ac:dyDescent="0.15">
      <c r="B3" s="1" t="s">
        <v>5</v>
      </c>
      <c r="C3" s="56" t="s">
        <v>6</v>
      </c>
      <c r="D3" s="56"/>
      <c r="E3" s="56" t="s">
        <v>7</v>
      </c>
      <c r="F3" s="56"/>
      <c r="G3" s="1" t="s">
        <v>8</v>
      </c>
      <c r="H3" s="1" t="s">
        <v>15</v>
      </c>
    </row>
    <row r="4" spans="1:8" s="3" customFormat="1" x14ac:dyDescent="0.15">
      <c r="B4" s="1" t="s">
        <v>11</v>
      </c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13</v>
      </c>
    </row>
    <row r="5" spans="1:8" ht="18.75" x14ac:dyDescent="0.15">
      <c r="A5" s="4" t="s">
        <v>16</v>
      </c>
      <c r="B5" s="5" t="str">
        <f>'06'!B36</f>
        <v/>
      </c>
      <c r="C5" s="5" t="str">
        <f>'06'!C36</f>
        <v/>
      </c>
      <c r="D5" s="5" t="str">
        <f>'06'!D36</f>
        <v/>
      </c>
      <c r="E5" s="5" t="str">
        <f>'06'!E36</f>
        <v/>
      </c>
      <c r="F5" s="5" t="str">
        <f>'06'!F36</f>
        <v/>
      </c>
      <c r="G5" s="5" t="str">
        <f>'06'!G36</f>
        <v/>
      </c>
      <c r="H5" s="5" t="str">
        <f>'06'!H36</f>
        <v/>
      </c>
    </row>
    <row r="6" spans="1:8" ht="18.75" x14ac:dyDescent="0.15">
      <c r="A6" s="4" t="s">
        <v>17</v>
      </c>
      <c r="B6" s="5" t="str">
        <f>'07'!B36</f>
        <v/>
      </c>
      <c r="C6" s="5" t="str">
        <f>'07'!C36</f>
        <v/>
      </c>
      <c r="D6" s="5" t="str">
        <f>'07'!D36</f>
        <v/>
      </c>
      <c r="E6" s="5" t="str">
        <f>'07'!E36</f>
        <v/>
      </c>
      <c r="F6" s="5" t="str">
        <f>'07'!F36</f>
        <v/>
      </c>
      <c r="G6" s="5" t="str">
        <f>'07'!G36</f>
        <v/>
      </c>
      <c r="H6" s="5" t="str">
        <f>'07'!H36</f>
        <v/>
      </c>
    </row>
    <row r="7" spans="1:8" ht="18.75" x14ac:dyDescent="0.15">
      <c r="A7" s="4" t="s">
        <v>18</v>
      </c>
      <c r="B7" s="5" t="str">
        <f>'08'!B36</f>
        <v/>
      </c>
      <c r="C7" s="5" t="str">
        <f>'08'!C36</f>
        <v/>
      </c>
      <c r="D7" s="5" t="str">
        <f>'08'!D36</f>
        <v/>
      </c>
      <c r="E7" s="5" t="str">
        <f>'08'!E36</f>
        <v/>
      </c>
      <c r="F7" s="5" t="str">
        <f>'08'!F36</f>
        <v/>
      </c>
      <c r="G7" s="5" t="str">
        <f>'08'!G36</f>
        <v/>
      </c>
      <c r="H7" s="5" t="str">
        <f>'08'!H36</f>
        <v/>
      </c>
    </row>
    <row r="8" spans="1:8" ht="18.75" x14ac:dyDescent="0.15">
      <c r="A8" s="4" t="s">
        <v>19</v>
      </c>
      <c r="B8" s="5">
        <f>'09'!B35</f>
        <v>0</v>
      </c>
      <c r="C8" s="5">
        <f>'09'!C35</f>
        <v>0</v>
      </c>
      <c r="D8" s="5">
        <f>'09'!D35</f>
        <v>0</v>
      </c>
      <c r="E8" s="5">
        <f>'09'!E35</f>
        <v>0</v>
      </c>
      <c r="F8" s="5">
        <f>'09'!F35</f>
        <v>0</v>
      </c>
      <c r="G8" s="5">
        <f>'09'!G35</f>
        <v>0</v>
      </c>
      <c r="H8" s="5" t="str">
        <f>'09'!H35</f>
        <v/>
      </c>
    </row>
    <row r="9" spans="1:8" x14ac:dyDescent="0.15">
      <c r="B9" s="6"/>
      <c r="C9" s="6"/>
      <c r="D9" s="6"/>
      <c r="E9" s="6"/>
      <c r="F9" s="6"/>
      <c r="G9" s="6"/>
      <c r="H9" s="6"/>
    </row>
    <row r="10" spans="1:8" x14ac:dyDescent="0.15">
      <c r="B10" s="6"/>
      <c r="C10" s="6"/>
      <c r="D10" s="6"/>
      <c r="E10" s="6"/>
      <c r="F10" s="6"/>
      <c r="G10" s="6"/>
      <c r="H10" s="6"/>
    </row>
    <row r="11" spans="1:8" s="3" customFormat="1" x14ac:dyDescent="0.15">
      <c r="B11" s="1" t="s">
        <v>5</v>
      </c>
      <c r="C11" s="1" t="s">
        <v>6</v>
      </c>
      <c r="D11" s="1" t="s">
        <v>7</v>
      </c>
      <c r="E11" s="1" t="s">
        <v>8</v>
      </c>
      <c r="F11" s="1" t="s">
        <v>15</v>
      </c>
      <c r="G11" s="1"/>
      <c r="H11" s="1"/>
    </row>
    <row r="12" spans="1:8" ht="18.75" x14ac:dyDescent="0.15">
      <c r="A12" s="4" t="s">
        <v>20</v>
      </c>
      <c r="B12" s="5">
        <f>SUM(B5:B8)</f>
        <v>0</v>
      </c>
      <c r="C12" s="5">
        <f>SUM(C5:D8)</f>
        <v>0</v>
      </c>
      <c r="D12" s="5">
        <f>SUM(E5:F8)</f>
        <v>0</v>
      </c>
      <c r="E12" s="5">
        <f>SUM(G5:G8)</f>
        <v>0</v>
      </c>
      <c r="F12" s="5">
        <f>SUM(B12:E12)</f>
        <v>0</v>
      </c>
      <c r="G12" s="7" t="s">
        <v>21</v>
      </c>
      <c r="H12" s="6" t="s">
        <v>22</v>
      </c>
    </row>
  </sheetData>
  <mergeCells count="3">
    <mergeCell ref="C3:D3"/>
    <mergeCell ref="E3:F3"/>
    <mergeCell ref="A1:H1"/>
  </mergeCells>
  <phoneticPr fontId="1"/>
  <pageMargins left="0.75" right="0.75" top="1" bottom="1" header="0.51200000000000001" footer="0.51200000000000001"/>
  <pageSetup paperSize="9" orientation="landscape" horizontalDpi="4294967293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49E4D-45B8-422F-B898-2FE1A1446926}">
  <dimension ref="A1:H36"/>
  <sheetViews>
    <sheetView tabSelected="1" zoomScaleNormal="100" workbookViewId="0">
      <selection activeCell="G7" sqref="G7"/>
    </sheetView>
  </sheetViews>
  <sheetFormatPr defaultRowHeight="17.25" x14ac:dyDescent="0.15"/>
  <cols>
    <col min="1" max="1" width="5.75" style="21" customWidth="1"/>
    <col min="2" max="4" width="13" style="21" customWidth="1"/>
    <col min="5" max="5" width="5.75" style="21" customWidth="1"/>
    <col min="6" max="8" width="13" style="21" customWidth="1"/>
    <col min="9" max="16384" width="9" style="21"/>
  </cols>
  <sheetData>
    <row r="1" spans="1:8" ht="32.25" customHeight="1" x14ac:dyDescent="0.15">
      <c r="A1" s="58" t="str">
        <f>"令和"&amp;'[1]A-1'!$E$9-2018&amp;"年度さけ残渣受入れ簿"</f>
        <v>令和9年度さけ残渣受入れ簿</v>
      </c>
      <c r="B1" s="58"/>
      <c r="C1" s="58"/>
      <c r="D1" s="58"/>
      <c r="E1" s="58"/>
      <c r="F1" s="58"/>
      <c r="G1" s="58"/>
      <c r="H1" s="58"/>
    </row>
    <row r="2" spans="1:8" ht="22.5" customHeight="1" x14ac:dyDescent="0.15">
      <c r="A2" s="22">
        <v>9</v>
      </c>
      <c r="B2" s="23" t="s">
        <v>9</v>
      </c>
      <c r="C2" s="22"/>
      <c r="D2" s="32" t="s">
        <v>12</v>
      </c>
      <c r="E2" s="22">
        <v>10</v>
      </c>
      <c r="F2" s="23" t="s">
        <v>9</v>
      </c>
      <c r="G2" s="22"/>
      <c r="H2" s="32" t="s">
        <v>12</v>
      </c>
    </row>
    <row r="3" spans="1:8" s="39" customFormat="1" ht="22.5" customHeight="1" x14ac:dyDescent="0.15">
      <c r="A3" s="38"/>
      <c r="B3" s="38" t="s">
        <v>23</v>
      </c>
      <c r="C3" s="38" t="s">
        <v>24</v>
      </c>
      <c r="D3" s="38" t="s">
        <v>25</v>
      </c>
      <c r="E3" s="38"/>
      <c r="F3" s="38" t="s">
        <v>23</v>
      </c>
      <c r="G3" s="38" t="s">
        <v>24</v>
      </c>
      <c r="H3" s="38" t="s">
        <v>25</v>
      </c>
    </row>
    <row r="4" spans="1:8" ht="22.5" customHeight="1" x14ac:dyDescent="0.15">
      <c r="A4" s="24">
        <v>1</v>
      </c>
      <c r="B4" s="25"/>
      <c r="C4" s="25"/>
      <c r="D4" s="25"/>
      <c r="E4" s="48">
        <v>1</v>
      </c>
      <c r="F4" s="25"/>
      <c r="G4" s="25"/>
      <c r="H4" s="25"/>
    </row>
    <row r="5" spans="1:8" ht="22.5" customHeight="1" x14ac:dyDescent="0.15">
      <c r="A5" s="36">
        <v>2</v>
      </c>
      <c r="B5" s="25"/>
      <c r="C5" s="25"/>
      <c r="D5" s="25"/>
      <c r="E5" s="51">
        <v>2</v>
      </c>
      <c r="F5" s="25"/>
      <c r="G5" s="25"/>
      <c r="H5" s="25"/>
    </row>
    <row r="6" spans="1:8" ht="22.5" customHeight="1" x14ac:dyDescent="0.15">
      <c r="A6" s="48">
        <v>3</v>
      </c>
      <c r="B6" s="25"/>
      <c r="C6" s="25"/>
      <c r="D6" s="25"/>
      <c r="E6" s="24">
        <v>3</v>
      </c>
      <c r="F6" s="25"/>
      <c r="G6" s="25"/>
      <c r="H6" s="25"/>
    </row>
    <row r="7" spans="1:8" ht="22.5" customHeight="1" x14ac:dyDescent="0.15">
      <c r="A7" s="24">
        <v>4</v>
      </c>
      <c r="B7" s="25"/>
      <c r="C7" s="25"/>
      <c r="D7" s="25"/>
      <c r="E7" s="24">
        <v>4</v>
      </c>
      <c r="F7" s="25"/>
      <c r="G7" s="25"/>
      <c r="H7" s="25"/>
    </row>
    <row r="8" spans="1:8" ht="22.5" customHeight="1" x14ac:dyDescent="0.15">
      <c r="A8" s="24">
        <v>5</v>
      </c>
      <c r="B8" s="25"/>
      <c r="C8" s="25"/>
      <c r="D8" s="25"/>
      <c r="E8" s="24">
        <v>5</v>
      </c>
      <c r="F8" s="25"/>
      <c r="G8" s="25"/>
      <c r="H8" s="25"/>
    </row>
    <row r="9" spans="1:8" ht="22.5" customHeight="1" x14ac:dyDescent="0.15">
      <c r="A9" s="24">
        <v>6</v>
      </c>
      <c r="B9" s="25"/>
      <c r="C9" s="25"/>
      <c r="D9" s="25"/>
      <c r="E9" s="24">
        <v>6</v>
      </c>
      <c r="F9" s="25"/>
      <c r="G9" s="25"/>
      <c r="H9" s="25"/>
    </row>
    <row r="10" spans="1:8" ht="22.5" customHeight="1" x14ac:dyDescent="0.15">
      <c r="A10" s="24">
        <v>7</v>
      </c>
      <c r="B10" s="25"/>
      <c r="C10" s="25"/>
      <c r="D10" s="25"/>
      <c r="E10" s="36">
        <v>7</v>
      </c>
      <c r="F10" s="25"/>
      <c r="G10" s="25"/>
      <c r="H10" s="25"/>
    </row>
    <row r="11" spans="1:8" ht="22.5" customHeight="1" x14ac:dyDescent="0.15">
      <c r="A11" s="28">
        <v>8</v>
      </c>
      <c r="B11" s="25"/>
      <c r="C11" s="25"/>
      <c r="D11" s="25"/>
      <c r="E11" s="48">
        <v>8</v>
      </c>
      <c r="F11" s="25"/>
      <c r="G11" s="25"/>
      <c r="H11" s="25"/>
    </row>
    <row r="12" spans="1:8" ht="22.5" customHeight="1" x14ac:dyDescent="0.15">
      <c r="A12" s="36">
        <v>9</v>
      </c>
      <c r="B12" s="25"/>
      <c r="C12" s="25"/>
      <c r="D12" s="25"/>
      <c r="E12" s="43">
        <v>9</v>
      </c>
      <c r="F12" s="25"/>
      <c r="G12" s="25"/>
      <c r="H12" s="25"/>
    </row>
    <row r="13" spans="1:8" ht="22.5" customHeight="1" x14ac:dyDescent="0.15">
      <c r="A13" s="48">
        <v>10</v>
      </c>
      <c r="B13" s="25"/>
      <c r="C13" s="25"/>
      <c r="D13" s="25"/>
      <c r="E13" s="50">
        <v>10</v>
      </c>
      <c r="F13" s="25"/>
      <c r="G13" s="25"/>
      <c r="H13" s="25"/>
    </row>
    <row r="14" spans="1:8" ht="22.5" customHeight="1" x14ac:dyDescent="0.15">
      <c r="A14" s="24">
        <v>11</v>
      </c>
      <c r="B14" s="25"/>
      <c r="C14" s="25"/>
      <c r="D14" s="25"/>
      <c r="E14" s="24">
        <v>11</v>
      </c>
      <c r="F14" s="25"/>
      <c r="G14" s="25"/>
      <c r="H14" s="25"/>
    </row>
    <row r="15" spans="1:8" ht="22.5" customHeight="1" x14ac:dyDescent="0.15">
      <c r="A15" s="24">
        <v>12</v>
      </c>
      <c r="B15" s="25"/>
      <c r="C15" s="25"/>
      <c r="D15" s="25"/>
      <c r="E15" s="24">
        <v>12</v>
      </c>
      <c r="F15" s="25"/>
      <c r="G15" s="25"/>
      <c r="H15" s="25"/>
    </row>
    <row r="16" spans="1:8" ht="22.5" customHeight="1" x14ac:dyDescent="0.15">
      <c r="A16" s="24">
        <v>13</v>
      </c>
      <c r="B16" s="25"/>
      <c r="C16" s="25"/>
      <c r="D16" s="25"/>
      <c r="E16" s="24">
        <v>13</v>
      </c>
      <c r="F16" s="25"/>
      <c r="G16" s="25"/>
      <c r="H16" s="25"/>
    </row>
    <row r="17" spans="1:8" ht="22.5" customHeight="1" x14ac:dyDescent="0.15">
      <c r="A17" s="24">
        <v>14</v>
      </c>
      <c r="B17" s="25"/>
      <c r="C17" s="25"/>
      <c r="D17" s="25"/>
      <c r="E17" s="36">
        <v>14</v>
      </c>
      <c r="F17" s="25"/>
      <c r="G17" s="25"/>
      <c r="H17" s="25"/>
    </row>
    <row r="18" spans="1:8" ht="22.5" customHeight="1" x14ac:dyDescent="0.15">
      <c r="A18" s="28">
        <v>15</v>
      </c>
      <c r="B18" s="25"/>
      <c r="C18" s="25"/>
      <c r="D18" s="25"/>
      <c r="E18" s="48">
        <v>15</v>
      </c>
      <c r="F18" s="25"/>
      <c r="G18" s="25"/>
      <c r="H18" s="25"/>
    </row>
    <row r="19" spans="1:8" ht="22.5" customHeight="1" x14ac:dyDescent="0.15">
      <c r="A19" s="36">
        <v>16</v>
      </c>
      <c r="B19" s="25"/>
      <c r="C19" s="25"/>
      <c r="D19" s="25"/>
      <c r="E19" s="28">
        <v>16</v>
      </c>
      <c r="F19" s="25"/>
      <c r="G19" s="25"/>
      <c r="H19" s="25"/>
    </row>
    <row r="20" spans="1:8" ht="22.5" customHeight="1" x14ac:dyDescent="0.15">
      <c r="A20" s="48">
        <v>17</v>
      </c>
      <c r="B20" s="25"/>
      <c r="C20" s="25"/>
      <c r="D20" s="25"/>
      <c r="E20" s="28">
        <v>17</v>
      </c>
      <c r="F20" s="25"/>
      <c r="G20" s="25"/>
      <c r="H20" s="25"/>
    </row>
    <row r="21" spans="1:8" ht="22.5" customHeight="1" x14ac:dyDescent="0.15">
      <c r="A21" s="42">
        <v>18</v>
      </c>
      <c r="B21" s="25"/>
      <c r="C21" s="25"/>
      <c r="D21" s="25"/>
      <c r="E21" s="24">
        <v>18</v>
      </c>
      <c r="F21" s="25"/>
      <c r="G21" s="25"/>
      <c r="H21" s="25"/>
    </row>
    <row r="22" spans="1:8" ht="22.5" customHeight="1" x14ac:dyDescent="0.15">
      <c r="A22" s="24">
        <v>19</v>
      </c>
      <c r="B22" s="25"/>
      <c r="C22" s="25"/>
      <c r="D22" s="25"/>
      <c r="E22" s="24">
        <v>19</v>
      </c>
      <c r="F22" s="25"/>
      <c r="G22" s="25"/>
      <c r="H22" s="25"/>
    </row>
    <row r="23" spans="1:8" ht="22.5" customHeight="1" x14ac:dyDescent="0.15">
      <c r="A23" s="24">
        <v>20</v>
      </c>
      <c r="B23" s="25"/>
      <c r="C23" s="41"/>
      <c r="D23" s="25"/>
      <c r="E23" s="24">
        <v>20</v>
      </c>
      <c r="F23" s="25"/>
      <c r="G23" s="25"/>
      <c r="H23" s="25"/>
    </row>
    <row r="24" spans="1:8" ht="22.5" customHeight="1" x14ac:dyDescent="0.15">
      <c r="A24" s="24">
        <v>21</v>
      </c>
      <c r="B24" s="25"/>
      <c r="C24" s="25"/>
      <c r="D24" s="25"/>
      <c r="E24" s="36">
        <v>21</v>
      </c>
      <c r="F24" s="25"/>
      <c r="G24" s="25"/>
      <c r="H24" s="25"/>
    </row>
    <row r="25" spans="1:8" ht="22.5" customHeight="1" x14ac:dyDescent="0.15">
      <c r="A25" s="28">
        <v>22</v>
      </c>
      <c r="B25" s="25"/>
      <c r="C25" s="25"/>
      <c r="D25" s="25"/>
      <c r="E25" s="48">
        <v>22</v>
      </c>
      <c r="F25" s="25"/>
      <c r="G25" s="25"/>
      <c r="H25" s="25"/>
    </row>
    <row r="26" spans="1:8" ht="22.5" customHeight="1" x14ac:dyDescent="0.15">
      <c r="A26" s="49">
        <v>23</v>
      </c>
      <c r="B26" s="25"/>
      <c r="C26" s="25"/>
      <c r="D26" s="25"/>
      <c r="E26" s="28">
        <v>23</v>
      </c>
      <c r="F26" s="25"/>
      <c r="G26" s="25"/>
      <c r="H26" s="25"/>
    </row>
    <row r="27" spans="1:8" ht="22.5" customHeight="1" x14ac:dyDescent="0.15">
      <c r="A27" s="48">
        <v>24</v>
      </c>
      <c r="B27" s="25"/>
      <c r="C27" s="25"/>
      <c r="D27" s="25"/>
      <c r="E27" s="28">
        <v>24</v>
      </c>
      <c r="F27" s="25"/>
      <c r="G27" s="25"/>
      <c r="H27" s="25"/>
    </row>
    <row r="28" spans="1:8" ht="22.5" customHeight="1" x14ac:dyDescent="0.15">
      <c r="A28" s="24">
        <v>25</v>
      </c>
      <c r="B28" s="25"/>
      <c r="C28" s="25"/>
      <c r="D28" s="25"/>
      <c r="E28" s="24">
        <v>25</v>
      </c>
      <c r="F28" s="25"/>
      <c r="G28" s="25"/>
      <c r="H28" s="25"/>
    </row>
    <row r="29" spans="1:8" ht="22.5" customHeight="1" x14ac:dyDescent="0.15">
      <c r="A29" s="24">
        <v>26</v>
      </c>
      <c r="B29" s="25"/>
      <c r="C29" s="25"/>
      <c r="D29" s="25"/>
      <c r="E29" s="24">
        <v>26</v>
      </c>
      <c r="F29" s="25"/>
      <c r="G29" s="25"/>
      <c r="H29" s="25"/>
    </row>
    <row r="30" spans="1:8" ht="22.5" customHeight="1" x14ac:dyDescent="0.15">
      <c r="A30" s="24">
        <v>27</v>
      </c>
      <c r="B30" s="25"/>
      <c r="C30" s="25"/>
      <c r="D30" s="25"/>
      <c r="E30" s="24">
        <v>27</v>
      </c>
      <c r="F30" s="25"/>
      <c r="G30" s="25"/>
      <c r="H30" s="25"/>
    </row>
    <row r="31" spans="1:8" ht="22.5" customHeight="1" x14ac:dyDescent="0.15">
      <c r="A31" s="24">
        <v>28</v>
      </c>
      <c r="B31" s="25"/>
      <c r="C31" s="25"/>
      <c r="D31" s="25"/>
      <c r="E31" s="36">
        <v>28</v>
      </c>
      <c r="F31" s="25"/>
      <c r="G31" s="25"/>
      <c r="H31" s="25"/>
    </row>
    <row r="32" spans="1:8" ht="22.5" customHeight="1" x14ac:dyDescent="0.15">
      <c r="A32" s="28">
        <v>29</v>
      </c>
      <c r="B32" s="25"/>
      <c r="C32" s="25"/>
      <c r="D32" s="25"/>
      <c r="E32" s="48">
        <v>29</v>
      </c>
      <c r="F32" s="25"/>
      <c r="G32" s="25"/>
      <c r="H32" s="25"/>
    </row>
    <row r="33" spans="1:8" ht="22.5" customHeight="1" x14ac:dyDescent="0.15">
      <c r="A33" s="36">
        <v>30</v>
      </c>
      <c r="B33" s="25"/>
      <c r="C33" s="25"/>
      <c r="D33" s="25"/>
      <c r="E33" s="28">
        <v>30</v>
      </c>
      <c r="F33" s="25"/>
      <c r="G33" s="25"/>
      <c r="H33" s="25"/>
    </row>
    <row r="34" spans="1:8" ht="22.5" customHeight="1" thickBot="1" x14ac:dyDescent="0.2">
      <c r="A34" s="26"/>
      <c r="B34" s="27"/>
      <c r="C34" s="27"/>
      <c r="D34" s="27"/>
      <c r="E34" s="26">
        <v>31</v>
      </c>
      <c r="F34" s="27"/>
      <c r="G34" s="27"/>
      <c r="H34" s="27"/>
    </row>
    <row r="35" spans="1:8" ht="22.5" customHeight="1" thickTop="1" x14ac:dyDescent="0.15">
      <c r="A35" s="28" t="s">
        <v>10</v>
      </c>
      <c r="B35" s="29">
        <f>SUM(B4:B34)</f>
        <v>0</v>
      </c>
      <c r="C35" s="29">
        <f>SUM(C4:C34)</f>
        <v>0</v>
      </c>
      <c r="D35" s="29">
        <f>SUM(D4:D34)</f>
        <v>0</v>
      </c>
      <c r="E35" s="28" t="s">
        <v>10</v>
      </c>
      <c r="F35" s="29">
        <f>SUM(F4:F34)</f>
        <v>0</v>
      </c>
      <c r="G35" s="29">
        <f>SUM(G4:G34)</f>
        <v>0</v>
      </c>
      <c r="H35" s="29">
        <f>SUM(H4:H34)</f>
        <v>0</v>
      </c>
    </row>
    <row r="36" spans="1:8" ht="20.25" customHeight="1" x14ac:dyDescent="0.15">
      <c r="A36" s="30"/>
      <c r="B36" s="31"/>
      <c r="C36" s="31"/>
      <c r="D36" s="31"/>
      <c r="E36" s="45" t="s">
        <v>20</v>
      </c>
      <c r="F36" s="25"/>
      <c r="G36" s="25"/>
      <c r="H36" s="46"/>
    </row>
  </sheetData>
  <mergeCells count="1">
    <mergeCell ref="A1:H1"/>
  </mergeCells>
  <phoneticPr fontId="1"/>
  <printOptions horizontalCentered="1" verticalCentered="1"/>
  <pageMargins left="0.59055118110236227" right="0.59055118110236227" top="0.78740157480314965" bottom="0.78740157480314965" header="0" footer="0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06</vt:lpstr>
      <vt:lpstr>07</vt:lpstr>
      <vt:lpstr>08</vt:lpstr>
      <vt:lpstr>09</vt:lpstr>
      <vt:lpstr>実績</vt:lpstr>
      <vt:lpstr>サケ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ごみ処理場</dc:creator>
  <cp:lastModifiedBy>Lay Hirosaki</cp:lastModifiedBy>
  <cp:lastPrinted>2017-09-11T04:46:46Z</cp:lastPrinted>
  <dcterms:created xsi:type="dcterms:W3CDTF">2011-05-20T01:18:05Z</dcterms:created>
  <dcterms:modified xsi:type="dcterms:W3CDTF">2026-03-17T00:25:23Z</dcterms:modified>
</cp:coreProperties>
</file>