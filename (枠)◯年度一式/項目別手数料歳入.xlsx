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13_ncr:1_{6273F4FF-DF2E-4BFF-93D6-1DF01D6445F4}" xr6:coauthVersionLast="47" xr6:coauthVersionMax="47" xr10:uidLastSave="{00000000-0000-0000-0000-000000000000}"/>
  <bookViews>
    <workbookView xWindow="390" yWindow="390" windowWidth="19395" windowHeight="15480" xr2:uid="{069F358C-EF73-42D0-BED5-2ED39B921C1F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0" i="1" l="1"/>
  <c r="N30" i="1"/>
  <c r="M30" i="1"/>
  <c r="L30" i="1"/>
  <c r="K30" i="1"/>
  <c r="J30" i="1"/>
  <c r="I30" i="1"/>
  <c r="H30" i="1"/>
  <c r="H37" i="1" s="1"/>
  <c r="G30" i="1"/>
  <c r="F30" i="1"/>
  <c r="E30" i="1"/>
  <c r="D30" i="1"/>
  <c r="P30" i="1" s="1"/>
  <c r="O29" i="1"/>
  <c r="O36" i="1" s="1"/>
  <c r="N29" i="1"/>
  <c r="N36" i="1" s="1"/>
  <c r="M29" i="1"/>
  <c r="M36" i="1" s="1"/>
  <c r="L29" i="1"/>
  <c r="L36" i="1" s="1"/>
  <c r="K29" i="1"/>
  <c r="J29" i="1"/>
  <c r="I29" i="1"/>
  <c r="H29" i="1"/>
  <c r="G29" i="1"/>
  <c r="F29" i="1"/>
  <c r="E29" i="1"/>
  <c r="D29" i="1"/>
  <c r="O28" i="1"/>
  <c r="N28" i="1"/>
  <c r="N35" i="1" s="1"/>
  <c r="M28" i="1"/>
  <c r="L28" i="1"/>
  <c r="L35" i="1" s="1"/>
  <c r="K28" i="1"/>
  <c r="K35" i="1" s="1"/>
  <c r="J28" i="1"/>
  <c r="J35" i="1" s="1"/>
  <c r="I28" i="1"/>
  <c r="I35" i="1" s="1"/>
  <c r="H28" i="1"/>
  <c r="H35" i="1" s="1"/>
  <c r="G28" i="1"/>
  <c r="F28" i="1"/>
  <c r="E28" i="1"/>
  <c r="E35" i="1" s="1"/>
  <c r="D28" i="1"/>
  <c r="O27" i="1"/>
  <c r="O34" i="1" s="1"/>
  <c r="N27" i="1"/>
  <c r="M27" i="1"/>
  <c r="L27" i="1"/>
  <c r="K27" i="1"/>
  <c r="J27" i="1"/>
  <c r="I27" i="1"/>
  <c r="I34" i="1" s="1"/>
  <c r="H27" i="1"/>
  <c r="G27" i="1"/>
  <c r="G34" i="1" s="1"/>
  <c r="F27" i="1"/>
  <c r="F34" i="1" s="1"/>
  <c r="E27" i="1"/>
  <c r="E34" i="1" s="1"/>
  <c r="D27" i="1"/>
  <c r="P27" i="1" s="1"/>
  <c r="O26" i="1"/>
  <c r="N26" i="1"/>
  <c r="M26" i="1"/>
  <c r="L26" i="1"/>
  <c r="L33" i="1" s="1"/>
  <c r="K26" i="1"/>
  <c r="K33" i="1" s="1"/>
  <c r="J26" i="1"/>
  <c r="J33" i="1" s="1"/>
  <c r="I26" i="1"/>
  <c r="H26" i="1"/>
  <c r="G26" i="1"/>
  <c r="F26" i="1"/>
  <c r="E26" i="1"/>
  <c r="E33" i="1" s="1"/>
  <c r="D26" i="1"/>
  <c r="P26" i="1" s="1"/>
  <c r="O25" i="1"/>
  <c r="O32" i="1" s="1"/>
  <c r="N25" i="1"/>
  <c r="N32" i="1" s="1"/>
  <c r="M25" i="1"/>
  <c r="M32" i="1" s="1"/>
  <c r="L25" i="1"/>
  <c r="L32" i="1" s="1"/>
  <c r="K25" i="1"/>
  <c r="J25" i="1"/>
  <c r="I25" i="1"/>
  <c r="H25" i="1"/>
  <c r="G25" i="1"/>
  <c r="G32" i="1" s="1"/>
  <c r="F25" i="1"/>
  <c r="F32" i="1" s="1"/>
  <c r="E25" i="1"/>
  <c r="D25" i="1"/>
  <c r="F3" i="1"/>
  <c r="E3" i="1"/>
  <c r="E7" i="1" s="1"/>
  <c r="D3" i="1"/>
  <c r="D7" i="1" s="1"/>
  <c r="G35" i="1"/>
  <c r="F35" i="1"/>
  <c r="O20" i="1"/>
  <c r="N20" i="1"/>
  <c r="M20" i="1"/>
  <c r="L20" i="1"/>
  <c r="K20" i="1"/>
  <c r="J20" i="1"/>
  <c r="I20" i="1"/>
  <c r="H20" i="1"/>
  <c r="G20" i="1"/>
  <c r="F20" i="1"/>
  <c r="E20" i="1"/>
  <c r="D20" i="1"/>
  <c r="O19" i="1"/>
  <c r="O21" i="1" s="1"/>
  <c r="N19" i="1"/>
  <c r="M19" i="1"/>
  <c r="L19" i="1"/>
  <c r="K19" i="1"/>
  <c r="J19" i="1"/>
  <c r="I19" i="1"/>
  <c r="H19" i="1"/>
  <c r="G19" i="1"/>
  <c r="F19" i="1"/>
  <c r="E19" i="1"/>
  <c r="D19" i="1"/>
  <c r="O18" i="1"/>
  <c r="N18" i="1"/>
  <c r="M18" i="1"/>
  <c r="M21" i="1" s="1"/>
  <c r="L18" i="1"/>
  <c r="K18" i="1"/>
  <c r="J18" i="1"/>
  <c r="I18" i="1"/>
  <c r="I21" i="1" s="1"/>
  <c r="H18" i="1"/>
  <c r="G18" i="1"/>
  <c r="F18" i="1"/>
  <c r="E18" i="1"/>
  <c r="D18" i="1"/>
  <c r="O16" i="1"/>
  <c r="N16" i="1"/>
  <c r="M16" i="1"/>
  <c r="L16" i="1"/>
  <c r="K16" i="1"/>
  <c r="J16" i="1"/>
  <c r="I16" i="1"/>
  <c r="H16" i="1"/>
  <c r="G16" i="1"/>
  <c r="F16" i="1"/>
  <c r="E16" i="1"/>
  <c r="D16" i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  <c r="O5" i="1"/>
  <c r="O9" i="1" s="1"/>
  <c r="N5" i="1"/>
  <c r="N9" i="1" s="1"/>
  <c r="M5" i="1"/>
  <c r="M9" i="1" s="1"/>
  <c r="L5" i="1"/>
  <c r="L9" i="1" s="1"/>
  <c r="K5" i="1"/>
  <c r="K9" i="1" s="1"/>
  <c r="J5" i="1"/>
  <c r="J9" i="1" s="1"/>
  <c r="I5" i="1"/>
  <c r="I9" i="1" s="1"/>
  <c r="H5" i="1"/>
  <c r="H9" i="1" s="1"/>
  <c r="G5" i="1"/>
  <c r="G9" i="1" s="1"/>
  <c r="F5" i="1"/>
  <c r="F9" i="1" s="1"/>
  <c r="E5" i="1"/>
  <c r="E9" i="1" s="1"/>
  <c r="D5" i="1"/>
  <c r="D9" i="1" s="1"/>
  <c r="O4" i="1"/>
  <c r="O8" i="1" s="1"/>
  <c r="N4" i="1"/>
  <c r="N8" i="1" s="1"/>
  <c r="M4" i="1"/>
  <c r="M8" i="1" s="1"/>
  <c r="L4" i="1"/>
  <c r="L8" i="1" s="1"/>
  <c r="K4" i="1"/>
  <c r="K8" i="1" s="1"/>
  <c r="J4" i="1"/>
  <c r="J8" i="1" s="1"/>
  <c r="I4" i="1"/>
  <c r="I8" i="1" s="1"/>
  <c r="H4" i="1"/>
  <c r="H8" i="1" s="1"/>
  <c r="G4" i="1"/>
  <c r="G8" i="1" s="1"/>
  <c r="F4" i="1"/>
  <c r="F8" i="1" s="1"/>
  <c r="E4" i="1"/>
  <c r="E8" i="1" s="1"/>
  <c r="D4" i="1"/>
  <c r="D8" i="1" s="1"/>
  <c r="O3" i="1"/>
  <c r="O7" i="1" s="1"/>
  <c r="N3" i="1"/>
  <c r="N7" i="1" s="1"/>
  <c r="M3" i="1"/>
  <c r="M7" i="1" s="1"/>
  <c r="L3" i="1"/>
  <c r="L7" i="1" s="1"/>
  <c r="K3" i="1"/>
  <c r="K7" i="1" s="1"/>
  <c r="J3" i="1"/>
  <c r="J7" i="1" s="1"/>
  <c r="I3" i="1"/>
  <c r="I7" i="1" s="1"/>
  <c r="H3" i="1"/>
  <c r="H7" i="1" s="1"/>
  <c r="G3" i="1"/>
  <c r="G7" i="1" s="1"/>
  <c r="F7" i="1"/>
  <c r="D32" i="1"/>
  <c r="E32" i="1"/>
  <c r="H32" i="1"/>
  <c r="I32" i="1"/>
  <c r="J32" i="1"/>
  <c r="K32" i="1"/>
  <c r="F33" i="1"/>
  <c r="G33" i="1"/>
  <c r="H33" i="1"/>
  <c r="I33" i="1"/>
  <c r="M33" i="1"/>
  <c r="N33" i="1"/>
  <c r="O33" i="1"/>
  <c r="J34" i="1"/>
  <c r="K34" i="1"/>
  <c r="L34" i="1"/>
  <c r="M34" i="1"/>
  <c r="N34" i="1"/>
  <c r="M35" i="1"/>
  <c r="O35" i="1"/>
  <c r="D36" i="1"/>
  <c r="E36" i="1"/>
  <c r="F36" i="1"/>
  <c r="G36" i="1"/>
  <c r="H36" i="1"/>
  <c r="I36" i="1"/>
  <c r="J36" i="1"/>
  <c r="K36" i="1"/>
  <c r="D37" i="1"/>
  <c r="E37" i="1"/>
  <c r="F37" i="1"/>
  <c r="G37" i="1"/>
  <c r="I37" i="1"/>
  <c r="J37" i="1"/>
  <c r="K37" i="1"/>
  <c r="L37" i="1"/>
  <c r="M37" i="1"/>
  <c r="N37" i="1"/>
  <c r="O37" i="1"/>
  <c r="G21" i="1"/>
  <c r="M38" i="1" l="1"/>
  <c r="P29" i="1"/>
  <c r="P25" i="1"/>
  <c r="I38" i="1"/>
  <c r="G38" i="1"/>
  <c r="O38" i="1"/>
  <c r="J38" i="1"/>
  <c r="P32" i="1"/>
  <c r="K38" i="1"/>
  <c r="D33" i="1"/>
  <c r="P28" i="1"/>
  <c r="D34" i="1"/>
  <c r="N38" i="1"/>
  <c r="P37" i="1"/>
  <c r="E21" i="1"/>
  <c r="F21" i="1"/>
  <c r="J21" i="1"/>
  <c r="K21" i="1"/>
  <c r="D21" i="1"/>
  <c r="H21" i="1"/>
  <c r="L21" i="1"/>
  <c r="P16" i="1"/>
  <c r="P7" i="1"/>
  <c r="P15" i="1"/>
  <c r="P20" i="1"/>
  <c r="P8" i="1"/>
  <c r="P3" i="1"/>
  <c r="P14" i="1"/>
  <c r="O10" i="1"/>
  <c r="O39" i="1" s="1"/>
  <c r="P5" i="1"/>
  <c r="E10" i="1"/>
  <c r="F10" i="1"/>
  <c r="P36" i="1"/>
  <c r="E38" i="1"/>
  <c r="P33" i="1"/>
  <c r="I10" i="1"/>
  <c r="I39" i="1" s="1"/>
  <c r="P9" i="1"/>
  <c r="G10" i="1"/>
  <c r="G39" i="1" s="1"/>
  <c r="H10" i="1"/>
  <c r="N10" i="1"/>
  <c r="L38" i="1"/>
  <c r="J10" i="1"/>
  <c r="J39" i="1" s="1"/>
  <c r="K10" i="1"/>
  <c r="L10" i="1"/>
  <c r="M10" i="1"/>
  <c r="M39" i="1" s="1"/>
  <c r="P18" i="1"/>
  <c r="P19" i="1"/>
  <c r="H34" i="1"/>
  <c r="H38" i="1" s="1"/>
  <c r="F38" i="1"/>
  <c r="D10" i="1"/>
  <c r="P4" i="1"/>
  <c r="D35" i="1"/>
  <c r="N21" i="1"/>
  <c r="P34" i="1" l="1"/>
  <c r="K39" i="1"/>
  <c r="F39" i="1"/>
  <c r="P10" i="1"/>
  <c r="N39" i="1"/>
  <c r="P21" i="1"/>
  <c r="H39" i="1"/>
  <c r="P35" i="1"/>
  <c r="P38" i="1" s="1"/>
  <c r="D38" i="1"/>
  <c r="D39" i="1" s="1"/>
  <c r="L39" i="1"/>
  <c r="E39" i="1"/>
  <c r="P39" i="1" l="1"/>
</calcChain>
</file>

<file path=xl/sharedStrings.xml><?xml version="1.0" encoding="utf-8"?>
<sst xmlns="http://schemas.openxmlformats.org/spreadsheetml/2006/main" count="79" uniqueCount="32">
  <si>
    <t>大</t>
    <rPh sb="0" eb="1">
      <t>ダイ</t>
    </rPh>
    <phoneticPr fontId="1"/>
  </si>
  <si>
    <t>中</t>
    <rPh sb="0" eb="1">
      <t>チュウ</t>
    </rPh>
    <phoneticPr fontId="1"/>
  </si>
  <si>
    <t>小</t>
    <rPh sb="0" eb="1">
      <t>ショウ</t>
    </rPh>
    <phoneticPr fontId="1"/>
  </si>
  <si>
    <t>４月</t>
    <rPh sb="1" eb="2">
      <t>ガツ</t>
    </rPh>
    <phoneticPr fontId="1"/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</si>
  <si>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</si>
  <si>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</si>
  <si>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</si>
  <si>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</si>
  <si>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</si>
  <si>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</si>
  <si>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</si>
  <si>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</si>
  <si>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</si>
  <si>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</si>
  <si>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</si>
  <si>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計</t>
    <rPh sb="0" eb="1">
      <t>ケイ</t>
    </rPh>
    <phoneticPr fontId="1"/>
  </si>
  <si>
    <t>件数</t>
    <rPh sb="0" eb="2">
      <t>ケンスウ</t>
    </rPh>
    <phoneticPr fontId="1"/>
  </si>
  <si>
    <t>金額</t>
    <rPh sb="0" eb="2">
      <t>キンガク</t>
    </rPh>
    <phoneticPr fontId="1"/>
  </si>
  <si>
    <t>区　分</t>
    <rPh sb="0" eb="1">
      <t>ク</t>
    </rPh>
    <rPh sb="2" eb="3">
      <t>ブン</t>
    </rPh>
    <phoneticPr fontId="1"/>
  </si>
  <si>
    <t>木くず</t>
    <rPh sb="0" eb="1">
      <t>キ</t>
    </rPh>
    <phoneticPr fontId="1"/>
  </si>
  <si>
    <t>動植物性</t>
    <rPh sb="0" eb="4">
      <t>ドウショクブツセイ</t>
    </rPh>
    <phoneticPr fontId="1"/>
  </si>
  <si>
    <t>医療系</t>
    <rPh sb="0" eb="2">
      <t>イリョウ</t>
    </rPh>
    <rPh sb="2" eb="3">
      <t>ケイ</t>
    </rPh>
    <phoneticPr fontId="1"/>
  </si>
  <si>
    <t>冷蔵庫</t>
    <rPh sb="0" eb="3">
      <t>レイゾウコ</t>
    </rPh>
    <phoneticPr fontId="1"/>
  </si>
  <si>
    <t>冷凍庫</t>
    <rPh sb="0" eb="3">
      <t>レイトウコ</t>
    </rPh>
    <phoneticPr fontId="1"/>
  </si>
  <si>
    <t>洗濯機</t>
    <rPh sb="0" eb="3">
      <t>センタクキ</t>
    </rPh>
    <phoneticPr fontId="1"/>
  </si>
  <si>
    <t>乾燥機</t>
    <rPh sb="0" eb="3">
      <t>カンソウキ</t>
    </rPh>
    <phoneticPr fontId="1"/>
  </si>
  <si>
    <t>総　計</t>
    <rPh sb="0" eb="1">
      <t>フサ</t>
    </rPh>
    <rPh sb="2" eb="3">
      <t>ケイ</t>
    </rPh>
    <phoneticPr fontId="1"/>
  </si>
  <si>
    <t>テレビ</t>
    <phoneticPr fontId="1"/>
  </si>
  <si>
    <t>エアコン</t>
    <phoneticPr fontId="1"/>
  </si>
  <si>
    <t>平成30年度  粗大ごみ処理手数料</t>
    <rPh sb="0" eb="2">
      <t>ヘイセイ</t>
    </rPh>
    <rPh sb="4" eb="5">
      <t>ネン</t>
    </rPh>
    <rPh sb="5" eb="6">
      <t>ド</t>
    </rPh>
    <rPh sb="8" eb="10">
      <t>ソダイ</t>
    </rPh>
    <rPh sb="12" eb="14">
      <t>ショリ</t>
    </rPh>
    <rPh sb="14" eb="17">
      <t>テスウリョウ</t>
    </rPh>
    <phoneticPr fontId="1"/>
  </si>
  <si>
    <t>平成30年度  あわせ処理産業廃棄物処理手数料</t>
    <rPh sb="0" eb="2">
      <t>ヘイセイ</t>
    </rPh>
    <rPh sb="4" eb="5">
      <t>ネン</t>
    </rPh>
    <rPh sb="5" eb="6">
      <t>ド</t>
    </rPh>
    <rPh sb="11" eb="13">
      <t>ショリ</t>
    </rPh>
    <rPh sb="13" eb="15">
      <t>サンギョウ</t>
    </rPh>
    <rPh sb="15" eb="18">
      <t>ハイキブツ</t>
    </rPh>
    <rPh sb="18" eb="20">
      <t>ショリ</t>
    </rPh>
    <rPh sb="20" eb="23">
      <t>テスウリョウ</t>
    </rPh>
    <phoneticPr fontId="1"/>
  </si>
  <si>
    <t>平成30年度  家電リサイクル収集運搬手数料</t>
    <rPh sb="0" eb="2">
      <t>ヘイセイ</t>
    </rPh>
    <rPh sb="4" eb="5">
      <t>ネン</t>
    </rPh>
    <rPh sb="5" eb="6">
      <t>ド</t>
    </rPh>
    <rPh sb="8" eb="10">
      <t>カデン</t>
    </rPh>
    <rPh sb="15" eb="17">
      <t>シュウシュウ</t>
    </rPh>
    <rPh sb="17" eb="19">
      <t>ウンパン</t>
    </rPh>
    <rPh sb="19" eb="22">
      <t>テスウリョウ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</si>
</sst>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#,###\)"/>
    <numFmt numFmtId="177" formatCode="#,##0_ "/>
    <numFmt numFmtId="178" formatCode="#,##0_ ;[Red]\-#,##0\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HGS創英角ｺﾞｼｯｸUB"/>
      <family val="3"/>
      <charset val="128"/>
    </font>
    <font>
      <sz val="8"/>
      <name val="HGS創英角ｺﾞｼｯｸUB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2" xfId="0" applyNumberFormat="1" applyFont="1" applyBorder="1" applyAlignment="1">
      <alignment vertical="center"/>
    </xf>
    <xf numFmtId="177" fontId="2" fillId="0" borderId="3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178" fontId="2" fillId="0" borderId="3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&#31895;&#22823;&#21407;&#31807;.xlsx" TargetMode="External"/><Relationship Id="rId1" Type="http://schemas.openxmlformats.org/officeDocument/2006/relationships/externalLinkPath" Target="&#31895;&#22823;&#21407;&#31807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&#29987;&#24259;&#21407;&#31807;.xlsx" TargetMode="External"/><Relationship Id="rId1" Type="http://schemas.openxmlformats.org/officeDocument/2006/relationships/externalLinkPath" Target="&#29987;&#24259;&#21407;&#3180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3478;&#38651;&#21407;&#318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調定04"/>
      <sheetName val="調定05"/>
      <sheetName val="調定06"/>
      <sheetName val="調定07"/>
      <sheetName val="調定08"/>
      <sheetName val="調定09"/>
      <sheetName val="調定10"/>
      <sheetName val="調定11"/>
      <sheetName val="調定12"/>
      <sheetName val="調定01"/>
      <sheetName val="調定02"/>
      <sheetName val="調定03"/>
      <sheetName val="収入原簿"/>
    </sheetNames>
    <sheetDataSet>
      <sheetData sheetId="0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1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  <row r="183">
          <cell r="E183" t="str">
            <v>（粗大ごみ）</v>
          </cell>
          <cell r="F183"/>
          <cell r="G183"/>
        </row>
        <row r="184">
          <cell r="E184" t="str">
            <v>30Ｋｇ以下</v>
          </cell>
          <cell r="F184" t="str">
            <v>30ｋｇ～50ｋｇ</v>
          </cell>
          <cell r="G184" t="str">
            <v>50ｋｇ以上</v>
          </cell>
        </row>
        <row r="185">
          <cell r="E185" t="str">
            <v>500 （小）</v>
          </cell>
          <cell r="F185" t="str">
            <v>800 （中）</v>
          </cell>
          <cell r="G185" t="str">
            <v>1,000（大）</v>
          </cell>
        </row>
        <row r="186">
          <cell r="E186"/>
          <cell r="F186"/>
          <cell r="G186"/>
        </row>
        <row r="187">
          <cell r="E187"/>
          <cell r="F187"/>
          <cell r="G187"/>
        </row>
        <row r="188">
          <cell r="E188"/>
          <cell r="F188"/>
          <cell r="G188"/>
        </row>
        <row r="189">
          <cell r="E189"/>
          <cell r="F189"/>
          <cell r="G189"/>
        </row>
        <row r="190">
          <cell r="E190"/>
          <cell r="F190"/>
          <cell r="G190"/>
        </row>
        <row r="191">
          <cell r="E191"/>
          <cell r="F191"/>
          <cell r="G191"/>
        </row>
        <row r="192">
          <cell r="E192"/>
          <cell r="F192"/>
          <cell r="G192"/>
        </row>
        <row r="193">
          <cell r="E193"/>
          <cell r="F193"/>
          <cell r="G193"/>
        </row>
        <row r="194">
          <cell r="E194"/>
          <cell r="F194"/>
          <cell r="G194"/>
        </row>
        <row r="195">
          <cell r="E195"/>
          <cell r="F195"/>
          <cell r="G195"/>
        </row>
        <row r="197">
          <cell r="E197" t="str">
            <v>（粗大ごみ）</v>
          </cell>
          <cell r="F197"/>
          <cell r="G197"/>
        </row>
        <row r="198">
          <cell r="E198" t="str">
            <v>30Ｋｇ以下</v>
          </cell>
          <cell r="F198" t="str">
            <v>30ｋｇ～50ｋｇ</v>
          </cell>
          <cell r="G198" t="str">
            <v>50ｋｇ以上</v>
          </cell>
        </row>
        <row r="199">
          <cell r="E199" t="str">
            <v>500 （小）</v>
          </cell>
          <cell r="F199" t="str">
            <v>800 （中）</v>
          </cell>
          <cell r="G199" t="str">
            <v>1,000（大）</v>
          </cell>
        </row>
        <row r="200">
          <cell r="E200"/>
          <cell r="F200"/>
          <cell r="G200"/>
        </row>
        <row r="201">
          <cell r="E201"/>
          <cell r="F201"/>
          <cell r="G201"/>
        </row>
        <row r="202">
          <cell r="E202"/>
          <cell r="F202"/>
          <cell r="G202"/>
        </row>
        <row r="203">
          <cell r="E203"/>
          <cell r="F203"/>
          <cell r="G203"/>
        </row>
        <row r="204">
          <cell r="E204"/>
          <cell r="F204"/>
          <cell r="G204"/>
        </row>
        <row r="205">
          <cell r="E205"/>
          <cell r="F205"/>
          <cell r="G205"/>
        </row>
        <row r="206">
          <cell r="E206"/>
          <cell r="F206"/>
          <cell r="G206"/>
        </row>
        <row r="207">
          <cell r="E207"/>
          <cell r="F207"/>
          <cell r="G207"/>
        </row>
        <row r="208">
          <cell r="E208"/>
          <cell r="F208"/>
          <cell r="G208"/>
        </row>
        <row r="209">
          <cell r="E209"/>
          <cell r="F209"/>
          <cell r="G209"/>
        </row>
        <row r="211">
          <cell r="E211" t="str">
            <v>（粗大ごみ）</v>
          </cell>
          <cell r="F211"/>
          <cell r="G211"/>
        </row>
        <row r="212">
          <cell r="E212" t="str">
            <v>30Ｋｇ以下</v>
          </cell>
          <cell r="F212" t="str">
            <v>30ｋｇ～50ｋｇ</v>
          </cell>
          <cell r="G212" t="str">
            <v>50ｋｇ以上</v>
          </cell>
        </row>
        <row r="213">
          <cell r="E213" t="str">
            <v>500 （小）</v>
          </cell>
          <cell r="F213" t="str">
            <v>800 （中）</v>
          </cell>
          <cell r="G213" t="str">
            <v>1,000（大）</v>
          </cell>
        </row>
        <row r="214">
          <cell r="E214"/>
          <cell r="F214"/>
          <cell r="G214"/>
        </row>
        <row r="215">
          <cell r="E215"/>
          <cell r="F215"/>
          <cell r="G215"/>
        </row>
        <row r="216">
          <cell r="E216"/>
          <cell r="F216"/>
          <cell r="G216"/>
        </row>
        <row r="217">
          <cell r="E217"/>
          <cell r="F217"/>
          <cell r="G217"/>
        </row>
        <row r="218">
          <cell r="E218"/>
          <cell r="F218"/>
          <cell r="G218"/>
        </row>
        <row r="219">
          <cell r="E219"/>
          <cell r="F219"/>
          <cell r="G219"/>
        </row>
        <row r="220">
          <cell r="E220"/>
          <cell r="F220"/>
          <cell r="G220"/>
        </row>
        <row r="221">
          <cell r="E221"/>
          <cell r="F221"/>
          <cell r="G221"/>
        </row>
        <row r="222">
          <cell r="E222"/>
          <cell r="F222"/>
          <cell r="G222"/>
        </row>
        <row r="223">
          <cell r="E223"/>
          <cell r="F223"/>
          <cell r="G223"/>
        </row>
        <row r="225">
          <cell r="E225" t="str">
            <v>（粗大ごみ）</v>
          </cell>
          <cell r="F225"/>
          <cell r="G225"/>
        </row>
        <row r="226">
          <cell r="E226" t="str">
            <v>30Ｋｇ以下</v>
          </cell>
          <cell r="F226" t="str">
            <v>30ｋｇ～50ｋｇ</v>
          </cell>
          <cell r="G226" t="str">
            <v>50ｋｇ以上</v>
          </cell>
        </row>
        <row r="227">
          <cell r="E227" t="str">
            <v>500 （小）</v>
          </cell>
          <cell r="F227" t="str">
            <v>800 （中）</v>
          </cell>
          <cell r="G227" t="str">
            <v>1,000（大）</v>
          </cell>
        </row>
        <row r="228">
          <cell r="E228"/>
          <cell r="F228"/>
          <cell r="G228"/>
        </row>
        <row r="229">
          <cell r="E229"/>
          <cell r="F229"/>
          <cell r="G229"/>
        </row>
        <row r="230">
          <cell r="E230"/>
          <cell r="F230"/>
          <cell r="G230"/>
        </row>
        <row r="231">
          <cell r="E231"/>
          <cell r="F231"/>
          <cell r="G231"/>
        </row>
        <row r="232">
          <cell r="E232"/>
          <cell r="F232"/>
          <cell r="G232"/>
        </row>
        <row r="233">
          <cell r="E233"/>
          <cell r="F233"/>
          <cell r="G233"/>
        </row>
        <row r="234">
          <cell r="E234"/>
          <cell r="F234"/>
          <cell r="G234"/>
        </row>
        <row r="235">
          <cell r="E235"/>
          <cell r="F235"/>
          <cell r="G235"/>
        </row>
        <row r="236">
          <cell r="E236"/>
          <cell r="F236"/>
          <cell r="G236"/>
        </row>
        <row r="237">
          <cell r="E237"/>
          <cell r="F237"/>
          <cell r="G237"/>
        </row>
        <row r="239">
          <cell r="E239" t="str">
            <v>（粗大ごみ）</v>
          </cell>
          <cell r="F239"/>
          <cell r="G239"/>
        </row>
        <row r="240">
          <cell r="E240" t="str">
            <v>30Ｋｇ以下</v>
          </cell>
          <cell r="F240" t="str">
            <v>30ｋｇ～50ｋｇ</v>
          </cell>
          <cell r="G240" t="str">
            <v>50ｋｇ以上</v>
          </cell>
        </row>
        <row r="241">
          <cell r="E241" t="str">
            <v>500 （小）</v>
          </cell>
          <cell r="F241" t="str">
            <v>800 （中）</v>
          </cell>
          <cell r="G241" t="str">
            <v>1,000（大）</v>
          </cell>
        </row>
        <row r="242">
          <cell r="E242"/>
          <cell r="F242"/>
          <cell r="G242"/>
        </row>
        <row r="243">
          <cell r="E243"/>
          <cell r="F243"/>
          <cell r="G243"/>
        </row>
        <row r="244">
          <cell r="E244"/>
          <cell r="F244"/>
          <cell r="G244"/>
        </row>
        <row r="245">
          <cell r="E245"/>
          <cell r="F245"/>
          <cell r="G245"/>
        </row>
        <row r="246">
          <cell r="E246"/>
          <cell r="F246"/>
          <cell r="G246"/>
        </row>
        <row r="247">
          <cell r="E247"/>
          <cell r="F247"/>
          <cell r="G247"/>
        </row>
        <row r="248">
          <cell r="E248"/>
          <cell r="F248"/>
          <cell r="G248"/>
        </row>
        <row r="249">
          <cell r="E249"/>
          <cell r="F249"/>
          <cell r="G249"/>
        </row>
        <row r="250">
          <cell r="E250"/>
          <cell r="F250"/>
          <cell r="G250"/>
        </row>
        <row r="251">
          <cell r="E251"/>
          <cell r="F251"/>
          <cell r="G251"/>
        </row>
        <row r="253">
          <cell r="E253" t="str">
            <v>（粗大ごみ）</v>
          </cell>
          <cell r="F253"/>
          <cell r="G253"/>
        </row>
        <row r="254">
          <cell r="E254" t="str">
            <v>30Ｋｇ以下</v>
          </cell>
          <cell r="F254" t="str">
            <v>30ｋｇ～50ｋｇ</v>
          </cell>
          <cell r="G254" t="str">
            <v>50ｋｇ以上</v>
          </cell>
        </row>
        <row r="255">
          <cell r="E255" t="str">
            <v>500 （小）</v>
          </cell>
          <cell r="F255" t="str">
            <v>800 （中）</v>
          </cell>
          <cell r="G255" t="str">
            <v>1,000（大）</v>
          </cell>
        </row>
        <row r="256">
          <cell r="E256"/>
          <cell r="F256"/>
          <cell r="G256"/>
        </row>
        <row r="257">
          <cell r="E257"/>
          <cell r="F257"/>
          <cell r="G257"/>
        </row>
        <row r="258">
          <cell r="E258"/>
          <cell r="F258"/>
          <cell r="G258"/>
        </row>
        <row r="259">
          <cell r="E259"/>
          <cell r="F259"/>
          <cell r="G259"/>
        </row>
        <row r="260">
          <cell r="E260"/>
          <cell r="F260"/>
          <cell r="G260"/>
        </row>
        <row r="261">
          <cell r="E261"/>
          <cell r="F261"/>
          <cell r="G261"/>
        </row>
        <row r="262">
          <cell r="E262"/>
          <cell r="F262"/>
          <cell r="G262"/>
        </row>
        <row r="263">
          <cell r="E263"/>
          <cell r="F263"/>
          <cell r="G263"/>
        </row>
        <row r="264">
          <cell r="E264"/>
          <cell r="F264"/>
          <cell r="G264"/>
        </row>
        <row r="265">
          <cell r="E265"/>
          <cell r="F265"/>
          <cell r="G265"/>
        </row>
        <row r="267">
          <cell r="E267" t="str">
            <v>（粗大ごみ）</v>
          </cell>
          <cell r="F267"/>
          <cell r="G267"/>
        </row>
        <row r="268">
          <cell r="E268" t="str">
            <v>30Ｋｇ以下</v>
          </cell>
          <cell r="F268" t="str">
            <v>30ｋｇ～50ｋｇ</v>
          </cell>
          <cell r="G268" t="str">
            <v>50ｋｇ以上</v>
          </cell>
        </row>
        <row r="269">
          <cell r="E269" t="str">
            <v>500 （小）</v>
          </cell>
          <cell r="F269" t="str">
            <v>800 （中）</v>
          </cell>
          <cell r="G269" t="str">
            <v>1,000（大）</v>
          </cell>
        </row>
        <row r="270">
          <cell r="E270"/>
          <cell r="F270"/>
          <cell r="G270"/>
        </row>
        <row r="271">
          <cell r="E271"/>
          <cell r="F271"/>
          <cell r="G271"/>
        </row>
        <row r="272">
          <cell r="E272"/>
          <cell r="F272"/>
          <cell r="G272"/>
        </row>
        <row r="273">
          <cell r="E273"/>
          <cell r="F273"/>
          <cell r="G273"/>
        </row>
        <row r="274">
          <cell r="E274"/>
          <cell r="F274"/>
          <cell r="G274"/>
        </row>
        <row r="275">
          <cell r="E275"/>
          <cell r="F275"/>
          <cell r="G275"/>
        </row>
        <row r="276">
          <cell r="E276"/>
          <cell r="F276"/>
          <cell r="G276"/>
        </row>
        <row r="277">
          <cell r="E277"/>
          <cell r="F277"/>
          <cell r="G277"/>
        </row>
        <row r="278">
          <cell r="E278"/>
          <cell r="F278"/>
          <cell r="G278"/>
        </row>
        <row r="279">
          <cell r="E279"/>
          <cell r="F279"/>
          <cell r="G279"/>
        </row>
        <row r="281">
          <cell r="E281" t="str">
            <v>（粗大ごみ）</v>
          </cell>
          <cell r="F281"/>
          <cell r="G281"/>
        </row>
        <row r="282">
          <cell r="E282" t="str">
            <v>30Ｋｇ以下</v>
          </cell>
          <cell r="F282" t="str">
            <v>30ｋｇ～50ｋｇ</v>
          </cell>
          <cell r="G282" t="str">
            <v>50ｋｇ以上</v>
          </cell>
        </row>
        <row r="283">
          <cell r="E283" t="str">
            <v>500 （小）</v>
          </cell>
          <cell r="F283" t="str">
            <v>800 （中）</v>
          </cell>
          <cell r="G283" t="str">
            <v>1,000（大）</v>
          </cell>
        </row>
        <row r="284">
          <cell r="E284"/>
          <cell r="F284"/>
          <cell r="G284"/>
        </row>
        <row r="285">
          <cell r="E285"/>
          <cell r="F285"/>
          <cell r="G285"/>
        </row>
        <row r="286">
          <cell r="E286"/>
          <cell r="F286"/>
          <cell r="G286"/>
        </row>
        <row r="287">
          <cell r="E287"/>
          <cell r="F287"/>
          <cell r="G287"/>
        </row>
        <row r="288">
          <cell r="E288"/>
          <cell r="F288"/>
          <cell r="G288"/>
        </row>
        <row r="289">
          <cell r="E289"/>
          <cell r="F289"/>
          <cell r="G289"/>
        </row>
        <row r="290">
          <cell r="E290"/>
          <cell r="F290"/>
          <cell r="G290"/>
        </row>
        <row r="291">
          <cell r="E291"/>
          <cell r="F291"/>
          <cell r="G291"/>
        </row>
        <row r="292">
          <cell r="E292"/>
          <cell r="F292"/>
          <cell r="G292"/>
        </row>
        <row r="293">
          <cell r="E293"/>
          <cell r="F293"/>
          <cell r="G293"/>
        </row>
        <row r="295">
          <cell r="E295" t="str">
            <v>（粗大ごみ）</v>
          </cell>
          <cell r="F295"/>
          <cell r="G295"/>
        </row>
        <row r="296">
          <cell r="E296" t="str">
            <v>30Ｋｇ以下</v>
          </cell>
          <cell r="F296" t="str">
            <v>30ｋｇ～50ｋｇ</v>
          </cell>
          <cell r="G296" t="str">
            <v>50ｋｇ以上</v>
          </cell>
        </row>
        <row r="297">
          <cell r="E297" t="str">
            <v>500 （小）</v>
          </cell>
          <cell r="F297" t="str">
            <v>800 （中）</v>
          </cell>
          <cell r="G297" t="str">
            <v>1,000（大）</v>
          </cell>
        </row>
        <row r="298">
          <cell r="E298"/>
          <cell r="F298"/>
          <cell r="G298"/>
        </row>
        <row r="299">
          <cell r="E299"/>
          <cell r="F299"/>
          <cell r="G299"/>
        </row>
        <row r="300">
          <cell r="E300"/>
          <cell r="F300"/>
          <cell r="G300"/>
        </row>
        <row r="301">
          <cell r="E301"/>
          <cell r="F301"/>
          <cell r="G301"/>
        </row>
        <row r="302">
          <cell r="E302"/>
          <cell r="F302"/>
          <cell r="G302"/>
        </row>
        <row r="303">
          <cell r="E303"/>
          <cell r="F303"/>
          <cell r="G303"/>
        </row>
        <row r="304">
          <cell r="E304"/>
          <cell r="F304"/>
          <cell r="G304"/>
        </row>
        <row r="305">
          <cell r="E305"/>
          <cell r="F305"/>
          <cell r="G305"/>
        </row>
        <row r="306">
          <cell r="E306"/>
          <cell r="F306"/>
          <cell r="G306"/>
        </row>
        <row r="307">
          <cell r="E307"/>
          <cell r="F307"/>
          <cell r="G307"/>
        </row>
        <row r="309">
          <cell r="E309" t="str">
            <v>（粗大ごみ）</v>
          </cell>
          <cell r="F309"/>
          <cell r="G309"/>
        </row>
        <row r="310">
          <cell r="E310" t="str">
            <v>30Ｋｇ以下</v>
          </cell>
          <cell r="F310" t="str">
            <v>30ｋｇ～50ｋｇ</v>
          </cell>
          <cell r="G310" t="str">
            <v>50ｋｇ以上</v>
          </cell>
        </row>
        <row r="311">
          <cell r="E311" t="str">
            <v>500 （小）</v>
          </cell>
          <cell r="F311" t="str">
            <v>800 （中）</v>
          </cell>
          <cell r="G311" t="str">
            <v>1,000（大）</v>
          </cell>
        </row>
        <row r="312">
          <cell r="E312"/>
          <cell r="F312"/>
          <cell r="G312"/>
        </row>
        <row r="313">
          <cell r="E313"/>
          <cell r="F313"/>
          <cell r="G313"/>
        </row>
        <row r="314">
          <cell r="E314"/>
          <cell r="F314"/>
          <cell r="G314"/>
        </row>
        <row r="315">
          <cell r="E315"/>
          <cell r="F315"/>
          <cell r="G315"/>
        </row>
        <row r="316">
          <cell r="E316"/>
          <cell r="F316"/>
          <cell r="G316"/>
        </row>
        <row r="317">
          <cell r="E317"/>
          <cell r="F317"/>
          <cell r="G317"/>
        </row>
        <row r="318">
          <cell r="E318"/>
          <cell r="F318"/>
          <cell r="G318"/>
        </row>
        <row r="319">
          <cell r="E319"/>
          <cell r="F319"/>
          <cell r="G319"/>
        </row>
        <row r="320">
          <cell r="E320"/>
          <cell r="F320"/>
          <cell r="G320"/>
        </row>
        <row r="321">
          <cell r="E321"/>
          <cell r="F321"/>
          <cell r="G321"/>
        </row>
        <row r="323">
          <cell r="E323" t="str">
            <v>（粗大ごみ）</v>
          </cell>
          <cell r="F323"/>
          <cell r="G323"/>
        </row>
        <row r="324">
          <cell r="E324" t="str">
            <v>30Ｋｇ以下</v>
          </cell>
          <cell r="F324" t="str">
            <v>30ｋｇ～50ｋｇ</v>
          </cell>
          <cell r="G324" t="str">
            <v>50ｋｇ以上</v>
          </cell>
        </row>
        <row r="325">
          <cell r="E325" t="str">
            <v>500 （小）</v>
          </cell>
          <cell r="F325" t="str">
            <v>800 （中）</v>
          </cell>
          <cell r="G325" t="str">
            <v>1,000（大）</v>
          </cell>
        </row>
        <row r="326">
          <cell r="E326"/>
          <cell r="F326"/>
          <cell r="G326"/>
        </row>
        <row r="327">
          <cell r="E327"/>
          <cell r="F327"/>
          <cell r="G327"/>
        </row>
        <row r="328">
          <cell r="E328"/>
          <cell r="F328"/>
          <cell r="G328"/>
        </row>
        <row r="329">
          <cell r="E329"/>
          <cell r="F329"/>
          <cell r="G329"/>
        </row>
        <row r="330">
          <cell r="E330"/>
          <cell r="F330"/>
          <cell r="G330"/>
        </row>
        <row r="331">
          <cell r="E331"/>
          <cell r="F331"/>
          <cell r="G331"/>
        </row>
        <row r="332">
          <cell r="E332"/>
          <cell r="F332"/>
          <cell r="G332"/>
        </row>
        <row r="333">
          <cell r="E333"/>
          <cell r="F333"/>
          <cell r="G333"/>
        </row>
        <row r="334">
          <cell r="E334"/>
          <cell r="F334"/>
          <cell r="G334"/>
        </row>
        <row r="335">
          <cell r="E335"/>
          <cell r="F335"/>
          <cell r="G335"/>
        </row>
        <row r="337">
          <cell r="E337" t="str">
            <v>（粗大ごみ）</v>
          </cell>
          <cell r="F337"/>
          <cell r="G337"/>
        </row>
        <row r="338">
          <cell r="E338" t="str">
            <v>30Ｋｇ以下</v>
          </cell>
          <cell r="F338" t="str">
            <v>30ｋｇ～50ｋｇ</v>
          </cell>
          <cell r="G338" t="str">
            <v>50ｋｇ以上</v>
          </cell>
        </row>
        <row r="339">
          <cell r="E339" t="str">
            <v>500 （小）</v>
          </cell>
          <cell r="F339" t="str">
            <v>800 （中）</v>
          </cell>
          <cell r="G339" t="str">
            <v>1,000（大）</v>
          </cell>
        </row>
        <row r="340">
          <cell r="E340"/>
          <cell r="F340"/>
          <cell r="G340"/>
        </row>
        <row r="341">
          <cell r="E341"/>
          <cell r="F341"/>
          <cell r="G341"/>
        </row>
        <row r="342">
          <cell r="E342"/>
          <cell r="F342"/>
          <cell r="G342"/>
        </row>
        <row r="343">
          <cell r="E343"/>
          <cell r="F343"/>
          <cell r="G343"/>
        </row>
        <row r="344">
          <cell r="E344"/>
          <cell r="F344"/>
          <cell r="G344"/>
        </row>
        <row r="345">
          <cell r="E345"/>
          <cell r="F345"/>
          <cell r="G345"/>
        </row>
        <row r="346">
          <cell r="E346"/>
          <cell r="F346"/>
          <cell r="G346"/>
        </row>
        <row r="347">
          <cell r="E347"/>
          <cell r="F347"/>
          <cell r="G347"/>
        </row>
        <row r="348">
          <cell r="E348"/>
          <cell r="F348"/>
          <cell r="G348"/>
        </row>
        <row r="349">
          <cell r="E349"/>
          <cell r="F349"/>
          <cell r="G349"/>
        </row>
        <row r="351">
          <cell r="E351" t="str">
            <v>（粗大ごみ）</v>
          </cell>
          <cell r="F351"/>
          <cell r="G351"/>
        </row>
        <row r="352">
          <cell r="E352" t="str">
            <v>30Ｋｇ以下</v>
          </cell>
          <cell r="F352" t="str">
            <v>30ｋｇ～50ｋｇ</v>
          </cell>
          <cell r="G352" t="str">
            <v>50ｋｇ以上</v>
          </cell>
        </row>
        <row r="353">
          <cell r="E353" t="str">
            <v>500 （小）</v>
          </cell>
          <cell r="F353" t="str">
            <v>800 （中）</v>
          </cell>
          <cell r="G353" t="str">
            <v>1,000（大）</v>
          </cell>
        </row>
        <row r="354">
          <cell r="E354"/>
          <cell r="F354"/>
          <cell r="G354"/>
        </row>
        <row r="355">
          <cell r="E355"/>
          <cell r="F355"/>
          <cell r="G355"/>
        </row>
        <row r="356">
          <cell r="E356"/>
          <cell r="F356"/>
          <cell r="G356"/>
        </row>
        <row r="357">
          <cell r="E357"/>
          <cell r="F357"/>
          <cell r="G357"/>
        </row>
        <row r="358">
          <cell r="E358"/>
          <cell r="F358"/>
          <cell r="G358"/>
        </row>
        <row r="359">
          <cell r="E359"/>
          <cell r="F359"/>
          <cell r="G359"/>
        </row>
        <row r="360">
          <cell r="E360"/>
          <cell r="F360"/>
          <cell r="G360"/>
        </row>
        <row r="361">
          <cell r="E361"/>
          <cell r="F361"/>
          <cell r="G361"/>
        </row>
        <row r="362">
          <cell r="E362"/>
          <cell r="F362"/>
          <cell r="G362"/>
        </row>
        <row r="363">
          <cell r="E363"/>
          <cell r="F363"/>
          <cell r="G363"/>
        </row>
      </sheetData>
      <sheetData sheetId="2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3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4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5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6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7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 t="str">
            <v>（粗大ごみ）</v>
          </cell>
          <cell r="F127"/>
          <cell r="G127"/>
        </row>
        <row r="128">
          <cell r="E128" t="str">
            <v>30Ｋｇ以下</v>
          </cell>
          <cell r="F128" t="str">
            <v>30ｋｇ～50ｋｇ</v>
          </cell>
          <cell r="G128" t="str">
            <v>50ｋｇ以上</v>
          </cell>
        </row>
        <row r="129">
          <cell r="E129" t="str">
            <v>500 （小）</v>
          </cell>
          <cell r="F129" t="str">
            <v>800 （中）</v>
          </cell>
          <cell r="G129" t="str">
            <v>1,000（大）</v>
          </cell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  <row r="183">
          <cell r="E183" t="str">
            <v>（粗大ごみ）</v>
          </cell>
          <cell r="F183"/>
          <cell r="G183"/>
        </row>
        <row r="184">
          <cell r="E184" t="str">
            <v>30Ｋｇ以下</v>
          </cell>
          <cell r="F184" t="str">
            <v>30ｋｇ～50ｋｇ</v>
          </cell>
          <cell r="G184" t="str">
            <v>50ｋｇ以上</v>
          </cell>
        </row>
        <row r="185">
          <cell r="E185" t="str">
            <v>500 （小）</v>
          </cell>
          <cell r="F185" t="str">
            <v>800 （中）</v>
          </cell>
          <cell r="G185" t="str">
            <v>1,000（大）</v>
          </cell>
        </row>
        <row r="186">
          <cell r="E186"/>
          <cell r="F186"/>
          <cell r="G186"/>
        </row>
        <row r="187">
          <cell r="E187"/>
          <cell r="F187"/>
          <cell r="G187"/>
        </row>
        <row r="188">
          <cell r="E188"/>
          <cell r="F188"/>
          <cell r="G188"/>
        </row>
        <row r="189">
          <cell r="E189"/>
          <cell r="F189"/>
          <cell r="G189"/>
        </row>
        <row r="190">
          <cell r="E190"/>
          <cell r="F190"/>
          <cell r="G190"/>
        </row>
        <row r="191">
          <cell r="E191"/>
          <cell r="F191"/>
          <cell r="G191"/>
        </row>
        <row r="192">
          <cell r="E192"/>
          <cell r="F192"/>
          <cell r="G192"/>
        </row>
        <row r="193">
          <cell r="E193"/>
          <cell r="F193"/>
          <cell r="G193"/>
        </row>
        <row r="194">
          <cell r="E194"/>
          <cell r="F194"/>
          <cell r="G194"/>
        </row>
        <row r="195">
          <cell r="E195"/>
          <cell r="F195"/>
          <cell r="G195"/>
        </row>
        <row r="197">
          <cell r="E197" t="str">
            <v>（粗大ごみ）</v>
          </cell>
          <cell r="F197"/>
          <cell r="G197"/>
        </row>
        <row r="198">
          <cell r="E198" t="str">
            <v>30Ｋｇ以下</v>
          </cell>
          <cell r="F198" t="str">
            <v>30ｋｇ～50ｋｇ</v>
          </cell>
          <cell r="G198" t="str">
            <v>50ｋｇ以上</v>
          </cell>
        </row>
        <row r="199">
          <cell r="E199" t="str">
            <v>500 （小）</v>
          </cell>
          <cell r="F199" t="str">
            <v>800 （中）</v>
          </cell>
          <cell r="G199" t="str">
            <v>1,000（大）</v>
          </cell>
        </row>
        <row r="200">
          <cell r="E200"/>
          <cell r="F200"/>
          <cell r="G200"/>
        </row>
        <row r="201">
          <cell r="E201"/>
          <cell r="F201"/>
          <cell r="G201"/>
        </row>
        <row r="202">
          <cell r="E202"/>
          <cell r="F202"/>
          <cell r="G202"/>
        </row>
        <row r="203">
          <cell r="E203"/>
          <cell r="F203"/>
          <cell r="G203"/>
        </row>
        <row r="204">
          <cell r="E204"/>
          <cell r="F204"/>
          <cell r="G204"/>
        </row>
        <row r="205">
          <cell r="E205"/>
          <cell r="F205"/>
          <cell r="G205"/>
        </row>
        <row r="206">
          <cell r="E206"/>
          <cell r="F206"/>
          <cell r="G206"/>
        </row>
        <row r="207">
          <cell r="E207"/>
          <cell r="F207"/>
          <cell r="G207"/>
        </row>
        <row r="208">
          <cell r="E208"/>
          <cell r="F208"/>
          <cell r="G208"/>
        </row>
        <row r="209">
          <cell r="E209"/>
          <cell r="F209"/>
          <cell r="G209"/>
        </row>
        <row r="211">
          <cell r="E211" t="str">
            <v>（粗大ごみ）</v>
          </cell>
          <cell r="F211"/>
          <cell r="G211"/>
        </row>
        <row r="212">
          <cell r="E212" t="str">
            <v>30Ｋｇ以下</v>
          </cell>
          <cell r="F212" t="str">
            <v>30ｋｇ～50ｋｇ</v>
          </cell>
          <cell r="G212" t="str">
            <v>50ｋｇ以上</v>
          </cell>
        </row>
        <row r="213">
          <cell r="E213" t="str">
            <v>500 （小）</v>
          </cell>
          <cell r="F213" t="str">
            <v>800 （中）</v>
          </cell>
          <cell r="G213" t="str">
            <v>1,000（大）</v>
          </cell>
        </row>
        <row r="214">
          <cell r="E214"/>
          <cell r="F214"/>
          <cell r="G214"/>
        </row>
        <row r="215">
          <cell r="E215"/>
          <cell r="F215"/>
          <cell r="G215"/>
        </row>
        <row r="216">
          <cell r="E216"/>
          <cell r="F216"/>
          <cell r="G216"/>
        </row>
        <row r="217">
          <cell r="E217"/>
          <cell r="F217"/>
          <cell r="G217"/>
        </row>
        <row r="218">
          <cell r="E218"/>
          <cell r="F218"/>
          <cell r="G218"/>
        </row>
        <row r="219">
          <cell r="E219"/>
          <cell r="F219"/>
          <cell r="G219"/>
        </row>
        <row r="220">
          <cell r="E220"/>
          <cell r="F220"/>
          <cell r="G220"/>
        </row>
        <row r="221">
          <cell r="E221"/>
          <cell r="F221"/>
          <cell r="G221"/>
        </row>
        <row r="222">
          <cell r="E222"/>
          <cell r="F222"/>
          <cell r="G222"/>
        </row>
        <row r="223">
          <cell r="E223"/>
          <cell r="F223"/>
          <cell r="G223"/>
        </row>
      </sheetData>
      <sheetData sheetId="8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9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10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/>
          <cell r="F29"/>
          <cell r="G29"/>
        </row>
        <row r="30">
          <cell r="E30"/>
          <cell r="F30"/>
          <cell r="G30"/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11"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5">
          <cell r="E15" t="str">
            <v>（粗大ごみ）</v>
          </cell>
          <cell r="F15"/>
          <cell r="G15"/>
        </row>
        <row r="16">
          <cell r="E16" t="str">
            <v>30Ｋｇ以下</v>
          </cell>
          <cell r="F16" t="str">
            <v>30ｋｇ～50ｋｇ</v>
          </cell>
          <cell r="G16" t="str">
            <v>50ｋｇ以上</v>
          </cell>
        </row>
        <row r="17">
          <cell r="E17" t="str">
            <v>500 （小）</v>
          </cell>
          <cell r="F17" t="str">
            <v>800 （中）</v>
          </cell>
          <cell r="G17" t="str">
            <v>1,000（大）</v>
          </cell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9">
          <cell r="E29" t="str">
            <v>（粗大ごみ）</v>
          </cell>
          <cell r="F29"/>
          <cell r="G29"/>
        </row>
        <row r="30">
          <cell r="E30" t="str">
            <v>30Ｋｇ以下</v>
          </cell>
          <cell r="F30" t="str">
            <v>30ｋｇ～50ｋｇ</v>
          </cell>
          <cell r="G30" t="str">
            <v>50ｋｇ以上</v>
          </cell>
        </row>
        <row r="31">
          <cell r="E31" t="str">
            <v>500 （小）</v>
          </cell>
          <cell r="F31" t="str">
            <v>800 （中）</v>
          </cell>
          <cell r="G31" t="str">
            <v>1,000（大）</v>
          </cell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3">
          <cell r="E43" t="str">
            <v>（粗大ごみ）</v>
          </cell>
          <cell r="F43"/>
          <cell r="G43"/>
        </row>
        <row r="44">
          <cell r="E44" t="str">
            <v>30Ｋｇ以下</v>
          </cell>
          <cell r="F44" t="str">
            <v>30ｋｇ～50ｋｇ</v>
          </cell>
          <cell r="G44" t="str">
            <v>50ｋｇ以上</v>
          </cell>
        </row>
        <row r="45">
          <cell r="E45" t="str">
            <v>500 （小）</v>
          </cell>
          <cell r="F45" t="str">
            <v>800 （中）</v>
          </cell>
          <cell r="G45" t="str">
            <v>1,000（大）</v>
          </cell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7">
          <cell r="E57" t="str">
            <v>（粗大ごみ）</v>
          </cell>
          <cell r="F57"/>
          <cell r="G57"/>
        </row>
        <row r="58">
          <cell r="E58" t="str">
            <v>30Ｋｇ以下</v>
          </cell>
          <cell r="F58" t="str">
            <v>30ｋｇ～50ｋｇ</v>
          </cell>
          <cell r="G58" t="str">
            <v>50ｋｇ以上</v>
          </cell>
        </row>
        <row r="59">
          <cell r="E59" t="str">
            <v>500 （小）</v>
          </cell>
          <cell r="F59" t="str">
            <v>800 （中）</v>
          </cell>
          <cell r="G59" t="str">
            <v>1,000（大）</v>
          </cell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1">
          <cell r="E71" t="str">
            <v>（粗大ごみ）</v>
          </cell>
          <cell r="F71"/>
          <cell r="G71"/>
        </row>
        <row r="72">
          <cell r="E72" t="str">
            <v>30Ｋｇ以下</v>
          </cell>
          <cell r="F72" t="str">
            <v>30ｋｇ～50ｋｇ</v>
          </cell>
          <cell r="G72" t="str">
            <v>50ｋｇ以上</v>
          </cell>
        </row>
        <row r="73">
          <cell r="E73" t="str">
            <v>500 （小）</v>
          </cell>
          <cell r="F73" t="str">
            <v>800 （中）</v>
          </cell>
          <cell r="G73" t="str">
            <v>1,000（大）</v>
          </cell>
        </row>
        <row r="74">
          <cell r="E74"/>
          <cell r="F74"/>
          <cell r="G74"/>
        </row>
        <row r="75">
          <cell r="E75"/>
          <cell r="F75"/>
          <cell r="G75"/>
        </row>
        <row r="76">
          <cell r="E76"/>
          <cell r="F76"/>
          <cell r="G76"/>
        </row>
        <row r="77">
          <cell r="E77"/>
          <cell r="F77"/>
          <cell r="G77"/>
        </row>
        <row r="78">
          <cell r="E78"/>
          <cell r="F78"/>
          <cell r="G78"/>
        </row>
        <row r="79">
          <cell r="E79"/>
          <cell r="F79"/>
          <cell r="G79"/>
        </row>
        <row r="80">
          <cell r="E80"/>
          <cell r="F80"/>
          <cell r="G80"/>
        </row>
        <row r="81">
          <cell r="E81"/>
          <cell r="F81"/>
          <cell r="G81"/>
        </row>
        <row r="82">
          <cell r="E82"/>
          <cell r="F82"/>
          <cell r="G82"/>
        </row>
        <row r="83">
          <cell r="E83"/>
          <cell r="F83"/>
          <cell r="G83"/>
        </row>
        <row r="85">
          <cell r="E85" t="str">
            <v>（粗大ごみ）</v>
          </cell>
          <cell r="F85"/>
          <cell r="G85"/>
        </row>
        <row r="86">
          <cell r="E86" t="str">
            <v>30Ｋｇ以下</v>
          </cell>
          <cell r="F86" t="str">
            <v>30ｋｇ～50ｋｇ</v>
          </cell>
          <cell r="G86" t="str">
            <v>50ｋｇ以上</v>
          </cell>
        </row>
        <row r="87">
          <cell r="E87" t="str">
            <v>500 （小）</v>
          </cell>
          <cell r="F87" t="str">
            <v>800 （中）</v>
          </cell>
          <cell r="G87" t="str">
            <v>1,000（大）</v>
          </cell>
        </row>
        <row r="88">
          <cell r="E88"/>
          <cell r="F88"/>
          <cell r="G88"/>
        </row>
        <row r="89">
          <cell r="E89"/>
          <cell r="F89"/>
          <cell r="G89"/>
        </row>
        <row r="90">
          <cell r="E90"/>
          <cell r="F90"/>
          <cell r="G90"/>
        </row>
        <row r="91">
          <cell r="E91"/>
          <cell r="F91"/>
          <cell r="G91"/>
        </row>
        <row r="92">
          <cell r="E92"/>
          <cell r="F92"/>
          <cell r="G92"/>
        </row>
        <row r="93">
          <cell r="E93"/>
          <cell r="F93"/>
          <cell r="G93"/>
        </row>
        <row r="94">
          <cell r="E94"/>
          <cell r="F94"/>
          <cell r="G94"/>
        </row>
        <row r="95">
          <cell r="E95"/>
          <cell r="F95"/>
          <cell r="G95"/>
        </row>
        <row r="96">
          <cell r="E96"/>
          <cell r="F96"/>
          <cell r="G96"/>
        </row>
        <row r="97">
          <cell r="E97"/>
          <cell r="F97"/>
          <cell r="G97"/>
        </row>
        <row r="99">
          <cell r="E99" t="str">
            <v>（粗大ごみ）</v>
          </cell>
          <cell r="F99"/>
          <cell r="G99"/>
        </row>
        <row r="100">
          <cell r="E100" t="str">
            <v>30Ｋｇ以下</v>
          </cell>
          <cell r="F100" t="str">
            <v>30ｋｇ～50ｋｇ</v>
          </cell>
          <cell r="G100" t="str">
            <v>50ｋｇ以上</v>
          </cell>
        </row>
        <row r="101">
          <cell r="E101" t="str">
            <v>500 （小）</v>
          </cell>
          <cell r="F101" t="str">
            <v>800 （中）</v>
          </cell>
          <cell r="G101" t="str">
            <v>1,000（大）</v>
          </cell>
        </row>
        <row r="102">
          <cell r="E102"/>
          <cell r="F102"/>
          <cell r="G102"/>
        </row>
        <row r="103">
          <cell r="E103"/>
          <cell r="F103"/>
          <cell r="G103"/>
        </row>
        <row r="104">
          <cell r="E104"/>
          <cell r="F104"/>
          <cell r="G104"/>
        </row>
        <row r="105">
          <cell r="E105"/>
          <cell r="F105"/>
          <cell r="G105"/>
        </row>
        <row r="106">
          <cell r="E106"/>
          <cell r="F106"/>
          <cell r="G106"/>
        </row>
        <row r="107">
          <cell r="E107"/>
          <cell r="F107"/>
          <cell r="G107"/>
        </row>
        <row r="108">
          <cell r="E108"/>
          <cell r="F108"/>
          <cell r="G108"/>
        </row>
        <row r="109">
          <cell r="E109"/>
          <cell r="F109"/>
          <cell r="G109"/>
        </row>
        <row r="110">
          <cell r="E110"/>
          <cell r="F110"/>
          <cell r="G110"/>
        </row>
        <row r="111">
          <cell r="E111"/>
          <cell r="F111"/>
          <cell r="G111"/>
        </row>
        <row r="113">
          <cell r="E113" t="str">
            <v>（粗大ごみ）</v>
          </cell>
          <cell r="F113"/>
          <cell r="G113"/>
        </row>
        <row r="114">
          <cell r="E114" t="str">
            <v>30Ｋｇ以下</v>
          </cell>
          <cell r="F114" t="str">
            <v>30ｋｇ～50ｋｇ</v>
          </cell>
          <cell r="G114" t="str">
            <v>50ｋｇ以上</v>
          </cell>
        </row>
        <row r="115">
          <cell r="E115" t="str">
            <v>500 （小）</v>
          </cell>
          <cell r="F115" t="str">
            <v>800 （中）</v>
          </cell>
          <cell r="G115" t="str">
            <v>1,000（大）</v>
          </cell>
        </row>
        <row r="116">
          <cell r="E116"/>
          <cell r="F116"/>
          <cell r="G116"/>
        </row>
        <row r="117">
          <cell r="E117"/>
          <cell r="F117"/>
          <cell r="G117"/>
        </row>
        <row r="118">
          <cell r="E118"/>
          <cell r="F118"/>
          <cell r="G118"/>
        </row>
        <row r="119">
          <cell r="E119"/>
          <cell r="F119"/>
          <cell r="G119"/>
        </row>
        <row r="120">
          <cell r="E120"/>
          <cell r="F120"/>
          <cell r="G120"/>
        </row>
        <row r="121">
          <cell r="E121"/>
          <cell r="F121"/>
          <cell r="G121"/>
        </row>
        <row r="122">
          <cell r="E122"/>
          <cell r="F122"/>
          <cell r="G122"/>
        </row>
        <row r="123">
          <cell r="E123"/>
          <cell r="F123"/>
          <cell r="G123"/>
        </row>
        <row r="124">
          <cell r="E124"/>
          <cell r="F124"/>
          <cell r="G124"/>
        </row>
        <row r="125">
          <cell r="E125"/>
          <cell r="F125"/>
          <cell r="G125"/>
        </row>
        <row r="127">
          <cell r="E127"/>
          <cell r="F127"/>
          <cell r="G127"/>
        </row>
        <row r="128">
          <cell r="E128"/>
          <cell r="F128"/>
          <cell r="G128"/>
        </row>
        <row r="129">
          <cell r="E129"/>
          <cell r="F129"/>
          <cell r="G129"/>
        </row>
        <row r="130">
          <cell r="E130"/>
          <cell r="F130"/>
          <cell r="G130"/>
        </row>
        <row r="131">
          <cell r="E131"/>
          <cell r="F131"/>
          <cell r="G131"/>
        </row>
        <row r="132">
          <cell r="E132"/>
          <cell r="F132"/>
          <cell r="G132"/>
        </row>
        <row r="133">
          <cell r="E133"/>
          <cell r="F133"/>
          <cell r="G133"/>
        </row>
        <row r="134">
          <cell r="E134"/>
          <cell r="F134"/>
          <cell r="G134"/>
        </row>
        <row r="135">
          <cell r="E135"/>
          <cell r="F135"/>
          <cell r="G135"/>
        </row>
        <row r="136">
          <cell r="E136"/>
          <cell r="F136"/>
          <cell r="G136"/>
        </row>
        <row r="137">
          <cell r="E137"/>
          <cell r="F137"/>
          <cell r="G137"/>
        </row>
        <row r="138">
          <cell r="E138"/>
          <cell r="F138"/>
          <cell r="G138"/>
        </row>
        <row r="139">
          <cell r="E139"/>
          <cell r="F139"/>
          <cell r="G139"/>
        </row>
        <row r="141">
          <cell r="E141" t="str">
            <v>（粗大ごみ）</v>
          </cell>
          <cell r="F141"/>
          <cell r="G141"/>
        </row>
        <row r="142">
          <cell r="E142" t="str">
            <v>30Ｋｇ以下</v>
          </cell>
          <cell r="F142" t="str">
            <v>30ｋｇ～50ｋｇ</v>
          </cell>
          <cell r="G142" t="str">
            <v>50ｋｇ以上</v>
          </cell>
        </row>
        <row r="143">
          <cell r="E143" t="str">
            <v>500 （小）</v>
          </cell>
          <cell r="F143" t="str">
            <v>800 （中）</v>
          </cell>
          <cell r="G143" t="str">
            <v>1,000（大）</v>
          </cell>
        </row>
        <row r="144">
          <cell r="E144"/>
          <cell r="F144"/>
          <cell r="G144"/>
        </row>
        <row r="145">
          <cell r="E145"/>
          <cell r="F145"/>
          <cell r="G145"/>
        </row>
        <row r="146">
          <cell r="E146"/>
          <cell r="F146"/>
          <cell r="G146"/>
        </row>
        <row r="147">
          <cell r="E147"/>
          <cell r="F147"/>
          <cell r="G147"/>
        </row>
        <row r="148">
          <cell r="E148"/>
          <cell r="F148"/>
          <cell r="G148"/>
        </row>
        <row r="149">
          <cell r="E149"/>
          <cell r="F149"/>
          <cell r="G149"/>
        </row>
        <row r="150">
          <cell r="E150"/>
          <cell r="F150"/>
          <cell r="G150"/>
        </row>
        <row r="151">
          <cell r="E151"/>
          <cell r="F151"/>
          <cell r="G151"/>
        </row>
        <row r="152">
          <cell r="E152"/>
          <cell r="F152"/>
          <cell r="G152"/>
        </row>
        <row r="153">
          <cell r="E153"/>
          <cell r="F153"/>
          <cell r="G153"/>
        </row>
        <row r="155">
          <cell r="E155" t="str">
            <v>（粗大ごみ）</v>
          </cell>
          <cell r="F155"/>
          <cell r="G155"/>
        </row>
        <row r="156">
          <cell r="E156" t="str">
            <v>30Ｋｇ以下</v>
          </cell>
          <cell r="F156" t="str">
            <v>30ｋｇ～50ｋｇ</v>
          </cell>
          <cell r="G156" t="str">
            <v>50ｋｇ以上</v>
          </cell>
        </row>
        <row r="157">
          <cell r="E157" t="str">
            <v>500 （小）</v>
          </cell>
          <cell r="F157" t="str">
            <v>800 （中）</v>
          </cell>
          <cell r="G157" t="str">
            <v>1,000（大）</v>
          </cell>
        </row>
        <row r="158">
          <cell r="E158"/>
          <cell r="F158"/>
          <cell r="G158"/>
        </row>
        <row r="159">
          <cell r="E159"/>
          <cell r="F159"/>
          <cell r="G159"/>
        </row>
        <row r="160">
          <cell r="E160"/>
          <cell r="F160"/>
          <cell r="G160"/>
        </row>
        <row r="161">
          <cell r="E161"/>
          <cell r="F161"/>
          <cell r="G161"/>
        </row>
        <row r="162">
          <cell r="E162"/>
          <cell r="F162"/>
          <cell r="G162"/>
        </row>
        <row r="163">
          <cell r="E163"/>
          <cell r="F163"/>
          <cell r="G163"/>
        </row>
        <row r="164">
          <cell r="E164"/>
          <cell r="F164"/>
          <cell r="G164"/>
        </row>
        <row r="165">
          <cell r="E165"/>
          <cell r="F165"/>
          <cell r="G165"/>
        </row>
        <row r="166">
          <cell r="E166"/>
          <cell r="F166"/>
          <cell r="G166"/>
        </row>
        <row r="167">
          <cell r="E167"/>
          <cell r="F167"/>
          <cell r="G167"/>
        </row>
        <row r="169">
          <cell r="E169" t="str">
            <v>（粗大ごみ）</v>
          </cell>
          <cell r="F169"/>
          <cell r="G169"/>
        </row>
        <row r="170">
          <cell r="E170" t="str">
            <v>30Ｋｇ以下</v>
          </cell>
          <cell r="F170" t="str">
            <v>30ｋｇ～50ｋｇ</v>
          </cell>
          <cell r="G170" t="str">
            <v>50ｋｇ以上</v>
          </cell>
        </row>
        <row r="171">
          <cell r="E171" t="str">
            <v>500 （小）</v>
          </cell>
          <cell r="F171" t="str">
            <v>800 （中）</v>
          </cell>
          <cell r="G171" t="str">
            <v>1,000（大）</v>
          </cell>
        </row>
        <row r="172">
          <cell r="E172"/>
          <cell r="F172"/>
          <cell r="G172"/>
        </row>
        <row r="173">
          <cell r="E173"/>
          <cell r="F173"/>
          <cell r="G173"/>
        </row>
        <row r="174">
          <cell r="E174"/>
          <cell r="F174"/>
          <cell r="G174"/>
        </row>
        <row r="175">
          <cell r="E175"/>
          <cell r="F175"/>
          <cell r="G175"/>
        </row>
        <row r="176">
          <cell r="E176"/>
          <cell r="F176"/>
          <cell r="G176"/>
        </row>
        <row r="177">
          <cell r="E177"/>
          <cell r="F177"/>
          <cell r="G177"/>
        </row>
        <row r="178">
          <cell r="E178"/>
          <cell r="F178"/>
          <cell r="G178"/>
        </row>
        <row r="179">
          <cell r="E179"/>
          <cell r="F179"/>
          <cell r="G179"/>
        </row>
        <row r="180">
          <cell r="E180"/>
          <cell r="F180"/>
          <cell r="G180"/>
        </row>
        <row r="181">
          <cell r="E181"/>
          <cell r="F181"/>
          <cell r="G181"/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受付04"/>
      <sheetName val="受付05"/>
      <sheetName val="受付06"/>
      <sheetName val="受付07"/>
      <sheetName val="受付08"/>
      <sheetName val="受付09"/>
      <sheetName val="受付10"/>
      <sheetName val="受付11"/>
      <sheetName val="受付12"/>
      <sheetName val="受付01"/>
      <sheetName val="受付02"/>
      <sheetName val="受付03"/>
      <sheetName val="収入原簿"/>
      <sheetName val="調定04"/>
      <sheetName val="調定05"/>
      <sheetName val="調定06"/>
      <sheetName val="調定07"/>
      <sheetName val="調定08"/>
      <sheetName val="調定09"/>
      <sheetName val="調定10"/>
      <sheetName val="調定11"/>
      <sheetName val="調定12"/>
      <sheetName val="調定01"/>
      <sheetName val="調定02"/>
      <sheetName val="調定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4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5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6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7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8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19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20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21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22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23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  <sheetData sheetId="24">
        <row r="1">
          <cell r="E1" t="str">
            <v>（木くず・動植物・医療）</v>
          </cell>
          <cell r="F1"/>
          <cell r="G1"/>
        </row>
        <row r="2">
          <cell r="E2" t="str">
            <v>木くず</v>
          </cell>
          <cell r="F2" t="str">
            <v>動植物</v>
          </cell>
          <cell r="G2" t="str">
            <v>医　療</v>
          </cell>
        </row>
        <row r="3">
          <cell r="E3"/>
          <cell r="F3"/>
          <cell r="G3"/>
        </row>
        <row r="4">
          <cell r="E4"/>
          <cell r="F4"/>
          <cell r="G4"/>
        </row>
        <row r="5">
          <cell r="E5"/>
          <cell r="F5"/>
          <cell r="G5"/>
        </row>
        <row r="6">
          <cell r="E6"/>
          <cell r="F6"/>
          <cell r="G6"/>
        </row>
        <row r="7">
          <cell r="E7"/>
          <cell r="F7"/>
          <cell r="G7"/>
        </row>
        <row r="8">
          <cell r="E8"/>
          <cell r="F8"/>
          <cell r="G8"/>
        </row>
        <row r="9">
          <cell r="E9"/>
          <cell r="F9"/>
          <cell r="G9"/>
        </row>
        <row r="10">
          <cell r="E10"/>
          <cell r="F10"/>
          <cell r="G10"/>
        </row>
        <row r="11">
          <cell r="E11"/>
          <cell r="F11"/>
          <cell r="G11"/>
        </row>
        <row r="12">
          <cell r="E12"/>
          <cell r="F12"/>
          <cell r="G12"/>
        </row>
        <row r="13">
          <cell r="E13"/>
          <cell r="F13"/>
          <cell r="G13"/>
        </row>
        <row r="14">
          <cell r="E14"/>
          <cell r="F14"/>
          <cell r="G14"/>
        </row>
        <row r="15">
          <cell r="E15" t="str">
            <v>（木くず・動植物・医療）</v>
          </cell>
          <cell r="F15"/>
          <cell r="G15"/>
        </row>
        <row r="16">
          <cell r="E16" t="str">
            <v>木くず</v>
          </cell>
          <cell r="F16" t="str">
            <v>動植物</v>
          </cell>
          <cell r="G16" t="str">
            <v>医　療</v>
          </cell>
        </row>
        <row r="17">
          <cell r="E17"/>
          <cell r="F17"/>
          <cell r="G17"/>
        </row>
        <row r="18">
          <cell r="E18"/>
          <cell r="F18"/>
          <cell r="G18"/>
        </row>
        <row r="19">
          <cell r="E19"/>
          <cell r="F19"/>
          <cell r="G19"/>
        </row>
        <row r="20">
          <cell r="E20"/>
          <cell r="F20"/>
          <cell r="G20"/>
        </row>
        <row r="21">
          <cell r="E21"/>
          <cell r="F21"/>
          <cell r="G21"/>
        </row>
        <row r="22">
          <cell r="E22"/>
          <cell r="F22"/>
          <cell r="G22"/>
        </row>
        <row r="23">
          <cell r="E23"/>
          <cell r="F23"/>
          <cell r="G23"/>
        </row>
        <row r="24">
          <cell r="E24"/>
          <cell r="F24"/>
          <cell r="G24"/>
        </row>
        <row r="25">
          <cell r="E25"/>
          <cell r="F25"/>
          <cell r="G25"/>
        </row>
        <row r="26">
          <cell r="E26"/>
          <cell r="F26"/>
          <cell r="G26"/>
        </row>
        <row r="27">
          <cell r="E27"/>
          <cell r="F27"/>
          <cell r="G27"/>
        </row>
        <row r="28">
          <cell r="E28"/>
          <cell r="F28"/>
          <cell r="G28"/>
        </row>
        <row r="29">
          <cell r="E29" t="str">
            <v>（木くず・動植物・医療）</v>
          </cell>
          <cell r="F29"/>
          <cell r="G29"/>
        </row>
        <row r="30">
          <cell r="E30" t="str">
            <v>木くず</v>
          </cell>
          <cell r="F30" t="str">
            <v>動植物</v>
          </cell>
          <cell r="G30" t="str">
            <v>医　療</v>
          </cell>
        </row>
        <row r="31">
          <cell r="E31"/>
          <cell r="F31"/>
          <cell r="G31"/>
        </row>
        <row r="32">
          <cell r="E32"/>
          <cell r="F32"/>
          <cell r="G32"/>
        </row>
        <row r="33">
          <cell r="E33"/>
          <cell r="F33"/>
          <cell r="G33"/>
        </row>
        <row r="34">
          <cell r="E34"/>
          <cell r="F34"/>
          <cell r="G34"/>
        </row>
        <row r="35">
          <cell r="E35"/>
          <cell r="F35"/>
          <cell r="G35"/>
        </row>
        <row r="36">
          <cell r="E36"/>
          <cell r="F36"/>
          <cell r="G36"/>
        </row>
        <row r="37">
          <cell r="E37"/>
          <cell r="F37"/>
          <cell r="G37"/>
        </row>
        <row r="38">
          <cell r="E38"/>
          <cell r="F38"/>
          <cell r="G38"/>
        </row>
        <row r="39">
          <cell r="E39"/>
          <cell r="F39"/>
          <cell r="G39"/>
        </row>
        <row r="40">
          <cell r="E40"/>
          <cell r="F40"/>
          <cell r="G40"/>
        </row>
        <row r="41">
          <cell r="E41"/>
          <cell r="F41"/>
          <cell r="G41"/>
        </row>
        <row r="42">
          <cell r="E42"/>
          <cell r="F42"/>
          <cell r="G42"/>
        </row>
        <row r="43">
          <cell r="E43" t="str">
            <v>（木くず・動植物・医療）</v>
          </cell>
          <cell r="F43"/>
          <cell r="G43"/>
        </row>
        <row r="44">
          <cell r="E44" t="str">
            <v>木くず</v>
          </cell>
          <cell r="F44" t="str">
            <v>動植物</v>
          </cell>
          <cell r="G44" t="str">
            <v>医　療</v>
          </cell>
        </row>
        <row r="45">
          <cell r="E45"/>
          <cell r="F45"/>
          <cell r="G45"/>
        </row>
        <row r="46">
          <cell r="E46"/>
          <cell r="F46"/>
          <cell r="G46"/>
        </row>
        <row r="47">
          <cell r="E47"/>
          <cell r="F47"/>
          <cell r="G47"/>
        </row>
        <row r="48">
          <cell r="E48"/>
          <cell r="F48"/>
          <cell r="G48"/>
        </row>
        <row r="49">
          <cell r="E49"/>
          <cell r="F49"/>
          <cell r="G49"/>
        </row>
        <row r="50">
          <cell r="E50"/>
          <cell r="F50"/>
          <cell r="G50"/>
        </row>
        <row r="51">
          <cell r="E51"/>
          <cell r="F51"/>
          <cell r="G51"/>
        </row>
        <row r="52">
          <cell r="E52"/>
          <cell r="F52"/>
          <cell r="G52"/>
        </row>
        <row r="53">
          <cell r="E53"/>
          <cell r="F53"/>
          <cell r="G53"/>
        </row>
        <row r="54">
          <cell r="E54"/>
          <cell r="F54"/>
          <cell r="G54"/>
        </row>
        <row r="55">
          <cell r="E55"/>
          <cell r="F55"/>
          <cell r="G55"/>
        </row>
        <row r="56">
          <cell r="E56"/>
          <cell r="F56"/>
          <cell r="G56"/>
        </row>
        <row r="57">
          <cell r="E57" t="str">
            <v>（木くず・動植物・医療）</v>
          </cell>
          <cell r="F57"/>
          <cell r="G57"/>
        </row>
        <row r="58">
          <cell r="E58" t="str">
            <v>木くず</v>
          </cell>
          <cell r="F58" t="str">
            <v>動植物</v>
          </cell>
          <cell r="G58" t="str">
            <v>医　療</v>
          </cell>
        </row>
        <row r="59">
          <cell r="E59"/>
          <cell r="F59"/>
          <cell r="G59"/>
        </row>
        <row r="60">
          <cell r="E60"/>
          <cell r="F60"/>
          <cell r="G60"/>
        </row>
        <row r="61">
          <cell r="E61"/>
          <cell r="F61"/>
          <cell r="G61"/>
        </row>
        <row r="62">
          <cell r="E62"/>
          <cell r="F62"/>
          <cell r="G62"/>
        </row>
        <row r="63">
          <cell r="E63"/>
          <cell r="F63"/>
          <cell r="G63"/>
        </row>
        <row r="64">
          <cell r="E64"/>
          <cell r="F64"/>
          <cell r="G64"/>
        </row>
        <row r="65">
          <cell r="E65"/>
          <cell r="F65"/>
          <cell r="G65"/>
        </row>
        <row r="66">
          <cell r="E66"/>
          <cell r="F66"/>
          <cell r="G66"/>
        </row>
        <row r="67">
          <cell r="E67"/>
          <cell r="F67"/>
          <cell r="G67"/>
        </row>
        <row r="68">
          <cell r="E68"/>
          <cell r="F68"/>
          <cell r="G68"/>
        </row>
        <row r="69">
          <cell r="E69"/>
          <cell r="F69"/>
          <cell r="G69"/>
        </row>
        <row r="70">
          <cell r="E70"/>
          <cell r="F70"/>
          <cell r="G70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定04"/>
      <sheetName val="調定05"/>
      <sheetName val="調定06"/>
      <sheetName val="調定07"/>
      <sheetName val="調定08"/>
      <sheetName val="調定09"/>
      <sheetName val="調定10"/>
      <sheetName val="調定11"/>
      <sheetName val="調定12"/>
      <sheetName val="調定01"/>
      <sheetName val="調定02"/>
      <sheetName val="調定03"/>
      <sheetName val="収入原簿"/>
    </sheetNames>
    <sheetDataSet>
      <sheetData sheetId="0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1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2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3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4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5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6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7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8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9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10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11">
        <row r="24"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M24" t="str">
            <v/>
          </cell>
          <cell r="O24" t="str">
            <v/>
          </cell>
        </row>
        <row r="48">
          <cell r="E48" t="str">
            <v/>
          </cell>
          <cell r="G48" t="str">
            <v/>
          </cell>
          <cell r="I48" t="str">
            <v/>
          </cell>
          <cell r="K48" t="str">
            <v/>
          </cell>
          <cell r="M48" t="str">
            <v/>
          </cell>
          <cell r="O48" t="str">
            <v/>
          </cell>
        </row>
        <row r="72">
          <cell r="E72" t="str">
            <v/>
          </cell>
          <cell r="G72" t="str">
            <v/>
          </cell>
          <cell r="I72" t="str">
            <v/>
          </cell>
          <cell r="K72" t="str">
            <v/>
          </cell>
          <cell r="M72" t="str">
            <v/>
          </cell>
          <cell r="O72" t="str">
            <v/>
          </cell>
        </row>
        <row r="96"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O96" t="str">
            <v/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8FA-E11C-408B-8DE6-EBDA381CB042}">
  <dimension ref="A1:P39"/>
  <sheetViews>
    <sheetView tabSelected="1" workbookViewId="0">
      <selection activeCell="L25" sqref="L25"/>
    </sheetView>
  </sheetViews>
  <sheetFormatPr defaultRowHeight="11.25" x14ac:dyDescent="0.15"/>
  <cols>
    <col min="1" max="1" width="4.5" style="3" customWidth="1"/>
    <col min="2" max="2" width="6.625" style="7" customWidth="1"/>
    <col min="3" max="3" width="6.75" style="8" customWidth="1"/>
    <col min="4" max="16" width="9.125" style="1" customWidth="1"/>
    <col min="17" max="16384" width="9" style="1"/>
  </cols>
  <sheetData>
    <row r="1" spans="1:16" ht="15" customHeight="1" x14ac:dyDescent="0.15">
      <c r="A1" s="15" t="s">
        <v>29</v>
      </c>
      <c r="B1" s="15"/>
      <c r="C1" s="15"/>
      <c r="D1" s="15"/>
      <c r="E1" s="15"/>
    </row>
    <row r="2" spans="1:16" s="3" customFormat="1" ht="15" customHeight="1" x14ac:dyDescent="0.15">
      <c r="A2" s="2"/>
      <c r="B2" s="16" t="s">
        <v>18</v>
      </c>
      <c r="C2" s="16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ht="15" customHeight="1" x14ac:dyDescent="0.15">
      <c r="A3" s="16" t="s">
        <v>16</v>
      </c>
      <c r="B3" s="4" t="s">
        <v>0</v>
      </c>
      <c r="C3" s="14">
        <v>1000</v>
      </c>
      <c r="D3" s="6">
        <f>SUM([1]調定04!$G$4:$G$999)/$C$3</f>
        <v>0</v>
      </c>
      <c r="E3" s="6">
        <f>SUM([1]調定05!$G$4:$G$999)/$C$3</f>
        <v>0</v>
      </c>
      <c r="F3" s="6">
        <f>SUM([1]調定06!$G$4:$G$999)/$C$3</f>
        <v>0</v>
      </c>
      <c r="G3" s="6">
        <f>SUM([1]調定07!$G$4:$G$999)/$C$3</f>
        <v>0</v>
      </c>
      <c r="H3" s="6">
        <f>SUM([1]調定08!$G$4:$G$999)/$C$3</f>
        <v>0</v>
      </c>
      <c r="I3" s="6">
        <f>SUM([1]調定09!$G$4:$G$999)/$C$3</f>
        <v>0</v>
      </c>
      <c r="J3" s="6">
        <f>SUM([1]調定10!$G$4:$G$999)/$C$3</f>
        <v>0</v>
      </c>
      <c r="K3" s="6">
        <f>SUM([1]調定11!$G$4:$G$999)/$C$3</f>
        <v>0</v>
      </c>
      <c r="L3" s="6">
        <f>SUM([1]調定12!$G$4:$G$999)/$C$3</f>
        <v>0</v>
      </c>
      <c r="M3" s="6">
        <f>SUM([1]調定01!$G$4:$G$999)/$C$3</f>
        <v>0</v>
      </c>
      <c r="N3" s="6">
        <f>SUM([1]調定02!$G$4:$G$999)/$C$3</f>
        <v>0</v>
      </c>
      <c r="O3" s="6">
        <f>SUM([1]調定03!$G$4:$G$999)/$C$3</f>
        <v>0</v>
      </c>
      <c r="P3" s="6">
        <f>SUM(D3:O3)</f>
        <v>0</v>
      </c>
    </row>
    <row r="4" spans="1:16" ht="15" customHeight="1" x14ac:dyDescent="0.15">
      <c r="A4" s="16"/>
      <c r="B4" s="4" t="s">
        <v>1</v>
      </c>
      <c r="C4" s="5">
        <v>800</v>
      </c>
      <c r="D4" s="6">
        <f>SUM([1]調定04!$F$4:$F$999)/$C$4</f>
        <v>0</v>
      </c>
      <c r="E4" s="6">
        <f>SUM([1]調定05!$F$4:$F$999)/$C$4</f>
        <v>0</v>
      </c>
      <c r="F4" s="6">
        <f>SUM([1]調定06!$F$4:$F$999)/$C$4</f>
        <v>0</v>
      </c>
      <c r="G4" s="6">
        <f>SUM([1]調定07!$F$4:$F$999)/$C$4</f>
        <v>0</v>
      </c>
      <c r="H4" s="6">
        <f>SUM([1]調定08!$F$4:$F$999)/$C$4</f>
        <v>0</v>
      </c>
      <c r="I4" s="6">
        <f>SUM([1]調定09!$F$4:$F$999)/$C$4</f>
        <v>0</v>
      </c>
      <c r="J4" s="6">
        <f>SUM([1]調定10!$F$4:$F$999)/$C$4</f>
        <v>0</v>
      </c>
      <c r="K4" s="6">
        <f>SUM([1]調定11!$F$4:$F$999)/$C$4</f>
        <v>0</v>
      </c>
      <c r="L4" s="6">
        <f>SUM([1]調定12!$F$4:$F$999)/$C$4</f>
        <v>0</v>
      </c>
      <c r="M4" s="6">
        <f>SUM([1]調定01!$F$4:$F$999)/$C$4</f>
        <v>0</v>
      </c>
      <c r="N4" s="6">
        <f>SUM([1]調定02!$F$4:$F$999)/$C$4</f>
        <v>0</v>
      </c>
      <c r="O4" s="6">
        <f>SUM([1]調定03!$F$4:$F$999)/$C$4</f>
        <v>0</v>
      </c>
      <c r="P4" s="6">
        <f>SUM(D4:O4)</f>
        <v>0</v>
      </c>
    </row>
    <row r="5" spans="1:16" ht="15" customHeight="1" x14ac:dyDescent="0.15">
      <c r="A5" s="16"/>
      <c r="B5" s="4" t="s">
        <v>2</v>
      </c>
      <c r="C5" s="5">
        <v>500</v>
      </c>
      <c r="D5" s="6">
        <f>SUM([1]調定04!$E$4:$E$999)/$C$5</f>
        <v>0</v>
      </c>
      <c r="E5" s="6">
        <f>SUM([1]調定05!$E$4:$E$999)/$C$5</f>
        <v>0</v>
      </c>
      <c r="F5" s="6">
        <f>SUM([1]調定06!$E$4:$E$999)/$C$5</f>
        <v>0</v>
      </c>
      <c r="G5" s="6">
        <f>SUM([1]調定07!$E$4:$E$999)/$C$5</f>
        <v>0</v>
      </c>
      <c r="H5" s="6">
        <f>SUM([1]調定08!$E$4:$E$999)/$C$5</f>
        <v>0</v>
      </c>
      <c r="I5" s="6">
        <f>SUM([1]調定09!$E$4:$E$999)/$C$5</f>
        <v>0</v>
      </c>
      <c r="J5" s="6">
        <f>SUM([1]調定10!$E$4:$E$999)/$C$5</f>
        <v>0</v>
      </c>
      <c r="K5" s="6">
        <f>SUM([1]調定11!$E$4:$E$999)/$C$5</f>
        <v>0</v>
      </c>
      <c r="L5" s="6">
        <f>SUM([1]調定12!$E$4:$E$999)/$C$5</f>
        <v>0</v>
      </c>
      <c r="M5" s="6">
        <f>SUM([1]調定01!$E$4:$E$999)/$C$5</f>
        <v>0</v>
      </c>
      <c r="N5" s="6">
        <f>SUM([1]調定02!$E$4:$E$999)/$C$5</f>
        <v>0</v>
      </c>
      <c r="O5" s="6">
        <f>SUM([1]調定03!$E$4:$E$999)/$C$5</f>
        <v>0</v>
      </c>
      <c r="P5" s="6">
        <f>SUM(D5:O5)</f>
        <v>0</v>
      </c>
    </row>
    <row r="6" spans="1:16" ht="7.5" customHeight="1" x14ac:dyDescent="0.1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spans="1:16" ht="15" customHeight="1" x14ac:dyDescent="0.15">
      <c r="A7" s="16" t="s">
        <v>17</v>
      </c>
      <c r="B7" s="4" t="s">
        <v>0</v>
      </c>
      <c r="C7" s="14">
        <v>1000</v>
      </c>
      <c r="D7" s="6">
        <f>D3*$C3</f>
        <v>0</v>
      </c>
      <c r="E7" s="6">
        <f t="shared" ref="E7:O7" si="0">E3*$C3</f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0"/>
        <v>0</v>
      </c>
      <c r="P7" s="6">
        <f>SUM(D7:O7)</f>
        <v>0</v>
      </c>
    </row>
    <row r="8" spans="1:16" ht="15" customHeight="1" x14ac:dyDescent="0.15">
      <c r="A8" s="16"/>
      <c r="B8" s="4" t="s">
        <v>1</v>
      </c>
      <c r="C8" s="5">
        <v>800</v>
      </c>
      <c r="D8" s="6">
        <f t="shared" ref="D8:O9" si="1">D4*$C4</f>
        <v>0</v>
      </c>
      <c r="E8" s="6">
        <f t="shared" si="1"/>
        <v>0</v>
      </c>
      <c r="F8" s="6">
        <f t="shared" si="1"/>
        <v>0</v>
      </c>
      <c r="G8" s="6">
        <f t="shared" si="1"/>
        <v>0</v>
      </c>
      <c r="H8" s="6">
        <f t="shared" si="1"/>
        <v>0</v>
      </c>
      <c r="I8" s="6">
        <f t="shared" si="1"/>
        <v>0</v>
      </c>
      <c r="J8" s="6">
        <f t="shared" si="1"/>
        <v>0</v>
      </c>
      <c r="K8" s="6">
        <f t="shared" si="1"/>
        <v>0</v>
      </c>
      <c r="L8" s="6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>SUM(D8:O8)</f>
        <v>0</v>
      </c>
    </row>
    <row r="9" spans="1:16" ht="15" customHeight="1" x14ac:dyDescent="0.15">
      <c r="A9" s="16"/>
      <c r="B9" s="4" t="s">
        <v>2</v>
      </c>
      <c r="C9" s="5">
        <v>500</v>
      </c>
      <c r="D9" s="6">
        <f t="shared" si="1"/>
        <v>0</v>
      </c>
      <c r="E9" s="6">
        <f t="shared" si="1"/>
        <v>0</v>
      </c>
      <c r="F9" s="6">
        <f t="shared" si="1"/>
        <v>0</v>
      </c>
      <c r="G9" s="6">
        <f t="shared" si="1"/>
        <v>0</v>
      </c>
      <c r="H9" s="6">
        <f t="shared" si="1"/>
        <v>0</v>
      </c>
      <c r="I9" s="6">
        <f t="shared" si="1"/>
        <v>0</v>
      </c>
      <c r="J9" s="6">
        <f t="shared" si="1"/>
        <v>0</v>
      </c>
      <c r="K9" s="6">
        <f t="shared" si="1"/>
        <v>0</v>
      </c>
      <c r="L9" s="6">
        <f t="shared" si="1"/>
        <v>0</v>
      </c>
      <c r="M9" s="6">
        <f t="shared" si="1"/>
        <v>0</v>
      </c>
      <c r="N9" s="6">
        <f t="shared" si="1"/>
        <v>0</v>
      </c>
      <c r="O9" s="6">
        <f t="shared" si="1"/>
        <v>0</v>
      </c>
      <c r="P9" s="6">
        <f>SUM(D9:O9)</f>
        <v>0</v>
      </c>
    </row>
    <row r="10" spans="1:16" ht="15" customHeight="1" x14ac:dyDescent="0.15">
      <c r="A10" s="16" t="s">
        <v>15</v>
      </c>
      <c r="B10" s="16"/>
      <c r="C10" s="16"/>
      <c r="D10" s="6" t="str">
        <f t="shared" ref="D10:O10" si="2">IF(SUM(D7:D9)=0,"",SUM(D7:D9))</f>
        <v/>
      </c>
      <c r="E10" s="6" t="str">
        <f t="shared" si="2"/>
        <v/>
      </c>
      <c r="F10" s="6" t="str">
        <f t="shared" si="2"/>
        <v/>
      </c>
      <c r="G10" s="6" t="str">
        <f t="shared" si="2"/>
        <v/>
      </c>
      <c r="H10" s="6" t="str">
        <f t="shared" si="2"/>
        <v/>
      </c>
      <c r="I10" s="6" t="str">
        <f t="shared" si="2"/>
        <v/>
      </c>
      <c r="J10" s="6" t="str">
        <f t="shared" si="2"/>
        <v/>
      </c>
      <c r="K10" s="6" t="str">
        <f t="shared" si="2"/>
        <v/>
      </c>
      <c r="L10" s="6" t="str">
        <f t="shared" si="2"/>
        <v/>
      </c>
      <c r="M10" s="6" t="str">
        <f t="shared" si="2"/>
        <v/>
      </c>
      <c r="N10" s="6" t="str">
        <f t="shared" si="2"/>
        <v/>
      </c>
      <c r="O10" s="6" t="str">
        <f t="shared" si="2"/>
        <v/>
      </c>
      <c r="P10" s="6">
        <f>SUM(P7:P9)</f>
        <v>0</v>
      </c>
    </row>
    <row r="11" spans="1:16" ht="15" customHeight="1" x14ac:dyDescent="0.15">
      <c r="M11" s="9"/>
      <c r="P11" s="9"/>
    </row>
    <row r="12" spans="1:16" ht="15" customHeight="1" x14ac:dyDescent="0.15">
      <c r="A12" s="15" t="s">
        <v>30</v>
      </c>
      <c r="B12" s="15"/>
      <c r="C12" s="15"/>
      <c r="D12" s="15"/>
      <c r="E12" s="15"/>
      <c r="M12" s="9"/>
      <c r="P12" s="9"/>
    </row>
    <row r="13" spans="1:16" s="3" customFormat="1" ht="15" customHeight="1" x14ac:dyDescent="0.15">
      <c r="A13" s="2"/>
      <c r="B13" s="16" t="s">
        <v>18</v>
      </c>
      <c r="C13" s="16"/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</row>
    <row r="14" spans="1:16" ht="15" customHeight="1" x14ac:dyDescent="0.15">
      <c r="A14" s="16" t="s">
        <v>16</v>
      </c>
      <c r="B14" s="4" t="s">
        <v>19</v>
      </c>
      <c r="C14" s="5">
        <v>10</v>
      </c>
      <c r="D14" s="6">
        <f>COUNT([2]調定04!$E$1:$E$999)</f>
        <v>0</v>
      </c>
      <c r="E14" s="6">
        <f>COUNT([2]調定05!$E$1:$E$999)</f>
        <v>0</v>
      </c>
      <c r="F14" s="6">
        <f>COUNT([2]調定06!$E$1:$E$999)</f>
        <v>0</v>
      </c>
      <c r="G14" s="6">
        <f>COUNT([2]調定07!$E$1:$E$999)</f>
        <v>0</v>
      </c>
      <c r="H14" s="6">
        <f>COUNT([2]調定08!$E$1:$E$999)</f>
        <v>0</v>
      </c>
      <c r="I14" s="6">
        <f>COUNT([2]調定09!$E$1:$E$999)</f>
        <v>0</v>
      </c>
      <c r="J14" s="6">
        <f>COUNT([2]調定10!$E$1:$E$999)</f>
        <v>0</v>
      </c>
      <c r="K14" s="6">
        <f>COUNT([2]調定11!$E$1:$E$999)</f>
        <v>0</v>
      </c>
      <c r="L14" s="6">
        <f>COUNT([2]調定12!$E$1:$E$999)</f>
        <v>0</v>
      </c>
      <c r="M14" s="6">
        <f>COUNT([2]調定01!$E$1:$E$999)</f>
        <v>0</v>
      </c>
      <c r="N14" s="6">
        <f>COUNT([2]調定02!$E$1:$E$999)</f>
        <v>0</v>
      </c>
      <c r="O14" s="6">
        <f>COUNT([2]調定03!$E$1:$E$999)</f>
        <v>0</v>
      </c>
      <c r="P14" s="6">
        <f>SUM(D14:O14)</f>
        <v>0</v>
      </c>
    </row>
    <row r="15" spans="1:16" ht="15" customHeight="1" x14ac:dyDescent="0.15">
      <c r="A15" s="16"/>
      <c r="B15" s="4" t="s">
        <v>20</v>
      </c>
      <c r="C15" s="5">
        <v>10</v>
      </c>
      <c r="D15" s="6">
        <f>COUNT([2]調定04!$F$1:$F$999)</f>
        <v>0</v>
      </c>
      <c r="E15" s="6">
        <f>COUNT([2]調定05!$F$1:$F$999)</f>
        <v>0</v>
      </c>
      <c r="F15" s="6">
        <f>COUNT([2]調定06!$F$1:$F$999)</f>
        <v>0</v>
      </c>
      <c r="G15" s="6">
        <f>COUNT([2]調定07!$F$1:$F$999)</f>
        <v>0</v>
      </c>
      <c r="H15" s="6">
        <f>COUNT([2]調定08!$F$1:$F$999)</f>
        <v>0</v>
      </c>
      <c r="I15" s="6">
        <f>COUNT([2]調定09!$F$1:$F$999)</f>
        <v>0</v>
      </c>
      <c r="J15" s="6">
        <f>COUNT([2]調定10!$F$1:$F$999)</f>
        <v>0</v>
      </c>
      <c r="K15" s="6">
        <f>COUNT([2]調定11!$F$1:$F$999)</f>
        <v>0</v>
      </c>
      <c r="L15" s="6">
        <f>COUNT([2]調定12!$F$1:$F$999)</f>
        <v>0</v>
      </c>
      <c r="M15" s="6">
        <f>COUNT([2]調定01!$F$1:$F$999)</f>
        <v>0</v>
      </c>
      <c r="N15" s="6">
        <f>COUNT([2]調定02!$F$1:$F$999)</f>
        <v>0</v>
      </c>
      <c r="O15" s="6">
        <f>COUNT([2]調定03!$F$1:$F$999)</f>
        <v>0</v>
      </c>
      <c r="P15" s="6">
        <f>SUM(D15:O15)</f>
        <v>0</v>
      </c>
    </row>
    <row r="16" spans="1:16" ht="15" customHeight="1" x14ac:dyDescent="0.15">
      <c r="A16" s="16"/>
      <c r="B16" s="4" t="s">
        <v>21</v>
      </c>
      <c r="C16" s="5">
        <v>10</v>
      </c>
      <c r="D16" s="6">
        <f>COUNT([2]調定04!$G$1:$G$999)</f>
        <v>0</v>
      </c>
      <c r="E16" s="6">
        <f>COUNT([2]調定05!$G$1:$G$999)</f>
        <v>0</v>
      </c>
      <c r="F16" s="6">
        <f>COUNT([2]調定06!$G$1:$G$999)</f>
        <v>0</v>
      </c>
      <c r="G16" s="6">
        <f>COUNT([2]調定07!$G$1:$G$999)</f>
        <v>0</v>
      </c>
      <c r="H16" s="6">
        <f>COUNT([2]調定08!$G$1:$G$999)</f>
        <v>0</v>
      </c>
      <c r="I16" s="6">
        <f>COUNT([2]調定09!$G$1:$G$999)</f>
        <v>0</v>
      </c>
      <c r="J16" s="6">
        <f>COUNT([2]調定10!$G$1:$G$999)</f>
        <v>0</v>
      </c>
      <c r="K16" s="6">
        <f>COUNT([2]調定11!$G$1:$G$999)</f>
        <v>0</v>
      </c>
      <c r="L16" s="6">
        <f>COUNT([2]調定12!$G$1:$G$999)</f>
        <v>0</v>
      </c>
      <c r="M16" s="6">
        <f>COUNT([2]調定01!$G$1:$G$999)</f>
        <v>0</v>
      </c>
      <c r="N16" s="6">
        <f>COUNT([2]調定02!$G$1:$G$999)</f>
        <v>0</v>
      </c>
      <c r="O16" s="6">
        <f>COUNT([2]調定03!$G$1:$G$999)</f>
        <v>0</v>
      </c>
      <c r="P16" s="6">
        <f>SUM(D16:O16)</f>
        <v>0</v>
      </c>
    </row>
    <row r="17" spans="1:16" ht="7.5" customHeight="1" x14ac:dyDescent="0.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1:16" ht="15" customHeight="1" x14ac:dyDescent="0.15">
      <c r="A18" s="16" t="s">
        <v>17</v>
      </c>
      <c r="B18" s="4" t="s">
        <v>19</v>
      </c>
      <c r="C18" s="5">
        <v>10</v>
      </c>
      <c r="D18" s="6">
        <f>SUM([2]調定04!$E$4:$E$999)</f>
        <v>0</v>
      </c>
      <c r="E18" s="6">
        <f>SUM([2]調定05!$E$4:$E$999)</f>
        <v>0</v>
      </c>
      <c r="F18" s="6">
        <f>SUM([2]調定06!$E$4:$E$999)</f>
        <v>0</v>
      </c>
      <c r="G18" s="6">
        <f>SUM([2]調定07!$E$4:$E$999)</f>
        <v>0</v>
      </c>
      <c r="H18" s="6">
        <f>SUM([2]調定08!$E$4:$E$999)</f>
        <v>0</v>
      </c>
      <c r="I18" s="6">
        <f>SUM([2]調定09!$E$4:$E$999)</f>
        <v>0</v>
      </c>
      <c r="J18" s="6">
        <f>SUM([2]調定10!$E$4:$E$999)</f>
        <v>0</v>
      </c>
      <c r="K18" s="6">
        <f>SUM([2]調定11!$E$4:$E$999)</f>
        <v>0</v>
      </c>
      <c r="L18" s="6">
        <f>SUM([2]調定12!$E$4:$E$999)</f>
        <v>0</v>
      </c>
      <c r="M18" s="6">
        <f>SUM([2]調定01!$E$4:$E$999)</f>
        <v>0</v>
      </c>
      <c r="N18" s="6">
        <f>SUM([2]調定02!$E$4:$E$999)</f>
        <v>0</v>
      </c>
      <c r="O18" s="6">
        <f>SUM([2]調定03!$E$4:$E$999)</f>
        <v>0</v>
      </c>
      <c r="P18" s="6">
        <f>SUM(D18:O18)</f>
        <v>0</v>
      </c>
    </row>
    <row r="19" spans="1:16" ht="15" customHeight="1" x14ac:dyDescent="0.15">
      <c r="A19" s="16"/>
      <c r="B19" s="4" t="s">
        <v>20</v>
      </c>
      <c r="C19" s="5">
        <v>10</v>
      </c>
      <c r="D19" s="6">
        <f>SUM([2]調定04!$F$4:$F$999)</f>
        <v>0</v>
      </c>
      <c r="E19" s="6">
        <f>SUM([2]調定05!$F$4:$F$999)</f>
        <v>0</v>
      </c>
      <c r="F19" s="6">
        <f>SUM([2]調定06!$F$4:$F$999)</f>
        <v>0</v>
      </c>
      <c r="G19" s="6">
        <f>SUM([2]調定07!$F$4:$F$999)</f>
        <v>0</v>
      </c>
      <c r="H19" s="6">
        <f>SUM([2]調定08!$F$4:$F$999)</f>
        <v>0</v>
      </c>
      <c r="I19" s="6">
        <f>SUM([2]調定09!$F$4:$F$999)</f>
        <v>0</v>
      </c>
      <c r="J19" s="6">
        <f>SUM([2]調定10!$F$4:$F$999)</f>
        <v>0</v>
      </c>
      <c r="K19" s="6">
        <f>SUM([2]調定11!$F$4:$F$999)</f>
        <v>0</v>
      </c>
      <c r="L19" s="6">
        <f>SUM([2]調定12!$F$4:$F$999)</f>
        <v>0</v>
      </c>
      <c r="M19" s="6">
        <f>SUM([2]調定01!$F$4:$F$999)</f>
        <v>0</v>
      </c>
      <c r="N19" s="6">
        <f>SUM([2]調定02!$F$4:$F$999)</f>
        <v>0</v>
      </c>
      <c r="O19" s="6">
        <f>SUM([2]調定03!$F$4:$F$999)</f>
        <v>0</v>
      </c>
      <c r="P19" s="6">
        <f>SUM(D19:O19)</f>
        <v>0</v>
      </c>
    </row>
    <row r="20" spans="1:16" ht="15" customHeight="1" x14ac:dyDescent="0.15">
      <c r="A20" s="16"/>
      <c r="B20" s="4" t="s">
        <v>21</v>
      </c>
      <c r="C20" s="5">
        <v>10</v>
      </c>
      <c r="D20" s="6">
        <f>SUM([2]調定04!$G$4:$G$999)</f>
        <v>0</v>
      </c>
      <c r="E20" s="6">
        <f>SUM([2]調定05!$G$4:$G$999)</f>
        <v>0</v>
      </c>
      <c r="F20" s="6">
        <f>SUM([2]調定06!$G$4:$G$999)</f>
        <v>0</v>
      </c>
      <c r="G20" s="6">
        <f>SUM([2]調定07!$G$4:$G$999)</f>
        <v>0</v>
      </c>
      <c r="H20" s="6">
        <f>SUM([2]調定08!$G$4:$G$999)</f>
        <v>0</v>
      </c>
      <c r="I20" s="6">
        <f>SUM([2]調定09!$G$4:$G$999)</f>
        <v>0</v>
      </c>
      <c r="J20" s="6">
        <f>SUM([2]調定10!$G$4:$G$999)</f>
        <v>0</v>
      </c>
      <c r="K20" s="6">
        <f>SUM([2]調定11!$G$4:$G$999)</f>
        <v>0</v>
      </c>
      <c r="L20" s="6">
        <f>SUM([2]調定12!$G$4:$G$999)</f>
        <v>0</v>
      </c>
      <c r="M20" s="6">
        <f>SUM([2]調定01!$G$4:$G$999)</f>
        <v>0</v>
      </c>
      <c r="N20" s="6">
        <f>SUM([2]調定02!$G$4:$G$999)</f>
        <v>0</v>
      </c>
      <c r="O20" s="6">
        <f>SUM([2]調定03!$G$4:$G$999)</f>
        <v>0</v>
      </c>
      <c r="P20" s="6">
        <f>SUM(D20:O20)</f>
        <v>0</v>
      </c>
    </row>
    <row r="21" spans="1:16" ht="15" customHeight="1" x14ac:dyDescent="0.15">
      <c r="A21" s="16" t="s">
        <v>15</v>
      </c>
      <c r="B21" s="16"/>
      <c r="C21" s="16"/>
      <c r="D21" s="6" t="str">
        <f>IF(SUM(D18:D20)=0,"",SUM(D18:D20))</f>
        <v/>
      </c>
      <c r="E21" s="6" t="str">
        <f>IF(SUM(E18:E20)=0,"",SUM(E18:E20))</f>
        <v/>
      </c>
      <c r="F21" s="6" t="str">
        <f t="shared" ref="F21:O21" si="3">IF(SUM(F18:F20)=0,"",SUM(F18:F20))</f>
        <v/>
      </c>
      <c r="G21" s="6" t="str">
        <f t="shared" si="3"/>
        <v/>
      </c>
      <c r="H21" s="6" t="str">
        <f t="shared" si="3"/>
        <v/>
      </c>
      <c r="I21" s="6" t="str">
        <f t="shared" si="3"/>
        <v/>
      </c>
      <c r="J21" s="6" t="str">
        <f t="shared" si="3"/>
        <v/>
      </c>
      <c r="K21" s="6" t="str">
        <f t="shared" si="3"/>
        <v/>
      </c>
      <c r="L21" s="6" t="str">
        <f t="shared" si="3"/>
        <v/>
      </c>
      <c r="M21" s="6" t="str">
        <f t="shared" si="3"/>
        <v/>
      </c>
      <c r="N21" s="6" t="str">
        <f t="shared" si="3"/>
        <v/>
      </c>
      <c r="O21" s="6" t="str">
        <f t="shared" si="3"/>
        <v/>
      </c>
      <c r="P21" s="6">
        <f>SUM(P18:P20)</f>
        <v>0</v>
      </c>
    </row>
    <row r="22" spans="1:16" ht="15" customHeight="1" x14ac:dyDescent="0.15">
      <c r="M22" s="9"/>
    </row>
    <row r="23" spans="1:16" ht="15" customHeight="1" x14ac:dyDescent="0.15">
      <c r="A23" s="15" t="s">
        <v>31</v>
      </c>
      <c r="B23" s="15"/>
      <c r="C23" s="15"/>
      <c r="D23" s="15"/>
      <c r="E23" s="15"/>
      <c r="M23" s="9"/>
    </row>
    <row r="24" spans="1:16" ht="15" customHeight="1" x14ac:dyDescent="0.15">
      <c r="A24" s="2"/>
      <c r="B24" s="16" t="s">
        <v>18</v>
      </c>
      <c r="C24" s="16"/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</row>
    <row r="25" spans="1:16" ht="15" customHeight="1" x14ac:dyDescent="0.15">
      <c r="A25" s="21" t="s">
        <v>16</v>
      </c>
      <c r="B25" s="4" t="s">
        <v>22</v>
      </c>
      <c r="C25" s="14">
        <v>3000</v>
      </c>
      <c r="D25" s="6">
        <f>SUM([3]調定04!$I$24)
+SUM([3]調定04!$I$48)
+SUM([3]調定04!$I$72)
+SUM([3]調定04!$I$96)</f>
        <v>0</v>
      </c>
      <c r="E25" s="6">
        <f>SUM([3]調定05!$I$24)
+SUM([3]調定05!$I$48)
+SUM([3]調定05!$I$72)
+SUM([3]調定05!$I$96)</f>
        <v>0</v>
      </c>
      <c r="F25" s="6">
        <f>SUM([3]調定06!$I$24)
+SUM([3]調定06!$I$48)
+SUM([3]調定06!$I$72)
+SUM([3]調定06!$I$96)</f>
        <v>0</v>
      </c>
      <c r="G25" s="6">
        <f>SUM([3]調定07!$I$24)
+SUM([3]調定07!$I$48)
+SUM([3]調定07!$I$72)
+SUM([3]調定07!$I$96)</f>
        <v>0</v>
      </c>
      <c r="H25" s="6">
        <f>SUM([3]調定08!$I$24)
+SUM([3]調定08!$I$48)
+SUM([3]調定08!$I$72)
+SUM([3]調定08!$I$96)</f>
        <v>0</v>
      </c>
      <c r="I25" s="6">
        <f>SUM([3]調定09!$I$24)
+SUM([3]調定09!$I$48)
+SUM([3]調定09!$I$72)
+SUM([3]調定09!$I$96)</f>
        <v>0</v>
      </c>
      <c r="J25" s="6">
        <f>SUM([3]調定10!$I$24)
+SUM([3]調定10!$I$48)
+SUM([3]調定10!$I$72)
+SUM([3]調定10!$I$96)</f>
        <v>0</v>
      </c>
      <c r="K25" s="6">
        <f>SUM([3]調定11!$I$24)
+SUM([3]調定11!$I$48)
+SUM([3]調定11!$I$72)
+SUM([3]調定11!$I$96)</f>
        <v>0</v>
      </c>
      <c r="L25" s="6">
        <f>SUM([3]調定12!$I$24)
+SUM([3]調定12!$I$48)
+SUM([3]調定12!$I$72)
+SUM([3]調定12!$I$96)</f>
        <v>0</v>
      </c>
      <c r="M25" s="6">
        <f>SUM([3]調定01!$I$24)
+SUM([3]調定01!$I$48)
+SUM([3]調定01!$I$72)
+SUM([3]調定01!$I$96)</f>
        <v>0</v>
      </c>
      <c r="N25" s="6">
        <f>SUM([3]調定02!$I$24)
+SUM([3]調定02!$I$48)
+SUM([3]調定02!$I$72)
+SUM([3]調定02!$I$96)</f>
        <v>0</v>
      </c>
      <c r="O25" s="6">
        <f>SUM([3]調定03!$I$24)
+SUM([3]調定03!$I$48)
+SUM([3]調定03!$I$72)
+SUM([3]調定03!$I$96)</f>
        <v>0</v>
      </c>
      <c r="P25" s="6">
        <f t="shared" ref="P25:P30" si="4">SUM(D25:O25)</f>
        <v>0</v>
      </c>
    </row>
    <row r="26" spans="1:16" ht="15" customHeight="1" x14ac:dyDescent="0.15">
      <c r="A26" s="22"/>
      <c r="B26" s="4" t="s">
        <v>23</v>
      </c>
      <c r="C26" s="14">
        <v>3000</v>
      </c>
      <c r="D26" s="6">
        <f>SUM([3]調定04!$K$24)
+SUM([3]調定04!$K$48)
+SUM([3]調定04!$K$72)
+SUM([3]調定04!$K$96)</f>
        <v>0</v>
      </c>
      <c r="E26" s="6">
        <f>SUM([3]調定05!$K$24)
+SUM([3]調定05!$K$48)
+SUM([3]調定05!$K$72)
+SUM([3]調定05!$K$96)</f>
        <v>0</v>
      </c>
      <c r="F26" s="6">
        <f>SUM([3]調定06!$K$24)
+SUM([3]調定06!$K$48)
+SUM([3]調定06!$K$72)
+SUM([3]調定06!$K$96)</f>
        <v>0</v>
      </c>
      <c r="G26" s="6">
        <f>SUM([3]調定07!$K$24)
+SUM([3]調定07!$K$48)
+SUM([3]調定07!$K$72)
+SUM([3]調定07!$K$96)</f>
        <v>0</v>
      </c>
      <c r="H26" s="6">
        <f>SUM([3]調定08!$K$24)
+SUM([3]調定08!$K$48)
+SUM([3]調定08!$K$72)
+SUM([3]調定08!$K$96)</f>
        <v>0</v>
      </c>
      <c r="I26" s="6">
        <f>SUM([3]調定09!$K$24)
+SUM([3]調定09!$K$48)
+SUM([3]調定09!$K$72)
+SUM([3]調定09!$K$96)</f>
        <v>0</v>
      </c>
      <c r="J26" s="6">
        <f>SUM([3]調定10!$K$24)
+SUM([3]調定10!$K$48)
+SUM([3]調定10!$K$72)
+SUM([3]調定10!$K$96)</f>
        <v>0</v>
      </c>
      <c r="K26" s="6">
        <f>SUM([3]調定11!$K$24)
+SUM([3]調定11!$K$48)
+SUM([3]調定11!$K$72)
+SUM([3]調定11!$K$96)</f>
        <v>0</v>
      </c>
      <c r="L26" s="6">
        <f>SUM([3]調定12!$K$24)
+SUM([3]調定12!$K$48)
+SUM([3]調定12!$K$72)
+SUM([3]調定12!$K$96)</f>
        <v>0</v>
      </c>
      <c r="M26" s="6">
        <f>SUM([3]調定01!$K$24)
+SUM([3]調定01!$K$48)
+SUM([3]調定01!$K$72)
+SUM([3]調定01!$K$96)</f>
        <v>0</v>
      </c>
      <c r="N26" s="6">
        <f>SUM([3]調定02!$K$24)
+SUM([3]調定02!$K$48)
+SUM([3]調定02!$K$72)
+SUM([3]調定02!$K$96)</f>
        <v>0</v>
      </c>
      <c r="O26" s="6">
        <f>SUM([3]調定03!$K$24)
+SUM([3]調定03!$K$48)
+SUM([3]調定03!$K$72)
+SUM([3]調定03!$K$96)</f>
        <v>0</v>
      </c>
      <c r="P26" s="6">
        <f t="shared" si="4"/>
        <v>0</v>
      </c>
    </row>
    <row r="27" spans="1:16" ht="15" customHeight="1" x14ac:dyDescent="0.15">
      <c r="A27" s="22"/>
      <c r="B27" s="4" t="s">
        <v>27</v>
      </c>
      <c r="C27" s="14">
        <v>3000</v>
      </c>
      <c r="D27" s="6">
        <f>SUM([3]調定04!$G$24)
+SUM([3]調定04!$G$48)
+SUM([3]調定04!$G$72)
+SUM([3]調定04!$G$96)</f>
        <v>0</v>
      </c>
      <c r="E27" s="6">
        <f>SUM([3]調定05!$G$24)
+SUM([3]調定05!$G$48)
+SUM([3]調定05!$G$72)
+SUM([3]調定05!$G$96)</f>
        <v>0</v>
      </c>
      <c r="F27" s="6">
        <f>SUM([3]調定06!$G$24)
+SUM([3]調定06!$G$48)
+SUM([3]調定06!$G$72)
+SUM([3]調定06!$G$96)</f>
        <v>0</v>
      </c>
      <c r="G27" s="6">
        <f>SUM([3]調定07!$G$24)
+SUM([3]調定07!$G$48)
+SUM([3]調定07!$G$72)
+SUM([3]調定07!$G$96)</f>
        <v>0</v>
      </c>
      <c r="H27" s="6">
        <f>SUM([3]調定08!$G$24)
+SUM([3]調定08!$G$48)
+SUM([3]調定08!$G$72)
+SUM([3]調定08!$G$96)</f>
        <v>0</v>
      </c>
      <c r="I27" s="6">
        <f>SUM([3]調定09!$G$24)
+SUM([3]調定09!$G$48)
+SUM([3]調定09!$G$72)
+SUM([3]調定09!$G$96)</f>
        <v>0</v>
      </c>
      <c r="J27" s="6">
        <f>SUM([3]調定10!$G$24)
+SUM([3]調定10!$G$48)
+SUM([3]調定10!$G$72)
+SUM([3]調定10!$G$96)</f>
        <v>0</v>
      </c>
      <c r="K27" s="6">
        <f>SUM([3]調定11!$G$24)
+SUM([3]調定11!$G$48)
+SUM([3]調定11!$G$72)
+SUM([3]調定11!$G$96)</f>
        <v>0</v>
      </c>
      <c r="L27" s="6">
        <f>SUM([3]調定12!$G$24)
+SUM([3]調定12!$G$48)
+SUM([3]調定12!$G$72)
+SUM([3]調定12!$G$96)</f>
        <v>0</v>
      </c>
      <c r="M27" s="6">
        <f>SUM([3]調定01!$G$24)
+SUM([3]調定01!$G$48)
+SUM([3]調定01!$G$72)
+SUM([3]調定01!$G$96)</f>
        <v>0</v>
      </c>
      <c r="N27" s="6">
        <f>SUM([3]調定02!$G$24)
+SUM([3]調定02!$G$48)
+SUM([3]調定02!$G$72)
+SUM([3]調定02!$G$96)</f>
        <v>0</v>
      </c>
      <c r="O27" s="6">
        <f>SUM([3]調定03!$G$24)
+SUM([3]調定03!$G$48)
+SUM([3]調定03!$G$72)
+SUM([3]調定03!$G$96)</f>
        <v>0</v>
      </c>
      <c r="P27" s="6">
        <f t="shared" si="4"/>
        <v>0</v>
      </c>
    </row>
    <row r="28" spans="1:16" ht="15" customHeight="1" x14ac:dyDescent="0.15">
      <c r="A28" s="22"/>
      <c r="B28" s="4" t="s">
        <v>24</v>
      </c>
      <c r="C28" s="14">
        <v>2000</v>
      </c>
      <c r="D28" s="6">
        <f>SUM([3]調定04!$M$24)
+SUM([3]調定04!$M$48)
+SUM([3]調定04!$M$72)
+SUM([3]調定04!$M$96)</f>
        <v>0</v>
      </c>
      <c r="E28" s="6">
        <f>SUM([3]調定05!$M$24)
+SUM([3]調定05!$M$48)
+SUM([3]調定05!$M$72)
+SUM([3]調定05!$M$96)</f>
        <v>0</v>
      </c>
      <c r="F28" s="6">
        <f>SUM([3]調定06!$M$24)
+SUM([3]調定06!$M$48)
+SUM([3]調定06!$M$72)
+SUM([3]調定06!$M$96)</f>
        <v>0</v>
      </c>
      <c r="G28" s="6">
        <f>SUM([3]調定07!$M$24)
+SUM([3]調定07!$M$48)
+SUM([3]調定07!$M$72)
+SUM([3]調定07!$M$96)</f>
        <v>0</v>
      </c>
      <c r="H28" s="6">
        <f>SUM([3]調定08!$M$24)
+SUM([3]調定08!$M$48)
+SUM([3]調定08!$M$72)
+SUM([3]調定08!$M$96)</f>
        <v>0</v>
      </c>
      <c r="I28" s="6">
        <f>SUM([3]調定09!$M$24)
+SUM([3]調定09!$M$48)
+SUM([3]調定09!$M$72)
+SUM([3]調定09!$M$96)</f>
        <v>0</v>
      </c>
      <c r="J28" s="6">
        <f>SUM([3]調定10!$M$24)
+SUM([3]調定10!$M$48)
+SUM([3]調定10!$M$72)
+SUM([3]調定10!$M$96)</f>
        <v>0</v>
      </c>
      <c r="K28" s="6">
        <f>SUM([3]調定11!$M$24)
+SUM([3]調定11!$M$48)
+SUM([3]調定11!$M$72)
+SUM([3]調定11!$M$96)</f>
        <v>0</v>
      </c>
      <c r="L28" s="6">
        <f>SUM([3]調定12!$M$24)
+SUM([3]調定12!$M$48)
+SUM([3]調定12!$M$72)
+SUM([3]調定12!$M$96)</f>
        <v>0</v>
      </c>
      <c r="M28" s="6">
        <f>SUM([3]調定01!$M$24)
+SUM([3]調定01!$M$48)
+SUM([3]調定01!$M$72)
+SUM([3]調定01!$M$96)</f>
        <v>0</v>
      </c>
      <c r="N28" s="6">
        <f>SUM([3]調定02!$M$24)
+SUM([3]調定02!$M$48)
+SUM([3]調定02!$M$72)
+SUM([3]調定02!$M$96)</f>
        <v>0</v>
      </c>
      <c r="O28" s="6">
        <f>SUM([3]調定03!$M$24)
+SUM([3]調定03!$M$48)
+SUM([3]調定03!$M$72)
+SUM([3]調定03!$M$96)</f>
        <v>0</v>
      </c>
      <c r="P28" s="6">
        <f t="shared" si="4"/>
        <v>0</v>
      </c>
    </row>
    <row r="29" spans="1:16" ht="15" customHeight="1" x14ac:dyDescent="0.15">
      <c r="A29" s="22"/>
      <c r="B29" s="4" t="s">
        <v>25</v>
      </c>
      <c r="C29" s="14">
        <v>2000</v>
      </c>
      <c r="D29" s="6">
        <f>SUM([3]調定04!$O$24)
+SUM([3]調定04!$O$48)
+SUM([3]調定04!$O$72)
+SUM([3]調定04!$O$96)</f>
        <v>0</v>
      </c>
      <c r="E29" s="6">
        <f>SUM([3]調定05!$O$24)
+SUM([3]調定05!$O$48)
+SUM([3]調定05!$O$72)
+SUM([3]調定05!$O$96)</f>
        <v>0</v>
      </c>
      <c r="F29" s="6">
        <f>SUM([3]調定06!$O$24)
+SUM([3]調定06!$O$48)
+SUM([3]調定06!$O$72)
+SUM([3]調定06!$O$96)</f>
        <v>0</v>
      </c>
      <c r="G29" s="6">
        <f>SUM([3]調定07!$O$24)
+SUM([3]調定07!$O$48)
+SUM([3]調定07!$O$72)
+SUM([3]調定07!$O$96)</f>
        <v>0</v>
      </c>
      <c r="H29" s="6">
        <f>SUM([3]調定08!$O$24)
+SUM([3]調定08!$O$48)
+SUM([3]調定08!$O$72)
+SUM([3]調定08!$O$96)</f>
        <v>0</v>
      </c>
      <c r="I29" s="6">
        <f>SUM([3]調定09!$O$24)
+SUM([3]調定09!$O$48)
+SUM([3]調定09!$O$72)
+SUM([3]調定09!$O$96)</f>
        <v>0</v>
      </c>
      <c r="J29" s="6">
        <f>SUM([3]調定10!$O$24)
+SUM([3]調定10!$O$48)
+SUM([3]調定10!$O$72)
+SUM([3]調定10!$O$96)</f>
        <v>0</v>
      </c>
      <c r="K29" s="6">
        <f>SUM([3]調定11!$O$24)
+SUM([3]調定11!$O$48)
+SUM([3]調定11!$O$72)
+SUM([3]調定11!$O$96)</f>
        <v>0</v>
      </c>
      <c r="L29" s="6">
        <f>SUM([3]調定12!$O$24)
+SUM([3]調定12!$O$48)
+SUM([3]調定12!$O$72)
+SUM([3]調定12!$O$96)</f>
        <v>0</v>
      </c>
      <c r="M29" s="6">
        <f>SUM([3]調定01!$O$24)
+SUM([3]調定01!$O$48)
+SUM([3]調定01!$O$72)
+SUM([3]調定01!$O$96)</f>
        <v>0</v>
      </c>
      <c r="N29" s="6">
        <f>SUM([3]調定02!$O$24)
+SUM([3]調定02!$O$48)
+SUM([3]調定02!$O$72)
+SUM([3]調定02!$O$96)</f>
        <v>0</v>
      </c>
      <c r="O29" s="6">
        <f>SUM([3]調定03!$O$24)
+SUM([3]調定03!$O$48)
+SUM([3]調定03!$O$72)
+SUM([3]調定03!$O$96)</f>
        <v>0</v>
      </c>
      <c r="P29" s="6">
        <f t="shared" si="4"/>
        <v>0</v>
      </c>
    </row>
    <row r="30" spans="1:16" ht="15" customHeight="1" x14ac:dyDescent="0.15">
      <c r="A30" s="20"/>
      <c r="B30" s="4" t="s">
        <v>28</v>
      </c>
      <c r="C30" s="14">
        <v>2000</v>
      </c>
      <c r="D30" s="6">
        <f>SUM([3]調定04!$E$24)
+SUM([3]調定04!$E$48)
+SUM([3]調定04!$E$72)
+SUM([3]調定04!$E$96)</f>
        <v>0</v>
      </c>
      <c r="E30" s="6">
        <f>SUM([3]調定05!$E$24)
+SUM([3]調定05!$E$48)
+SUM([3]調定05!$E$72)
+SUM([3]調定05!$E$96)</f>
        <v>0</v>
      </c>
      <c r="F30" s="6">
        <f>SUM([3]調定06!$E$24)
+SUM([3]調定06!$E$48)
+SUM([3]調定06!$E$72)
+SUM([3]調定06!$E$96)</f>
        <v>0</v>
      </c>
      <c r="G30" s="6">
        <f>SUM([3]調定07!$E$24)
+SUM([3]調定07!$E$48)
+SUM([3]調定07!$E$72)
+SUM([3]調定07!$E$96)</f>
        <v>0</v>
      </c>
      <c r="H30" s="6">
        <f>SUM([3]調定08!$E$24)
+SUM([3]調定08!$E$48)
+SUM([3]調定08!$E$72)
+SUM([3]調定08!$E$96)</f>
        <v>0</v>
      </c>
      <c r="I30" s="6">
        <f>SUM([3]調定09!$E$24)
+SUM([3]調定09!$E$48)
+SUM([3]調定09!$E$72)
+SUM([3]調定09!$E$96)</f>
        <v>0</v>
      </c>
      <c r="J30" s="6">
        <f>SUM([3]調定10!$E$24)
+SUM([3]調定10!$E$48)
+SUM([3]調定10!$E$72)
+SUM([3]調定10!$E$96)</f>
        <v>0</v>
      </c>
      <c r="K30" s="6">
        <f>SUM([3]調定11!$E$24)
+SUM([3]調定11!$E$48)
+SUM([3]調定11!$E$72)
+SUM([3]調定11!$E$96)</f>
        <v>0</v>
      </c>
      <c r="L30" s="6">
        <f>SUM([3]調定12!$E$24)
+SUM([3]調定12!$E$48)
+SUM([3]調定12!$E$72)
+SUM([3]調定12!$E$96)</f>
        <v>0</v>
      </c>
      <c r="M30" s="6">
        <f>SUM([3]調定01!$E$24)
+SUM([3]調定01!$E$48)
+SUM([3]調定01!$E$72)
+SUM([3]調定01!$E$96)</f>
        <v>0</v>
      </c>
      <c r="N30" s="6">
        <f>SUM([3]調定02!$E$24)
+SUM([3]調定02!$E$48)
+SUM([3]調定02!$E$72)
+SUM([3]調定02!$E$96)</f>
        <v>0</v>
      </c>
      <c r="O30" s="6">
        <f>SUM([3]調定03!$E$24)
+SUM([3]調定03!$E$48)
+SUM([3]調定03!$E$72)
+SUM([3]調定03!$E$96)</f>
        <v>0</v>
      </c>
      <c r="P30" s="6">
        <f t="shared" si="4"/>
        <v>0</v>
      </c>
    </row>
    <row r="31" spans="1:16" ht="7.5" customHeight="1" x14ac:dyDescent="0.1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</row>
    <row r="32" spans="1:16" ht="15" customHeight="1" x14ac:dyDescent="0.15">
      <c r="A32" s="16" t="s">
        <v>17</v>
      </c>
      <c r="B32" s="4" t="s">
        <v>22</v>
      </c>
      <c r="C32" s="14">
        <v>3000</v>
      </c>
      <c r="D32" s="12">
        <f>D25*$C32</f>
        <v>0</v>
      </c>
      <c r="E32" s="12">
        <f t="shared" ref="E32:O32" si="5">E25*$C32</f>
        <v>0</v>
      </c>
      <c r="F32" s="12">
        <f t="shared" si="5"/>
        <v>0</v>
      </c>
      <c r="G32" s="12">
        <f t="shared" si="5"/>
        <v>0</v>
      </c>
      <c r="H32" s="12">
        <f t="shared" si="5"/>
        <v>0</v>
      </c>
      <c r="I32" s="12">
        <f t="shared" si="5"/>
        <v>0</v>
      </c>
      <c r="J32" s="12">
        <f t="shared" si="5"/>
        <v>0</v>
      </c>
      <c r="K32" s="12">
        <f t="shared" si="5"/>
        <v>0</v>
      </c>
      <c r="L32" s="12">
        <f t="shared" si="5"/>
        <v>0</v>
      </c>
      <c r="M32" s="12">
        <f t="shared" si="5"/>
        <v>0</v>
      </c>
      <c r="N32" s="12">
        <f t="shared" si="5"/>
        <v>0</v>
      </c>
      <c r="O32" s="12">
        <f t="shared" si="5"/>
        <v>0</v>
      </c>
      <c r="P32" s="6">
        <f t="shared" ref="P32:P37" si="6">SUM(D32:O32)</f>
        <v>0</v>
      </c>
    </row>
    <row r="33" spans="1:16" ht="15" customHeight="1" x14ac:dyDescent="0.15">
      <c r="A33" s="16"/>
      <c r="B33" s="4" t="s">
        <v>23</v>
      </c>
      <c r="C33" s="14">
        <v>3000</v>
      </c>
      <c r="D33" s="12">
        <f t="shared" ref="D33:O37" si="7">D26*$C33</f>
        <v>0</v>
      </c>
      <c r="E33" s="12">
        <f t="shared" si="7"/>
        <v>0</v>
      </c>
      <c r="F33" s="12">
        <f t="shared" si="7"/>
        <v>0</v>
      </c>
      <c r="G33" s="12">
        <f t="shared" si="7"/>
        <v>0</v>
      </c>
      <c r="H33" s="12">
        <f t="shared" si="7"/>
        <v>0</v>
      </c>
      <c r="I33" s="12">
        <f t="shared" si="7"/>
        <v>0</v>
      </c>
      <c r="J33" s="12">
        <f t="shared" si="7"/>
        <v>0</v>
      </c>
      <c r="K33" s="12">
        <f t="shared" si="7"/>
        <v>0</v>
      </c>
      <c r="L33" s="12">
        <f t="shared" si="7"/>
        <v>0</v>
      </c>
      <c r="M33" s="12">
        <f t="shared" si="7"/>
        <v>0</v>
      </c>
      <c r="N33" s="12">
        <f t="shared" si="7"/>
        <v>0</v>
      </c>
      <c r="O33" s="12">
        <f t="shared" si="7"/>
        <v>0</v>
      </c>
      <c r="P33" s="6">
        <f t="shared" si="6"/>
        <v>0</v>
      </c>
    </row>
    <row r="34" spans="1:16" ht="15" customHeight="1" x14ac:dyDescent="0.15">
      <c r="A34" s="16"/>
      <c r="B34" s="4" t="s">
        <v>27</v>
      </c>
      <c r="C34" s="14">
        <v>3000</v>
      </c>
      <c r="D34" s="12">
        <f t="shared" si="7"/>
        <v>0</v>
      </c>
      <c r="E34" s="12">
        <f t="shared" si="7"/>
        <v>0</v>
      </c>
      <c r="F34" s="12">
        <f t="shared" si="7"/>
        <v>0</v>
      </c>
      <c r="G34" s="12">
        <f t="shared" si="7"/>
        <v>0</v>
      </c>
      <c r="H34" s="12">
        <f t="shared" si="7"/>
        <v>0</v>
      </c>
      <c r="I34" s="12">
        <f t="shared" si="7"/>
        <v>0</v>
      </c>
      <c r="J34" s="12">
        <f t="shared" si="7"/>
        <v>0</v>
      </c>
      <c r="K34" s="12">
        <f t="shared" si="7"/>
        <v>0</v>
      </c>
      <c r="L34" s="12">
        <f t="shared" si="7"/>
        <v>0</v>
      </c>
      <c r="M34" s="12">
        <f t="shared" si="7"/>
        <v>0</v>
      </c>
      <c r="N34" s="12">
        <f t="shared" si="7"/>
        <v>0</v>
      </c>
      <c r="O34" s="12">
        <f t="shared" si="7"/>
        <v>0</v>
      </c>
      <c r="P34" s="6">
        <f t="shared" si="6"/>
        <v>0</v>
      </c>
    </row>
    <row r="35" spans="1:16" ht="15" customHeight="1" x14ac:dyDescent="0.15">
      <c r="A35" s="16"/>
      <c r="B35" s="4" t="s">
        <v>24</v>
      </c>
      <c r="C35" s="14">
        <v>2000</v>
      </c>
      <c r="D35" s="12">
        <f t="shared" si="7"/>
        <v>0</v>
      </c>
      <c r="E35" s="12">
        <f t="shared" si="7"/>
        <v>0</v>
      </c>
      <c r="F35" s="12">
        <f t="shared" si="7"/>
        <v>0</v>
      </c>
      <c r="G35" s="12">
        <f t="shared" si="7"/>
        <v>0</v>
      </c>
      <c r="H35" s="12">
        <f t="shared" si="7"/>
        <v>0</v>
      </c>
      <c r="I35" s="12">
        <f t="shared" si="7"/>
        <v>0</v>
      </c>
      <c r="J35" s="12">
        <f t="shared" si="7"/>
        <v>0</v>
      </c>
      <c r="K35" s="12">
        <f t="shared" si="7"/>
        <v>0</v>
      </c>
      <c r="L35" s="12">
        <f t="shared" si="7"/>
        <v>0</v>
      </c>
      <c r="M35" s="12">
        <f t="shared" si="7"/>
        <v>0</v>
      </c>
      <c r="N35" s="12">
        <f t="shared" si="7"/>
        <v>0</v>
      </c>
      <c r="O35" s="12">
        <f t="shared" si="7"/>
        <v>0</v>
      </c>
      <c r="P35" s="6">
        <f t="shared" si="6"/>
        <v>0</v>
      </c>
    </row>
    <row r="36" spans="1:16" ht="15" customHeight="1" x14ac:dyDescent="0.15">
      <c r="A36" s="16"/>
      <c r="B36" s="4" t="s">
        <v>25</v>
      </c>
      <c r="C36" s="14">
        <v>2000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2">
        <f t="shared" si="7"/>
        <v>0</v>
      </c>
      <c r="H36" s="12">
        <f t="shared" si="7"/>
        <v>0</v>
      </c>
      <c r="I36" s="12">
        <f t="shared" si="7"/>
        <v>0</v>
      </c>
      <c r="J36" s="12">
        <f t="shared" si="7"/>
        <v>0</v>
      </c>
      <c r="K36" s="12">
        <f t="shared" si="7"/>
        <v>0</v>
      </c>
      <c r="L36" s="12">
        <f t="shared" si="7"/>
        <v>0</v>
      </c>
      <c r="M36" s="12">
        <f t="shared" si="7"/>
        <v>0</v>
      </c>
      <c r="N36" s="12">
        <f t="shared" si="7"/>
        <v>0</v>
      </c>
      <c r="O36" s="12">
        <f t="shared" si="7"/>
        <v>0</v>
      </c>
      <c r="P36" s="6">
        <f t="shared" si="6"/>
        <v>0</v>
      </c>
    </row>
    <row r="37" spans="1:16" ht="15" customHeight="1" x14ac:dyDescent="0.15">
      <c r="A37" s="16"/>
      <c r="B37" s="4" t="s">
        <v>28</v>
      </c>
      <c r="C37" s="14">
        <v>2000</v>
      </c>
      <c r="D37" s="12">
        <f t="shared" si="7"/>
        <v>0</v>
      </c>
      <c r="E37" s="12">
        <f t="shared" si="7"/>
        <v>0</v>
      </c>
      <c r="F37" s="12">
        <f t="shared" si="7"/>
        <v>0</v>
      </c>
      <c r="G37" s="12">
        <f t="shared" si="7"/>
        <v>0</v>
      </c>
      <c r="H37" s="12">
        <f t="shared" si="7"/>
        <v>0</v>
      </c>
      <c r="I37" s="12">
        <f t="shared" si="7"/>
        <v>0</v>
      </c>
      <c r="J37" s="12">
        <f t="shared" si="7"/>
        <v>0</v>
      </c>
      <c r="K37" s="12">
        <f t="shared" si="7"/>
        <v>0</v>
      </c>
      <c r="L37" s="12">
        <f t="shared" si="7"/>
        <v>0</v>
      </c>
      <c r="M37" s="12">
        <f t="shared" si="7"/>
        <v>0</v>
      </c>
      <c r="N37" s="12">
        <f t="shared" si="7"/>
        <v>0</v>
      </c>
      <c r="O37" s="12">
        <f t="shared" si="7"/>
        <v>0</v>
      </c>
      <c r="P37" s="6">
        <f t="shared" si="6"/>
        <v>0</v>
      </c>
    </row>
    <row r="38" spans="1:16" ht="15" customHeight="1" thickBot="1" x14ac:dyDescent="0.2">
      <c r="A38" s="23" t="s">
        <v>15</v>
      </c>
      <c r="B38" s="23"/>
      <c r="C38" s="23"/>
      <c r="D38" s="10">
        <f>SUM(D32:D37)</f>
        <v>0</v>
      </c>
      <c r="E38" s="10">
        <f t="shared" ref="E38:O38" si="8">SUM(E32:E37)</f>
        <v>0</v>
      </c>
      <c r="F38" s="10">
        <f t="shared" si="8"/>
        <v>0</v>
      </c>
      <c r="G38" s="10">
        <f t="shared" si="8"/>
        <v>0</v>
      </c>
      <c r="H38" s="10">
        <f t="shared" si="8"/>
        <v>0</v>
      </c>
      <c r="I38" s="10">
        <f t="shared" si="8"/>
        <v>0</v>
      </c>
      <c r="J38" s="10">
        <f t="shared" si="8"/>
        <v>0</v>
      </c>
      <c r="K38" s="10">
        <f t="shared" si="8"/>
        <v>0</v>
      </c>
      <c r="L38" s="10">
        <f t="shared" si="8"/>
        <v>0</v>
      </c>
      <c r="M38" s="10">
        <f t="shared" si="8"/>
        <v>0</v>
      </c>
      <c r="N38" s="10">
        <f t="shared" si="8"/>
        <v>0</v>
      </c>
      <c r="O38" s="10">
        <f t="shared" si="8"/>
        <v>0</v>
      </c>
      <c r="P38" s="10">
        <f>SUM(P32:P37)</f>
        <v>0</v>
      </c>
    </row>
    <row r="39" spans="1:16" ht="15" customHeight="1" thickTop="1" x14ac:dyDescent="0.15">
      <c r="A39" s="20" t="s">
        <v>26</v>
      </c>
      <c r="B39" s="20"/>
      <c r="C39" s="20"/>
      <c r="D39" s="13" t="str">
        <f>IF(SUM(D10,D21,D38)=0,"",SUM(D10,D21,D38))</f>
        <v/>
      </c>
      <c r="E39" s="13" t="str">
        <f>IF(SUM(E10,E21,E38)=0,"",SUM(E10,E21,E38))</f>
        <v/>
      </c>
      <c r="F39" s="13" t="str">
        <f t="shared" ref="F39:O39" si="9">IF(SUM(F10,F21,F38)=0,"",SUM(F10,F21,F38))</f>
        <v/>
      </c>
      <c r="G39" s="13" t="str">
        <f t="shared" si="9"/>
        <v/>
      </c>
      <c r="H39" s="13" t="str">
        <f t="shared" si="9"/>
        <v/>
      </c>
      <c r="I39" s="13" t="str">
        <f t="shared" si="9"/>
        <v/>
      </c>
      <c r="J39" s="13" t="str">
        <f t="shared" si="9"/>
        <v/>
      </c>
      <c r="K39" s="13" t="str">
        <f t="shared" si="9"/>
        <v/>
      </c>
      <c r="L39" s="13" t="str">
        <f t="shared" si="9"/>
        <v/>
      </c>
      <c r="M39" s="13" t="str">
        <f t="shared" si="9"/>
        <v/>
      </c>
      <c r="N39" s="13" t="str">
        <f t="shared" si="9"/>
        <v/>
      </c>
      <c r="O39" s="13" t="str">
        <f t="shared" si="9"/>
        <v/>
      </c>
      <c r="P39" s="11">
        <f>P10+P21+P38</f>
        <v>0</v>
      </c>
    </row>
  </sheetData>
  <mergeCells count="19">
    <mergeCell ref="A39:C39"/>
    <mergeCell ref="A3:A5"/>
    <mergeCell ref="A7:A9"/>
    <mergeCell ref="B2:C2"/>
    <mergeCell ref="B13:C13"/>
    <mergeCell ref="A14:A16"/>
    <mergeCell ref="A18:A20"/>
    <mergeCell ref="B24:C24"/>
    <mergeCell ref="A25:A30"/>
    <mergeCell ref="A38:C38"/>
    <mergeCell ref="A12:E12"/>
    <mergeCell ref="A1:E1"/>
    <mergeCell ref="A23:E23"/>
    <mergeCell ref="A32:A37"/>
    <mergeCell ref="A6:P6"/>
    <mergeCell ref="A17:P17"/>
    <mergeCell ref="A31:P31"/>
    <mergeCell ref="A10:C10"/>
    <mergeCell ref="A21:C21"/>
  </mergeCells>
  <phoneticPr fontId="1"/>
  <pageMargins left="0.59055118110236227" right="0.59055118110236227" top="0.59055118110236227" bottom="0.59055118110236227" header="0" footer="0"/>
  <pageSetup paperSize="9" orientation="landscape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Hirosaki</dc:creator>
  <cp:lastModifiedBy>Lay Hirosaki</cp:lastModifiedBy>
  <cp:lastPrinted>2014-11-10T02:06:18Z</cp:lastPrinted>
  <dcterms:created xsi:type="dcterms:W3CDTF">2012-01-16T05:11:52Z</dcterms:created>
  <dcterms:modified xsi:type="dcterms:W3CDTF">2026-03-05T04:58:00Z</dcterms:modified>
</cp:coreProperties>
</file>