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yhi\OneDrive\Desktop\R８年度一式\"/>
    </mc:Choice>
  </mc:AlternateContent>
  <xr:revisionPtr revIDLastSave="0" documentId="8_{534EC70D-3156-4110-A980-1091B151FBFA}" xr6:coauthVersionLast="47" xr6:coauthVersionMax="47" xr10:uidLastSave="{00000000-0000-0000-0000-000000000000}"/>
  <bookViews>
    <workbookView xWindow="2520" yWindow="225" windowWidth="16350" windowHeight="15480" xr2:uid="{6D3F0DFB-1AB5-4F12-BAD3-DA7AC3FDF1AC}"/>
  </bookViews>
  <sheets>
    <sheet name="10万未満" sheetId="11" r:id="rId1"/>
    <sheet name="10万以上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1" l="1"/>
  <c r="G25" i="11"/>
  <c r="Q25" i="11"/>
  <c r="N6" i="11"/>
  <c r="L4" i="12"/>
  <c r="K6" i="12"/>
  <c r="N6" i="12"/>
  <c r="P9" i="12"/>
  <c r="Q9" i="12"/>
  <c r="R9" i="12"/>
  <c r="G25" i="12"/>
  <c r="K25" i="12"/>
  <c r="M25" i="12"/>
  <c r="Q25" i="12"/>
  <c r="G27" i="12"/>
  <c r="G33" i="12" s="1"/>
  <c r="P27" i="12"/>
  <c r="Q27" i="12" s="1"/>
  <c r="Q33" i="12" s="1"/>
  <c r="G28" i="12"/>
  <c r="P28" i="12"/>
  <c r="Q28" i="12"/>
  <c r="G29" i="12"/>
  <c r="P29" i="12"/>
  <c r="Q29" i="12"/>
  <c r="G30" i="12"/>
  <c r="P30" i="12"/>
  <c r="Q30" i="12"/>
  <c r="G31" i="12"/>
  <c r="P31" i="12"/>
  <c r="Q31" i="12"/>
  <c r="G32" i="12"/>
  <c r="P32" i="12"/>
  <c r="Q32" i="12" s="1"/>
  <c r="F33" i="12"/>
  <c r="K6" i="11"/>
  <c r="P9" i="11"/>
  <c r="Q9" i="11"/>
  <c r="R9" i="11"/>
  <c r="K25" i="11"/>
  <c r="M25" i="11"/>
  <c r="G27" i="11"/>
  <c r="P27" i="11"/>
  <c r="P33" i="11" s="1"/>
  <c r="Q27" i="11"/>
  <c r="G28" i="11"/>
  <c r="G33" i="11"/>
  <c r="E9" i="11" s="1"/>
  <c r="O9" i="11" s="1"/>
  <c r="P28" i="11"/>
  <c r="Q28" i="11" s="1"/>
  <c r="G29" i="11"/>
  <c r="P29" i="11"/>
  <c r="Q29" i="11"/>
  <c r="G30" i="11"/>
  <c r="P30" i="11"/>
  <c r="Q30" i="11" s="1"/>
  <c r="G31" i="11"/>
  <c r="P31" i="11"/>
  <c r="Q31" i="11"/>
  <c r="G32" i="11"/>
  <c r="P32" i="11"/>
  <c r="Q32" i="11"/>
  <c r="F33" i="11"/>
  <c r="Q33" i="11" l="1"/>
  <c r="D9" i="12"/>
  <c r="N9" i="12" s="1"/>
  <c r="C9" i="12"/>
  <c r="M9" i="12" s="1"/>
  <c r="E9" i="12"/>
  <c r="O9" i="12" s="1"/>
  <c r="D9" i="11"/>
  <c r="N9" i="11" s="1"/>
  <c r="P33" i="12"/>
</calcChain>
</file>

<file path=xl/sharedStrings.xml><?xml version="1.0" encoding="utf-8"?>
<sst xmlns="http://schemas.openxmlformats.org/spreadsheetml/2006/main" count="148" uniqueCount="53">
  <si>
    <t>納額通知書</t>
    <rPh sb="0" eb="1">
      <t>オサム</t>
    </rPh>
    <rPh sb="1" eb="2">
      <t>ガク</t>
    </rPh>
    <rPh sb="2" eb="5">
      <t>ツウチショ</t>
    </rPh>
    <phoneticPr fontId="1"/>
  </si>
  <si>
    <t>納入者</t>
    <rPh sb="0" eb="2">
      <t>ノウニュウ</t>
    </rPh>
    <rPh sb="2" eb="3">
      <t>シャ</t>
    </rPh>
    <phoneticPr fontId="1"/>
  </si>
  <si>
    <t>殿</t>
    <rPh sb="0" eb="1">
      <t>ドノ</t>
    </rPh>
    <phoneticPr fontId="1"/>
  </si>
  <si>
    <t>金</t>
    <rPh sb="0" eb="1">
      <t>キン</t>
    </rPh>
    <phoneticPr fontId="1"/>
  </si>
  <si>
    <t>円</t>
    <rPh sb="0" eb="1">
      <t>エン</t>
    </rPh>
    <phoneticPr fontId="1"/>
  </si>
  <si>
    <t>十</t>
    <rPh sb="0" eb="1">
      <t>ジュウ</t>
    </rPh>
    <phoneticPr fontId="1"/>
  </si>
  <si>
    <t>百</t>
    <rPh sb="0" eb="1">
      <t>ヒャク</t>
    </rPh>
    <phoneticPr fontId="1"/>
  </si>
  <si>
    <t>千</t>
    <rPh sb="0" eb="1">
      <t>セン</t>
    </rPh>
    <phoneticPr fontId="1"/>
  </si>
  <si>
    <t>領収書</t>
    <rPh sb="0" eb="3">
      <t>リョウシュウショ</t>
    </rPh>
    <phoneticPr fontId="1"/>
  </si>
  <si>
    <t>　上記</t>
    <rPh sb="1" eb="3">
      <t>ジョウキ</t>
    </rPh>
    <phoneticPr fontId="1"/>
  </si>
  <si>
    <t>　　平成　　　年　　　月　　　日</t>
    <rPh sb="2" eb="4">
      <t>ヘイセイ</t>
    </rPh>
    <rPh sb="7" eb="8">
      <t>ネン</t>
    </rPh>
    <rPh sb="11" eb="12">
      <t>ツキ</t>
    </rPh>
    <rPh sb="15" eb="16">
      <t>ニチ</t>
    </rPh>
    <phoneticPr fontId="1"/>
  </si>
  <si>
    <t>　　利尻郡清掃施設組合</t>
    <rPh sb="2" eb="5">
      <t>リシリグン</t>
    </rPh>
    <rPh sb="5" eb="7">
      <t>セイソウ</t>
    </rPh>
    <rPh sb="7" eb="9">
      <t>シセツ</t>
    </rPh>
    <rPh sb="9" eb="11">
      <t>クミアイ</t>
    </rPh>
    <phoneticPr fontId="1"/>
  </si>
  <si>
    <r>
      <t>　　　　　助　役　　</t>
    </r>
    <r>
      <rPr>
        <sz val="12"/>
        <rFont val="ＭＳ 明朝"/>
        <family val="1"/>
        <charset val="128"/>
      </rPr>
      <t>田　村　祥　三</t>
    </r>
    <rPh sb="5" eb="6">
      <t>スケ</t>
    </rPh>
    <rPh sb="7" eb="8">
      <t>エキ</t>
    </rPh>
    <rPh sb="10" eb="11">
      <t>タ</t>
    </rPh>
    <rPh sb="12" eb="13">
      <t>ムラ</t>
    </rPh>
    <rPh sb="14" eb="15">
      <t>ショ</t>
    </rPh>
    <rPh sb="16" eb="17">
      <t>サン</t>
    </rPh>
    <phoneticPr fontId="1"/>
  </si>
  <si>
    <t>収 集 運 搬 手 数 料</t>
    <rPh sb="0" eb="1">
      <t>オサム</t>
    </rPh>
    <rPh sb="2" eb="3">
      <t>シュウ</t>
    </rPh>
    <rPh sb="4" eb="5">
      <t>ウン</t>
    </rPh>
    <rPh sb="6" eb="7">
      <t>ハコ</t>
    </rPh>
    <rPh sb="8" eb="9">
      <t>テ</t>
    </rPh>
    <rPh sb="10" eb="11">
      <t>スウ</t>
    </rPh>
    <rPh sb="12" eb="13">
      <t>リョウ</t>
    </rPh>
    <phoneticPr fontId="1"/>
  </si>
  <si>
    <t>使用料及　　手 数 料</t>
    <rPh sb="0" eb="2">
      <t>シヨウ</t>
    </rPh>
    <rPh sb="2" eb="3">
      <t>リョウ</t>
    </rPh>
    <rPh sb="3" eb="4">
      <t>オヨ</t>
    </rPh>
    <rPh sb="6" eb="7">
      <t>テ</t>
    </rPh>
    <rPh sb="8" eb="9">
      <t>スウ</t>
    </rPh>
    <rPh sb="10" eb="11">
      <t>リョウ</t>
    </rPh>
    <phoneticPr fontId="1"/>
  </si>
  <si>
    <t>　組合会計管理者に納付せられたい</t>
    <rPh sb="1" eb="3">
      <t>クミアイ</t>
    </rPh>
    <rPh sb="3" eb="5">
      <t>カイケイ</t>
    </rPh>
    <rPh sb="5" eb="8">
      <t>カンリシャ</t>
    </rPh>
    <rPh sb="9" eb="11">
      <t>ノウフ</t>
    </rPh>
    <phoneticPr fontId="1"/>
  </si>
  <si>
    <t>　上記の金額領収しました</t>
    <rPh sb="1" eb="3">
      <t>ジョウキ</t>
    </rPh>
    <rPh sb="4" eb="6">
      <t>キンガク</t>
    </rPh>
    <rPh sb="6" eb="8">
      <t>リョウシュウ</t>
    </rPh>
    <phoneticPr fontId="1"/>
  </si>
  <si>
    <t>会計管理者</t>
    <rPh sb="0" eb="2">
      <t>カイケイ</t>
    </rPh>
    <rPh sb="2" eb="5">
      <t>カンリシャ</t>
    </rPh>
    <phoneticPr fontId="1"/>
  </si>
  <si>
    <t>内訳書</t>
    <rPh sb="0" eb="2">
      <t>ウチワケ</t>
    </rPh>
    <rPh sb="2" eb="3">
      <t>ショ</t>
    </rPh>
    <phoneticPr fontId="1"/>
  </si>
  <si>
    <t>番号</t>
    <rPh sb="0" eb="2">
      <t>バンゴウ</t>
    </rPh>
    <phoneticPr fontId="1"/>
  </si>
  <si>
    <t>品　名</t>
    <rPh sb="0" eb="1">
      <t>シナ</t>
    </rPh>
    <rPh sb="2" eb="3">
      <t>メイ</t>
    </rPh>
    <phoneticPr fontId="1"/>
  </si>
  <si>
    <t>数量</t>
    <rPh sb="0" eb="2">
      <t>スウリョウ</t>
    </rPh>
    <phoneticPr fontId="1"/>
  </si>
  <si>
    <t>\</t>
    <phoneticPr fontId="1"/>
  </si>
  <si>
    <t>単　価</t>
    <rPh sb="0" eb="1">
      <t>タン</t>
    </rPh>
    <rPh sb="2" eb="3">
      <t>アタイ</t>
    </rPh>
    <phoneticPr fontId="1"/>
  </si>
  <si>
    <t>金　額</t>
    <rPh sb="0" eb="1">
      <t>キン</t>
    </rPh>
    <rPh sb="2" eb="3">
      <t>ガク</t>
    </rPh>
    <phoneticPr fontId="1"/>
  </si>
  <si>
    <t>エアコン</t>
    <phoneticPr fontId="1"/>
  </si>
  <si>
    <t>テ レ ビ</t>
    <phoneticPr fontId="1"/>
  </si>
  <si>
    <t>冷 蔵 庫</t>
    <rPh sb="0" eb="1">
      <t>ヒヤ</t>
    </rPh>
    <rPh sb="2" eb="3">
      <t>クラ</t>
    </rPh>
    <rPh sb="4" eb="5">
      <t>コ</t>
    </rPh>
    <phoneticPr fontId="1"/>
  </si>
  <si>
    <t>洗 濯 機</t>
    <rPh sb="0" eb="1">
      <t>ススグ</t>
    </rPh>
    <rPh sb="2" eb="3">
      <t>タク</t>
    </rPh>
    <rPh sb="4" eb="5">
      <t>キ</t>
    </rPh>
    <phoneticPr fontId="1"/>
  </si>
  <si>
    <t>合　  計</t>
    <rPh sb="0" eb="1">
      <t>ゴウ</t>
    </rPh>
    <rPh sb="4" eb="5">
      <t>ケイ</t>
    </rPh>
    <phoneticPr fontId="1"/>
  </si>
  <si>
    <t>万</t>
    <rPh sb="0" eb="1">
      <t>マン</t>
    </rPh>
    <phoneticPr fontId="1"/>
  </si>
  <si>
    <t>号</t>
    <rPh sb="0" eb="1">
      <t>ゴウ</t>
    </rPh>
    <phoneticPr fontId="1"/>
  </si>
  <si>
    <t>第</t>
    <rPh sb="0" eb="1">
      <t>ダイ</t>
    </rPh>
    <phoneticPr fontId="1"/>
  </si>
  <si>
    <t>乾　燥　機</t>
    <rPh sb="0" eb="1">
      <t>イヌイ</t>
    </rPh>
    <rPh sb="2" eb="3">
      <t>ソウ</t>
    </rPh>
    <rPh sb="4" eb="5">
      <t>キ</t>
    </rPh>
    <phoneticPr fontId="1"/>
  </si>
  <si>
    <t>冷 凍 庫</t>
    <rPh sb="0" eb="1">
      <t>ヒヤ</t>
    </rPh>
    <rPh sb="2" eb="3">
      <t>コオ</t>
    </rPh>
    <rPh sb="4" eb="5">
      <t>コ</t>
    </rPh>
    <phoneticPr fontId="1"/>
  </si>
  <si>
    <t>不二商会</t>
    <rPh sb="0" eb="2">
      <t>フジ</t>
    </rPh>
    <rPh sb="2" eb="4">
      <t>ショウカイ</t>
    </rPh>
    <phoneticPr fontId="1"/>
  </si>
  <si>
    <t>㈲電器のオオミ</t>
    <phoneticPr fontId="1"/>
  </si>
  <si>
    <t>㈱洋商</t>
    <rPh sb="0" eb="3">
      <t>ヨウ</t>
    </rPh>
    <phoneticPr fontId="1"/>
  </si>
  <si>
    <t>月分</t>
    <rPh sb="0" eb="1">
      <t>ツキ</t>
    </rPh>
    <rPh sb="1" eb="2">
      <t>ブン</t>
    </rPh>
    <phoneticPr fontId="1"/>
  </si>
  <si>
    <t>組合長</t>
    <rPh sb="0" eb="3">
      <t>クミアイチョウ</t>
    </rPh>
    <phoneticPr fontId="1"/>
  </si>
  <si>
    <t>田　村　祥　三　</t>
    <rPh sb="0" eb="1">
      <t>タ</t>
    </rPh>
    <rPh sb="2" eb="3">
      <t>ムラ</t>
    </rPh>
    <rPh sb="4" eb="5">
      <t>ショウ</t>
    </rPh>
    <rPh sb="6" eb="7">
      <t>サン</t>
    </rPh>
    <phoneticPr fontId="1"/>
  </si>
  <si>
    <t>ベスト電器利尻店</t>
  </si>
  <si>
    <t>　２月　　６日</t>
    <rPh sb="2" eb="3">
      <t>ガツ</t>
    </rPh>
    <rPh sb="6" eb="7">
      <t>ニチ</t>
    </rPh>
    <phoneticPr fontId="1"/>
  </si>
  <si>
    <t>\</t>
    <phoneticPr fontId="1"/>
  </si>
  <si>
    <t>㈲電器のオオミ</t>
    <phoneticPr fontId="1"/>
  </si>
  <si>
    <t>エアコン</t>
    <phoneticPr fontId="1"/>
  </si>
  <si>
    <t>テ レ ビ</t>
    <phoneticPr fontId="1"/>
  </si>
  <si>
    <t>電器のオオミ</t>
  </si>
  <si>
    <t>熊　谷　洋　人</t>
    <rPh sb="0" eb="1">
      <t>クマ</t>
    </rPh>
    <rPh sb="2" eb="3">
      <t>タニ</t>
    </rPh>
    <rPh sb="4" eb="5">
      <t>ヨウ</t>
    </rPh>
    <rPh sb="6" eb="7">
      <t>ヒト</t>
    </rPh>
    <phoneticPr fontId="1"/>
  </si>
  <si>
    <t>令和　　年度</t>
    <rPh sb="0" eb="2">
      <t>レイワ</t>
    </rPh>
    <rPh sb="4" eb="5">
      <t>ネン</t>
    </rPh>
    <rPh sb="5" eb="6">
      <t>ド</t>
    </rPh>
    <phoneticPr fontId="1"/>
  </si>
  <si>
    <t>令和　年</t>
    <rPh sb="0" eb="2">
      <t>レイワ</t>
    </rPh>
    <rPh sb="3" eb="4">
      <t>トシ</t>
    </rPh>
    <phoneticPr fontId="1"/>
  </si>
  <si>
    <t>令和　年度</t>
    <rPh sb="0" eb="2">
      <t>レイワ</t>
    </rPh>
    <rPh sb="3" eb="4">
      <t>ネン</t>
    </rPh>
    <rPh sb="4" eb="5">
      <t>ド</t>
    </rPh>
    <phoneticPr fontId="1"/>
  </si>
  <si>
    <t>　月　 日</t>
    <rPh sb="1" eb="2">
      <t>ガツ</t>
    </rPh>
    <rPh sb="4" eb="5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</si>
</sst>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9" formatCode="#,##0_);\(#,##0\)"/>
    <numFmt numFmtId="181" formatCode="#,##0_ "/>
    <numFmt numFmtId="182" formatCode="0_ "/>
    <numFmt numFmtId="183" formatCode="0;[Red]0"/>
    <numFmt numFmtId="187" formatCode="0;&quot;▲ &quot;0"/>
    <numFmt numFmtId="188" formatCode="0_);\(0\)"/>
    <numFmt numFmtId="189" formatCode="0;&quot;△ &quot;0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b/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20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6"/>
      <name val="HG創英角ｺﾞｼｯｸUB"/>
      <family val="3"/>
      <charset val="128"/>
    </font>
    <font>
      <sz val="11"/>
      <color indexed="9"/>
      <name val="ＭＳ Ｐゴシック"/>
      <family val="3"/>
      <charset val="128"/>
    </font>
    <font>
      <b/>
      <sz val="12"/>
      <name val="HGPｺﾞｼｯｸE"/>
      <family val="3"/>
      <charset val="128"/>
    </font>
    <font>
      <sz val="1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6" fillId="0" borderId="0" xfId="0" applyFont="1" applyBorder="1" applyAlignment="1">
      <alignment vertical="top"/>
    </xf>
    <xf numFmtId="0" fontId="4" fillId="0" borderId="0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13" xfId="0" applyFont="1" applyBorder="1" applyAlignment="1">
      <alignment horizontal="center" vertical="center" shrinkToFit="1"/>
    </xf>
    <xf numFmtId="3" fontId="3" fillId="0" borderId="7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82" fontId="7" fillId="0" borderId="15" xfId="0" applyNumberFormat="1" applyFont="1" applyBorder="1" applyAlignment="1">
      <alignment horizontal="distributed" vertical="center" justifyLastLine="1"/>
    </xf>
    <xf numFmtId="182" fontId="7" fillId="0" borderId="2" xfId="0" applyNumberFormat="1" applyFont="1" applyBorder="1" applyAlignment="1">
      <alignment horizontal="distributed" vertical="center" justifyLastLine="1"/>
    </xf>
    <xf numFmtId="182" fontId="7" fillId="0" borderId="16" xfId="0" applyNumberFormat="1" applyFont="1" applyBorder="1" applyAlignment="1">
      <alignment horizontal="distributed" vertical="center" justifyLastLine="1"/>
    </xf>
    <xf numFmtId="0" fontId="7" fillId="0" borderId="15" xfId="0" applyFont="1" applyBorder="1" applyAlignment="1">
      <alignment horizontal="distributed" vertical="center" justifyLastLine="1"/>
    </xf>
    <xf numFmtId="0" fontId="7" fillId="0" borderId="2" xfId="0" applyFont="1" applyBorder="1" applyAlignment="1">
      <alignment horizontal="distributed" vertical="center" justifyLastLine="1"/>
    </xf>
    <xf numFmtId="0" fontId="7" fillId="0" borderId="16" xfId="0" applyFont="1" applyBorder="1" applyAlignment="1">
      <alignment horizontal="distributed" vertical="center" justifyLastLine="1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10" fillId="0" borderId="0" xfId="0" applyFont="1" applyBorder="1"/>
    <xf numFmtId="0" fontId="2" fillId="0" borderId="0" xfId="0" applyFont="1" applyBorder="1" applyAlignment="1">
      <alignment horizontal="left" vertical="center"/>
    </xf>
    <xf numFmtId="0" fontId="2" fillId="0" borderId="17" xfId="0" applyFont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18" xfId="0" applyFont="1" applyBorder="1" applyAlignment="1">
      <alignment vertical="center"/>
    </xf>
    <xf numFmtId="0" fontId="0" fillId="0" borderId="20" xfId="0" applyBorder="1"/>
    <xf numFmtId="0" fontId="2" fillId="0" borderId="13" xfId="0" applyFont="1" applyBorder="1" applyAlignment="1">
      <alignment horizontal="center" vertical="center" shrinkToFit="1"/>
    </xf>
    <xf numFmtId="189" fontId="7" fillId="0" borderId="0" xfId="0" applyNumberFormat="1" applyFont="1" applyBorder="1" applyAlignment="1">
      <alignment horizontal="right" vertical="center"/>
    </xf>
    <xf numFmtId="0" fontId="3" fillId="0" borderId="31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179" fontId="3" fillId="0" borderId="31" xfId="0" applyNumberFormat="1" applyFont="1" applyBorder="1" applyAlignment="1">
      <alignment vertical="center"/>
    </xf>
    <xf numFmtId="179" fontId="3" fillId="0" borderId="30" xfId="0" applyNumberFormat="1" applyFont="1" applyBorder="1" applyAlignment="1">
      <alignment vertical="center"/>
    </xf>
    <xf numFmtId="0" fontId="7" fillId="0" borderId="3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81" fontId="3" fillId="0" borderId="6" xfId="0" applyNumberFormat="1" applyFont="1" applyBorder="1" applyAlignment="1">
      <alignment horizontal="right" vertical="center"/>
    </xf>
    <xf numFmtId="181" fontId="3" fillId="0" borderId="11" xfId="0" applyNumberFormat="1" applyFont="1" applyBorder="1" applyAlignment="1">
      <alignment horizontal="right" vertical="center"/>
    </xf>
    <xf numFmtId="179" fontId="3" fillId="0" borderId="6" xfId="0" applyNumberFormat="1" applyFont="1" applyBorder="1" applyAlignment="1">
      <alignment vertical="center"/>
    </xf>
    <xf numFmtId="179" fontId="3" fillId="0" borderId="11" xfId="0" applyNumberFormat="1" applyFont="1" applyBorder="1" applyAlignment="1">
      <alignment vertical="center"/>
    </xf>
    <xf numFmtId="0" fontId="7" fillId="0" borderId="31" xfId="0" applyFont="1" applyBorder="1" applyAlignment="1">
      <alignment horizontal="center" vertical="center" wrapText="1"/>
    </xf>
    <xf numFmtId="0" fontId="8" fillId="0" borderId="0" xfId="0" applyFont="1" applyAlignment="1">
      <alignment horizontal="distributed"/>
    </xf>
    <xf numFmtId="0" fontId="7" fillId="0" borderId="11" xfId="0" applyFont="1" applyBorder="1" applyAlignment="1">
      <alignment horizontal="center" vertical="center"/>
    </xf>
    <xf numFmtId="188" fontId="7" fillId="0" borderId="13" xfId="0" applyNumberFormat="1" applyFont="1" applyBorder="1" applyAlignment="1">
      <alignment horizontal="center" vertical="center"/>
    </xf>
    <xf numFmtId="187" fontId="2" fillId="0" borderId="31" xfId="0" applyNumberFormat="1" applyFont="1" applyBorder="1" applyAlignment="1">
      <alignment horizontal="center" vertical="center"/>
    </xf>
    <xf numFmtId="187" fontId="2" fillId="0" borderId="13" xfId="0" applyNumberFormat="1" applyFont="1" applyBorder="1" applyAlignment="1">
      <alignment horizontal="center" vertical="center"/>
    </xf>
    <xf numFmtId="183" fontId="11" fillId="0" borderId="1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82" fontId="7" fillId="0" borderId="1" xfId="0" applyNumberFormat="1" applyFont="1" applyBorder="1" applyAlignment="1">
      <alignment horizontal="right" vertical="center" justifyLastLine="1"/>
    </xf>
    <xf numFmtId="182" fontId="7" fillId="0" borderId="25" xfId="0" applyNumberFormat="1" applyFont="1" applyBorder="1" applyAlignment="1">
      <alignment horizontal="right" vertical="center" justifyLastLine="1"/>
    </xf>
    <xf numFmtId="183" fontId="4" fillId="0" borderId="0" xfId="0" applyNumberFormat="1" applyFont="1" applyBorder="1" applyAlignment="1">
      <alignment horizontal="center" vertical="center" justifyLastLine="1"/>
    </xf>
    <xf numFmtId="183" fontId="4" fillId="0" borderId="17" xfId="0" applyNumberFormat="1" applyFont="1" applyBorder="1" applyAlignment="1">
      <alignment horizontal="center" vertical="center" justifyLastLine="1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right" vertical="center" shrinkToFit="1"/>
    </xf>
    <xf numFmtId="49" fontId="12" fillId="0" borderId="17" xfId="0" applyNumberFormat="1" applyFont="1" applyBorder="1" applyAlignment="1">
      <alignment horizontal="right" vertical="center" shrinkToFi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2" fillId="0" borderId="19" xfId="0" applyNumberFormat="1" applyFont="1" applyBorder="1" applyAlignment="1">
      <alignment horizontal="right" vertical="center" shrinkToFit="1"/>
    </xf>
    <xf numFmtId="0" fontId="12" fillId="0" borderId="17" xfId="0" applyNumberFormat="1" applyFont="1" applyBorder="1" applyAlignment="1">
      <alignment horizontal="right" vertical="center" shrinkToFit="1"/>
    </xf>
    <xf numFmtId="182" fontId="7" fillId="0" borderId="24" xfId="0" applyNumberFormat="1" applyFont="1" applyBorder="1" applyAlignment="1">
      <alignment horizontal="left" vertical="center" justifyLastLine="1"/>
    </xf>
    <xf numFmtId="182" fontId="7" fillId="0" borderId="20" xfId="0" applyNumberFormat="1" applyFont="1" applyBorder="1" applyAlignment="1">
      <alignment horizontal="left" vertical="center" justifyLastLine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B704-8A2F-4656-9144-948BEEA9E066}">
  <dimension ref="A1:R35"/>
  <sheetViews>
    <sheetView tabSelected="1" topLeftCell="A14" workbookViewId="0">
      <selection activeCell="D6" sqref="D6:G6"/>
    </sheetView>
  </sheetViews>
  <sheetFormatPr defaultRowHeight="13.5" x14ac:dyDescent="0.15"/>
  <cols>
    <col min="1" max="1" width="4" customWidth="1"/>
    <col min="2" max="2" width="5.75" customWidth="1"/>
    <col min="3" max="5" width="5.25" customWidth="1"/>
    <col min="6" max="6" width="5.125" customWidth="1"/>
    <col min="7" max="8" width="5.25" customWidth="1"/>
    <col min="9" max="10" width="6.25" customWidth="1"/>
    <col min="11" max="11" width="4" customWidth="1"/>
    <col min="12" max="12" width="5.75" customWidth="1"/>
    <col min="13" max="18" width="5.25" customWidth="1"/>
  </cols>
  <sheetData>
    <row r="1" spans="1:18" ht="37.5" customHeight="1" x14ac:dyDescent="0.2">
      <c r="C1" s="54" t="s">
        <v>0</v>
      </c>
      <c r="D1" s="54"/>
      <c r="E1" s="54"/>
      <c r="F1" s="54"/>
      <c r="I1" s="1"/>
      <c r="J1" s="36"/>
      <c r="M1" s="54" t="s">
        <v>8</v>
      </c>
      <c r="N1" s="54"/>
      <c r="O1" s="54"/>
      <c r="P1" s="54"/>
    </row>
    <row r="2" spans="1:18" ht="13.5" customHeight="1" x14ac:dyDescent="0.15">
      <c r="I2" s="1"/>
      <c r="J2" s="36"/>
    </row>
    <row r="3" spans="1:18" ht="1.5" customHeight="1" x14ac:dyDescent="0.15">
      <c r="A3" s="24"/>
      <c r="B3" s="25"/>
      <c r="C3" s="26"/>
      <c r="D3" s="3"/>
      <c r="E3" s="3"/>
      <c r="F3" s="3"/>
      <c r="G3" s="3"/>
      <c r="H3" s="4"/>
      <c r="I3" s="1"/>
      <c r="J3" s="36"/>
      <c r="K3" s="27"/>
      <c r="L3" s="28"/>
      <c r="M3" s="29"/>
      <c r="N3" s="3"/>
      <c r="O3" s="3"/>
      <c r="P3" s="3"/>
      <c r="Q3" s="3"/>
      <c r="R3" s="4"/>
    </row>
    <row r="4" spans="1:18" ht="13.5" customHeight="1" x14ac:dyDescent="0.15">
      <c r="A4" s="71" t="s">
        <v>32</v>
      </c>
      <c r="B4" s="73"/>
      <c r="C4" s="88" t="s">
        <v>31</v>
      </c>
      <c r="D4" s="16" t="s">
        <v>1</v>
      </c>
      <c r="E4" s="5"/>
      <c r="F4" s="5"/>
      <c r="G4" s="5"/>
      <c r="H4" s="6"/>
      <c r="I4" s="1"/>
      <c r="J4" s="36"/>
      <c r="K4" s="71" t="s">
        <v>32</v>
      </c>
      <c r="L4" s="73">
        <f>B4</f>
        <v>0</v>
      </c>
      <c r="M4" s="88" t="s">
        <v>31</v>
      </c>
      <c r="N4" s="16" t="s">
        <v>1</v>
      </c>
      <c r="O4" s="5"/>
      <c r="P4" s="5"/>
      <c r="Q4" s="5"/>
      <c r="R4" s="6"/>
    </row>
    <row r="5" spans="1:18" ht="13.5" customHeight="1" x14ac:dyDescent="0.15">
      <c r="A5" s="72"/>
      <c r="B5" s="74"/>
      <c r="C5" s="89"/>
      <c r="D5" s="5"/>
      <c r="E5" s="5"/>
      <c r="F5" s="5"/>
      <c r="G5" s="5"/>
      <c r="H5" s="6"/>
      <c r="I5" s="1"/>
      <c r="J5" s="36"/>
      <c r="K5" s="72"/>
      <c r="L5" s="74"/>
      <c r="M5" s="89"/>
      <c r="N5" s="5"/>
      <c r="O5" s="5"/>
      <c r="P5" s="5"/>
      <c r="Q5" s="5"/>
      <c r="R5" s="6"/>
    </row>
    <row r="6" spans="1:18" ht="26.25" customHeight="1" x14ac:dyDescent="0.15">
      <c r="A6" s="77" t="s">
        <v>51</v>
      </c>
      <c r="B6" s="78"/>
      <c r="C6" s="79"/>
      <c r="D6" s="80" t="s">
        <v>47</v>
      </c>
      <c r="E6" s="81"/>
      <c r="F6" s="81"/>
      <c r="G6" s="81"/>
      <c r="H6" s="14" t="s">
        <v>2</v>
      </c>
      <c r="I6" s="1"/>
      <c r="J6" s="36"/>
      <c r="K6" s="77" t="str">
        <f>A6</f>
        <v>令和　年度</v>
      </c>
      <c r="L6" s="78"/>
      <c r="M6" s="79"/>
      <c r="N6" s="86" t="str">
        <f>IF(D6="","",D6)</f>
        <v>電器のオオミ</v>
      </c>
      <c r="O6" s="87"/>
      <c r="P6" s="87"/>
      <c r="Q6" s="87"/>
      <c r="R6" s="14" t="s">
        <v>2</v>
      </c>
    </row>
    <row r="7" spans="1:18" ht="35.25" customHeight="1" x14ac:dyDescent="0.15">
      <c r="A7" s="82" t="s">
        <v>14</v>
      </c>
      <c r="B7" s="83"/>
      <c r="C7" s="84" t="s">
        <v>13</v>
      </c>
      <c r="D7" s="78"/>
      <c r="E7" s="78"/>
      <c r="F7" s="78"/>
      <c r="G7" s="78"/>
      <c r="H7" s="85"/>
      <c r="I7" s="1"/>
      <c r="J7" s="36"/>
      <c r="K7" s="82" t="s">
        <v>14</v>
      </c>
      <c r="L7" s="83"/>
      <c r="M7" s="84" t="s">
        <v>13</v>
      </c>
      <c r="N7" s="78"/>
      <c r="O7" s="78"/>
      <c r="P7" s="78"/>
      <c r="Q7" s="78"/>
      <c r="R7" s="85"/>
    </row>
    <row r="8" spans="1:18" ht="14.25" customHeight="1" x14ac:dyDescent="0.15">
      <c r="A8" s="75" t="s">
        <v>3</v>
      </c>
      <c r="B8" s="7"/>
      <c r="C8" s="7"/>
      <c r="D8" s="31" t="s">
        <v>30</v>
      </c>
      <c r="E8" s="12" t="s">
        <v>7</v>
      </c>
      <c r="F8" s="12" t="s">
        <v>6</v>
      </c>
      <c r="G8" s="12" t="s">
        <v>5</v>
      </c>
      <c r="H8" s="13" t="s">
        <v>4</v>
      </c>
      <c r="I8" s="1"/>
      <c r="J8" s="36"/>
      <c r="K8" s="75" t="s">
        <v>3</v>
      </c>
      <c r="L8" s="7"/>
      <c r="M8" s="7"/>
      <c r="N8" s="31" t="s">
        <v>30</v>
      </c>
      <c r="O8" s="12" t="s">
        <v>7</v>
      </c>
      <c r="P8" s="12" t="s">
        <v>6</v>
      </c>
      <c r="Q8" s="12" t="s">
        <v>5</v>
      </c>
      <c r="R8" s="13" t="s">
        <v>4</v>
      </c>
    </row>
    <row r="9" spans="1:18" ht="33.75" customHeight="1" x14ac:dyDescent="0.15">
      <c r="A9" s="76"/>
      <c r="B9" s="11"/>
      <c r="C9" s="11" t="s">
        <v>22</v>
      </c>
      <c r="D9" s="18" t="str">
        <f>IF(G33="","",IF(ROUNDDOWN(G33/10000,0)=0,"",ROUNDDOWN(G33/10000,0)))</f>
        <v/>
      </c>
      <c r="E9" s="18" t="str">
        <f>IF(G33="","",G33/1000-ROUNDDOWN(G33/10000,0)*10)</f>
        <v/>
      </c>
      <c r="F9" s="18">
        <v>0</v>
      </c>
      <c r="G9" s="18">
        <v>0</v>
      </c>
      <c r="H9" s="19">
        <v>0</v>
      </c>
      <c r="I9" s="1"/>
      <c r="J9" s="36"/>
      <c r="K9" s="76"/>
      <c r="L9" s="11"/>
      <c r="M9" s="11" t="s">
        <v>22</v>
      </c>
      <c r="N9" s="18" t="str">
        <f>IF(D9="","",D9)</f>
        <v/>
      </c>
      <c r="O9" s="18" t="str">
        <f>E9</f>
        <v/>
      </c>
      <c r="P9" s="18">
        <f>F9</f>
        <v>0</v>
      </c>
      <c r="Q9" s="18">
        <f>G9</f>
        <v>0</v>
      </c>
      <c r="R9" s="19">
        <f>H9</f>
        <v>0</v>
      </c>
    </row>
    <row r="10" spans="1:18" ht="11.25" customHeight="1" x14ac:dyDescent="0.15">
      <c r="A10" s="8"/>
      <c r="B10" s="5"/>
      <c r="C10" s="5"/>
      <c r="D10" s="5"/>
      <c r="E10" s="5"/>
      <c r="F10" s="5"/>
      <c r="G10" s="5"/>
      <c r="H10" s="5"/>
      <c r="I10" s="2"/>
      <c r="J10" s="36"/>
      <c r="K10" s="8"/>
      <c r="L10" s="5"/>
      <c r="M10" s="5"/>
      <c r="N10" s="5"/>
      <c r="O10" s="5"/>
      <c r="P10" s="5"/>
      <c r="Q10" s="5"/>
      <c r="R10" s="6"/>
    </row>
    <row r="11" spans="1:18" ht="18.75" customHeight="1" x14ac:dyDescent="0.15">
      <c r="A11" s="62" t="s">
        <v>9</v>
      </c>
      <c r="B11" s="63"/>
      <c r="C11" s="41">
        <v>3</v>
      </c>
      <c r="D11" s="33" t="s">
        <v>38</v>
      </c>
      <c r="E11" s="5"/>
      <c r="F11" s="5"/>
      <c r="G11" s="5"/>
      <c r="H11" s="5"/>
      <c r="I11" s="2"/>
      <c r="J11" s="36"/>
      <c r="K11" s="8"/>
      <c r="L11" s="5"/>
      <c r="M11" s="5"/>
      <c r="N11" s="5"/>
      <c r="O11" s="5"/>
      <c r="P11" s="5"/>
      <c r="Q11" s="5"/>
      <c r="R11" s="6"/>
    </row>
    <row r="12" spans="1:18" ht="7.5" customHeight="1" x14ac:dyDescent="0.15">
      <c r="A12" s="8"/>
      <c r="B12" s="5"/>
      <c r="C12" s="5"/>
      <c r="D12" s="5"/>
      <c r="E12" s="5"/>
      <c r="F12" s="5"/>
      <c r="G12" s="5"/>
      <c r="H12" s="5"/>
      <c r="I12" s="2"/>
      <c r="J12" s="36"/>
      <c r="K12" s="8"/>
      <c r="L12" s="5"/>
      <c r="M12" s="5"/>
      <c r="N12" s="5"/>
      <c r="O12" s="5"/>
      <c r="P12" s="5"/>
      <c r="Q12" s="5"/>
      <c r="R12" s="6"/>
    </row>
    <row r="13" spans="1:18" ht="22.5" customHeight="1" x14ac:dyDescent="0.15">
      <c r="A13" s="62" t="s">
        <v>15</v>
      </c>
      <c r="B13" s="63"/>
      <c r="C13" s="63"/>
      <c r="D13" s="63"/>
      <c r="E13" s="63"/>
      <c r="F13" s="63"/>
      <c r="G13" s="63"/>
      <c r="H13" s="64"/>
      <c r="I13" s="2"/>
      <c r="J13" s="36"/>
      <c r="K13" s="62" t="s">
        <v>16</v>
      </c>
      <c r="L13" s="63"/>
      <c r="M13" s="63"/>
      <c r="N13" s="63"/>
      <c r="O13" s="63"/>
      <c r="P13" s="63"/>
      <c r="Q13" s="63"/>
      <c r="R13" s="64"/>
    </row>
    <row r="14" spans="1:18" ht="25.5" customHeight="1" x14ac:dyDescent="0.15">
      <c r="A14" s="8"/>
      <c r="B14" s="5"/>
      <c r="C14" s="5"/>
      <c r="D14" s="5"/>
      <c r="E14" s="5"/>
      <c r="F14" s="5"/>
      <c r="G14" s="5"/>
      <c r="H14" s="5"/>
      <c r="I14" s="2"/>
      <c r="J14" s="36"/>
      <c r="K14" s="8"/>
      <c r="L14" s="5"/>
      <c r="M14" s="5"/>
      <c r="N14" s="5"/>
      <c r="O14" s="5"/>
      <c r="P14" s="5"/>
      <c r="Q14" s="5"/>
      <c r="R14" s="6"/>
    </row>
    <row r="15" spans="1:18" ht="18.75" customHeight="1" x14ac:dyDescent="0.15">
      <c r="A15" s="69" t="s">
        <v>10</v>
      </c>
      <c r="B15" s="67"/>
      <c r="C15" s="67"/>
      <c r="D15" s="67"/>
      <c r="E15" s="67"/>
      <c r="F15" s="67"/>
      <c r="G15" s="67"/>
      <c r="H15" s="70"/>
      <c r="I15" s="2"/>
      <c r="J15" s="36"/>
      <c r="K15" s="69" t="s">
        <v>10</v>
      </c>
      <c r="L15" s="67"/>
      <c r="M15" s="67"/>
      <c r="N15" s="67"/>
      <c r="O15" s="67"/>
      <c r="P15" s="67"/>
      <c r="Q15" s="67"/>
      <c r="R15" s="70"/>
    </row>
    <row r="16" spans="1:18" x14ac:dyDescent="0.15">
      <c r="A16" s="8"/>
      <c r="B16" s="5"/>
      <c r="C16" s="5"/>
      <c r="D16" s="5"/>
      <c r="E16" s="5"/>
      <c r="F16" s="5"/>
      <c r="G16" s="5"/>
      <c r="H16" s="5"/>
      <c r="I16" s="2"/>
      <c r="J16" s="36"/>
      <c r="K16" s="8"/>
      <c r="L16" s="5"/>
      <c r="M16" s="5"/>
      <c r="N16" s="5"/>
      <c r="O16" s="5"/>
      <c r="P16" s="5"/>
      <c r="Q16" s="5"/>
      <c r="R16" s="6"/>
    </row>
    <row r="17" spans="1:18" ht="18.75" customHeight="1" x14ac:dyDescent="0.15">
      <c r="A17" s="8"/>
      <c r="B17" s="5"/>
      <c r="C17" s="5"/>
      <c r="D17" s="5"/>
      <c r="E17" s="5"/>
      <c r="F17" s="5"/>
      <c r="G17" s="5"/>
      <c r="H17" s="5"/>
      <c r="I17" s="2"/>
      <c r="J17" s="36"/>
      <c r="K17" s="8"/>
      <c r="L17" s="5"/>
      <c r="M17" s="5"/>
      <c r="N17" s="5"/>
      <c r="O17" s="5"/>
      <c r="P17" s="5"/>
      <c r="Q17" s="5"/>
      <c r="R17" s="6"/>
    </row>
    <row r="18" spans="1:18" ht="18.75" customHeight="1" x14ac:dyDescent="0.15">
      <c r="A18" s="8" t="s">
        <v>11</v>
      </c>
      <c r="B18" s="5"/>
      <c r="C18" s="5"/>
      <c r="D18" s="5"/>
      <c r="E18" s="5"/>
      <c r="F18" s="5"/>
      <c r="G18" s="5"/>
      <c r="H18" s="5"/>
      <c r="I18" s="2"/>
      <c r="J18" s="36"/>
      <c r="K18" s="8" t="s">
        <v>11</v>
      </c>
      <c r="L18" s="5"/>
      <c r="M18" s="5"/>
      <c r="N18" s="5"/>
      <c r="O18" s="5"/>
      <c r="P18" s="5"/>
      <c r="Q18" s="5"/>
      <c r="R18" s="6"/>
    </row>
    <row r="19" spans="1:18" ht="18.75" customHeight="1" x14ac:dyDescent="0.15">
      <c r="A19" s="8"/>
      <c r="B19" s="68" t="s">
        <v>39</v>
      </c>
      <c r="C19" s="68"/>
      <c r="D19" s="68"/>
      <c r="E19" s="65" t="s">
        <v>40</v>
      </c>
      <c r="F19" s="65"/>
      <c r="G19" s="65"/>
      <c r="H19" s="66"/>
      <c r="I19" s="2"/>
      <c r="J19" s="36"/>
      <c r="K19" s="8" t="s">
        <v>12</v>
      </c>
      <c r="L19" s="67" t="s">
        <v>17</v>
      </c>
      <c r="M19" s="67"/>
      <c r="N19" s="67"/>
      <c r="O19" s="65" t="s">
        <v>48</v>
      </c>
      <c r="P19" s="65"/>
      <c r="Q19" s="65"/>
      <c r="R19" s="66"/>
    </row>
    <row r="20" spans="1:18" ht="21" customHeight="1" x14ac:dyDescent="0.15">
      <c r="A20" s="9"/>
      <c r="B20" s="10"/>
      <c r="C20" s="10"/>
      <c r="D20" s="10"/>
      <c r="E20" s="10"/>
      <c r="F20" s="10"/>
      <c r="G20" s="10"/>
      <c r="H20" s="10"/>
      <c r="I20" s="2"/>
      <c r="J20" s="36"/>
      <c r="K20" s="9"/>
      <c r="L20" s="10"/>
      <c r="M20" s="10"/>
      <c r="N20" s="10"/>
      <c r="O20" s="10"/>
      <c r="P20" s="10"/>
      <c r="Q20" s="10"/>
      <c r="R20" s="15"/>
    </row>
    <row r="21" spans="1:18" ht="32.25" customHeight="1" x14ac:dyDescent="0.15">
      <c r="A21" s="30"/>
      <c r="B21" s="34"/>
      <c r="C21" s="34"/>
      <c r="D21" s="34"/>
      <c r="E21" s="34"/>
      <c r="F21" s="34"/>
      <c r="G21" s="34"/>
      <c r="H21" s="34"/>
      <c r="I21" s="35"/>
      <c r="J21" s="37"/>
      <c r="K21" s="34"/>
      <c r="L21" s="34"/>
      <c r="M21" s="34"/>
      <c r="N21" s="34"/>
      <c r="O21" s="34"/>
      <c r="P21" s="34"/>
      <c r="Q21" s="34"/>
      <c r="R21" s="30"/>
    </row>
    <row r="22" spans="1:18" ht="37.5" customHeight="1" x14ac:dyDescent="0.15">
      <c r="A22" s="1"/>
      <c r="B22" s="32" t="s">
        <v>37</v>
      </c>
      <c r="C22" s="32" t="s">
        <v>35</v>
      </c>
      <c r="D22" s="32" t="s">
        <v>36</v>
      </c>
      <c r="E22" s="32"/>
      <c r="F22" s="1"/>
      <c r="G22" s="1"/>
      <c r="H22" s="1"/>
      <c r="I22" s="1"/>
      <c r="J22" s="36"/>
      <c r="K22" s="1"/>
      <c r="L22" s="1"/>
      <c r="M22" s="1"/>
      <c r="N22" s="1"/>
      <c r="O22" s="1"/>
      <c r="P22" s="1"/>
      <c r="Q22" s="1"/>
      <c r="R22" s="1"/>
    </row>
    <row r="23" spans="1:18" ht="30" customHeight="1" x14ac:dyDescent="0.2">
      <c r="C23" s="54" t="s">
        <v>18</v>
      </c>
      <c r="D23" s="54"/>
      <c r="E23" s="54"/>
      <c r="F23" s="54"/>
      <c r="I23" s="1"/>
      <c r="J23" s="36"/>
      <c r="M23" s="54" t="s">
        <v>18</v>
      </c>
      <c r="N23" s="54"/>
      <c r="O23" s="54"/>
      <c r="P23" s="54"/>
    </row>
    <row r="24" spans="1:18" x14ac:dyDescent="0.15">
      <c r="I24" s="1"/>
      <c r="J24" s="36"/>
    </row>
    <row r="25" spans="1:18" s="20" customFormat="1" ht="23.25" customHeight="1" x14ac:dyDescent="0.15">
      <c r="A25" s="57" t="s">
        <v>50</v>
      </c>
      <c r="B25" s="58"/>
      <c r="C25" s="56" t="s">
        <v>52</v>
      </c>
      <c r="D25" s="56"/>
      <c r="E25" s="56"/>
      <c r="F25" s="40" t="s">
        <v>19</v>
      </c>
      <c r="G25" s="59">
        <f>B4</f>
        <v>0</v>
      </c>
      <c r="H25" s="60"/>
      <c r="I25" s="17"/>
      <c r="J25" s="38"/>
      <c r="K25" s="57" t="str">
        <f>A25</f>
        <v>令和　年</v>
      </c>
      <c r="L25" s="58"/>
      <c r="M25" s="56" t="str">
        <f>C25</f>
        <v>　月　 日</v>
      </c>
      <c r="N25" s="56"/>
      <c r="O25" s="56"/>
      <c r="P25" s="40" t="s">
        <v>19</v>
      </c>
      <c r="Q25" s="61">
        <f>G25</f>
        <v>0</v>
      </c>
      <c r="R25" s="60"/>
    </row>
    <row r="26" spans="1:18" s="20" customFormat="1" ht="23.25" customHeight="1" x14ac:dyDescent="0.15">
      <c r="A26" s="46" t="s">
        <v>20</v>
      </c>
      <c r="B26" s="47"/>
      <c r="C26" s="55"/>
      <c r="D26" s="46" t="s">
        <v>23</v>
      </c>
      <c r="E26" s="48"/>
      <c r="F26" s="21" t="s">
        <v>21</v>
      </c>
      <c r="G26" s="46" t="s">
        <v>24</v>
      </c>
      <c r="H26" s="48"/>
      <c r="I26" s="17"/>
      <c r="J26" s="38"/>
      <c r="K26" s="46" t="s">
        <v>20</v>
      </c>
      <c r="L26" s="47"/>
      <c r="M26" s="55"/>
      <c r="N26" s="46" t="s">
        <v>23</v>
      </c>
      <c r="O26" s="48"/>
      <c r="P26" s="21" t="s">
        <v>21</v>
      </c>
      <c r="Q26" s="46" t="s">
        <v>24</v>
      </c>
      <c r="R26" s="48"/>
    </row>
    <row r="27" spans="1:18" s="20" customFormat="1" ht="39.75" customHeight="1" x14ac:dyDescent="0.15">
      <c r="A27" s="46" t="s">
        <v>25</v>
      </c>
      <c r="B27" s="47"/>
      <c r="C27" s="48"/>
      <c r="D27" s="49">
        <v>2000</v>
      </c>
      <c r="E27" s="50"/>
      <c r="F27" s="22"/>
      <c r="G27" s="51" t="str">
        <f t="shared" ref="G27:G32" si="0">IF(F27="","",F27*D27)</f>
        <v/>
      </c>
      <c r="H27" s="52"/>
      <c r="I27" s="17"/>
      <c r="J27" s="38"/>
      <c r="K27" s="46" t="s">
        <v>25</v>
      </c>
      <c r="L27" s="47"/>
      <c r="M27" s="48"/>
      <c r="N27" s="49">
        <v>2000</v>
      </c>
      <c r="O27" s="50"/>
      <c r="P27" s="22" t="str">
        <f t="shared" ref="P27:P32" si="1">IF(F27="","",F27)</f>
        <v/>
      </c>
      <c r="Q27" s="51" t="str">
        <f t="shared" ref="Q27:Q32" si="2">IF(P27="","",P27*N27)</f>
        <v/>
      </c>
      <c r="R27" s="52"/>
    </row>
    <row r="28" spans="1:18" s="20" customFormat="1" ht="39.75" customHeight="1" x14ac:dyDescent="0.15">
      <c r="A28" s="46" t="s">
        <v>26</v>
      </c>
      <c r="B28" s="47"/>
      <c r="C28" s="48"/>
      <c r="D28" s="49">
        <v>3000</v>
      </c>
      <c r="E28" s="50"/>
      <c r="F28" s="22"/>
      <c r="G28" s="51" t="str">
        <f t="shared" si="0"/>
        <v/>
      </c>
      <c r="H28" s="52"/>
      <c r="I28" s="17"/>
      <c r="J28" s="38"/>
      <c r="K28" s="46" t="s">
        <v>26</v>
      </c>
      <c r="L28" s="47"/>
      <c r="M28" s="48"/>
      <c r="N28" s="49">
        <v>3000</v>
      </c>
      <c r="O28" s="50"/>
      <c r="P28" s="22" t="str">
        <f t="shared" si="1"/>
        <v/>
      </c>
      <c r="Q28" s="51" t="str">
        <f t="shared" si="2"/>
        <v/>
      </c>
      <c r="R28" s="52"/>
    </row>
    <row r="29" spans="1:18" s="20" customFormat="1" ht="39.75" customHeight="1" x14ac:dyDescent="0.15">
      <c r="A29" s="46" t="s">
        <v>27</v>
      </c>
      <c r="B29" s="47"/>
      <c r="C29" s="48"/>
      <c r="D29" s="49">
        <v>3000</v>
      </c>
      <c r="E29" s="50"/>
      <c r="F29" s="22"/>
      <c r="G29" s="51" t="str">
        <f t="shared" si="0"/>
        <v/>
      </c>
      <c r="H29" s="52"/>
      <c r="I29" s="17"/>
      <c r="J29" s="38"/>
      <c r="K29" s="46" t="s">
        <v>27</v>
      </c>
      <c r="L29" s="47"/>
      <c r="M29" s="48"/>
      <c r="N29" s="49">
        <v>3000</v>
      </c>
      <c r="O29" s="50"/>
      <c r="P29" s="22" t="str">
        <f t="shared" si="1"/>
        <v/>
      </c>
      <c r="Q29" s="51" t="str">
        <f t="shared" si="2"/>
        <v/>
      </c>
      <c r="R29" s="52"/>
    </row>
    <row r="30" spans="1:18" s="20" customFormat="1" ht="39.75" customHeight="1" x14ac:dyDescent="0.15">
      <c r="A30" s="46" t="s">
        <v>34</v>
      </c>
      <c r="B30" s="47"/>
      <c r="C30" s="48"/>
      <c r="D30" s="49">
        <v>3000</v>
      </c>
      <c r="E30" s="50"/>
      <c r="F30" s="22"/>
      <c r="G30" s="51" t="str">
        <f t="shared" si="0"/>
        <v/>
      </c>
      <c r="H30" s="52"/>
      <c r="J30" s="38"/>
      <c r="K30" s="46" t="s">
        <v>34</v>
      </c>
      <c r="L30" s="47"/>
      <c r="M30" s="48"/>
      <c r="N30" s="49">
        <v>3000</v>
      </c>
      <c r="O30" s="50"/>
      <c r="P30" s="22" t="str">
        <f t="shared" si="1"/>
        <v/>
      </c>
      <c r="Q30" s="51" t="str">
        <f t="shared" si="2"/>
        <v/>
      </c>
      <c r="R30" s="52"/>
    </row>
    <row r="31" spans="1:18" s="20" customFormat="1" ht="39.75" customHeight="1" x14ac:dyDescent="0.15">
      <c r="A31" s="46" t="s">
        <v>28</v>
      </c>
      <c r="B31" s="47"/>
      <c r="C31" s="48"/>
      <c r="D31" s="49">
        <v>2000</v>
      </c>
      <c r="E31" s="50"/>
      <c r="F31" s="22"/>
      <c r="G31" s="51" t="str">
        <f t="shared" si="0"/>
        <v/>
      </c>
      <c r="H31" s="52"/>
      <c r="I31" s="17"/>
      <c r="J31" s="38"/>
      <c r="K31" s="46" t="s">
        <v>28</v>
      </c>
      <c r="L31" s="47"/>
      <c r="M31" s="48"/>
      <c r="N31" s="49">
        <v>2000</v>
      </c>
      <c r="O31" s="50"/>
      <c r="P31" s="22" t="str">
        <f t="shared" si="1"/>
        <v/>
      </c>
      <c r="Q31" s="51" t="str">
        <f t="shared" si="2"/>
        <v/>
      </c>
      <c r="R31" s="52"/>
    </row>
    <row r="32" spans="1:18" s="20" customFormat="1" ht="39.75" customHeight="1" x14ac:dyDescent="0.15">
      <c r="A32" s="53" t="s">
        <v>33</v>
      </c>
      <c r="B32" s="47"/>
      <c r="C32" s="48"/>
      <c r="D32" s="49">
        <v>2000</v>
      </c>
      <c r="E32" s="50"/>
      <c r="F32" s="22"/>
      <c r="G32" s="51" t="str">
        <f t="shared" si="0"/>
        <v/>
      </c>
      <c r="H32" s="52"/>
      <c r="I32" s="17"/>
      <c r="J32" s="38"/>
      <c r="K32" s="53" t="s">
        <v>33</v>
      </c>
      <c r="L32" s="47"/>
      <c r="M32" s="48"/>
      <c r="N32" s="49">
        <v>2000</v>
      </c>
      <c r="O32" s="50"/>
      <c r="P32" s="22" t="str">
        <f t="shared" si="1"/>
        <v/>
      </c>
      <c r="Q32" s="51" t="str">
        <f t="shared" si="2"/>
        <v/>
      </c>
      <c r="R32" s="52"/>
    </row>
    <row r="33" spans="1:18" s="20" customFormat="1" ht="39.75" customHeight="1" x14ac:dyDescent="0.15">
      <c r="A33" s="46" t="s">
        <v>29</v>
      </c>
      <c r="B33" s="47"/>
      <c r="C33" s="48"/>
      <c r="D33" s="42"/>
      <c r="E33" s="43"/>
      <c r="F33" s="23" t="str">
        <f>IF(SUM(F27:F32)=0,"",SUM(F27:F32))</f>
        <v/>
      </c>
      <c r="G33" s="44" t="str">
        <f>IF(SUM(G27:H32)=0,"",SUM(G27:H32))</f>
        <v/>
      </c>
      <c r="H33" s="45"/>
      <c r="I33" s="17"/>
      <c r="J33" s="38"/>
      <c r="K33" s="46" t="s">
        <v>29</v>
      </c>
      <c r="L33" s="47"/>
      <c r="M33" s="48"/>
      <c r="N33" s="42"/>
      <c r="O33" s="43"/>
      <c r="P33" s="23" t="str">
        <f>IF(SUM(P27:P32)=0,"",SUM(P27:P32))</f>
        <v/>
      </c>
      <c r="Q33" s="44" t="str">
        <f>IF(SUM(Q27:R32)=0,"",SUM(Q27:R32))</f>
        <v/>
      </c>
      <c r="R33" s="45"/>
    </row>
    <row r="34" spans="1:18" ht="33" customHeight="1" x14ac:dyDescent="0.15">
      <c r="A34" s="1"/>
      <c r="B34" s="35"/>
      <c r="C34" s="35"/>
      <c r="D34" s="35"/>
      <c r="E34" s="35"/>
      <c r="F34" s="35"/>
      <c r="G34" s="35"/>
      <c r="H34" s="35"/>
      <c r="I34" s="39"/>
      <c r="J34" s="35"/>
      <c r="K34" s="35"/>
      <c r="L34" s="35"/>
      <c r="M34" s="35"/>
      <c r="N34" s="35"/>
      <c r="O34" s="35"/>
      <c r="P34" s="35"/>
      <c r="Q34" s="35"/>
    </row>
    <row r="35" spans="1:18" x14ac:dyDescent="0.15">
      <c r="A35" s="1"/>
      <c r="B35" s="1"/>
      <c r="C35" s="1"/>
      <c r="D35" s="1"/>
      <c r="E35" s="1"/>
      <c r="F35" s="1"/>
      <c r="G35" s="1"/>
      <c r="H35" s="1"/>
      <c r="K35" s="1"/>
      <c r="L35" s="1"/>
      <c r="M35" s="1"/>
      <c r="N35" s="1"/>
      <c r="O35" s="1"/>
      <c r="P35" s="1"/>
      <c r="Q35" s="1"/>
      <c r="R35" s="1"/>
    </row>
  </sheetData>
  <mergeCells count="83">
    <mergeCell ref="M7:R7"/>
    <mergeCell ref="N6:Q6"/>
    <mergeCell ref="C1:F1"/>
    <mergeCell ref="M1:P1"/>
    <mergeCell ref="L4:L5"/>
    <mergeCell ref="M4:M5"/>
    <mergeCell ref="C4:C5"/>
    <mergeCell ref="K4:K5"/>
    <mergeCell ref="A4:A5"/>
    <mergeCell ref="B4:B5"/>
    <mergeCell ref="A8:A9"/>
    <mergeCell ref="K8:K9"/>
    <mergeCell ref="A6:C6"/>
    <mergeCell ref="D6:G6"/>
    <mergeCell ref="K6:M6"/>
    <mergeCell ref="A7:B7"/>
    <mergeCell ref="C7:H7"/>
    <mergeCell ref="K7:L7"/>
    <mergeCell ref="A11:B11"/>
    <mergeCell ref="A13:H13"/>
    <mergeCell ref="K13:R13"/>
    <mergeCell ref="O19:R19"/>
    <mergeCell ref="L19:N19"/>
    <mergeCell ref="B19:D19"/>
    <mergeCell ref="E19:H19"/>
    <mergeCell ref="A15:H15"/>
    <mergeCell ref="K15:R15"/>
    <mergeCell ref="Q25:R25"/>
    <mergeCell ref="N26:O26"/>
    <mergeCell ref="Q26:R26"/>
    <mergeCell ref="M23:P23"/>
    <mergeCell ref="K25:L25"/>
    <mergeCell ref="M25:O25"/>
    <mergeCell ref="K26:M26"/>
    <mergeCell ref="C23:F23"/>
    <mergeCell ref="A26:C26"/>
    <mergeCell ref="D26:E26"/>
    <mergeCell ref="C25:E25"/>
    <mergeCell ref="A25:B25"/>
    <mergeCell ref="G26:H26"/>
    <mergeCell ref="G25:H25"/>
    <mergeCell ref="N27:O27"/>
    <mergeCell ref="Q27:R27"/>
    <mergeCell ref="A28:C28"/>
    <mergeCell ref="D28:E28"/>
    <mergeCell ref="A27:C27"/>
    <mergeCell ref="D27:E27"/>
    <mergeCell ref="G27:H27"/>
    <mergeCell ref="K27:M27"/>
    <mergeCell ref="G28:H28"/>
    <mergeCell ref="K28:M28"/>
    <mergeCell ref="A31:C31"/>
    <mergeCell ref="D31:E31"/>
    <mergeCell ref="N28:O28"/>
    <mergeCell ref="Q28:R28"/>
    <mergeCell ref="G31:H31"/>
    <mergeCell ref="K31:M31"/>
    <mergeCell ref="G29:H29"/>
    <mergeCell ref="K29:M29"/>
    <mergeCell ref="A29:C29"/>
    <mergeCell ref="D29:E29"/>
    <mergeCell ref="A30:C30"/>
    <mergeCell ref="D30:E30"/>
    <mergeCell ref="G30:H30"/>
    <mergeCell ref="K30:M30"/>
    <mergeCell ref="N32:O32"/>
    <mergeCell ref="Q32:R32"/>
    <mergeCell ref="A32:C32"/>
    <mergeCell ref="D32:E32"/>
    <mergeCell ref="G32:H32"/>
    <mergeCell ref="K32:M32"/>
    <mergeCell ref="N29:O29"/>
    <mergeCell ref="Q29:R29"/>
    <mergeCell ref="N31:O31"/>
    <mergeCell ref="Q31:R31"/>
    <mergeCell ref="N30:O30"/>
    <mergeCell ref="Q30:R30"/>
    <mergeCell ref="N33:O33"/>
    <mergeCell ref="Q33:R33"/>
    <mergeCell ref="A33:C33"/>
    <mergeCell ref="D33:E33"/>
    <mergeCell ref="G33:H33"/>
    <mergeCell ref="K33:M33"/>
  </mergeCells>
  <phoneticPr fontId="1"/>
  <dataValidations count="2">
    <dataValidation type="decimal" operator="lessThan" allowBlank="1" showInputMessage="1" showErrorMessage="1" error="自動計算されるので入力不可_x000a_" sqref="D9:H9" xr:uid="{3CB14B4E-A243-4650-9051-448582F1DEC8}">
      <formula1>0</formula1>
    </dataValidation>
    <dataValidation type="list" allowBlank="1" sqref="D6:G6" xr:uid="{E998CD9C-53D8-4E22-AFCF-E19201AD2753}">
      <formula1>"ベスト電器利尻店,㈱洋　商,電器のオオミ,でんきのカトウ,㈲カワムラ電器,ツチヤ電気店,不二商会"</formula1>
    </dataValidation>
  </dataValidations>
  <printOptions horizontalCentered="1"/>
  <pageMargins left="0.39370078740157483" right="0.39370078740157483" top="0.39370078740157483" bottom="0.39370078740157483" header="0" footer="0"/>
  <pageSetup paperSize="9" scale="95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EEEA-8E0B-4506-B045-1D550184A784}">
  <dimension ref="A1:R35"/>
  <sheetViews>
    <sheetView workbookViewId="0">
      <selection activeCell="B22" sqref="B22"/>
    </sheetView>
  </sheetViews>
  <sheetFormatPr defaultRowHeight="13.5" x14ac:dyDescent="0.15"/>
  <cols>
    <col min="1" max="1" width="4" customWidth="1"/>
    <col min="2" max="2" width="5.75" customWidth="1"/>
    <col min="3" max="5" width="5.25" customWidth="1"/>
    <col min="6" max="6" width="5.125" customWidth="1"/>
    <col min="7" max="8" width="5.25" customWidth="1"/>
    <col min="9" max="10" width="6.25" customWidth="1"/>
    <col min="11" max="11" width="4" customWidth="1"/>
    <col min="12" max="12" width="5.75" customWidth="1"/>
    <col min="13" max="18" width="5.25" customWidth="1"/>
  </cols>
  <sheetData>
    <row r="1" spans="1:18" ht="37.5" customHeight="1" x14ac:dyDescent="0.2">
      <c r="C1" s="54" t="s">
        <v>0</v>
      </c>
      <c r="D1" s="54"/>
      <c r="E1" s="54"/>
      <c r="F1" s="54"/>
      <c r="I1" s="1"/>
      <c r="J1" s="36"/>
      <c r="M1" s="54" t="s">
        <v>8</v>
      </c>
      <c r="N1" s="54"/>
      <c r="O1" s="54"/>
      <c r="P1" s="54"/>
    </row>
    <row r="2" spans="1:18" ht="13.5" customHeight="1" x14ac:dyDescent="0.15">
      <c r="I2" s="1"/>
      <c r="J2" s="36"/>
    </row>
    <row r="3" spans="1:18" ht="1.5" customHeight="1" x14ac:dyDescent="0.15">
      <c r="A3" s="24"/>
      <c r="B3" s="25"/>
      <c r="C3" s="26"/>
      <c r="D3" s="3"/>
      <c r="E3" s="3"/>
      <c r="F3" s="3"/>
      <c r="G3" s="3"/>
      <c r="H3" s="4"/>
      <c r="I3" s="1"/>
      <c r="J3" s="36"/>
      <c r="K3" s="27"/>
      <c r="L3" s="28"/>
      <c r="M3" s="29"/>
      <c r="N3" s="3"/>
      <c r="O3" s="3"/>
      <c r="P3" s="3"/>
      <c r="Q3" s="3"/>
      <c r="R3" s="4"/>
    </row>
    <row r="4" spans="1:18" ht="13.5" customHeight="1" x14ac:dyDescent="0.15">
      <c r="A4" s="71" t="s">
        <v>32</v>
      </c>
      <c r="B4" s="73"/>
      <c r="C4" s="88" t="s">
        <v>31</v>
      </c>
      <c r="D4" s="16" t="s">
        <v>1</v>
      </c>
      <c r="E4" s="5"/>
      <c r="F4" s="5"/>
      <c r="G4" s="5"/>
      <c r="H4" s="6"/>
      <c r="I4" s="1"/>
      <c r="J4" s="36"/>
      <c r="K4" s="71" t="s">
        <v>32</v>
      </c>
      <c r="L4" s="73">
        <f>B4</f>
        <v>0</v>
      </c>
      <c r="M4" s="88" t="s">
        <v>31</v>
      </c>
      <c r="N4" s="16" t="s">
        <v>1</v>
      </c>
      <c r="O4" s="5"/>
      <c r="P4" s="5"/>
      <c r="Q4" s="5"/>
      <c r="R4" s="6"/>
    </row>
    <row r="5" spans="1:18" ht="13.5" customHeight="1" x14ac:dyDescent="0.15">
      <c r="A5" s="72"/>
      <c r="B5" s="74"/>
      <c r="C5" s="89"/>
      <c r="D5" s="5"/>
      <c r="E5" s="5"/>
      <c r="F5" s="5"/>
      <c r="G5" s="5"/>
      <c r="H5" s="6"/>
      <c r="I5" s="1"/>
      <c r="J5" s="36"/>
      <c r="K5" s="72"/>
      <c r="L5" s="74"/>
      <c r="M5" s="89"/>
      <c r="N5" s="5"/>
      <c r="O5" s="5"/>
      <c r="P5" s="5"/>
      <c r="Q5" s="5"/>
      <c r="R5" s="6"/>
    </row>
    <row r="6" spans="1:18" ht="26.25" customHeight="1" x14ac:dyDescent="0.15">
      <c r="A6" s="77" t="s">
        <v>49</v>
      </c>
      <c r="B6" s="78"/>
      <c r="C6" s="79"/>
      <c r="D6" s="80" t="s">
        <v>41</v>
      </c>
      <c r="E6" s="81"/>
      <c r="F6" s="81"/>
      <c r="G6" s="81"/>
      <c r="H6" s="14" t="s">
        <v>2</v>
      </c>
      <c r="I6" s="1"/>
      <c r="J6" s="36"/>
      <c r="K6" s="77" t="str">
        <f>A6</f>
        <v>令和　　年度</v>
      </c>
      <c r="L6" s="78"/>
      <c r="M6" s="79"/>
      <c r="N6" s="86" t="str">
        <f>IF(D6="","",D6)</f>
        <v>ベスト電器利尻店</v>
      </c>
      <c r="O6" s="87"/>
      <c r="P6" s="87"/>
      <c r="Q6" s="87"/>
      <c r="R6" s="14" t="s">
        <v>2</v>
      </c>
    </row>
    <row r="7" spans="1:18" ht="35.25" customHeight="1" x14ac:dyDescent="0.15">
      <c r="A7" s="82" t="s">
        <v>14</v>
      </c>
      <c r="B7" s="83"/>
      <c r="C7" s="84" t="s">
        <v>13</v>
      </c>
      <c r="D7" s="78"/>
      <c r="E7" s="78"/>
      <c r="F7" s="78"/>
      <c r="G7" s="78"/>
      <c r="H7" s="85"/>
      <c r="I7" s="1"/>
      <c r="J7" s="36"/>
      <c r="K7" s="82" t="s">
        <v>14</v>
      </c>
      <c r="L7" s="83"/>
      <c r="M7" s="84" t="s">
        <v>13</v>
      </c>
      <c r="N7" s="78"/>
      <c r="O7" s="78"/>
      <c r="P7" s="78"/>
      <c r="Q7" s="78"/>
      <c r="R7" s="85"/>
    </row>
    <row r="8" spans="1:18" ht="14.25" customHeight="1" x14ac:dyDescent="0.15">
      <c r="A8" s="75" t="s">
        <v>3</v>
      </c>
      <c r="B8" s="7"/>
      <c r="C8" s="7"/>
      <c r="D8" s="31" t="s">
        <v>30</v>
      </c>
      <c r="E8" s="12" t="s">
        <v>7</v>
      </c>
      <c r="F8" s="12" t="s">
        <v>6</v>
      </c>
      <c r="G8" s="12" t="s">
        <v>5</v>
      </c>
      <c r="H8" s="13" t="s">
        <v>4</v>
      </c>
      <c r="I8" s="1"/>
      <c r="J8" s="36"/>
      <c r="K8" s="75" t="s">
        <v>3</v>
      </c>
      <c r="L8" s="7"/>
      <c r="M8" s="7"/>
      <c r="N8" s="31" t="s">
        <v>30</v>
      </c>
      <c r="O8" s="12" t="s">
        <v>7</v>
      </c>
      <c r="P8" s="12" t="s">
        <v>6</v>
      </c>
      <c r="Q8" s="12" t="s">
        <v>5</v>
      </c>
      <c r="R8" s="13" t="s">
        <v>4</v>
      </c>
    </row>
    <row r="9" spans="1:18" ht="33.75" customHeight="1" x14ac:dyDescent="0.15">
      <c r="A9" s="76"/>
      <c r="B9" s="11" t="s">
        <v>43</v>
      </c>
      <c r="C9" s="18" t="str">
        <f>IF(G33="","",MOD(INT(G33/100000),10))</f>
        <v/>
      </c>
      <c r="D9" s="18" t="str">
        <f>IF(G33="","",MOD(INT(G33/10000),10))</f>
        <v/>
      </c>
      <c r="E9" s="18" t="str">
        <f>IF(G33="","",MOD(INT(G33/1000),10))</f>
        <v/>
      </c>
      <c r="F9" s="18">
        <v>0</v>
      </c>
      <c r="G9" s="18">
        <v>0</v>
      </c>
      <c r="H9" s="19">
        <v>0</v>
      </c>
      <c r="I9" s="1"/>
      <c r="J9" s="36"/>
      <c r="K9" s="76"/>
      <c r="L9" s="11" t="s">
        <v>43</v>
      </c>
      <c r="M9" s="18" t="str">
        <f>IF(C9="","",C9)</f>
        <v/>
      </c>
      <c r="N9" s="18" t="str">
        <f>IF(D9="","",D9)</f>
        <v/>
      </c>
      <c r="O9" s="18" t="str">
        <f>E9</f>
        <v/>
      </c>
      <c r="P9" s="18">
        <f>F9</f>
        <v>0</v>
      </c>
      <c r="Q9" s="18">
        <f>G9</f>
        <v>0</v>
      </c>
      <c r="R9" s="19">
        <f>H9</f>
        <v>0</v>
      </c>
    </row>
    <row r="10" spans="1:18" ht="11.25" customHeight="1" x14ac:dyDescent="0.15">
      <c r="A10" s="8"/>
      <c r="B10" s="5"/>
      <c r="C10" s="5"/>
      <c r="D10" s="5"/>
      <c r="E10" s="5"/>
      <c r="F10" s="5"/>
      <c r="G10" s="5"/>
      <c r="H10" s="5"/>
      <c r="I10" s="2"/>
      <c r="J10" s="36"/>
      <c r="K10" s="8"/>
      <c r="L10" s="5"/>
      <c r="M10" s="5"/>
      <c r="N10" s="5"/>
      <c r="O10" s="5"/>
      <c r="P10" s="5"/>
      <c r="Q10" s="5"/>
      <c r="R10" s="6"/>
    </row>
    <row r="11" spans="1:18" ht="18.75" customHeight="1" x14ac:dyDescent="0.15">
      <c r="A11" s="62" t="s">
        <v>9</v>
      </c>
      <c r="B11" s="63"/>
      <c r="C11" s="41">
        <v>2</v>
      </c>
      <c r="D11" s="33" t="s">
        <v>38</v>
      </c>
      <c r="E11" s="5"/>
      <c r="F11" s="5"/>
      <c r="G11" s="5"/>
      <c r="H11" s="5"/>
      <c r="I11" s="2"/>
      <c r="J11" s="36"/>
      <c r="K11" s="8"/>
      <c r="L11" s="5"/>
      <c r="M11" s="5"/>
      <c r="N11" s="5"/>
      <c r="O11" s="5"/>
      <c r="P11" s="5"/>
      <c r="Q11" s="5"/>
      <c r="R11" s="6"/>
    </row>
    <row r="12" spans="1:18" ht="7.5" customHeight="1" x14ac:dyDescent="0.15">
      <c r="A12" s="8"/>
      <c r="B12" s="5"/>
      <c r="C12" s="5"/>
      <c r="D12" s="5"/>
      <c r="E12" s="5"/>
      <c r="F12" s="5"/>
      <c r="G12" s="5"/>
      <c r="H12" s="5"/>
      <c r="I12" s="2"/>
      <c r="J12" s="36"/>
      <c r="K12" s="8"/>
      <c r="L12" s="5"/>
      <c r="M12" s="5"/>
      <c r="N12" s="5"/>
      <c r="O12" s="5"/>
      <c r="P12" s="5"/>
      <c r="Q12" s="5"/>
      <c r="R12" s="6"/>
    </row>
    <row r="13" spans="1:18" ht="22.5" customHeight="1" x14ac:dyDescent="0.15">
      <c r="A13" s="62" t="s">
        <v>15</v>
      </c>
      <c r="B13" s="63"/>
      <c r="C13" s="63"/>
      <c r="D13" s="63"/>
      <c r="E13" s="63"/>
      <c r="F13" s="63"/>
      <c r="G13" s="63"/>
      <c r="H13" s="64"/>
      <c r="I13" s="2"/>
      <c r="J13" s="36"/>
      <c r="K13" s="62" t="s">
        <v>16</v>
      </c>
      <c r="L13" s="63"/>
      <c r="M13" s="63"/>
      <c r="N13" s="63"/>
      <c r="O13" s="63"/>
      <c r="P13" s="63"/>
      <c r="Q13" s="63"/>
      <c r="R13" s="64"/>
    </row>
    <row r="14" spans="1:18" ht="25.5" customHeight="1" x14ac:dyDescent="0.15">
      <c r="A14" s="8"/>
      <c r="B14" s="5"/>
      <c r="C14" s="5"/>
      <c r="D14" s="5"/>
      <c r="E14" s="5"/>
      <c r="F14" s="5"/>
      <c r="G14" s="5"/>
      <c r="H14" s="5"/>
      <c r="I14" s="2"/>
      <c r="J14" s="36"/>
      <c r="K14" s="8"/>
      <c r="L14" s="5"/>
      <c r="M14" s="5"/>
      <c r="N14" s="5"/>
      <c r="O14" s="5"/>
      <c r="P14" s="5"/>
      <c r="Q14" s="5"/>
      <c r="R14" s="6"/>
    </row>
    <row r="15" spans="1:18" ht="18.75" customHeight="1" x14ac:dyDescent="0.15">
      <c r="A15" s="69" t="s">
        <v>10</v>
      </c>
      <c r="B15" s="67"/>
      <c r="C15" s="67"/>
      <c r="D15" s="67"/>
      <c r="E15" s="67"/>
      <c r="F15" s="67"/>
      <c r="G15" s="67"/>
      <c r="H15" s="70"/>
      <c r="I15" s="2"/>
      <c r="J15" s="36"/>
      <c r="K15" s="69" t="s">
        <v>10</v>
      </c>
      <c r="L15" s="67"/>
      <c r="M15" s="67"/>
      <c r="N15" s="67"/>
      <c r="O15" s="67"/>
      <c r="P15" s="67"/>
      <c r="Q15" s="67"/>
      <c r="R15" s="70"/>
    </row>
    <row r="16" spans="1:18" x14ac:dyDescent="0.15">
      <c r="A16" s="8"/>
      <c r="B16" s="5"/>
      <c r="C16" s="5"/>
      <c r="D16" s="5"/>
      <c r="E16" s="5"/>
      <c r="F16" s="5"/>
      <c r="G16" s="5"/>
      <c r="H16" s="5"/>
      <c r="I16" s="2"/>
      <c r="J16" s="36"/>
      <c r="K16" s="8"/>
      <c r="L16" s="5"/>
      <c r="M16" s="5"/>
      <c r="N16" s="5"/>
      <c r="O16" s="5"/>
      <c r="P16" s="5"/>
      <c r="Q16" s="5"/>
      <c r="R16" s="6"/>
    </row>
    <row r="17" spans="1:18" ht="18.75" customHeight="1" x14ac:dyDescent="0.15">
      <c r="A17" s="8"/>
      <c r="B17" s="5"/>
      <c r="C17" s="5"/>
      <c r="D17" s="5"/>
      <c r="E17" s="5"/>
      <c r="F17" s="5"/>
      <c r="G17" s="5"/>
      <c r="H17" s="5"/>
      <c r="I17" s="2"/>
      <c r="J17" s="36"/>
      <c r="K17" s="8"/>
      <c r="L17" s="5"/>
      <c r="M17" s="5"/>
      <c r="N17" s="5"/>
      <c r="O17" s="5"/>
      <c r="P17" s="5"/>
      <c r="Q17" s="5"/>
      <c r="R17" s="6"/>
    </row>
    <row r="18" spans="1:18" ht="18.75" customHeight="1" x14ac:dyDescent="0.15">
      <c r="A18" s="8" t="s">
        <v>11</v>
      </c>
      <c r="B18" s="5"/>
      <c r="C18" s="5"/>
      <c r="D18" s="5"/>
      <c r="E18" s="5"/>
      <c r="F18" s="5"/>
      <c r="G18" s="5"/>
      <c r="H18" s="5"/>
      <c r="I18" s="2"/>
      <c r="J18" s="36"/>
      <c r="K18" s="8" t="s">
        <v>11</v>
      </c>
      <c r="L18" s="5"/>
      <c r="M18" s="5"/>
      <c r="N18" s="5"/>
      <c r="O18" s="5"/>
      <c r="P18" s="5"/>
      <c r="Q18" s="5"/>
      <c r="R18" s="6"/>
    </row>
    <row r="19" spans="1:18" ht="18.75" customHeight="1" x14ac:dyDescent="0.15">
      <c r="A19" s="8"/>
      <c r="B19" s="68" t="s">
        <v>39</v>
      </c>
      <c r="C19" s="68"/>
      <c r="D19" s="68"/>
      <c r="E19" s="65" t="s">
        <v>40</v>
      </c>
      <c r="F19" s="65"/>
      <c r="G19" s="65"/>
      <c r="H19" s="66"/>
      <c r="I19" s="2"/>
      <c r="J19" s="36"/>
      <c r="K19" s="8" t="s">
        <v>12</v>
      </c>
      <c r="L19" s="67" t="s">
        <v>17</v>
      </c>
      <c r="M19" s="67"/>
      <c r="N19" s="67"/>
      <c r="O19" s="65" t="s">
        <v>48</v>
      </c>
      <c r="P19" s="65"/>
      <c r="Q19" s="65"/>
      <c r="R19" s="66"/>
    </row>
    <row r="20" spans="1:18" ht="21" customHeight="1" x14ac:dyDescent="0.15">
      <c r="A20" s="9"/>
      <c r="B20" s="10"/>
      <c r="C20" s="10"/>
      <c r="D20" s="10"/>
      <c r="E20" s="10"/>
      <c r="F20" s="10"/>
      <c r="G20" s="10"/>
      <c r="H20" s="10"/>
      <c r="I20" s="2"/>
      <c r="J20" s="36"/>
      <c r="K20" s="9"/>
      <c r="L20" s="10"/>
      <c r="M20" s="10"/>
      <c r="N20" s="10"/>
      <c r="O20" s="10"/>
      <c r="P20" s="10"/>
      <c r="Q20" s="10"/>
      <c r="R20" s="15"/>
    </row>
    <row r="21" spans="1:18" ht="32.25" customHeight="1" x14ac:dyDescent="0.15">
      <c r="A21" s="30"/>
      <c r="B21" s="34"/>
      <c r="C21" s="34"/>
      <c r="D21" s="34"/>
      <c r="E21" s="34"/>
      <c r="F21" s="34"/>
      <c r="G21" s="34"/>
      <c r="H21" s="34"/>
      <c r="I21" s="35"/>
      <c r="J21" s="37"/>
      <c r="K21" s="34"/>
      <c r="L21" s="34"/>
      <c r="M21" s="34"/>
      <c r="N21" s="34"/>
      <c r="O21" s="34"/>
      <c r="P21" s="34"/>
      <c r="Q21" s="34"/>
      <c r="R21" s="30"/>
    </row>
    <row r="22" spans="1:18" ht="37.5" customHeight="1" x14ac:dyDescent="0.15">
      <c r="A22" s="1"/>
      <c r="B22" s="32" t="s">
        <v>37</v>
      </c>
      <c r="C22" s="32" t="s">
        <v>35</v>
      </c>
      <c r="D22" s="32" t="s">
        <v>44</v>
      </c>
      <c r="E22" s="32"/>
      <c r="F22" s="1"/>
      <c r="G22" s="1"/>
      <c r="H22" s="1"/>
      <c r="I22" s="1"/>
      <c r="J22" s="36"/>
      <c r="K22" s="1"/>
      <c r="L22" s="1"/>
      <c r="M22" s="1"/>
      <c r="N22" s="1"/>
      <c r="O22" s="1"/>
      <c r="P22" s="1"/>
      <c r="Q22" s="1"/>
      <c r="R22" s="1"/>
    </row>
    <row r="23" spans="1:18" ht="30" customHeight="1" x14ac:dyDescent="0.2">
      <c r="C23" s="54" t="s">
        <v>18</v>
      </c>
      <c r="D23" s="54"/>
      <c r="E23" s="54"/>
      <c r="F23" s="54"/>
      <c r="I23" s="1"/>
      <c r="J23" s="36"/>
      <c r="M23" s="54" t="s">
        <v>18</v>
      </c>
      <c r="N23" s="54"/>
      <c r="O23" s="54"/>
      <c r="P23" s="54"/>
    </row>
    <row r="24" spans="1:18" x14ac:dyDescent="0.15">
      <c r="I24" s="1"/>
      <c r="J24" s="36"/>
    </row>
    <row r="25" spans="1:18" s="20" customFormat="1" ht="23.25" customHeight="1" x14ac:dyDescent="0.15">
      <c r="A25" s="57" t="s">
        <v>50</v>
      </c>
      <c r="B25" s="58"/>
      <c r="C25" s="56" t="s">
        <v>42</v>
      </c>
      <c r="D25" s="56"/>
      <c r="E25" s="56"/>
      <c r="F25" s="40" t="s">
        <v>19</v>
      </c>
      <c r="G25" s="59">
        <f>B4</f>
        <v>0</v>
      </c>
      <c r="H25" s="60"/>
      <c r="I25" s="17"/>
      <c r="J25" s="38"/>
      <c r="K25" s="57" t="str">
        <f>A25</f>
        <v>令和　年</v>
      </c>
      <c r="L25" s="58"/>
      <c r="M25" s="56" t="str">
        <f>C25</f>
        <v>　２月　　６日</v>
      </c>
      <c r="N25" s="56"/>
      <c r="O25" s="56"/>
      <c r="P25" s="40" t="s">
        <v>19</v>
      </c>
      <c r="Q25" s="61">
        <f>G25</f>
        <v>0</v>
      </c>
      <c r="R25" s="60"/>
    </row>
    <row r="26" spans="1:18" s="20" customFormat="1" ht="23.25" customHeight="1" x14ac:dyDescent="0.15">
      <c r="A26" s="46" t="s">
        <v>20</v>
      </c>
      <c r="B26" s="47"/>
      <c r="C26" s="55"/>
      <c r="D26" s="46" t="s">
        <v>23</v>
      </c>
      <c r="E26" s="48"/>
      <c r="F26" s="21" t="s">
        <v>21</v>
      </c>
      <c r="G26" s="46" t="s">
        <v>24</v>
      </c>
      <c r="H26" s="48"/>
      <c r="I26" s="17"/>
      <c r="J26" s="38"/>
      <c r="K26" s="46" t="s">
        <v>20</v>
      </c>
      <c r="L26" s="47"/>
      <c r="M26" s="55"/>
      <c r="N26" s="46" t="s">
        <v>23</v>
      </c>
      <c r="O26" s="48"/>
      <c r="P26" s="21" t="s">
        <v>21</v>
      </c>
      <c r="Q26" s="46" t="s">
        <v>24</v>
      </c>
      <c r="R26" s="48"/>
    </row>
    <row r="27" spans="1:18" s="20" customFormat="1" ht="39.75" customHeight="1" x14ac:dyDescent="0.15">
      <c r="A27" s="46" t="s">
        <v>45</v>
      </c>
      <c r="B27" s="47"/>
      <c r="C27" s="48"/>
      <c r="D27" s="49">
        <v>2000</v>
      </c>
      <c r="E27" s="50"/>
      <c r="F27" s="22"/>
      <c r="G27" s="51" t="str">
        <f t="shared" ref="G27:G32" si="0">IF(F27="","",F27*D27)</f>
        <v/>
      </c>
      <c r="H27" s="52"/>
      <c r="I27" s="17"/>
      <c r="J27" s="38"/>
      <c r="K27" s="46" t="s">
        <v>45</v>
      </c>
      <c r="L27" s="47"/>
      <c r="M27" s="48"/>
      <c r="N27" s="49">
        <v>2000</v>
      </c>
      <c r="O27" s="50"/>
      <c r="P27" s="22" t="str">
        <f t="shared" ref="P27:P32" si="1">IF(F27="","",F27)</f>
        <v/>
      </c>
      <c r="Q27" s="51" t="str">
        <f t="shared" ref="Q27:Q32" si="2">IF(P27="","",P27*N27)</f>
        <v/>
      </c>
      <c r="R27" s="52"/>
    </row>
    <row r="28" spans="1:18" s="20" customFormat="1" ht="39.75" customHeight="1" x14ac:dyDescent="0.15">
      <c r="A28" s="46" t="s">
        <v>46</v>
      </c>
      <c r="B28" s="47"/>
      <c r="C28" s="48"/>
      <c r="D28" s="49">
        <v>3000</v>
      </c>
      <c r="E28" s="50"/>
      <c r="F28" s="22"/>
      <c r="G28" s="51" t="str">
        <f t="shared" si="0"/>
        <v/>
      </c>
      <c r="H28" s="52"/>
      <c r="I28" s="17"/>
      <c r="J28" s="38"/>
      <c r="K28" s="46" t="s">
        <v>46</v>
      </c>
      <c r="L28" s="47"/>
      <c r="M28" s="48"/>
      <c r="N28" s="49">
        <v>3000</v>
      </c>
      <c r="O28" s="50"/>
      <c r="P28" s="22" t="str">
        <f t="shared" si="1"/>
        <v/>
      </c>
      <c r="Q28" s="51" t="str">
        <f t="shared" si="2"/>
        <v/>
      </c>
      <c r="R28" s="52"/>
    </row>
    <row r="29" spans="1:18" s="20" customFormat="1" ht="39.75" customHeight="1" x14ac:dyDescent="0.15">
      <c r="A29" s="46" t="s">
        <v>27</v>
      </c>
      <c r="B29" s="47"/>
      <c r="C29" s="48"/>
      <c r="D29" s="49">
        <v>3000</v>
      </c>
      <c r="E29" s="50"/>
      <c r="F29" s="22"/>
      <c r="G29" s="51" t="str">
        <f t="shared" si="0"/>
        <v/>
      </c>
      <c r="H29" s="52"/>
      <c r="I29" s="17"/>
      <c r="J29" s="38"/>
      <c r="K29" s="46" t="s">
        <v>27</v>
      </c>
      <c r="L29" s="47"/>
      <c r="M29" s="48"/>
      <c r="N29" s="49">
        <v>3000</v>
      </c>
      <c r="O29" s="50"/>
      <c r="P29" s="22" t="str">
        <f t="shared" si="1"/>
        <v/>
      </c>
      <c r="Q29" s="51" t="str">
        <f t="shared" si="2"/>
        <v/>
      </c>
      <c r="R29" s="52"/>
    </row>
    <row r="30" spans="1:18" s="20" customFormat="1" ht="39.75" customHeight="1" x14ac:dyDescent="0.15">
      <c r="A30" s="46" t="s">
        <v>34</v>
      </c>
      <c r="B30" s="47"/>
      <c r="C30" s="48"/>
      <c r="D30" s="49">
        <v>3000</v>
      </c>
      <c r="E30" s="50"/>
      <c r="F30" s="22"/>
      <c r="G30" s="51" t="str">
        <f t="shared" si="0"/>
        <v/>
      </c>
      <c r="H30" s="52"/>
      <c r="J30" s="38"/>
      <c r="K30" s="46" t="s">
        <v>34</v>
      </c>
      <c r="L30" s="47"/>
      <c r="M30" s="48"/>
      <c r="N30" s="49">
        <v>3000</v>
      </c>
      <c r="O30" s="50"/>
      <c r="P30" s="22" t="str">
        <f t="shared" si="1"/>
        <v/>
      </c>
      <c r="Q30" s="51" t="str">
        <f t="shared" si="2"/>
        <v/>
      </c>
      <c r="R30" s="52"/>
    </row>
    <row r="31" spans="1:18" s="20" customFormat="1" ht="39.75" customHeight="1" x14ac:dyDescent="0.15">
      <c r="A31" s="46" t="s">
        <v>28</v>
      </c>
      <c r="B31" s="47"/>
      <c r="C31" s="48"/>
      <c r="D31" s="49">
        <v>2000</v>
      </c>
      <c r="E31" s="50"/>
      <c r="F31" s="22"/>
      <c r="G31" s="51" t="str">
        <f t="shared" si="0"/>
        <v/>
      </c>
      <c r="H31" s="52"/>
      <c r="I31" s="17"/>
      <c r="J31" s="38"/>
      <c r="K31" s="46" t="s">
        <v>28</v>
      </c>
      <c r="L31" s="47"/>
      <c r="M31" s="48"/>
      <c r="N31" s="49">
        <v>2000</v>
      </c>
      <c r="O31" s="50"/>
      <c r="P31" s="22" t="str">
        <f t="shared" si="1"/>
        <v/>
      </c>
      <c r="Q31" s="51" t="str">
        <f t="shared" si="2"/>
        <v/>
      </c>
      <c r="R31" s="52"/>
    </row>
    <row r="32" spans="1:18" s="20" customFormat="1" ht="39.75" customHeight="1" x14ac:dyDescent="0.15">
      <c r="A32" s="53" t="s">
        <v>33</v>
      </c>
      <c r="B32" s="47"/>
      <c r="C32" s="48"/>
      <c r="D32" s="49">
        <v>2000</v>
      </c>
      <c r="E32" s="50"/>
      <c r="F32" s="22"/>
      <c r="G32" s="51" t="str">
        <f t="shared" si="0"/>
        <v/>
      </c>
      <c r="H32" s="52"/>
      <c r="I32" s="17"/>
      <c r="J32" s="38"/>
      <c r="K32" s="53" t="s">
        <v>33</v>
      </c>
      <c r="L32" s="47"/>
      <c r="M32" s="48"/>
      <c r="N32" s="49">
        <v>2000</v>
      </c>
      <c r="O32" s="50"/>
      <c r="P32" s="22" t="str">
        <f t="shared" si="1"/>
        <v/>
      </c>
      <c r="Q32" s="51" t="str">
        <f t="shared" si="2"/>
        <v/>
      </c>
      <c r="R32" s="52"/>
    </row>
    <row r="33" spans="1:18" s="20" customFormat="1" ht="39.75" customHeight="1" x14ac:dyDescent="0.15">
      <c r="A33" s="46" t="s">
        <v>29</v>
      </c>
      <c r="B33" s="47"/>
      <c r="C33" s="48"/>
      <c r="D33" s="42"/>
      <c r="E33" s="43"/>
      <c r="F33" s="23" t="str">
        <f>IF(SUM(F27:F32)=0,"",SUM(F27:F32))</f>
        <v/>
      </c>
      <c r="G33" s="44" t="str">
        <f>IF(SUM(G27:H32)=0,"",SUM(G27:H32))</f>
        <v/>
      </c>
      <c r="H33" s="45"/>
      <c r="I33" s="17"/>
      <c r="J33" s="38"/>
      <c r="K33" s="46" t="s">
        <v>29</v>
      </c>
      <c r="L33" s="47"/>
      <c r="M33" s="48"/>
      <c r="N33" s="42"/>
      <c r="O33" s="43"/>
      <c r="P33" s="23" t="str">
        <f>IF(SUM(P27:P32)=0,"",SUM(P27:P32))</f>
        <v/>
      </c>
      <c r="Q33" s="44" t="str">
        <f>IF(SUM(Q27:R32)=0,"",SUM(Q27:R32))</f>
        <v/>
      </c>
      <c r="R33" s="45"/>
    </row>
    <row r="34" spans="1:18" ht="33" customHeight="1" x14ac:dyDescent="0.15">
      <c r="A34" s="1"/>
      <c r="B34" s="35"/>
      <c r="C34" s="35"/>
      <c r="D34" s="35"/>
      <c r="E34" s="35"/>
      <c r="F34" s="35"/>
      <c r="G34" s="35"/>
      <c r="H34" s="35"/>
      <c r="I34" s="39"/>
      <c r="J34" s="35"/>
      <c r="K34" s="35"/>
      <c r="L34" s="35"/>
      <c r="M34" s="35"/>
      <c r="N34" s="35"/>
      <c r="O34" s="35"/>
      <c r="P34" s="35"/>
      <c r="Q34" s="35"/>
    </row>
    <row r="35" spans="1:18" x14ac:dyDescent="0.15">
      <c r="A35" s="1"/>
      <c r="B35" s="1"/>
      <c r="C35" s="1"/>
      <c r="D35" s="1"/>
      <c r="E35" s="1"/>
      <c r="F35" s="1"/>
      <c r="G35" s="1"/>
      <c r="H35" s="1"/>
      <c r="K35" s="1"/>
      <c r="L35" s="1"/>
      <c r="M35" s="1"/>
      <c r="N35" s="1"/>
      <c r="O35" s="1"/>
      <c r="P35" s="1"/>
      <c r="Q35" s="1"/>
      <c r="R35" s="1"/>
    </row>
  </sheetData>
  <mergeCells count="83">
    <mergeCell ref="G33:H33"/>
    <mergeCell ref="K33:M33"/>
    <mergeCell ref="A31:C31"/>
    <mergeCell ref="D31:E31"/>
    <mergeCell ref="A33:C33"/>
    <mergeCell ref="D33:E33"/>
    <mergeCell ref="A32:C32"/>
    <mergeCell ref="D32:E32"/>
    <mergeCell ref="G32:H32"/>
    <mergeCell ref="K32:M32"/>
    <mergeCell ref="N33:O33"/>
    <mergeCell ref="Q33:R33"/>
    <mergeCell ref="N32:O32"/>
    <mergeCell ref="Q32:R32"/>
    <mergeCell ref="N31:O31"/>
    <mergeCell ref="Q31:R31"/>
    <mergeCell ref="A30:C30"/>
    <mergeCell ref="D30:E30"/>
    <mergeCell ref="G30:H30"/>
    <mergeCell ref="K30:M30"/>
    <mergeCell ref="N30:O30"/>
    <mergeCell ref="Q30:R30"/>
    <mergeCell ref="N28:O28"/>
    <mergeCell ref="Q28:R28"/>
    <mergeCell ref="G31:H31"/>
    <mergeCell ref="K31:M31"/>
    <mergeCell ref="G29:H29"/>
    <mergeCell ref="K29:M29"/>
    <mergeCell ref="G28:H28"/>
    <mergeCell ref="K28:M28"/>
    <mergeCell ref="N29:O29"/>
    <mergeCell ref="Q29:R29"/>
    <mergeCell ref="A29:C29"/>
    <mergeCell ref="D29:E29"/>
    <mergeCell ref="N27:O27"/>
    <mergeCell ref="Q27:R27"/>
    <mergeCell ref="A28:C28"/>
    <mergeCell ref="D28:E28"/>
    <mergeCell ref="A27:C27"/>
    <mergeCell ref="D27:E27"/>
    <mergeCell ref="G27:H27"/>
    <mergeCell ref="K27:M27"/>
    <mergeCell ref="K26:M26"/>
    <mergeCell ref="C23:F23"/>
    <mergeCell ref="A26:C26"/>
    <mergeCell ref="D26:E26"/>
    <mergeCell ref="C25:E25"/>
    <mergeCell ref="A25:B25"/>
    <mergeCell ref="G26:H26"/>
    <mergeCell ref="G25:H25"/>
    <mergeCell ref="N26:O26"/>
    <mergeCell ref="Q26:R26"/>
    <mergeCell ref="M23:P23"/>
    <mergeCell ref="A11:B11"/>
    <mergeCell ref="A13:H13"/>
    <mergeCell ref="K13:R13"/>
    <mergeCell ref="O19:R19"/>
    <mergeCell ref="L19:N19"/>
    <mergeCell ref="B19:D19"/>
    <mergeCell ref="K25:L25"/>
    <mergeCell ref="A8:A9"/>
    <mergeCell ref="K8:K9"/>
    <mergeCell ref="A6:C6"/>
    <mergeCell ref="D6:G6"/>
    <mergeCell ref="K6:M6"/>
    <mergeCell ref="M7:R7"/>
    <mergeCell ref="N6:Q6"/>
    <mergeCell ref="Q25:R25"/>
    <mergeCell ref="M25:O25"/>
    <mergeCell ref="C1:F1"/>
    <mergeCell ref="M1:P1"/>
    <mergeCell ref="L4:L5"/>
    <mergeCell ref="M4:M5"/>
    <mergeCell ref="C4:C5"/>
    <mergeCell ref="E19:H19"/>
    <mergeCell ref="A15:H15"/>
    <mergeCell ref="K15:R15"/>
    <mergeCell ref="A4:A5"/>
    <mergeCell ref="B4:B5"/>
    <mergeCell ref="K4:K5"/>
    <mergeCell ref="A7:B7"/>
    <mergeCell ref="C7:H7"/>
    <mergeCell ref="K7:L7"/>
  </mergeCells>
  <phoneticPr fontId="1"/>
  <dataValidations count="3">
    <dataValidation type="decimal" operator="lessThan" allowBlank="1" showInputMessage="1" showErrorMessage="1" error="自動計算されるので入力不可_x000a_" sqref="F9:H9" xr:uid="{E80CDF56-0640-496D-8E9B-A0F8AB0CCD0B}">
      <formula1>0</formula1>
    </dataValidation>
    <dataValidation type="list" allowBlank="1" sqref="D6:G6" xr:uid="{11271B82-FAA3-4EB2-AA94-2A432B845340}">
      <formula1>"ベスト電器利尻店,㈱洋　商,電器のオオミ,でんきのカトウ,㈲カワムラ電器,ツチヤ電気店,不二商会"</formula1>
    </dataValidation>
    <dataValidation type="decimal" operator="lessThan" allowBlank="1" showInputMessage="1" error="自動計算されるので入力不可_x000a_" sqref="C9:E9" xr:uid="{3A968C2E-02FA-47DB-A012-673C50726111}">
      <formula1>0</formula1>
    </dataValidation>
  </dataValidations>
  <printOptions horizontalCentered="1"/>
  <pageMargins left="0.39370078740157483" right="0.39370078740157483" top="0.39370078740157483" bottom="0.39370078740157483" header="0" footer="0"/>
  <pageSetup paperSize="9" scale="95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10万未満</vt:lpstr>
      <vt:lpstr>10万以上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2018-03-15T08:05:58Z</cp:lastPrinted>
  <dcterms:created xsi:type="dcterms:W3CDTF">2006-06-07T00:17:40Z</dcterms:created>
  <dcterms:modified xsi:type="dcterms:W3CDTF">2026-03-05T04:26:57Z</dcterms:modified>
</cp:coreProperties>
</file>