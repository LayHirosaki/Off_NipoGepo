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yhi\OneDrive\ドキュメント\日報月報他\(枠)◯年度一式\"/>
    </mc:Choice>
  </mc:AlternateContent>
  <xr:revisionPtr revIDLastSave="0" documentId="13_ncr:1_{47D7E90B-C99B-47C7-B4E9-71F3058C564A}" xr6:coauthVersionLast="47" xr6:coauthVersionMax="47" xr10:uidLastSave="{00000000-0000-0000-0000-000000000000}"/>
  <bookViews>
    <workbookView xWindow="420" yWindow="765" windowWidth="16770" windowHeight="14715" tabRatio="937" firstSheet="12" activeTab="23" xr2:uid="{F879715F-57C6-4104-A4D9-BD89F6EC0AE8}"/>
  </bookViews>
  <sheets>
    <sheet name="汚泥04" sheetId="11" r:id="rId1"/>
    <sheet name="汚泥05" sheetId="22" r:id="rId2"/>
    <sheet name="汚泥06" sheetId="21" r:id="rId3"/>
    <sheet name="汚泥07" sheetId="20" r:id="rId4"/>
    <sheet name="汚泥08" sheetId="19" r:id="rId5"/>
    <sheet name="汚泥09" sheetId="18" r:id="rId6"/>
    <sheet name="汚泥10" sheetId="17" r:id="rId7"/>
    <sheet name="汚泥11" sheetId="16" r:id="rId8"/>
    <sheet name="汚泥12" sheetId="15" r:id="rId9"/>
    <sheet name="汚泥01" sheetId="14" r:id="rId10"/>
    <sheet name="汚泥02" sheetId="12" r:id="rId11"/>
    <sheet name="汚泥03" sheetId="13" r:id="rId12"/>
    <sheet name="産廃04" sheetId="5" r:id="rId13"/>
    <sheet name="産廃05" sheetId="23" r:id="rId14"/>
    <sheet name="産廃06" sheetId="24" r:id="rId15"/>
    <sheet name="産廃07" sheetId="25" r:id="rId16"/>
    <sheet name="産廃08" sheetId="26" r:id="rId17"/>
    <sheet name="産廃09" sheetId="27" r:id="rId18"/>
    <sheet name="産廃10" sheetId="28" r:id="rId19"/>
    <sheet name="産廃11" sheetId="29" r:id="rId20"/>
    <sheet name="産廃12" sheetId="30" r:id="rId21"/>
    <sheet name="産廃01" sheetId="31" r:id="rId22"/>
    <sheet name="産廃02" sheetId="32" r:id="rId23"/>
    <sheet name="産廃03" sheetId="33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8" i="33" l="1"/>
  <c r="F88" i="33"/>
  <c r="K87" i="33"/>
  <c r="H87" i="33"/>
  <c r="F87" i="33"/>
  <c r="K85" i="33"/>
  <c r="H85" i="33"/>
  <c r="F85" i="33"/>
  <c r="K84" i="33"/>
  <c r="H84" i="33"/>
  <c r="F84" i="33"/>
  <c r="K83" i="33"/>
  <c r="H83" i="33"/>
  <c r="F83" i="33"/>
  <c r="K82" i="33"/>
  <c r="H82" i="33"/>
  <c r="F82" i="33"/>
  <c r="K81" i="33"/>
  <c r="H81" i="33"/>
  <c r="F81" i="33"/>
  <c r="K80" i="33"/>
  <c r="H80" i="33"/>
  <c r="F80" i="33"/>
  <c r="K79" i="33"/>
  <c r="H79" i="33"/>
  <c r="F79" i="33"/>
  <c r="K78" i="33"/>
  <c r="H78" i="33"/>
  <c r="F78" i="33"/>
  <c r="K77" i="33"/>
  <c r="H77" i="33"/>
  <c r="F77" i="33"/>
  <c r="K76" i="33"/>
  <c r="H76" i="33"/>
  <c r="F76" i="33"/>
  <c r="K75" i="33"/>
  <c r="H75" i="33"/>
  <c r="F75" i="33"/>
  <c r="K74" i="33"/>
  <c r="H74" i="33"/>
  <c r="F74" i="33"/>
  <c r="K73" i="33"/>
  <c r="H73" i="33"/>
  <c r="F73" i="33"/>
  <c r="K72" i="33"/>
  <c r="H72" i="33"/>
  <c r="F72" i="33"/>
  <c r="K71" i="33"/>
  <c r="H71" i="33"/>
  <c r="F71" i="33"/>
  <c r="K70" i="33"/>
  <c r="H70" i="33"/>
  <c r="F70" i="33"/>
  <c r="K69" i="33"/>
  <c r="H69" i="33"/>
  <c r="F69" i="33"/>
  <c r="K68" i="33"/>
  <c r="H68" i="33"/>
  <c r="F68" i="33"/>
  <c r="K67" i="33"/>
  <c r="H67" i="33"/>
  <c r="F67" i="33"/>
  <c r="K66" i="33"/>
  <c r="H66" i="33"/>
  <c r="F66" i="33"/>
  <c r="K65" i="33"/>
  <c r="H65" i="33"/>
  <c r="F65" i="33"/>
  <c r="K64" i="33"/>
  <c r="H64" i="33"/>
  <c r="F64" i="33"/>
  <c r="K63" i="33"/>
  <c r="H63" i="33"/>
  <c r="F63" i="33"/>
  <c r="K62" i="33"/>
  <c r="H62" i="33"/>
  <c r="F62" i="33"/>
  <c r="K61" i="33"/>
  <c r="H61" i="33"/>
  <c r="F61" i="33"/>
  <c r="K60" i="33"/>
  <c r="H60" i="33"/>
  <c r="F60" i="33"/>
  <c r="K59" i="33"/>
  <c r="H59" i="33"/>
  <c r="F59" i="33"/>
  <c r="K58" i="33"/>
  <c r="H58" i="33"/>
  <c r="F58" i="33"/>
  <c r="K57" i="33"/>
  <c r="H57" i="33"/>
  <c r="F57" i="33"/>
  <c r="K56" i="33"/>
  <c r="H56" i="33"/>
  <c r="F56" i="33"/>
  <c r="K55" i="33"/>
  <c r="H55" i="33"/>
  <c r="F55" i="33"/>
  <c r="K54" i="33"/>
  <c r="H54" i="33"/>
  <c r="F54" i="33"/>
  <c r="K53" i="33"/>
  <c r="H53" i="33"/>
  <c r="F53" i="33"/>
  <c r="K52" i="33"/>
  <c r="H52" i="33"/>
  <c r="F52" i="33"/>
  <c r="K51" i="33"/>
  <c r="H51" i="33"/>
  <c r="F51" i="33"/>
  <c r="K50" i="33"/>
  <c r="H50" i="33"/>
  <c r="F50" i="33"/>
  <c r="K49" i="33"/>
  <c r="H49" i="33"/>
  <c r="F49" i="33"/>
  <c r="K48" i="33"/>
  <c r="H48" i="33"/>
  <c r="F48" i="33"/>
  <c r="I44" i="33"/>
  <c r="I88" i="33" s="1"/>
  <c r="H44" i="33"/>
  <c r="F44" i="33"/>
  <c r="K41" i="33"/>
  <c r="H41" i="33"/>
  <c r="F41" i="33"/>
  <c r="K40" i="33"/>
  <c r="H40" i="33"/>
  <c r="F40" i="33"/>
  <c r="K39" i="33"/>
  <c r="H39" i="33"/>
  <c r="F39" i="33"/>
  <c r="K38" i="33"/>
  <c r="H38" i="33"/>
  <c r="F38" i="33"/>
  <c r="K37" i="33"/>
  <c r="H37" i="33"/>
  <c r="F37" i="33"/>
  <c r="K36" i="33"/>
  <c r="H36" i="33"/>
  <c r="F36" i="33"/>
  <c r="K35" i="33"/>
  <c r="H35" i="33"/>
  <c r="F35" i="33"/>
  <c r="K34" i="33"/>
  <c r="H34" i="33"/>
  <c r="F34" i="33"/>
  <c r="K33" i="33"/>
  <c r="H33" i="33"/>
  <c r="F33" i="33"/>
  <c r="K32" i="33"/>
  <c r="H32" i="33"/>
  <c r="F32" i="33"/>
  <c r="K31" i="33"/>
  <c r="H31" i="33"/>
  <c r="F31" i="33"/>
  <c r="K30" i="33"/>
  <c r="H30" i="33"/>
  <c r="F30" i="33"/>
  <c r="K29" i="33"/>
  <c r="H29" i="33"/>
  <c r="F29" i="33"/>
  <c r="K28" i="33"/>
  <c r="H28" i="33"/>
  <c r="F28" i="33"/>
  <c r="K27" i="33"/>
  <c r="H27" i="33"/>
  <c r="F27" i="33"/>
  <c r="K26" i="33"/>
  <c r="H26" i="33"/>
  <c r="F26" i="33"/>
  <c r="K25" i="33"/>
  <c r="H25" i="33"/>
  <c r="F25" i="33"/>
  <c r="K24" i="33"/>
  <c r="H24" i="33"/>
  <c r="F24" i="33"/>
  <c r="K23" i="33"/>
  <c r="H23" i="33"/>
  <c r="F23" i="33"/>
  <c r="K22" i="33"/>
  <c r="H22" i="33"/>
  <c r="F22" i="33"/>
  <c r="K21" i="33"/>
  <c r="H21" i="33"/>
  <c r="F21" i="33"/>
  <c r="K20" i="33"/>
  <c r="H20" i="33"/>
  <c r="F20" i="33"/>
  <c r="K19" i="33"/>
  <c r="H19" i="33"/>
  <c r="F19" i="33"/>
  <c r="K18" i="33"/>
  <c r="H18" i="33"/>
  <c r="F18" i="33"/>
  <c r="K17" i="33"/>
  <c r="H17" i="33"/>
  <c r="F17" i="33"/>
  <c r="K16" i="33"/>
  <c r="H16" i="33"/>
  <c r="F16" i="33"/>
  <c r="K15" i="33"/>
  <c r="H15" i="33"/>
  <c r="F15" i="33"/>
  <c r="K14" i="33"/>
  <c r="H14" i="33"/>
  <c r="F14" i="33"/>
  <c r="K13" i="33"/>
  <c r="H13" i="33"/>
  <c r="F13" i="33"/>
  <c r="K12" i="33"/>
  <c r="H12" i="33"/>
  <c r="F12" i="33"/>
  <c r="K11" i="33"/>
  <c r="H11" i="33"/>
  <c r="F11" i="33"/>
  <c r="K10" i="33"/>
  <c r="H10" i="33"/>
  <c r="F10" i="33"/>
  <c r="K9" i="33"/>
  <c r="H9" i="33"/>
  <c r="F9" i="33"/>
  <c r="K8" i="33"/>
  <c r="H8" i="33"/>
  <c r="F8" i="33"/>
  <c r="K7" i="33"/>
  <c r="H7" i="33"/>
  <c r="F7" i="33"/>
  <c r="K6" i="33"/>
  <c r="H6" i="33"/>
  <c r="F6" i="33"/>
  <c r="K5" i="33"/>
  <c r="H5" i="33"/>
  <c r="F5" i="33"/>
  <c r="K4" i="33"/>
  <c r="N44" i="33" s="1"/>
  <c r="H4" i="33"/>
  <c r="F4" i="33"/>
  <c r="H88" i="32"/>
  <c r="F88" i="32"/>
  <c r="K87" i="32"/>
  <c r="H87" i="32"/>
  <c r="F87" i="32"/>
  <c r="K85" i="32"/>
  <c r="H85" i="32"/>
  <c r="F85" i="32"/>
  <c r="K84" i="32"/>
  <c r="H84" i="32"/>
  <c r="F84" i="32"/>
  <c r="K83" i="32"/>
  <c r="H83" i="32"/>
  <c r="F83" i="32"/>
  <c r="K82" i="32"/>
  <c r="H82" i="32"/>
  <c r="F82" i="32"/>
  <c r="K81" i="32"/>
  <c r="H81" i="32"/>
  <c r="F81" i="32"/>
  <c r="K80" i="32"/>
  <c r="H80" i="32"/>
  <c r="F80" i="32"/>
  <c r="K79" i="32"/>
  <c r="H79" i="32"/>
  <c r="F79" i="32"/>
  <c r="K78" i="32"/>
  <c r="H78" i="32"/>
  <c r="F78" i="32"/>
  <c r="K77" i="32"/>
  <c r="H77" i="32"/>
  <c r="F77" i="32"/>
  <c r="K76" i="32"/>
  <c r="H76" i="32"/>
  <c r="F76" i="32"/>
  <c r="K75" i="32"/>
  <c r="H75" i="32"/>
  <c r="F75" i="32"/>
  <c r="K74" i="32"/>
  <c r="H74" i="32"/>
  <c r="F74" i="32"/>
  <c r="K73" i="32"/>
  <c r="H73" i="32"/>
  <c r="F73" i="32"/>
  <c r="K72" i="32"/>
  <c r="H72" i="32"/>
  <c r="F72" i="32"/>
  <c r="K71" i="32"/>
  <c r="H71" i="32"/>
  <c r="F71" i="32"/>
  <c r="K70" i="32"/>
  <c r="H70" i="32"/>
  <c r="F70" i="32"/>
  <c r="K69" i="32"/>
  <c r="H69" i="32"/>
  <c r="F69" i="32"/>
  <c r="K68" i="32"/>
  <c r="H68" i="32"/>
  <c r="F68" i="32"/>
  <c r="K67" i="32"/>
  <c r="H67" i="32"/>
  <c r="F67" i="32"/>
  <c r="K66" i="32"/>
  <c r="H66" i="32"/>
  <c r="F66" i="32"/>
  <c r="K65" i="32"/>
  <c r="H65" i="32"/>
  <c r="F65" i="32"/>
  <c r="K64" i="32"/>
  <c r="H64" i="32"/>
  <c r="F64" i="32"/>
  <c r="K63" i="32"/>
  <c r="H63" i="32"/>
  <c r="F63" i="32"/>
  <c r="K62" i="32"/>
  <c r="H62" i="32"/>
  <c r="F62" i="32"/>
  <c r="K61" i="32"/>
  <c r="H61" i="32"/>
  <c r="F61" i="32"/>
  <c r="K60" i="32"/>
  <c r="H60" i="32"/>
  <c r="F60" i="32"/>
  <c r="K59" i="32"/>
  <c r="H59" i="32"/>
  <c r="F59" i="32"/>
  <c r="K58" i="32"/>
  <c r="H58" i="32"/>
  <c r="F58" i="32"/>
  <c r="K57" i="32"/>
  <c r="H57" i="32"/>
  <c r="F57" i="32"/>
  <c r="K56" i="32"/>
  <c r="H56" i="32"/>
  <c r="F56" i="32"/>
  <c r="K55" i="32"/>
  <c r="H55" i="32"/>
  <c r="F55" i="32"/>
  <c r="K54" i="32"/>
  <c r="H54" i="32"/>
  <c r="F54" i="32"/>
  <c r="K53" i="32"/>
  <c r="H53" i="32"/>
  <c r="F53" i="32"/>
  <c r="K52" i="32"/>
  <c r="H52" i="32"/>
  <c r="F52" i="32"/>
  <c r="K51" i="32"/>
  <c r="H51" i="32"/>
  <c r="F51" i="32"/>
  <c r="K50" i="32"/>
  <c r="H50" i="32"/>
  <c r="F50" i="32"/>
  <c r="K49" i="32"/>
  <c r="H49" i="32"/>
  <c r="F49" i="32"/>
  <c r="K48" i="32"/>
  <c r="H48" i="32"/>
  <c r="F48" i="32"/>
  <c r="I44" i="32"/>
  <c r="I88" i="32" s="1"/>
  <c r="H44" i="32"/>
  <c r="F44" i="32"/>
  <c r="K41" i="32"/>
  <c r="H41" i="32"/>
  <c r="F41" i="32"/>
  <c r="K40" i="32"/>
  <c r="H40" i="32"/>
  <c r="F40" i="32"/>
  <c r="K39" i="32"/>
  <c r="H39" i="32"/>
  <c r="F39" i="32"/>
  <c r="K38" i="32"/>
  <c r="H38" i="32"/>
  <c r="F38" i="32"/>
  <c r="K37" i="32"/>
  <c r="H37" i="32"/>
  <c r="F37" i="32"/>
  <c r="K36" i="32"/>
  <c r="H36" i="32"/>
  <c r="F36" i="32"/>
  <c r="K35" i="32"/>
  <c r="H35" i="32"/>
  <c r="F35" i="32"/>
  <c r="K34" i="32"/>
  <c r="H34" i="32"/>
  <c r="F34" i="32"/>
  <c r="K33" i="32"/>
  <c r="H33" i="32"/>
  <c r="F33" i="32"/>
  <c r="K32" i="32"/>
  <c r="H32" i="32"/>
  <c r="F32" i="32"/>
  <c r="K31" i="32"/>
  <c r="H31" i="32"/>
  <c r="F31" i="32"/>
  <c r="K30" i="32"/>
  <c r="H30" i="32"/>
  <c r="F30" i="32"/>
  <c r="K29" i="32"/>
  <c r="H29" i="32"/>
  <c r="F29" i="32"/>
  <c r="K28" i="32"/>
  <c r="H28" i="32"/>
  <c r="F28" i="32"/>
  <c r="K27" i="32"/>
  <c r="H27" i="32"/>
  <c r="F27" i="32"/>
  <c r="K26" i="32"/>
  <c r="H26" i="32"/>
  <c r="F26" i="32"/>
  <c r="K25" i="32"/>
  <c r="H25" i="32"/>
  <c r="F25" i="32"/>
  <c r="K24" i="32"/>
  <c r="H24" i="32"/>
  <c r="F24" i="32"/>
  <c r="K23" i="32"/>
  <c r="H23" i="32"/>
  <c r="F23" i="32"/>
  <c r="K22" i="32"/>
  <c r="H22" i="32"/>
  <c r="F22" i="32"/>
  <c r="K21" i="32"/>
  <c r="H21" i="32"/>
  <c r="F21" i="32"/>
  <c r="K20" i="32"/>
  <c r="H20" i="32"/>
  <c r="F20" i="32"/>
  <c r="K19" i="32"/>
  <c r="H19" i="32"/>
  <c r="F19" i="32"/>
  <c r="K18" i="32"/>
  <c r="H18" i="32"/>
  <c r="F18" i="32"/>
  <c r="K17" i="32"/>
  <c r="H17" i="32"/>
  <c r="F17" i="32"/>
  <c r="K16" i="32"/>
  <c r="H16" i="32"/>
  <c r="F16" i="32"/>
  <c r="K15" i="32"/>
  <c r="H15" i="32"/>
  <c r="F15" i="32"/>
  <c r="K14" i="32"/>
  <c r="H14" i="32"/>
  <c r="F14" i="32"/>
  <c r="K13" i="32"/>
  <c r="H13" i="32"/>
  <c r="F13" i="32"/>
  <c r="K12" i="32"/>
  <c r="H12" i="32"/>
  <c r="F12" i="32"/>
  <c r="K11" i="32"/>
  <c r="H11" i="32"/>
  <c r="F11" i="32"/>
  <c r="K10" i="32"/>
  <c r="H10" i="32"/>
  <c r="F10" i="32"/>
  <c r="K9" i="32"/>
  <c r="H9" i="32"/>
  <c r="F9" i="32"/>
  <c r="K8" i="32"/>
  <c r="H8" i="32"/>
  <c r="F8" i="32"/>
  <c r="K7" i="32"/>
  <c r="H7" i="32"/>
  <c r="F7" i="32"/>
  <c r="K6" i="32"/>
  <c r="H6" i="32"/>
  <c r="F6" i="32"/>
  <c r="K5" i="32"/>
  <c r="H5" i="32"/>
  <c r="F5" i="32"/>
  <c r="K4" i="32"/>
  <c r="N44" i="32" s="1"/>
  <c r="H4" i="32"/>
  <c r="F4" i="32"/>
  <c r="H88" i="31"/>
  <c r="F88" i="31"/>
  <c r="K87" i="31"/>
  <c r="H87" i="31"/>
  <c r="F87" i="31"/>
  <c r="K85" i="31"/>
  <c r="H85" i="31"/>
  <c r="F85" i="31"/>
  <c r="K84" i="31"/>
  <c r="H84" i="31"/>
  <c r="F84" i="31"/>
  <c r="K83" i="31"/>
  <c r="H83" i="31"/>
  <c r="F83" i="31"/>
  <c r="K82" i="31"/>
  <c r="H82" i="31"/>
  <c r="F82" i="31"/>
  <c r="K81" i="31"/>
  <c r="H81" i="31"/>
  <c r="F81" i="31"/>
  <c r="K80" i="31"/>
  <c r="H80" i="31"/>
  <c r="F80" i="31"/>
  <c r="K79" i="31"/>
  <c r="H79" i="31"/>
  <c r="F79" i="31"/>
  <c r="K78" i="31"/>
  <c r="H78" i="31"/>
  <c r="F78" i="31"/>
  <c r="K77" i="31"/>
  <c r="H77" i="31"/>
  <c r="F77" i="31"/>
  <c r="K76" i="31"/>
  <c r="H76" i="31"/>
  <c r="F76" i="31"/>
  <c r="K75" i="31"/>
  <c r="H75" i="31"/>
  <c r="F75" i="31"/>
  <c r="K74" i="31"/>
  <c r="H74" i="31"/>
  <c r="F74" i="31"/>
  <c r="K73" i="31"/>
  <c r="H73" i="31"/>
  <c r="F73" i="31"/>
  <c r="K72" i="31"/>
  <c r="H72" i="31"/>
  <c r="F72" i="31"/>
  <c r="K71" i="31"/>
  <c r="H71" i="31"/>
  <c r="F71" i="31"/>
  <c r="K70" i="31"/>
  <c r="H70" i="31"/>
  <c r="F70" i="31"/>
  <c r="K69" i="31"/>
  <c r="H69" i="31"/>
  <c r="F69" i="31"/>
  <c r="K68" i="31"/>
  <c r="H68" i="31"/>
  <c r="F68" i="31"/>
  <c r="K67" i="31"/>
  <c r="H67" i="31"/>
  <c r="F67" i="31"/>
  <c r="K66" i="31"/>
  <c r="H66" i="31"/>
  <c r="F66" i="31"/>
  <c r="K65" i="31"/>
  <c r="H65" i="31"/>
  <c r="F65" i="31"/>
  <c r="K64" i="31"/>
  <c r="H64" i="31"/>
  <c r="F64" i="31"/>
  <c r="K63" i="31"/>
  <c r="H63" i="31"/>
  <c r="F63" i="31"/>
  <c r="K62" i="31"/>
  <c r="H62" i="31"/>
  <c r="F62" i="31"/>
  <c r="K61" i="31"/>
  <c r="H61" i="31"/>
  <c r="F61" i="31"/>
  <c r="K60" i="31"/>
  <c r="H60" i="31"/>
  <c r="F60" i="31"/>
  <c r="K59" i="31"/>
  <c r="H59" i="31"/>
  <c r="F59" i="31"/>
  <c r="K58" i="31"/>
  <c r="H58" i="31"/>
  <c r="F58" i="31"/>
  <c r="K57" i="31"/>
  <c r="H57" i="31"/>
  <c r="F57" i="31"/>
  <c r="K56" i="31"/>
  <c r="H56" i="31"/>
  <c r="F56" i="31"/>
  <c r="K55" i="31"/>
  <c r="H55" i="31"/>
  <c r="F55" i="31"/>
  <c r="K54" i="31"/>
  <c r="H54" i="31"/>
  <c r="F54" i="31"/>
  <c r="K53" i="31"/>
  <c r="H53" i="31"/>
  <c r="F53" i="31"/>
  <c r="K52" i="31"/>
  <c r="H52" i="31"/>
  <c r="F52" i="31"/>
  <c r="K51" i="31"/>
  <c r="H51" i="31"/>
  <c r="F51" i="31"/>
  <c r="K50" i="31"/>
  <c r="H50" i="31"/>
  <c r="F50" i="31"/>
  <c r="K49" i="31"/>
  <c r="H49" i="31"/>
  <c r="F49" i="31"/>
  <c r="K48" i="31"/>
  <c r="H48" i="31"/>
  <c r="F48" i="31"/>
  <c r="I44" i="31"/>
  <c r="I88" i="31" s="1"/>
  <c r="H44" i="31"/>
  <c r="F44" i="31"/>
  <c r="K41" i="31"/>
  <c r="H41" i="31"/>
  <c r="F41" i="31"/>
  <c r="K40" i="31"/>
  <c r="H40" i="31"/>
  <c r="F40" i="31"/>
  <c r="K39" i="31"/>
  <c r="H39" i="31"/>
  <c r="F39" i="31"/>
  <c r="K38" i="31"/>
  <c r="H38" i="31"/>
  <c r="F38" i="31"/>
  <c r="K37" i="31"/>
  <c r="H37" i="31"/>
  <c r="F37" i="31"/>
  <c r="K36" i="31"/>
  <c r="H36" i="31"/>
  <c r="F36" i="31"/>
  <c r="K35" i="31"/>
  <c r="H35" i="31"/>
  <c r="F35" i="31"/>
  <c r="K34" i="31"/>
  <c r="H34" i="31"/>
  <c r="F34" i="31"/>
  <c r="K33" i="31"/>
  <c r="H33" i="31"/>
  <c r="F33" i="31"/>
  <c r="K32" i="31"/>
  <c r="H32" i="31"/>
  <c r="F32" i="31"/>
  <c r="K31" i="31"/>
  <c r="H31" i="31"/>
  <c r="F31" i="31"/>
  <c r="K30" i="31"/>
  <c r="H30" i="31"/>
  <c r="F30" i="31"/>
  <c r="K29" i="31"/>
  <c r="H29" i="31"/>
  <c r="F29" i="31"/>
  <c r="K28" i="31"/>
  <c r="H28" i="31"/>
  <c r="F28" i="31"/>
  <c r="K27" i="31"/>
  <c r="H27" i="31"/>
  <c r="F27" i="31"/>
  <c r="K26" i="31"/>
  <c r="H26" i="31"/>
  <c r="F26" i="31"/>
  <c r="K25" i="31"/>
  <c r="H25" i="31"/>
  <c r="F25" i="31"/>
  <c r="K24" i="31"/>
  <c r="H24" i="31"/>
  <c r="F24" i="31"/>
  <c r="K23" i="31"/>
  <c r="H23" i="31"/>
  <c r="F23" i="31"/>
  <c r="K22" i="31"/>
  <c r="H22" i="31"/>
  <c r="F22" i="31"/>
  <c r="K21" i="31"/>
  <c r="H21" i="31"/>
  <c r="F21" i="31"/>
  <c r="K20" i="31"/>
  <c r="H20" i="31"/>
  <c r="F20" i="31"/>
  <c r="K19" i="31"/>
  <c r="H19" i="31"/>
  <c r="F19" i="31"/>
  <c r="K18" i="31"/>
  <c r="H18" i="31"/>
  <c r="F18" i="31"/>
  <c r="K17" i="31"/>
  <c r="H17" i="31"/>
  <c r="F17" i="31"/>
  <c r="K16" i="31"/>
  <c r="H16" i="31"/>
  <c r="F16" i="31"/>
  <c r="K15" i="31"/>
  <c r="H15" i="31"/>
  <c r="F15" i="31"/>
  <c r="K14" i="31"/>
  <c r="H14" i="31"/>
  <c r="F14" i="31"/>
  <c r="K13" i="31"/>
  <c r="H13" i="31"/>
  <c r="F13" i="31"/>
  <c r="K12" i="31"/>
  <c r="H12" i="31"/>
  <c r="F12" i="31"/>
  <c r="K11" i="31"/>
  <c r="H11" i="31"/>
  <c r="F11" i="31"/>
  <c r="K10" i="31"/>
  <c r="H10" i="31"/>
  <c r="F10" i="31"/>
  <c r="K9" i="31"/>
  <c r="H9" i="31"/>
  <c r="F9" i="31"/>
  <c r="K8" i="31"/>
  <c r="H8" i="31"/>
  <c r="F8" i="31"/>
  <c r="K7" i="31"/>
  <c r="H7" i="31"/>
  <c r="F7" i="31"/>
  <c r="K6" i="31"/>
  <c r="H6" i="31"/>
  <c r="F6" i="31"/>
  <c r="K5" i="31"/>
  <c r="H5" i="31"/>
  <c r="F5" i="31"/>
  <c r="K4" i="31"/>
  <c r="N44" i="31" s="1"/>
  <c r="H4" i="31"/>
  <c r="F4" i="31"/>
  <c r="H88" i="30"/>
  <c r="F88" i="30"/>
  <c r="K87" i="30"/>
  <c r="H87" i="30"/>
  <c r="F87" i="30"/>
  <c r="K85" i="30"/>
  <c r="H85" i="30"/>
  <c r="F85" i="30"/>
  <c r="K84" i="30"/>
  <c r="H84" i="30"/>
  <c r="F84" i="30"/>
  <c r="K83" i="30"/>
  <c r="H83" i="30"/>
  <c r="F83" i="30"/>
  <c r="K82" i="30"/>
  <c r="H82" i="30"/>
  <c r="F82" i="30"/>
  <c r="K81" i="30"/>
  <c r="H81" i="30"/>
  <c r="F81" i="30"/>
  <c r="K80" i="30"/>
  <c r="H80" i="30"/>
  <c r="F80" i="30"/>
  <c r="K79" i="30"/>
  <c r="H79" i="30"/>
  <c r="F79" i="30"/>
  <c r="K78" i="30"/>
  <c r="H78" i="30"/>
  <c r="F78" i="30"/>
  <c r="K77" i="30"/>
  <c r="H77" i="30"/>
  <c r="F77" i="30"/>
  <c r="K76" i="30"/>
  <c r="H76" i="30"/>
  <c r="F76" i="30"/>
  <c r="K75" i="30"/>
  <c r="H75" i="30"/>
  <c r="F75" i="30"/>
  <c r="K74" i="30"/>
  <c r="H74" i="30"/>
  <c r="F74" i="30"/>
  <c r="K73" i="30"/>
  <c r="H73" i="30"/>
  <c r="F73" i="30"/>
  <c r="K72" i="30"/>
  <c r="H72" i="30"/>
  <c r="F72" i="30"/>
  <c r="K71" i="30"/>
  <c r="H71" i="30"/>
  <c r="F71" i="30"/>
  <c r="K70" i="30"/>
  <c r="H70" i="30"/>
  <c r="F70" i="30"/>
  <c r="K69" i="30"/>
  <c r="H69" i="30"/>
  <c r="F69" i="30"/>
  <c r="K68" i="30"/>
  <c r="H68" i="30"/>
  <c r="F68" i="30"/>
  <c r="K67" i="30"/>
  <c r="H67" i="30"/>
  <c r="F67" i="30"/>
  <c r="K66" i="30"/>
  <c r="H66" i="30"/>
  <c r="F66" i="30"/>
  <c r="K65" i="30"/>
  <c r="H65" i="30"/>
  <c r="F65" i="30"/>
  <c r="K64" i="30"/>
  <c r="H64" i="30"/>
  <c r="F64" i="30"/>
  <c r="K63" i="30"/>
  <c r="H63" i="30"/>
  <c r="F63" i="30"/>
  <c r="K62" i="30"/>
  <c r="H62" i="30"/>
  <c r="F62" i="30"/>
  <c r="K61" i="30"/>
  <c r="H61" i="30"/>
  <c r="F61" i="30"/>
  <c r="K60" i="30"/>
  <c r="H60" i="30"/>
  <c r="F60" i="30"/>
  <c r="K59" i="30"/>
  <c r="H59" i="30"/>
  <c r="F59" i="30"/>
  <c r="K58" i="30"/>
  <c r="H58" i="30"/>
  <c r="F58" i="30"/>
  <c r="K57" i="30"/>
  <c r="H57" i="30"/>
  <c r="F57" i="30"/>
  <c r="K56" i="30"/>
  <c r="H56" i="30"/>
  <c r="F56" i="30"/>
  <c r="K55" i="30"/>
  <c r="H55" i="30"/>
  <c r="F55" i="30"/>
  <c r="K54" i="30"/>
  <c r="H54" i="30"/>
  <c r="F54" i="30"/>
  <c r="K53" i="30"/>
  <c r="H53" i="30"/>
  <c r="F53" i="30"/>
  <c r="K52" i="30"/>
  <c r="H52" i="30"/>
  <c r="F52" i="30"/>
  <c r="K51" i="30"/>
  <c r="H51" i="30"/>
  <c r="F51" i="30"/>
  <c r="K50" i="30"/>
  <c r="H50" i="30"/>
  <c r="F50" i="30"/>
  <c r="K49" i="30"/>
  <c r="H49" i="30"/>
  <c r="F49" i="30"/>
  <c r="K48" i="30"/>
  <c r="H48" i="30"/>
  <c r="F48" i="30"/>
  <c r="I44" i="30"/>
  <c r="I88" i="30" s="1"/>
  <c r="H44" i="30"/>
  <c r="F44" i="30"/>
  <c r="K41" i="30"/>
  <c r="H41" i="30"/>
  <c r="F41" i="30"/>
  <c r="K40" i="30"/>
  <c r="H40" i="30"/>
  <c r="F40" i="30"/>
  <c r="K39" i="30"/>
  <c r="H39" i="30"/>
  <c r="F39" i="30"/>
  <c r="K38" i="30"/>
  <c r="H38" i="30"/>
  <c r="F38" i="30"/>
  <c r="K37" i="30"/>
  <c r="H37" i="30"/>
  <c r="F37" i="30"/>
  <c r="K36" i="30"/>
  <c r="H36" i="30"/>
  <c r="F36" i="30"/>
  <c r="K35" i="30"/>
  <c r="H35" i="30"/>
  <c r="F35" i="30"/>
  <c r="K34" i="30"/>
  <c r="H34" i="30"/>
  <c r="F34" i="30"/>
  <c r="K33" i="30"/>
  <c r="H33" i="30"/>
  <c r="F33" i="30"/>
  <c r="K32" i="30"/>
  <c r="H32" i="30"/>
  <c r="F32" i="30"/>
  <c r="K31" i="30"/>
  <c r="H31" i="30"/>
  <c r="F31" i="30"/>
  <c r="K30" i="30"/>
  <c r="H30" i="30"/>
  <c r="F30" i="30"/>
  <c r="K29" i="30"/>
  <c r="H29" i="30"/>
  <c r="F29" i="30"/>
  <c r="K28" i="30"/>
  <c r="H28" i="30"/>
  <c r="F28" i="30"/>
  <c r="K27" i="30"/>
  <c r="H27" i="30"/>
  <c r="F27" i="30"/>
  <c r="K26" i="30"/>
  <c r="H26" i="30"/>
  <c r="F26" i="30"/>
  <c r="K25" i="30"/>
  <c r="H25" i="30"/>
  <c r="F25" i="30"/>
  <c r="K24" i="30"/>
  <c r="H24" i="30"/>
  <c r="F24" i="30"/>
  <c r="K23" i="30"/>
  <c r="H23" i="30"/>
  <c r="F23" i="30"/>
  <c r="K22" i="30"/>
  <c r="H22" i="30"/>
  <c r="F22" i="30"/>
  <c r="K21" i="30"/>
  <c r="H21" i="30"/>
  <c r="F21" i="30"/>
  <c r="K20" i="30"/>
  <c r="H20" i="30"/>
  <c r="F20" i="30"/>
  <c r="K19" i="30"/>
  <c r="H19" i="30"/>
  <c r="F19" i="30"/>
  <c r="K18" i="30"/>
  <c r="H18" i="30"/>
  <c r="F18" i="30"/>
  <c r="K17" i="30"/>
  <c r="H17" i="30"/>
  <c r="F17" i="30"/>
  <c r="K16" i="30"/>
  <c r="H16" i="30"/>
  <c r="F16" i="30"/>
  <c r="K15" i="30"/>
  <c r="H15" i="30"/>
  <c r="F15" i="30"/>
  <c r="K14" i="30"/>
  <c r="H14" i="30"/>
  <c r="F14" i="30"/>
  <c r="K13" i="30"/>
  <c r="H13" i="30"/>
  <c r="F13" i="30"/>
  <c r="K12" i="30"/>
  <c r="H12" i="30"/>
  <c r="F12" i="30"/>
  <c r="K11" i="30"/>
  <c r="H11" i="30"/>
  <c r="F11" i="30"/>
  <c r="K10" i="30"/>
  <c r="H10" i="30"/>
  <c r="F10" i="30"/>
  <c r="K9" i="30"/>
  <c r="H9" i="30"/>
  <c r="F9" i="30"/>
  <c r="K8" i="30"/>
  <c r="H8" i="30"/>
  <c r="F8" i="30"/>
  <c r="K7" i="30"/>
  <c r="H7" i="30"/>
  <c r="F7" i="30"/>
  <c r="K6" i="30"/>
  <c r="H6" i="30"/>
  <c r="F6" i="30"/>
  <c r="K5" i="30"/>
  <c r="H5" i="30"/>
  <c r="F5" i="30"/>
  <c r="K4" i="30"/>
  <c r="N44" i="30" s="1"/>
  <c r="H4" i="30"/>
  <c r="F4" i="30"/>
  <c r="H88" i="29"/>
  <c r="F88" i="29"/>
  <c r="K87" i="29"/>
  <c r="H87" i="29"/>
  <c r="F87" i="29"/>
  <c r="K85" i="29"/>
  <c r="H85" i="29"/>
  <c r="F85" i="29"/>
  <c r="K84" i="29"/>
  <c r="H84" i="29"/>
  <c r="F84" i="29"/>
  <c r="K83" i="29"/>
  <c r="H83" i="29"/>
  <c r="F83" i="29"/>
  <c r="K82" i="29"/>
  <c r="H82" i="29"/>
  <c r="F82" i="29"/>
  <c r="K81" i="29"/>
  <c r="H81" i="29"/>
  <c r="F81" i="29"/>
  <c r="K80" i="29"/>
  <c r="H80" i="29"/>
  <c r="F80" i="29"/>
  <c r="K79" i="29"/>
  <c r="H79" i="29"/>
  <c r="F79" i="29"/>
  <c r="K78" i="29"/>
  <c r="H78" i="29"/>
  <c r="F78" i="29"/>
  <c r="K77" i="29"/>
  <c r="H77" i="29"/>
  <c r="F77" i="29"/>
  <c r="K76" i="29"/>
  <c r="H76" i="29"/>
  <c r="F76" i="29"/>
  <c r="K75" i="29"/>
  <c r="H75" i="29"/>
  <c r="F75" i="29"/>
  <c r="K74" i="29"/>
  <c r="H74" i="29"/>
  <c r="F74" i="29"/>
  <c r="K73" i="29"/>
  <c r="H73" i="29"/>
  <c r="F73" i="29"/>
  <c r="K72" i="29"/>
  <c r="H72" i="29"/>
  <c r="F72" i="29"/>
  <c r="K71" i="29"/>
  <c r="H71" i="29"/>
  <c r="F71" i="29"/>
  <c r="K70" i="29"/>
  <c r="H70" i="29"/>
  <c r="F70" i="29"/>
  <c r="K69" i="29"/>
  <c r="H69" i="29"/>
  <c r="F69" i="29"/>
  <c r="K68" i="29"/>
  <c r="H68" i="29"/>
  <c r="F68" i="29"/>
  <c r="K67" i="29"/>
  <c r="H67" i="29"/>
  <c r="F67" i="29"/>
  <c r="K66" i="29"/>
  <c r="H66" i="29"/>
  <c r="F66" i="29"/>
  <c r="K65" i="29"/>
  <c r="H65" i="29"/>
  <c r="F65" i="29"/>
  <c r="K64" i="29"/>
  <c r="H64" i="29"/>
  <c r="F64" i="29"/>
  <c r="K63" i="29"/>
  <c r="H63" i="29"/>
  <c r="F63" i="29"/>
  <c r="K62" i="29"/>
  <c r="H62" i="29"/>
  <c r="F62" i="29"/>
  <c r="K61" i="29"/>
  <c r="H61" i="29"/>
  <c r="F61" i="29"/>
  <c r="K60" i="29"/>
  <c r="H60" i="29"/>
  <c r="F60" i="29"/>
  <c r="K59" i="29"/>
  <c r="H59" i="29"/>
  <c r="F59" i="29"/>
  <c r="K58" i="29"/>
  <c r="H58" i="29"/>
  <c r="F58" i="29"/>
  <c r="K57" i="29"/>
  <c r="H57" i="29"/>
  <c r="F57" i="29"/>
  <c r="K56" i="29"/>
  <c r="H56" i="29"/>
  <c r="F56" i="29"/>
  <c r="K55" i="29"/>
  <c r="H55" i="29"/>
  <c r="F55" i="29"/>
  <c r="K54" i="29"/>
  <c r="H54" i="29"/>
  <c r="F54" i="29"/>
  <c r="K53" i="29"/>
  <c r="H53" i="29"/>
  <c r="F53" i="29"/>
  <c r="K52" i="29"/>
  <c r="H52" i="29"/>
  <c r="F52" i="29"/>
  <c r="K51" i="29"/>
  <c r="H51" i="29"/>
  <c r="F51" i="29"/>
  <c r="K50" i="29"/>
  <c r="H50" i="29"/>
  <c r="F50" i="29"/>
  <c r="K49" i="29"/>
  <c r="H49" i="29"/>
  <c r="F49" i="29"/>
  <c r="K48" i="29"/>
  <c r="H48" i="29"/>
  <c r="F48" i="29"/>
  <c r="I44" i="29"/>
  <c r="I88" i="29" s="1"/>
  <c r="H44" i="29"/>
  <c r="F44" i="29"/>
  <c r="K41" i="29"/>
  <c r="H41" i="29"/>
  <c r="F41" i="29"/>
  <c r="K40" i="29"/>
  <c r="H40" i="29"/>
  <c r="F40" i="29"/>
  <c r="K39" i="29"/>
  <c r="H39" i="29"/>
  <c r="F39" i="29"/>
  <c r="K38" i="29"/>
  <c r="H38" i="29"/>
  <c r="F38" i="29"/>
  <c r="K37" i="29"/>
  <c r="H37" i="29"/>
  <c r="F37" i="29"/>
  <c r="K36" i="29"/>
  <c r="H36" i="29"/>
  <c r="F36" i="29"/>
  <c r="K35" i="29"/>
  <c r="H35" i="29"/>
  <c r="F35" i="29"/>
  <c r="K34" i="29"/>
  <c r="H34" i="29"/>
  <c r="F34" i="29"/>
  <c r="K33" i="29"/>
  <c r="H33" i="29"/>
  <c r="F33" i="29"/>
  <c r="K32" i="29"/>
  <c r="H32" i="29"/>
  <c r="F32" i="29"/>
  <c r="K31" i="29"/>
  <c r="H31" i="29"/>
  <c r="F31" i="29"/>
  <c r="K30" i="29"/>
  <c r="H30" i="29"/>
  <c r="F30" i="29"/>
  <c r="K29" i="29"/>
  <c r="H29" i="29"/>
  <c r="F29" i="29"/>
  <c r="K28" i="29"/>
  <c r="H28" i="29"/>
  <c r="F28" i="29"/>
  <c r="K27" i="29"/>
  <c r="H27" i="29"/>
  <c r="F27" i="29"/>
  <c r="K26" i="29"/>
  <c r="H26" i="29"/>
  <c r="F26" i="29"/>
  <c r="K25" i="29"/>
  <c r="H25" i="29"/>
  <c r="F25" i="29"/>
  <c r="K24" i="29"/>
  <c r="H24" i="29"/>
  <c r="F24" i="29"/>
  <c r="K23" i="29"/>
  <c r="H23" i="29"/>
  <c r="F23" i="29"/>
  <c r="K22" i="29"/>
  <c r="H22" i="29"/>
  <c r="F22" i="29"/>
  <c r="K21" i="29"/>
  <c r="H21" i="29"/>
  <c r="F21" i="29"/>
  <c r="K20" i="29"/>
  <c r="H20" i="29"/>
  <c r="F20" i="29"/>
  <c r="K19" i="29"/>
  <c r="H19" i="29"/>
  <c r="F19" i="29"/>
  <c r="K18" i="29"/>
  <c r="H18" i="29"/>
  <c r="F18" i="29"/>
  <c r="K17" i="29"/>
  <c r="H17" i="29"/>
  <c r="F17" i="29"/>
  <c r="K16" i="29"/>
  <c r="H16" i="29"/>
  <c r="F16" i="29"/>
  <c r="K15" i="29"/>
  <c r="H15" i="29"/>
  <c r="F15" i="29"/>
  <c r="K14" i="29"/>
  <c r="H14" i="29"/>
  <c r="F14" i="29"/>
  <c r="K13" i="29"/>
  <c r="H13" i="29"/>
  <c r="F13" i="29"/>
  <c r="K12" i="29"/>
  <c r="H12" i="29"/>
  <c r="F12" i="29"/>
  <c r="K11" i="29"/>
  <c r="H11" i="29"/>
  <c r="F11" i="29"/>
  <c r="K10" i="29"/>
  <c r="H10" i="29"/>
  <c r="F10" i="29"/>
  <c r="K9" i="29"/>
  <c r="H9" i="29"/>
  <c r="F9" i="29"/>
  <c r="K8" i="29"/>
  <c r="H8" i="29"/>
  <c r="F8" i="29"/>
  <c r="K7" i="29"/>
  <c r="H7" i="29"/>
  <c r="F7" i="29"/>
  <c r="K6" i="29"/>
  <c r="H6" i="29"/>
  <c r="F6" i="29"/>
  <c r="K5" i="29"/>
  <c r="H5" i="29"/>
  <c r="F5" i="29"/>
  <c r="K4" i="29"/>
  <c r="N44" i="29" s="1"/>
  <c r="H4" i="29"/>
  <c r="F4" i="29"/>
  <c r="H88" i="28"/>
  <c r="F88" i="28"/>
  <c r="K87" i="28"/>
  <c r="H87" i="28"/>
  <c r="F87" i="28"/>
  <c r="K85" i="28"/>
  <c r="H85" i="28"/>
  <c r="F85" i="28"/>
  <c r="K84" i="28"/>
  <c r="H84" i="28"/>
  <c r="F84" i="28"/>
  <c r="K83" i="28"/>
  <c r="H83" i="28"/>
  <c r="F83" i="28"/>
  <c r="K82" i="28"/>
  <c r="H82" i="28"/>
  <c r="F82" i="28"/>
  <c r="K81" i="28"/>
  <c r="H81" i="28"/>
  <c r="F81" i="28"/>
  <c r="K80" i="28"/>
  <c r="H80" i="28"/>
  <c r="F80" i="28"/>
  <c r="K79" i="28"/>
  <c r="H79" i="28"/>
  <c r="F79" i="28"/>
  <c r="K78" i="28"/>
  <c r="H78" i="28"/>
  <c r="F78" i="28"/>
  <c r="K77" i="28"/>
  <c r="H77" i="28"/>
  <c r="F77" i="28"/>
  <c r="K76" i="28"/>
  <c r="H76" i="28"/>
  <c r="F76" i="28"/>
  <c r="K75" i="28"/>
  <c r="H75" i="28"/>
  <c r="F75" i="28"/>
  <c r="K74" i="28"/>
  <c r="H74" i="28"/>
  <c r="F74" i="28"/>
  <c r="K73" i="28"/>
  <c r="H73" i="28"/>
  <c r="F73" i="28"/>
  <c r="K72" i="28"/>
  <c r="H72" i="28"/>
  <c r="F72" i="28"/>
  <c r="K71" i="28"/>
  <c r="H71" i="28"/>
  <c r="F71" i="28"/>
  <c r="K70" i="28"/>
  <c r="H70" i="28"/>
  <c r="F70" i="28"/>
  <c r="K69" i="28"/>
  <c r="H69" i="28"/>
  <c r="F69" i="28"/>
  <c r="K68" i="28"/>
  <c r="H68" i="28"/>
  <c r="F68" i="28"/>
  <c r="K67" i="28"/>
  <c r="H67" i="28"/>
  <c r="F67" i="28"/>
  <c r="K66" i="28"/>
  <c r="H66" i="28"/>
  <c r="F66" i="28"/>
  <c r="K65" i="28"/>
  <c r="H65" i="28"/>
  <c r="F65" i="28"/>
  <c r="K64" i="28"/>
  <c r="H64" i="28"/>
  <c r="F64" i="28"/>
  <c r="K63" i="28"/>
  <c r="H63" i="28"/>
  <c r="F63" i="28"/>
  <c r="K62" i="28"/>
  <c r="H62" i="28"/>
  <c r="F62" i="28"/>
  <c r="K61" i="28"/>
  <c r="H61" i="28"/>
  <c r="F61" i="28"/>
  <c r="K60" i="28"/>
  <c r="H60" i="28"/>
  <c r="F60" i="28"/>
  <c r="K59" i="28"/>
  <c r="H59" i="28"/>
  <c r="F59" i="28"/>
  <c r="K58" i="28"/>
  <c r="H58" i="28"/>
  <c r="F58" i="28"/>
  <c r="K57" i="28"/>
  <c r="H57" i="28"/>
  <c r="F57" i="28"/>
  <c r="K56" i="28"/>
  <c r="H56" i="28"/>
  <c r="F56" i="28"/>
  <c r="K55" i="28"/>
  <c r="H55" i="28"/>
  <c r="F55" i="28"/>
  <c r="K54" i="28"/>
  <c r="H54" i="28"/>
  <c r="F54" i="28"/>
  <c r="K53" i="28"/>
  <c r="H53" i="28"/>
  <c r="F53" i="28"/>
  <c r="K52" i="28"/>
  <c r="H52" i="28"/>
  <c r="F52" i="28"/>
  <c r="K51" i="28"/>
  <c r="H51" i="28"/>
  <c r="F51" i="28"/>
  <c r="K50" i="28"/>
  <c r="H50" i="28"/>
  <c r="F50" i="28"/>
  <c r="K49" i="28"/>
  <c r="H49" i="28"/>
  <c r="F49" i="28"/>
  <c r="K48" i="28"/>
  <c r="H48" i="28"/>
  <c r="F48" i="28"/>
  <c r="I44" i="28"/>
  <c r="I88" i="28" s="1"/>
  <c r="H44" i="28"/>
  <c r="F44" i="28"/>
  <c r="K41" i="28"/>
  <c r="H41" i="28"/>
  <c r="F41" i="28"/>
  <c r="K40" i="28"/>
  <c r="H40" i="28"/>
  <c r="F40" i="28"/>
  <c r="K39" i="28"/>
  <c r="H39" i="28"/>
  <c r="F39" i="28"/>
  <c r="K38" i="28"/>
  <c r="H38" i="28"/>
  <c r="F38" i="28"/>
  <c r="K37" i="28"/>
  <c r="H37" i="28"/>
  <c r="F37" i="28"/>
  <c r="K36" i="28"/>
  <c r="H36" i="28"/>
  <c r="F36" i="28"/>
  <c r="K35" i="28"/>
  <c r="H35" i="28"/>
  <c r="F35" i="28"/>
  <c r="K34" i="28"/>
  <c r="H34" i="28"/>
  <c r="F34" i="28"/>
  <c r="K33" i="28"/>
  <c r="H33" i="28"/>
  <c r="F33" i="28"/>
  <c r="K32" i="28"/>
  <c r="H32" i="28"/>
  <c r="F32" i="28"/>
  <c r="K31" i="28"/>
  <c r="H31" i="28"/>
  <c r="F31" i="28"/>
  <c r="K30" i="28"/>
  <c r="H30" i="28"/>
  <c r="F30" i="28"/>
  <c r="K29" i="28"/>
  <c r="H29" i="28"/>
  <c r="F29" i="28"/>
  <c r="K28" i="28"/>
  <c r="H28" i="28"/>
  <c r="F28" i="28"/>
  <c r="K27" i="28"/>
  <c r="H27" i="28"/>
  <c r="F27" i="28"/>
  <c r="K26" i="28"/>
  <c r="H26" i="28"/>
  <c r="F26" i="28"/>
  <c r="K25" i="28"/>
  <c r="H25" i="28"/>
  <c r="F25" i="28"/>
  <c r="K24" i="28"/>
  <c r="H24" i="28"/>
  <c r="F24" i="28"/>
  <c r="K23" i="28"/>
  <c r="H23" i="28"/>
  <c r="F23" i="28"/>
  <c r="K22" i="28"/>
  <c r="H22" i="28"/>
  <c r="F22" i="28"/>
  <c r="K21" i="28"/>
  <c r="H21" i="28"/>
  <c r="F21" i="28"/>
  <c r="K20" i="28"/>
  <c r="H20" i="28"/>
  <c r="F20" i="28"/>
  <c r="K19" i="28"/>
  <c r="H19" i="28"/>
  <c r="F19" i="28"/>
  <c r="K18" i="28"/>
  <c r="H18" i="28"/>
  <c r="F18" i="28"/>
  <c r="K17" i="28"/>
  <c r="H17" i="28"/>
  <c r="F17" i="28"/>
  <c r="K16" i="28"/>
  <c r="H16" i="28"/>
  <c r="F16" i="28"/>
  <c r="K15" i="28"/>
  <c r="H15" i="28"/>
  <c r="F15" i="28"/>
  <c r="K14" i="28"/>
  <c r="H14" i="28"/>
  <c r="F14" i="28"/>
  <c r="K13" i="28"/>
  <c r="H13" i="28"/>
  <c r="F13" i="28"/>
  <c r="K12" i="28"/>
  <c r="H12" i="28"/>
  <c r="F12" i="28"/>
  <c r="K11" i="28"/>
  <c r="H11" i="28"/>
  <c r="F11" i="28"/>
  <c r="K10" i="28"/>
  <c r="H10" i="28"/>
  <c r="F10" i="28"/>
  <c r="K9" i="28"/>
  <c r="N44" i="28" s="1"/>
  <c r="M44" i="28" s="1"/>
  <c r="H9" i="28"/>
  <c r="F9" i="28"/>
  <c r="K8" i="28"/>
  <c r="H8" i="28"/>
  <c r="F8" i="28"/>
  <c r="K7" i="28"/>
  <c r="H7" i="28"/>
  <c r="F7" i="28"/>
  <c r="K6" i="28"/>
  <c r="H6" i="28"/>
  <c r="F6" i="28"/>
  <c r="K5" i="28"/>
  <c r="H5" i="28"/>
  <c r="F5" i="28"/>
  <c r="K4" i="28"/>
  <c r="K44" i="28" s="1"/>
  <c r="K88" i="28" s="1"/>
  <c r="H4" i="28"/>
  <c r="F4" i="28"/>
  <c r="H88" i="27"/>
  <c r="F88" i="27"/>
  <c r="K87" i="27"/>
  <c r="H87" i="27"/>
  <c r="F87" i="27"/>
  <c r="K85" i="27"/>
  <c r="H85" i="27"/>
  <c r="F85" i="27"/>
  <c r="K84" i="27"/>
  <c r="H84" i="27"/>
  <c r="F84" i="27"/>
  <c r="K83" i="27"/>
  <c r="H83" i="27"/>
  <c r="F83" i="27"/>
  <c r="K82" i="27"/>
  <c r="H82" i="27"/>
  <c r="F82" i="27"/>
  <c r="K81" i="27"/>
  <c r="H81" i="27"/>
  <c r="F81" i="27"/>
  <c r="K80" i="27"/>
  <c r="H80" i="27"/>
  <c r="F80" i="27"/>
  <c r="K79" i="27"/>
  <c r="H79" i="27"/>
  <c r="F79" i="27"/>
  <c r="K78" i="27"/>
  <c r="H78" i="27"/>
  <c r="F78" i="27"/>
  <c r="K77" i="27"/>
  <c r="H77" i="27"/>
  <c r="F77" i="27"/>
  <c r="K76" i="27"/>
  <c r="H76" i="27"/>
  <c r="F76" i="27"/>
  <c r="K75" i="27"/>
  <c r="H75" i="27"/>
  <c r="F75" i="27"/>
  <c r="K74" i="27"/>
  <c r="H74" i="27"/>
  <c r="F74" i="27"/>
  <c r="K73" i="27"/>
  <c r="H73" i="27"/>
  <c r="F73" i="27"/>
  <c r="K72" i="27"/>
  <c r="H72" i="27"/>
  <c r="F72" i="27"/>
  <c r="K71" i="27"/>
  <c r="H71" i="27"/>
  <c r="F71" i="27"/>
  <c r="K70" i="27"/>
  <c r="H70" i="27"/>
  <c r="F70" i="27"/>
  <c r="K69" i="27"/>
  <c r="H69" i="27"/>
  <c r="F69" i="27"/>
  <c r="K68" i="27"/>
  <c r="H68" i="27"/>
  <c r="F68" i="27"/>
  <c r="K67" i="27"/>
  <c r="H67" i="27"/>
  <c r="F67" i="27"/>
  <c r="K66" i="27"/>
  <c r="H66" i="27"/>
  <c r="F66" i="27"/>
  <c r="K65" i="27"/>
  <c r="H65" i="27"/>
  <c r="F65" i="27"/>
  <c r="K64" i="27"/>
  <c r="H64" i="27"/>
  <c r="F64" i="27"/>
  <c r="K63" i="27"/>
  <c r="H63" i="27"/>
  <c r="F63" i="27"/>
  <c r="K62" i="27"/>
  <c r="H62" i="27"/>
  <c r="F62" i="27"/>
  <c r="K61" i="27"/>
  <c r="H61" i="27"/>
  <c r="F61" i="27"/>
  <c r="K60" i="27"/>
  <c r="H60" i="27"/>
  <c r="F60" i="27"/>
  <c r="K59" i="27"/>
  <c r="H59" i="27"/>
  <c r="F59" i="27"/>
  <c r="K58" i="27"/>
  <c r="H58" i="27"/>
  <c r="F58" i="27"/>
  <c r="K57" i="27"/>
  <c r="H57" i="27"/>
  <c r="F57" i="27"/>
  <c r="K56" i="27"/>
  <c r="H56" i="27"/>
  <c r="F56" i="27"/>
  <c r="K55" i="27"/>
  <c r="H55" i="27"/>
  <c r="F55" i="27"/>
  <c r="K54" i="27"/>
  <c r="H54" i="27"/>
  <c r="F54" i="27"/>
  <c r="K53" i="27"/>
  <c r="H53" i="27"/>
  <c r="F53" i="27"/>
  <c r="K52" i="27"/>
  <c r="H52" i="27"/>
  <c r="F52" i="27"/>
  <c r="K51" i="27"/>
  <c r="H51" i="27"/>
  <c r="F51" i="27"/>
  <c r="K50" i="27"/>
  <c r="H50" i="27"/>
  <c r="F50" i="27"/>
  <c r="K49" i="27"/>
  <c r="H49" i="27"/>
  <c r="F49" i="27"/>
  <c r="K48" i="27"/>
  <c r="H48" i="27"/>
  <c r="F48" i="27"/>
  <c r="I44" i="27"/>
  <c r="I88" i="27" s="1"/>
  <c r="H44" i="27"/>
  <c r="F44" i="27"/>
  <c r="K41" i="27"/>
  <c r="H41" i="27"/>
  <c r="F41" i="27"/>
  <c r="K40" i="27"/>
  <c r="H40" i="27"/>
  <c r="F40" i="27"/>
  <c r="K39" i="27"/>
  <c r="H39" i="27"/>
  <c r="F39" i="27"/>
  <c r="K38" i="27"/>
  <c r="H38" i="27"/>
  <c r="F38" i="27"/>
  <c r="K37" i="27"/>
  <c r="H37" i="27"/>
  <c r="F37" i="27"/>
  <c r="K36" i="27"/>
  <c r="H36" i="27"/>
  <c r="F36" i="27"/>
  <c r="K35" i="27"/>
  <c r="H35" i="27"/>
  <c r="F35" i="27"/>
  <c r="K34" i="27"/>
  <c r="H34" i="27"/>
  <c r="F34" i="27"/>
  <c r="K33" i="27"/>
  <c r="H33" i="27"/>
  <c r="F33" i="27"/>
  <c r="K32" i="27"/>
  <c r="H32" i="27"/>
  <c r="F32" i="27"/>
  <c r="K31" i="27"/>
  <c r="H31" i="27"/>
  <c r="F31" i="27"/>
  <c r="K30" i="27"/>
  <c r="H30" i="27"/>
  <c r="F30" i="27"/>
  <c r="K29" i="27"/>
  <c r="H29" i="27"/>
  <c r="F29" i="27"/>
  <c r="K28" i="27"/>
  <c r="H28" i="27"/>
  <c r="F28" i="27"/>
  <c r="K27" i="27"/>
  <c r="H27" i="27"/>
  <c r="F27" i="27"/>
  <c r="K26" i="27"/>
  <c r="H26" i="27"/>
  <c r="F26" i="27"/>
  <c r="K25" i="27"/>
  <c r="H25" i="27"/>
  <c r="F25" i="27"/>
  <c r="K24" i="27"/>
  <c r="H24" i="27"/>
  <c r="F24" i="27"/>
  <c r="K23" i="27"/>
  <c r="H23" i="27"/>
  <c r="F23" i="27"/>
  <c r="K22" i="27"/>
  <c r="H22" i="27"/>
  <c r="F22" i="27"/>
  <c r="K21" i="27"/>
  <c r="H21" i="27"/>
  <c r="F21" i="27"/>
  <c r="K20" i="27"/>
  <c r="H20" i="27"/>
  <c r="F20" i="27"/>
  <c r="K19" i="27"/>
  <c r="H19" i="27"/>
  <c r="F19" i="27"/>
  <c r="K18" i="27"/>
  <c r="H18" i="27"/>
  <c r="F18" i="27"/>
  <c r="K17" i="27"/>
  <c r="H17" i="27"/>
  <c r="F17" i="27"/>
  <c r="K16" i="27"/>
  <c r="H16" i="27"/>
  <c r="F16" i="27"/>
  <c r="K15" i="27"/>
  <c r="H15" i="27"/>
  <c r="F15" i="27"/>
  <c r="K14" i="27"/>
  <c r="H14" i="27"/>
  <c r="F14" i="27"/>
  <c r="K13" i="27"/>
  <c r="H13" i="27"/>
  <c r="F13" i="27"/>
  <c r="K12" i="27"/>
  <c r="H12" i="27"/>
  <c r="F12" i="27"/>
  <c r="K11" i="27"/>
  <c r="H11" i="27"/>
  <c r="F11" i="27"/>
  <c r="K10" i="27"/>
  <c r="H10" i="27"/>
  <c r="F10" i="27"/>
  <c r="K9" i="27"/>
  <c r="H9" i="27"/>
  <c r="F9" i="27"/>
  <c r="K8" i="27"/>
  <c r="H8" i="27"/>
  <c r="F8" i="27"/>
  <c r="K7" i="27"/>
  <c r="H7" i="27"/>
  <c r="F7" i="27"/>
  <c r="K6" i="27"/>
  <c r="H6" i="27"/>
  <c r="F6" i="27"/>
  <c r="K5" i="27"/>
  <c r="K44" i="27" s="1"/>
  <c r="K88" i="27" s="1"/>
  <c r="H5" i="27"/>
  <c r="F5" i="27"/>
  <c r="K4" i="27"/>
  <c r="N44" i="27" s="1"/>
  <c r="M44" i="27" s="1"/>
  <c r="H4" i="27"/>
  <c r="F4" i="27"/>
  <c r="H88" i="26"/>
  <c r="F88" i="26"/>
  <c r="K87" i="26"/>
  <c r="H87" i="26"/>
  <c r="F87" i="26"/>
  <c r="K85" i="26"/>
  <c r="H85" i="26"/>
  <c r="F85" i="26"/>
  <c r="K84" i="26"/>
  <c r="H84" i="26"/>
  <c r="F84" i="26"/>
  <c r="K83" i="26"/>
  <c r="H83" i="26"/>
  <c r="F83" i="26"/>
  <c r="K82" i="26"/>
  <c r="H82" i="26"/>
  <c r="F82" i="26"/>
  <c r="K81" i="26"/>
  <c r="H81" i="26"/>
  <c r="F81" i="26"/>
  <c r="K80" i="26"/>
  <c r="H80" i="26"/>
  <c r="F80" i="26"/>
  <c r="K79" i="26"/>
  <c r="H79" i="26"/>
  <c r="F79" i="26"/>
  <c r="K78" i="26"/>
  <c r="H78" i="26"/>
  <c r="F78" i="26"/>
  <c r="K77" i="26"/>
  <c r="H77" i="26"/>
  <c r="F77" i="26"/>
  <c r="K76" i="26"/>
  <c r="H76" i="26"/>
  <c r="F76" i="26"/>
  <c r="K75" i="26"/>
  <c r="H75" i="26"/>
  <c r="F75" i="26"/>
  <c r="K74" i="26"/>
  <c r="H74" i="26"/>
  <c r="F74" i="26"/>
  <c r="K73" i="26"/>
  <c r="H73" i="26"/>
  <c r="F73" i="26"/>
  <c r="K72" i="26"/>
  <c r="H72" i="26"/>
  <c r="F72" i="26"/>
  <c r="K71" i="26"/>
  <c r="H71" i="26"/>
  <c r="F71" i="26"/>
  <c r="K70" i="26"/>
  <c r="H70" i="26"/>
  <c r="F70" i="26"/>
  <c r="K69" i="26"/>
  <c r="H69" i="26"/>
  <c r="F69" i="26"/>
  <c r="K68" i="26"/>
  <c r="H68" i="26"/>
  <c r="F68" i="26"/>
  <c r="K67" i="26"/>
  <c r="H67" i="26"/>
  <c r="F67" i="26"/>
  <c r="K66" i="26"/>
  <c r="H66" i="26"/>
  <c r="F66" i="26"/>
  <c r="K65" i="26"/>
  <c r="H65" i="26"/>
  <c r="F65" i="26"/>
  <c r="K64" i="26"/>
  <c r="H64" i="26"/>
  <c r="F64" i="26"/>
  <c r="K63" i="26"/>
  <c r="H63" i="26"/>
  <c r="F63" i="26"/>
  <c r="K62" i="26"/>
  <c r="H62" i="26"/>
  <c r="F62" i="26"/>
  <c r="K61" i="26"/>
  <c r="H61" i="26"/>
  <c r="F61" i="26"/>
  <c r="K60" i="26"/>
  <c r="H60" i="26"/>
  <c r="F60" i="26"/>
  <c r="K59" i="26"/>
  <c r="H59" i="26"/>
  <c r="F59" i="26"/>
  <c r="K58" i="26"/>
  <c r="H58" i="26"/>
  <c r="F58" i="26"/>
  <c r="K57" i="26"/>
  <c r="H57" i="26"/>
  <c r="F57" i="26"/>
  <c r="K56" i="26"/>
  <c r="H56" i="26"/>
  <c r="F56" i="26"/>
  <c r="K55" i="26"/>
  <c r="H55" i="26"/>
  <c r="F55" i="26"/>
  <c r="K54" i="26"/>
  <c r="H54" i="26"/>
  <c r="F54" i="26"/>
  <c r="K53" i="26"/>
  <c r="H53" i="26"/>
  <c r="F53" i="26"/>
  <c r="K52" i="26"/>
  <c r="H52" i="26"/>
  <c r="F52" i="26"/>
  <c r="K51" i="26"/>
  <c r="H51" i="26"/>
  <c r="F51" i="26"/>
  <c r="K50" i="26"/>
  <c r="H50" i="26"/>
  <c r="F50" i="26"/>
  <c r="K49" i="26"/>
  <c r="H49" i="26"/>
  <c r="F49" i="26"/>
  <c r="K48" i="26"/>
  <c r="H48" i="26"/>
  <c r="F48" i="26"/>
  <c r="I44" i="26"/>
  <c r="I88" i="26" s="1"/>
  <c r="H44" i="26"/>
  <c r="F44" i="26"/>
  <c r="K41" i="26"/>
  <c r="H41" i="26"/>
  <c r="F41" i="26"/>
  <c r="K40" i="26"/>
  <c r="H40" i="26"/>
  <c r="F40" i="26"/>
  <c r="K39" i="26"/>
  <c r="H39" i="26"/>
  <c r="F39" i="26"/>
  <c r="K38" i="26"/>
  <c r="H38" i="26"/>
  <c r="F38" i="26"/>
  <c r="K37" i="26"/>
  <c r="H37" i="26"/>
  <c r="F37" i="26"/>
  <c r="K36" i="26"/>
  <c r="H36" i="26"/>
  <c r="F36" i="26"/>
  <c r="K35" i="26"/>
  <c r="H35" i="26"/>
  <c r="F35" i="26"/>
  <c r="K34" i="26"/>
  <c r="H34" i="26"/>
  <c r="F34" i="26"/>
  <c r="K33" i="26"/>
  <c r="H33" i="26"/>
  <c r="F33" i="26"/>
  <c r="K32" i="26"/>
  <c r="H32" i="26"/>
  <c r="F32" i="26"/>
  <c r="K31" i="26"/>
  <c r="H31" i="26"/>
  <c r="F31" i="26"/>
  <c r="K30" i="26"/>
  <c r="H30" i="26"/>
  <c r="F30" i="26"/>
  <c r="K29" i="26"/>
  <c r="H29" i="26"/>
  <c r="F29" i="26"/>
  <c r="K28" i="26"/>
  <c r="H28" i="26"/>
  <c r="F28" i="26"/>
  <c r="K27" i="26"/>
  <c r="H27" i="26"/>
  <c r="F27" i="26"/>
  <c r="K26" i="26"/>
  <c r="H26" i="26"/>
  <c r="F26" i="26"/>
  <c r="K25" i="26"/>
  <c r="H25" i="26"/>
  <c r="F25" i="26"/>
  <c r="K24" i="26"/>
  <c r="H24" i="26"/>
  <c r="F24" i="26"/>
  <c r="K23" i="26"/>
  <c r="H23" i="26"/>
  <c r="F23" i="26"/>
  <c r="K22" i="26"/>
  <c r="H22" i="26"/>
  <c r="F22" i="26"/>
  <c r="K21" i="26"/>
  <c r="H21" i="26"/>
  <c r="F21" i="26"/>
  <c r="K20" i="26"/>
  <c r="H20" i="26"/>
  <c r="F20" i="26"/>
  <c r="K19" i="26"/>
  <c r="H19" i="26"/>
  <c r="F19" i="26"/>
  <c r="K18" i="26"/>
  <c r="H18" i="26"/>
  <c r="F18" i="26"/>
  <c r="K17" i="26"/>
  <c r="H17" i="26"/>
  <c r="F17" i="26"/>
  <c r="K16" i="26"/>
  <c r="H16" i="26"/>
  <c r="F16" i="26"/>
  <c r="K15" i="26"/>
  <c r="H15" i="26"/>
  <c r="F15" i="26"/>
  <c r="K14" i="26"/>
  <c r="H14" i="26"/>
  <c r="F14" i="26"/>
  <c r="K13" i="26"/>
  <c r="H13" i="26"/>
  <c r="F13" i="26"/>
  <c r="K12" i="26"/>
  <c r="H12" i="26"/>
  <c r="F12" i="26"/>
  <c r="K11" i="26"/>
  <c r="H11" i="26"/>
  <c r="F11" i="26"/>
  <c r="K10" i="26"/>
  <c r="H10" i="26"/>
  <c r="F10" i="26"/>
  <c r="K9" i="26"/>
  <c r="H9" i="26"/>
  <c r="F9" i="26"/>
  <c r="K8" i="26"/>
  <c r="H8" i="26"/>
  <c r="F8" i="26"/>
  <c r="K7" i="26"/>
  <c r="H7" i="26"/>
  <c r="F7" i="26"/>
  <c r="K6" i="26"/>
  <c r="H6" i="26"/>
  <c r="F6" i="26"/>
  <c r="K5" i="26"/>
  <c r="H5" i="26"/>
  <c r="F5" i="26"/>
  <c r="K4" i="26"/>
  <c r="N44" i="26" s="1"/>
  <c r="H4" i="26"/>
  <c r="F4" i="26"/>
  <c r="H88" i="25"/>
  <c r="F88" i="25"/>
  <c r="K87" i="25"/>
  <c r="H87" i="25"/>
  <c r="F87" i="25"/>
  <c r="K85" i="25"/>
  <c r="H85" i="25"/>
  <c r="F85" i="25"/>
  <c r="K84" i="25"/>
  <c r="H84" i="25"/>
  <c r="F84" i="25"/>
  <c r="K83" i="25"/>
  <c r="H83" i="25"/>
  <c r="F83" i="25"/>
  <c r="K82" i="25"/>
  <c r="H82" i="25"/>
  <c r="F82" i="25"/>
  <c r="K81" i="25"/>
  <c r="H81" i="25"/>
  <c r="F81" i="25"/>
  <c r="K80" i="25"/>
  <c r="H80" i="25"/>
  <c r="F80" i="25"/>
  <c r="K79" i="25"/>
  <c r="H79" i="25"/>
  <c r="F79" i="25"/>
  <c r="K78" i="25"/>
  <c r="H78" i="25"/>
  <c r="F78" i="25"/>
  <c r="K77" i="25"/>
  <c r="H77" i="25"/>
  <c r="F77" i="25"/>
  <c r="K76" i="25"/>
  <c r="H76" i="25"/>
  <c r="F76" i="25"/>
  <c r="K75" i="25"/>
  <c r="H75" i="25"/>
  <c r="F75" i="25"/>
  <c r="K74" i="25"/>
  <c r="H74" i="25"/>
  <c r="F74" i="25"/>
  <c r="K73" i="25"/>
  <c r="H73" i="25"/>
  <c r="F73" i="25"/>
  <c r="K72" i="25"/>
  <c r="H72" i="25"/>
  <c r="F72" i="25"/>
  <c r="K71" i="25"/>
  <c r="H71" i="25"/>
  <c r="F71" i="25"/>
  <c r="K70" i="25"/>
  <c r="H70" i="25"/>
  <c r="F70" i="25"/>
  <c r="K69" i="25"/>
  <c r="H69" i="25"/>
  <c r="F69" i="25"/>
  <c r="K68" i="25"/>
  <c r="H68" i="25"/>
  <c r="F68" i="25"/>
  <c r="K67" i="25"/>
  <c r="H67" i="25"/>
  <c r="F67" i="25"/>
  <c r="K66" i="25"/>
  <c r="H66" i="25"/>
  <c r="F66" i="25"/>
  <c r="K65" i="25"/>
  <c r="H65" i="25"/>
  <c r="F65" i="25"/>
  <c r="K64" i="25"/>
  <c r="H64" i="25"/>
  <c r="F64" i="25"/>
  <c r="K63" i="25"/>
  <c r="H63" i="25"/>
  <c r="F63" i="25"/>
  <c r="K62" i="25"/>
  <c r="H62" i="25"/>
  <c r="F62" i="25"/>
  <c r="K61" i="25"/>
  <c r="H61" i="25"/>
  <c r="F61" i="25"/>
  <c r="K60" i="25"/>
  <c r="H60" i="25"/>
  <c r="F60" i="25"/>
  <c r="K59" i="25"/>
  <c r="H59" i="25"/>
  <c r="F59" i="25"/>
  <c r="K58" i="25"/>
  <c r="H58" i="25"/>
  <c r="F58" i="25"/>
  <c r="K57" i="25"/>
  <c r="H57" i="25"/>
  <c r="F57" i="25"/>
  <c r="K56" i="25"/>
  <c r="H56" i="25"/>
  <c r="F56" i="25"/>
  <c r="K55" i="25"/>
  <c r="H55" i="25"/>
  <c r="F55" i="25"/>
  <c r="K54" i="25"/>
  <c r="H54" i="25"/>
  <c r="F54" i="25"/>
  <c r="K53" i="25"/>
  <c r="H53" i="25"/>
  <c r="F53" i="25"/>
  <c r="K52" i="25"/>
  <c r="H52" i="25"/>
  <c r="F52" i="25"/>
  <c r="K51" i="25"/>
  <c r="H51" i="25"/>
  <c r="F51" i="25"/>
  <c r="K50" i="25"/>
  <c r="H50" i="25"/>
  <c r="F50" i="25"/>
  <c r="K49" i="25"/>
  <c r="H49" i="25"/>
  <c r="F49" i="25"/>
  <c r="K48" i="25"/>
  <c r="H48" i="25"/>
  <c r="F48" i="25"/>
  <c r="I44" i="25"/>
  <c r="I88" i="25" s="1"/>
  <c r="H44" i="25"/>
  <c r="F44" i="25"/>
  <c r="K41" i="25"/>
  <c r="H41" i="25"/>
  <c r="F41" i="25"/>
  <c r="K40" i="25"/>
  <c r="H40" i="25"/>
  <c r="F40" i="25"/>
  <c r="K39" i="25"/>
  <c r="H39" i="25"/>
  <c r="F39" i="25"/>
  <c r="K38" i="25"/>
  <c r="H38" i="25"/>
  <c r="F38" i="25"/>
  <c r="K37" i="25"/>
  <c r="H37" i="25"/>
  <c r="F37" i="25"/>
  <c r="K36" i="25"/>
  <c r="H36" i="25"/>
  <c r="F36" i="25"/>
  <c r="K35" i="25"/>
  <c r="H35" i="25"/>
  <c r="F35" i="25"/>
  <c r="K34" i="25"/>
  <c r="H34" i="25"/>
  <c r="F34" i="25"/>
  <c r="K33" i="25"/>
  <c r="H33" i="25"/>
  <c r="F33" i="25"/>
  <c r="K32" i="25"/>
  <c r="H32" i="25"/>
  <c r="F32" i="25"/>
  <c r="K31" i="25"/>
  <c r="H31" i="25"/>
  <c r="F31" i="25"/>
  <c r="K30" i="25"/>
  <c r="H30" i="25"/>
  <c r="F30" i="25"/>
  <c r="K29" i="25"/>
  <c r="H29" i="25"/>
  <c r="F29" i="25"/>
  <c r="K28" i="25"/>
  <c r="H28" i="25"/>
  <c r="F28" i="25"/>
  <c r="K27" i="25"/>
  <c r="H27" i="25"/>
  <c r="F27" i="25"/>
  <c r="K26" i="25"/>
  <c r="H26" i="25"/>
  <c r="F26" i="25"/>
  <c r="K25" i="25"/>
  <c r="H25" i="25"/>
  <c r="F25" i="25"/>
  <c r="K24" i="25"/>
  <c r="H24" i="25"/>
  <c r="F24" i="25"/>
  <c r="K23" i="25"/>
  <c r="H23" i="25"/>
  <c r="F23" i="25"/>
  <c r="K22" i="25"/>
  <c r="H22" i="25"/>
  <c r="F22" i="25"/>
  <c r="K21" i="25"/>
  <c r="H21" i="25"/>
  <c r="F21" i="25"/>
  <c r="K20" i="25"/>
  <c r="H20" i="25"/>
  <c r="F20" i="25"/>
  <c r="K19" i="25"/>
  <c r="H19" i="25"/>
  <c r="F19" i="25"/>
  <c r="K18" i="25"/>
  <c r="H18" i="25"/>
  <c r="F18" i="25"/>
  <c r="K17" i="25"/>
  <c r="H17" i="25"/>
  <c r="F17" i="25"/>
  <c r="K16" i="25"/>
  <c r="H16" i="25"/>
  <c r="F16" i="25"/>
  <c r="K15" i="25"/>
  <c r="H15" i="25"/>
  <c r="F15" i="25"/>
  <c r="K14" i="25"/>
  <c r="H14" i="25"/>
  <c r="F14" i="25"/>
  <c r="K13" i="25"/>
  <c r="H13" i="25"/>
  <c r="F13" i="25"/>
  <c r="K12" i="25"/>
  <c r="H12" i="25"/>
  <c r="F12" i="25"/>
  <c r="K11" i="25"/>
  <c r="H11" i="25"/>
  <c r="F11" i="25"/>
  <c r="K10" i="25"/>
  <c r="H10" i="25"/>
  <c r="F10" i="25"/>
  <c r="K9" i="25"/>
  <c r="H9" i="25"/>
  <c r="F9" i="25"/>
  <c r="K8" i="25"/>
  <c r="H8" i="25"/>
  <c r="F8" i="25"/>
  <c r="K7" i="25"/>
  <c r="H7" i="25"/>
  <c r="F7" i="25"/>
  <c r="K6" i="25"/>
  <c r="H6" i="25"/>
  <c r="F6" i="25"/>
  <c r="K5" i="25"/>
  <c r="H5" i="25"/>
  <c r="F5" i="25"/>
  <c r="K4" i="25"/>
  <c r="N44" i="25" s="1"/>
  <c r="H4" i="25"/>
  <c r="F4" i="25"/>
  <c r="H88" i="24"/>
  <c r="F88" i="24"/>
  <c r="K87" i="24"/>
  <c r="H87" i="24"/>
  <c r="F87" i="24"/>
  <c r="K85" i="24"/>
  <c r="H85" i="24"/>
  <c r="F85" i="24"/>
  <c r="K84" i="24"/>
  <c r="H84" i="24"/>
  <c r="F84" i="24"/>
  <c r="K83" i="24"/>
  <c r="H83" i="24"/>
  <c r="F83" i="24"/>
  <c r="K82" i="24"/>
  <c r="H82" i="24"/>
  <c r="F82" i="24"/>
  <c r="K81" i="24"/>
  <c r="H81" i="24"/>
  <c r="F81" i="24"/>
  <c r="K80" i="24"/>
  <c r="H80" i="24"/>
  <c r="F80" i="24"/>
  <c r="K79" i="24"/>
  <c r="H79" i="24"/>
  <c r="F79" i="24"/>
  <c r="K78" i="24"/>
  <c r="H78" i="24"/>
  <c r="F78" i="24"/>
  <c r="K77" i="24"/>
  <c r="H77" i="24"/>
  <c r="F77" i="24"/>
  <c r="K76" i="24"/>
  <c r="H76" i="24"/>
  <c r="F76" i="24"/>
  <c r="K75" i="24"/>
  <c r="H75" i="24"/>
  <c r="F75" i="24"/>
  <c r="K74" i="24"/>
  <c r="H74" i="24"/>
  <c r="F74" i="24"/>
  <c r="K73" i="24"/>
  <c r="H73" i="24"/>
  <c r="F73" i="24"/>
  <c r="K72" i="24"/>
  <c r="H72" i="24"/>
  <c r="F72" i="24"/>
  <c r="K71" i="24"/>
  <c r="H71" i="24"/>
  <c r="F71" i="24"/>
  <c r="K70" i="24"/>
  <c r="H70" i="24"/>
  <c r="F70" i="24"/>
  <c r="K69" i="24"/>
  <c r="H69" i="24"/>
  <c r="F69" i="24"/>
  <c r="K68" i="24"/>
  <c r="H68" i="24"/>
  <c r="F68" i="24"/>
  <c r="K67" i="24"/>
  <c r="H67" i="24"/>
  <c r="F67" i="24"/>
  <c r="K66" i="24"/>
  <c r="H66" i="24"/>
  <c r="F66" i="24"/>
  <c r="K65" i="24"/>
  <c r="H65" i="24"/>
  <c r="F65" i="24"/>
  <c r="K64" i="24"/>
  <c r="H64" i="24"/>
  <c r="F64" i="24"/>
  <c r="K63" i="24"/>
  <c r="H63" i="24"/>
  <c r="F63" i="24"/>
  <c r="K62" i="24"/>
  <c r="H62" i="24"/>
  <c r="F62" i="24"/>
  <c r="K61" i="24"/>
  <c r="H61" i="24"/>
  <c r="F61" i="24"/>
  <c r="K60" i="24"/>
  <c r="H60" i="24"/>
  <c r="F60" i="24"/>
  <c r="K59" i="24"/>
  <c r="H59" i="24"/>
  <c r="F59" i="24"/>
  <c r="K58" i="24"/>
  <c r="H58" i="24"/>
  <c r="F58" i="24"/>
  <c r="K57" i="24"/>
  <c r="H57" i="24"/>
  <c r="F57" i="24"/>
  <c r="K56" i="24"/>
  <c r="H56" i="24"/>
  <c r="F56" i="24"/>
  <c r="K55" i="24"/>
  <c r="H55" i="24"/>
  <c r="F55" i="24"/>
  <c r="K54" i="24"/>
  <c r="H54" i="24"/>
  <c r="F54" i="24"/>
  <c r="K53" i="24"/>
  <c r="H53" i="24"/>
  <c r="F53" i="24"/>
  <c r="K52" i="24"/>
  <c r="H52" i="24"/>
  <c r="F52" i="24"/>
  <c r="K51" i="24"/>
  <c r="H51" i="24"/>
  <c r="F51" i="24"/>
  <c r="K50" i="24"/>
  <c r="H50" i="24"/>
  <c r="F50" i="24"/>
  <c r="K49" i="24"/>
  <c r="H49" i="24"/>
  <c r="F49" i="24"/>
  <c r="K48" i="24"/>
  <c r="H48" i="24"/>
  <c r="F48" i="24"/>
  <c r="I44" i="24"/>
  <c r="I88" i="24" s="1"/>
  <c r="H44" i="24"/>
  <c r="F44" i="24"/>
  <c r="K41" i="24"/>
  <c r="H41" i="24"/>
  <c r="F41" i="24"/>
  <c r="K40" i="24"/>
  <c r="H40" i="24"/>
  <c r="F40" i="24"/>
  <c r="K39" i="24"/>
  <c r="H39" i="24"/>
  <c r="F39" i="24"/>
  <c r="K38" i="24"/>
  <c r="H38" i="24"/>
  <c r="F38" i="24"/>
  <c r="K37" i="24"/>
  <c r="H37" i="24"/>
  <c r="F37" i="24"/>
  <c r="K36" i="24"/>
  <c r="H36" i="24"/>
  <c r="F36" i="24"/>
  <c r="K35" i="24"/>
  <c r="H35" i="24"/>
  <c r="F35" i="24"/>
  <c r="K34" i="24"/>
  <c r="H34" i="24"/>
  <c r="F34" i="24"/>
  <c r="K33" i="24"/>
  <c r="H33" i="24"/>
  <c r="F33" i="24"/>
  <c r="K32" i="24"/>
  <c r="H32" i="24"/>
  <c r="F32" i="24"/>
  <c r="K31" i="24"/>
  <c r="H31" i="24"/>
  <c r="F31" i="24"/>
  <c r="K30" i="24"/>
  <c r="H30" i="24"/>
  <c r="F30" i="24"/>
  <c r="K29" i="24"/>
  <c r="H29" i="24"/>
  <c r="F29" i="24"/>
  <c r="K28" i="24"/>
  <c r="H28" i="24"/>
  <c r="F28" i="24"/>
  <c r="K27" i="24"/>
  <c r="H27" i="24"/>
  <c r="F27" i="24"/>
  <c r="K26" i="24"/>
  <c r="H26" i="24"/>
  <c r="F26" i="24"/>
  <c r="K25" i="24"/>
  <c r="H25" i="24"/>
  <c r="F25" i="24"/>
  <c r="K24" i="24"/>
  <c r="H24" i="24"/>
  <c r="F24" i="24"/>
  <c r="K23" i="24"/>
  <c r="H23" i="24"/>
  <c r="F23" i="24"/>
  <c r="K22" i="24"/>
  <c r="H22" i="24"/>
  <c r="F22" i="24"/>
  <c r="K21" i="24"/>
  <c r="H21" i="24"/>
  <c r="F21" i="24"/>
  <c r="K20" i="24"/>
  <c r="H20" i="24"/>
  <c r="F20" i="24"/>
  <c r="K19" i="24"/>
  <c r="H19" i="24"/>
  <c r="F19" i="24"/>
  <c r="K18" i="24"/>
  <c r="H18" i="24"/>
  <c r="F18" i="24"/>
  <c r="K17" i="24"/>
  <c r="H17" i="24"/>
  <c r="F17" i="24"/>
  <c r="K16" i="24"/>
  <c r="H16" i="24"/>
  <c r="F16" i="24"/>
  <c r="K15" i="24"/>
  <c r="H15" i="24"/>
  <c r="F15" i="24"/>
  <c r="K14" i="24"/>
  <c r="H14" i="24"/>
  <c r="F14" i="24"/>
  <c r="K13" i="24"/>
  <c r="H13" i="24"/>
  <c r="F13" i="24"/>
  <c r="K12" i="24"/>
  <c r="H12" i="24"/>
  <c r="F12" i="24"/>
  <c r="K11" i="24"/>
  <c r="H11" i="24"/>
  <c r="F11" i="24"/>
  <c r="K10" i="24"/>
  <c r="H10" i="24"/>
  <c r="F10" i="24"/>
  <c r="K9" i="24"/>
  <c r="H9" i="24"/>
  <c r="F9" i="24"/>
  <c r="K8" i="24"/>
  <c r="H8" i="24"/>
  <c r="F8" i="24"/>
  <c r="K7" i="24"/>
  <c r="H7" i="24"/>
  <c r="F7" i="24"/>
  <c r="K6" i="24"/>
  <c r="H6" i="24"/>
  <c r="F6" i="24"/>
  <c r="K5" i="24"/>
  <c r="H5" i="24"/>
  <c r="F5" i="24"/>
  <c r="K4" i="24"/>
  <c r="N44" i="24" s="1"/>
  <c r="H4" i="24"/>
  <c r="F4" i="24"/>
  <c r="H88" i="23"/>
  <c r="F88" i="23"/>
  <c r="K87" i="23"/>
  <c r="H87" i="23"/>
  <c r="F87" i="23"/>
  <c r="K85" i="23"/>
  <c r="H85" i="23"/>
  <c r="F85" i="23"/>
  <c r="K84" i="23"/>
  <c r="H84" i="23"/>
  <c r="F84" i="23"/>
  <c r="K83" i="23"/>
  <c r="H83" i="23"/>
  <c r="F83" i="23"/>
  <c r="K82" i="23"/>
  <c r="H82" i="23"/>
  <c r="F82" i="23"/>
  <c r="K81" i="23"/>
  <c r="H81" i="23"/>
  <c r="F81" i="23"/>
  <c r="K80" i="23"/>
  <c r="H80" i="23"/>
  <c r="F80" i="23"/>
  <c r="K79" i="23"/>
  <c r="H79" i="23"/>
  <c r="F79" i="23"/>
  <c r="K78" i="23"/>
  <c r="H78" i="23"/>
  <c r="F78" i="23"/>
  <c r="K77" i="23"/>
  <c r="H77" i="23"/>
  <c r="F77" i="23"/>
  <c r="K76" i="23"/>
  <c r="H76" i="23"/>
  <c r="F76" i="23"/>
  <c r="K75" i="23"/>
  <c r="H75" i="23"/>
  <c r="F75" i="23"/>
  <c r="K74" i="23"/>
  <c r="H74" i="23"/>
  <c r="F74" i="23"/>
  <c r="K73" i="23"/>
  <c r="H73" i="23"/>
  <c r="F73" i="23"/>
  <c r="K72" i="23"/>
  <c r="H72" i="23"/>
  <c r="F72" i="23"/>
  <c r="K71" i="23"/>
  <c r="H71" i="23"/>
  <c r="F71" i="23"/>
  <c r="K70" i="23"/>
  <c r="H70" i="23"/>
  <c r="F70" i="23"/>
  <c r="K69" i="23"/>
  <c r="H69" i="23"/>
  <c r="F69" i="23"/>
  <c r="K68" i="23"/>
  <c r="H68" i="23"/>
  <c r="F68" i="23"/>
  <c r="K67" i="23"/>
  <c r="H67" i="23"/>
  <c r="F67" i="23"/>
  <c r="K66" i="23"/>
  <c r="H66" i="23"/>
  <c r="F66" i="23"/>
  <c r="K65" i="23"/>
  <c r="H65" i="23"/>
  <c r="F65" i="23"/>
  <c r="K64" i="23"/>
  <c r="H64" i="23"/>
  <c r="F64" i="23"/>
  <c r="K63" i="23"/>
  <c r="H63" i="23"/>
  <c r="F63" i="23"/>
  <c r="K62" i="23"/>
  <c r="H62" i="23"/>
  <c r="F62" i="23"/>
  <c r="K61" i="23"/>
  <c r="H61" i="23"/>
  <c r="F61" i="23"/>
  <c r="K60" i="23"/>
  <c r="H60" i="23"/>
  <c r="F60" i="23"/>
  <c r="K59" i="23"/>
  <c r="H59" i="23"/>
  <c r="F59" i="23"/>
  <c r="K58" i="23"/>
  <c r="H58" i="23"/>
  <c r="F58" i="23"/>
  <c r="K57" i="23"/>
  <c r="H57" i="23"/>
  <c r="F57" i="23"/>
  <c r="K56" i="23"/>
  <c r="H56" i="23"/>
  <c r="F56" i="23"/>
  <c r="K55" i="23"/>
  <c r="H55" i="23"/>
  <c r="F55" i="23"/>
  <c r="K54" i="23"/>
  <c r="H54" i="23"/>
  <c r="F54" i="23"/>
  <c r="K53" i="23"/>
  <c r="H53" i="23"/>
  <c r="F53" i="23"/>
  <c r="K52" i="23"/>
  <c r="H52" i="23"/>
  <c r="F52" i="23"/>
  <c r="K51" i="23"/>
  <c r="H51" i="23"/>
  <c r="F51" i="23"/>
  <c r="K50" i="23"/>
  <c r="H50" i="23"/>
  <c r="F50" i="23"/>
  <c r="K49" i="23"/>
  <c r="H49" i="23"/>
  <c r="F49" i="23"/>
  <c r="K48" i="23"/>
  <c r="H48" i="23"/>
  <c r="F48" i="23"/>
  <c r="I44" i="23"/>
  <c r="I88" i="23" s="1"/>
  <c r="H44" i="23"/>
  <c r="F44" i="23"/>
  <c r="K41" i="23"/>
  <c r="H41" i="23"/>
  <c r="F41" i="23"/>
  <c r="K40" i="23"/>
  <c r="H40" i="23"/>
  <c r="F40" i="23"/>
  <c r="K39" i="23"/>
  <c r="H39" i="23"/>
  <c r="F39" i="23"/>
  <c r="K38" i="23"/>
  <c r="H38" i="23"/>
  <c r="F38" i="23"/>
  <c r="K37" i="23"/>
  <c r="H37" i="23"/>
  <c r="F37" i="23"/>
  <c r="K36" i="23"/>
  <c r="H36" i="23"/>
  <c r="F36" i="23"/>
  <c r="K35" i="23"/>
  <c r="H35" i="23"/>
  <c r="F35" i="23"/>
  <c r="K34" i="23"/>
  <c r="H34" i="23"/>
  <c r="F34" i="23"/>
  <c r="K33" i="23"/>
  <c r="H33" i="23"/>
  <c r="F33" i="23"/>
  <c r="K32" i="23"/>
  <c r="H32" i="23"/>
  <c r="F32" i="23"/>
  <c r="K31" i="23"/>
  <c r="H31" i="23"/>
  <c r="F31" i="23"/>
  <c r="K30" i="23"/>
  <c r="H30" i="23"/>
  <c r="F30" i="23"/>
  <c r="K29" i="23"/>
  <c r="H29" i="23"/>
  <c r="F29" i="23"/>
  <c r="K28" i="23"/>
  <c r="H28" i="23"/>
  <c r="F28" i="23"/>
  <c r="K27" i="23"/>
  <c r="H27" i="23"/>
  <c r="F27" i="23"/>
  <c r="K26" i="23"/>
  <c r="H26" i="23"/>
  <c r="F26" i="23"/>
  <c r="K25" i="23"/>
  <c r="H25" i="23"/>
  <c r="F25" i="23"/>
  <c r="K24" i="23"/>
  <c r="H24" i="23"/>
  <c r="F24" i="23"/>
  <c r="K23" i="23"/>
  <c r="H23" i="23"/>
  <c r="F23" i="23"/>
  <c r="K22" i="23"/>
  <c r="H22" i="23"/>
  <c r="F22" i="23"/>
  <c r="K21" i="23"/>
  <c r="H21" i="23"/>
  <c r="F21" i="23"/>
  <c r="K20" i="23"/>
  <c r="H20" i="23"/>
  <c r="F20" i="23"/>
  <c r="K19" i="23"/>
  <c r="H19" i="23"/>
  <c r="F19" i="23"/>
  <c r="K18" i="23"/>
  <c r="H18" i="23"/>
  <c r="F18" i="23"/>
  <c r="K17" i="23"/>
  <c r="H17" i="23"/>
  <c r="F17" i="23"/>
  <c r="K16" i="23"/>
  <c r="H16" i="23"/>
  <c r="F16" i="23"/>
  <c r="K15" i="23"/>
  <c r="H15" i="23"/>
  <c r="F15" i="23"/>
  <c r="K14" i="23"/>
  <c r="H14" i="23"/>
  <c r="F14" i="23"/>
  <c r="K13" i="23"/>
  <c r="H13" i="23"/>
  <c r="F13" i="23"/>
  <c r="K12" i="23"/>
  <c r="H12" i="23"/>
  <c r="F12" i="23"/>
  <c r="K11" i="23"/>
  <c r="H11" i="23"/>
  <c r="F11" i="23"/>
  <c r="K10" i="23"/>
  <c r="H10" i="23"/>
  <c r="F10" i="23"/>
  <c r="K9" i="23"/>
  <c r="H9" i="23"/>
  <c r="F9" i="23"/>
  <c r="K8" i="23"/>
  <c r="H8" i="23"/>
  <c r="F8" i="23"/>
  <c r="K7" i="23"/>
  <c r="H7" i="23"/>
  <c r="F7" i="23"/>
  <c r="K6" i="23"/>
  <c r="H6" i="23"/>
  <c r="F6" i="23"/>
  <c r="K5" i="23"/>
  <c r="H5" i="23"/>
  <c r="F5" i="23"/>
  <c r="K4" i="23"/>
  <c r="N44" i="23" s="1"/>
  <c r="H4" i="23"/>
  <c r="F4" i="23"/>
  <c r="I44" i="5"/>
  <c r="I88" i="5" s="1"/>
  <c r="H44" i="5"/>
  <c r="F44" i="5"/>
  <c r="F4" i="14"/>
  <c r="H4" i="14"/>
  <c r="K4" i="14"/>
  <c r="F5" i="14"/>
  <c r="H5" i="14"/>
  <c r="K5" i="14"/>
  <c r="F6" i="14"/>
  <c r="H6" i="14"/>
  <c r="K6" i="14"/>
  <c r="F7" i="14"/>
  <c r="H7" i="14"/>
  <c r="K7" i="14"/>
  <c r="F8" i="14"/>
  <c r="H8" i="14"/>
  <c r="K8" i="14"/>
  <c r="F9" i="14"/>
  <c r="H9" i="14"/>
  <c r="K9" i="14"/>
  <c r="F10" i="14"/>
  <c r="H10" i="14"/>
  <c r="K10" i="14"/>
  <c r="F11" i="14"/>
  <c r="H11" i="14"/>
  <c r="K11" i="14"/>
  <c r="F12" i="14"/>
  <c r="H12" i="14"/>
  <c r="K12" i="14"/>
  <c r="F13" i="14"/>
  <c r="H13" i="14"/>
  <c r="K13" i="14"/>
  <c r="F14" i="14"/>
  <c r="H14" i="14"/>
  <c r="K14" i="14"/>
  <c r="F15" i="14"/>
  <c r="H15" i="14"/>
  <c r="K15" i="14"/>
  <c r="F16" i="14"/>
  <c r="H16" i="14"/>
  <c r="K16" i="14"/>
  <c r="F17" i="14"/>
  <c r="H17" i="14"/>
  <c r="K17" i="14"/>
  <c r="F18" i="14"/>
  <c r="H18" i="14"/>
  <c r="K18" i="14"/>
  <c r="F19" i="14"/>
  <c r="H19" i="14"/>
  <c r="K19" i="14"/>
  <c r="F20" i="14"/>
  <c r="H20" i="14"/>
  <c r="K20" i="14"/>
  <c r="F21" i="14"/>
  <c r="H21" i="14"/>
  <c r="K21" i="14"/>
  <c r="F22" i="14"/>
  <c r="H22" i="14"/>
  <c r="K22" i="14"/>
  <c r="F23" i="14"/>
  <c r="H23" i="14"/>
  <c r="K23" i="14"/>
  <c r="F24" i="14"/>
  <c r="H24" i="14"/>
  <c r="K24" i="14"/>
  <c r="F25" i="14"/>
  <c r="H25" i="14"/>
  <c r="K25" i="14"/>
  <c r="F26" i="14"/>
  <c r="H26" i="14"/>
  <c r="K26" i="14"/>
  <c r="F27" i="14"/>
  <c r="H27" i="14"/>
  <c r="K27" i="14"/>
  <c r="F28" i="14"/>
  <c r="H28" i="14"/>
  <c r="K28" i="14"/>
  <c r="F29" i="14"/>
  <c r="H29" i="14"/>
  <c r="K29" i="14"/>
  <c r="F30" i="14"/>
  <c r="H30" i="14"/>
  <c r="K30" i="14"/>
  <c r="F31" i="14"/>
  <c r="H31" i="14"/>
  <c r="K31" i="14"/>
  <c r="F32" i="14"/>
  <c r="H32" i="14"/>
  <c r="K32" i="14"/>
  <c r="F33" i="14"/>
  <c r="H33" i="14"/>
  <c r="K33" i="14"/>
  <c r="F34" i="14"/>
  <c r="H34" i="14"/>
  <c r="K34" i="14"/>
  <c r="F35" i="14"/>
  <c r="H35" i="14"/>
  <c r="K35" i="14"/>
  <c r="F36" i="14"/>
  <c r="H36" i="14"/>
  <c r="K36" i="14"/>
  <c r="K44" i="14" s="1"/>
  <c r="K88" i="14" s="1"/>
  <c r="F37" i="14"/>
  <c r="H37" i="14"/>
  <c r="K37" i="14"/>
  <c r="F42" i="14"/>
  <c r="H42" i="14"/>
  <c r="K42" i="14"/>
  <c r="F43" i="14"/>
  <c r="H43" i="14"/>
  <c r="K43" i="14"/>
  <c r="I44" i="14"/>
  <c r="I88" i="14"/>
  <c r="F48" i="14"/>
  <c r="H48" i="14"/>
  <c r="K48" i="14"/>
  <c r="F49" i="14"/>
  <c r="H49" i="14"/>
  <c r="K49" i="14"/>
  <c r="F50" i="14"/>
  <c r="H50" i="14"/>
  <c r="K50" i="14"/>
  <c r="F51" i="14"/>
  <c r="H51" i="14"/>
  <c r="K51" i="14"/>
  <c r="F52" i="14"/>
  <c r="H52" i="14"/>
  <c r="K52" i="14"/>
  <c r="F53" i="14"/>
  <c r="H53" i="14"/>
  <c r="K53" i="14"/>
  <c r="F54" i="14"/>
  <c r="H54" i="14"/>
  <c r="K54" i="14"/>
  <c r="F55" i="14"/>
  <c r="H55" i="14"/>
  <c r="K55" i="14"/>
  <c r="F56" i="14"/>
  <c r="H56" i="14"/>
  <c r="K56" i="14"/>
  <c r="F57" i="14"/>
  <c r="H57" i="14"/>
  <c r="K57" i="14"/>
  <c r="F58" i="14"/>
  <c r="H58" i="14"/>
  <c r="K58" i="14"/>
  <c r="F59" i="14"/>
  <c r="H59" i="14"/>
  <c r="K59" i="14"/>
  <c r="F60" i="14"/>
  <c r="H60" i="14"/>
  <c r="K60" i="14"/>
  <c r="F61" i="14"/>
  <c r="H61" i="14"/>
  <c r="K61" i="14"/>
  <c r="F62" i="14"/>
  <c r="H62" i="14"/>
  <c r="K62" i="14"/>
  <c r="F63" i="14"/>
  <c r="H63" i="14"/>
  <c r="K63" i="14"/>
  <c r="F64" i="14"/>
  <c r="H64" i="14"/>
  <c r="K64" i="14"/>
  <c r="F65" i="14"/>
  <c r="H65" i="14"/>
  <c r="K65" i="14"/>
  <c r="F66" i="14"/>
  <c r="H66" i="14"/>
  <c r="K66" i="14"/>
  <c r="F67" i="14"/>
  <c r="H67" i="14"/>
  <c r="K67" i="14"/>
  <c r="F68" i="14"/>
  <c r="H68" i="14"/>
  <c r="K68" i="14"/>
  <c r="F69" i="14"/>
  <c r="H69" i="14"/>
  <c r="K69" i="14"/>
  <c r="F70" i="14"/>
  <c r="H70" i="14"/>
  <c r="K70" i="14"/>
  <c r="F71" i="14"/>
  <c r="H71" i="14"/>
  <c r="K71" i="14"/>
  <c r="F72" i="14"/>
  <c r="H72" i="14"/>
  <c r="K72" i="14"/>
  <c r="F73" i="14"/>
  <c r="H73" i="14"/>
  <c r="K73" i="14"/>
  <c r="F74" i="14"/>
  <c r="H74" i="14"/>
  <c r="K74" i="14"/>
  <c r="F75" i="14"/>
  <c r="H75" i="14"/>
  <c r="K75" i="14"/>
  <c r="F76" i="14"/>
  <c r="H76" i="14"/>
  <c r="K76" i="14"/>
  <c r="F77" i="14"/>
  <c r="H77" i="14"/>
  <c r="K77" i="14"/>
  <c r="F78" i="14"/>
  <c r="H78" i="14"/>
  <c r="K78" i="14"/>
  <c r="F79" i="14"/>
  <c r="H79" i="14"/>
  <c r="K79" i="14"/>
  <c r="F80" i="14"/>
  <c r="H80" i="14"/>
  <c r="K80" i="14"/>
  <c r="F81" i="14"/>
  <c r="H81" i="14"/>
  <c r="K81" i="14"/>
  <c r="F86" i="14"/>
  <c r="H86" i="14"/>
  <c r="K86" i="14"/>
  <c r="F87" i="14"/>
  <c r="H87" i="14"/>
  <c r="K87" i="14"/>
  <c r="F4" i="12"/>
  <c r="H4" i="12"/>
  <c r="K4" i="12"/>
  <c r="F5" i="12"/>
  <c r="H5" i="12"/>
  <c r="K5" i="12"/>
  <c r="F6" i="12"/>
  <c r="H6" i="12"/>
  <c r="K6" i="12"/>
  <c r="F7" i="12"/>
  <c r="H7" i="12"/>
  <c r="K7" i="12"/>
  <c r="F8" i="12"/>
  <c r="H8" i="12"/>
  <c r="K8" i="12"/>
  <c r="F9" i="12"/>
  <c r="H9" i="12"/>
  <c r="K9" i="12"/>
  <c r="F10" i="12"/>
  <c r="H10" i="12"/>
  <c r="K10" i="12"/>
  <c r="K44" i="12" s="1"/>
  <c r="K88" i="12" s="1"/>
  <c r="F11" i="12"/>
  <c r="H11" i="12"/>
  <c r="K11" i="12"/>
  <c r="F12" i="12"/>
  <c r="H12" i="12"/>
  <c r="K12" i="12"/>
  <c r="F13" i="12"/>
  <c r="H13" i="12"/>
  <c r="K13" i="12"/>
  <c r="F14" i="12"/>
  <c r="H14" i="12"/>
  <c r="K14" i="12"/>
  <c r="F15" i="12"/>
  <c r="H15" i="12"/>
  <c r="K15" i="12"/>
  <c r="F16" i="12"/>
  <c r="H16" i="12"/>
  <c r="K16" i="12"/>
  <c r="F17" i="12"/>
  <c r="H17" i="12"/>
  <c r="K17" i="12"/>
  <c r="F18" i="12"/>
  <c r="H18" i="12"/>
  <c r="K18" i="12"/>
  <c r="F19" i="12"/>
  <c r="H19" i="12"/>
  <c r="K19" i="12"/>
  <c r="F20" i="12"/>
  <c r="H20" i="12"/>
  <c r="K20" i="12"/>
  <c r="F21" i="12"/>
  <c r="H21" i="12"/>
  <c r="K21" i="12"/>
  <c r="F22" i="12"/>
  <c r="H22" i="12"/>
  <c r="K22" i="12"/>
  <c r="F23" i="12"/>
  <c r="H23" i="12"/>
  <c r="K23" i="12"/>
  <c r="F24" i="12"/>
  <c r="H24" i="12"/>
  <c r="K24" i="12"/>
  <c r="F25" i="12"/>
  <c r="H25" i="12"/>
  <c r="K25" i="12"/>
  <c r="F26" i="12"/>
  <c r="H26" i="12"/>
  <c r="K26" i="12"/>
  <c r="F27" i="12"/>
  <c r="H27" i="12"/>
  <c r="K27" i="12"/>
  <c r="F28" i="12"/>
  <c r="H28" i="12"/>
  <c r="K28" i="12"/>
  <c r="F29" i="12"/>
  <c r="H29" i="12"/>
  <c r="K29" i="12"/>
  <c r="F30" i="12"/>
  <c r="H30" i="12"/>
  <c r="K30" i="12"/>
  <c r="F31" i="12"/>
  <c r="H31" i="12"/>
  <c r="K31" i="12"/>
  <c r="F32" i="12"/>
  <c r="H32" i="12"/>
  <c r="K32" i="12"/>
  <c r="F33" i="12"/>
  <c r="H33" i="12"/>
  <c r="K33" i="12"/>
  <c r="F34" i="12"/>
  <c r="H34" i="12"/>
  <c r="K34" i="12"/>
  <c r="F35" i="12"/>
  <c r="H35" i="12"/>
  <c r="K35" i="12"/>
  <c r="F36" i="12"/>
  <c r="H36" i="12"/>
  <c r="K36" i="12"/>
  <c r="F37" i="12"/>
  <c r="H37" i="12"/>
  <c r="K37" i="12"/>
  <c r="F42" i="12"/>
  <c r="H42" i="12"/>
  <c r="K42" i="12"/>
  <c r="F43" i="12"/>
  <c r="H43" i="12"/>
  <c r="K43" i="12"/>
  <c r="I44" i="12"/>
  <c r="I88" i="12" s="1"/>
  <c r="F48" i="12"/>
  <c r="H48" i="12"/>
  <c r="K48" i="12"/>
  <c r="F49" i="12"/>
  <c r="H49" i="12"/>
  <c r="K49" i="12"/>
  <c r="F50" i="12"/>
  <c r="H50" i="12"/>
  <c r="K50" i="12"/>
  <c r="F51" i="12"/>
  <c r="H51" i="12"/>
  <c r="K51" i="12"/>
  <c r="F52" i="12"/>
  <c r="H52" i="12"/>
  <c r="K52" i="12"/>
  <c r="F53" i="12"/>
  <c r="H53" i="12"/>
  <c r="K53" i="12"/>
  <c r="F54" i="12"/>
  <c r="H54" i="12"/>
  <c r="K54" i="12"/>
  <c r="F55" i="12"/>
  <c r="H55" i="12"/>
  <c r="K55" i="12"/>
  <c r="F56" i="12"/>
  <c r="H56" i="12"/>
  <c r="K56" i="12"/>
  <c r="F57" i="12"/>
  <c r="H57" i="12"/>
  <c r="K57" i="12"/>
  <c r="F58" i="12"/>
  <c r="H58" i="12"/>
  <c r="K58" i="12"/>
  <c r="F59" i="12"/>
  <c r="H59" i="12"/>
  <c r="K59" i="12"/>
  <c r="F60" i="12"/>
  <c r="H60" i="12"/>
  <c r="K60" i="12"/>
  <c r="F61" i="12"/>
  <c r="H61" i="12"/>
  <c r="K61" i="12"/>
  <c r="F62" i="12"/>
  <c r="H62" i="12"/>
  <c r="K62" i="12"/>
  <c r="F63" i="12"/>
  <c r="H63" i="12"/>
  <c r="K63" i="12"/>
  <c r="F64" i="12"/>
  <c r="H64" i="12"/>
  <c r="K64" i="12"/>
  <c r="F65" i="12"/>
  <c r="H65" i="12"/>
  <c r="K65" i="12"/>
  <c r="F66" i="12"/>
  <c r="H66" i="12"/>
  <c r="K66" i="12"/>
  <c r="F67" i="12"/>
  <c r="H67" i="12"/>
  <c r="K67" i="12"/>
  <c r="F68" i="12"/>
  <c r="H68" i="12"/>
  <c r="K68" i="12"/>
  <c r="F69" i="12"/>
  <c r="H69" i="12"/>
  <c r="K69" i="12"/>
  <c r="F70" i="12"/>
  <c r="H70" i="12"/>
  <c r="K70" i="12"/>
  <c r="F71" i="12"/>
  <c r="H71" i="12"/>
  <c r="K71" i="12"/>
  <c r="F72" i="12"/>
  <c r="H72" i="12"/>
  <c r="K72" i="12"/>
  <c r="F73" i="12"/>
  <c r="H73" i="12"/>
  <c r="K73" i="12"/>
  <c r="F74" i="12"/>
  <c r="H74" i="12"/>
  <c r="K74" i="12"/>
  <c r="F75" i="12"/>
  <c r="H75" i="12"/>
  <c r="K75" i="12"/>
  <c r="F76" i="12"/>
  <c r="H76" i="12"/>
  <c r="K76" i="12"/>
  <c r="F77" i="12"/>
  <c r="H77" i="12"/>
  <c r="K77" i="12"/>
  <c r="F78" i="12"/>
  <c r="H78" i="12"/>
  <c r="K78" i="12"/>
  <c r="F79" i="12"/>
  <c r="H79" i="12"/>
  <c r="K79" i="12"/>
  <c r="F80" i="12"/>
  <c r="H80" i="12"/>
  <c r="K80" i="12"/>
  <c r="F81" i="12"/>
  <c r="H81" i="12"/>
  <c r="K81" i="12"/>
  <c r="F86" i="12"/>
  <c r="H86" i="12"/>
  <c r="K86" i="12"/>
  <c r="F87" i="12"/>
  <c r="H87" i="12"/>
  <c r="K87" i="12"/>
  <c r="F4" i="13"/>
  <c r="H4" i="13"/>
  <c r="K4" i="13"/>
  <c r="K44" i="13" s="1"/>
  <c r="K88" i="13" s="1"/>
  <c r="F5" i="13"/>
  <c r="H5" i="13"/>
  <c r="K5" i="13"/>
  <c r="F6" i="13"/>
  <c r="H6" i="13"/>
  <c r="K6" i="13"/>
  <c r="F7" i="13"/>
  <c r="H7" i="13"/>
  <c r="K7" i="13"/>
  <c r="F8" i="13"/>
  <c r="H8" i="13"/>
  <c r="K8" i="13"/>
  <c r="F9" i="13"/>
  <c r="H9" i="13"/>
  <c r="K9" i="13"/>
  <c r="F10" i="13"/>
  <c r="H10" i="13"/>
  <c r="K10" i="13"/>
  <c r="F11" i="13"/>
  <c r="H11" i="13"/>
  <c r="K11" i="13"/>
  <c r="F12" i="13"/>
  <c r="H12" i="13"/>
  <c r="K12" i="13"/>
  <c r="F13" i="13"/>
  <c r="H13" i="13"/>
  <c r="K13" i="13"/>
  <c r="F14" i="13"/>
  <c r="H14" i="13"/>
  <c r="K14" i="13"/>
  <c r="F15" i="13"/>
  <c r="H15" i="13"/>
  <c r="K15" i="13"/>
  <c r="F16" i="13"/>
  <c r="H16" i="13"/>
  <c r="K16" i="13"/>
  <c r="F17" i="13"/>
  <c r="H17" i="13"/>
  <c r="K17" i="13"/>
  <c r="F18" i="13"/>
  <c r="H18" i="13"/>
  <c r="K18" i="13"/>
  <c r="F19" i="13"/>
  <c r="H19" i="13"/>
  <c r="K19" i="13"/>
  <c r="F20" i="13"/>
  <c r="H20" i="13"/>
  <c r="K20" i="13"/>
  <c r="F21" i="13"/>
  <c r="H21" i="13"/>
  <c r="K21" i="13"/>
  <c r="F22" i="13"/>
  <c r="H22" i="13"/>
  <c r="K22" i="13"/>
  <c r="F23" i="13"/>
  <c r="H23" i="13"/>
  <c r="K23" i="13"/>
  <c r="F24" i="13"/>
  <c r="H24" i="13"/>
  <c r="K24" i="13"/>
  <c r="F25" i="13"/>
  <c r="H25" i="13"/>
  <c r="K25" i="13"/>
  <c r="F26" i="13"/>
  <c r="H26" i="13"/>
  <c r="K26" i="13"/>
  <c r="F27" i="13"/>
  <c r="H27" i="13"/>
  <c r="K27" i="13"/>
  <c r="F28" i="13"/>
  <c r="H28" i="13"/>
  <c r="K28" i="13"/>
  <c r="F29" i="13"/>
  <c r="H29" i="13"/>
  <c r="K29" i="13"/>
  <c r="F30" i="13"/>
  <c r="H30" i="13"/>
  <c r="K30" i="13"/>
  <c r="F31" i="13"/>
  <c r="H31" i="13"/>
  <c r="K31" i="13"/>
  <c r="F32" i="13"/>
  <c r="H32" i="13"/>
  <c r="K32" i="13"/>
  <c r="F33" i="13"/>
  <c r="H33" i="13"/>
  <c r="K33" i="13"/>
  <c r="F34" i="13"/>
  <c r="H34" i="13"/>
  <c r="K34" i="13"/>
  <c r="F35" i="13"/>
  <c r="H35" i="13"/>
  <c r="K35" i="13"/>
  <c r="F36" i="13"/>
  <c r="H36" i="13"/>
  <c r="K36" i="13"/>
  <c r="F37" i="13"/>
  <c r="H37" i="13"/>
  <c r="K37" i="13"/>
  <c r="F42" i="13"/>
  <c r="H42" i="13"/>
  <c r="K42" i="13"/>
  <c r="F43" i="13"/>
  <c r="H43" i="13"/>
  <c r="K43" i="13"/>
  <c r="I44" i="13"/>
  <c r="I88" i="13" s="1"/>
  <c r="F48" i="13"/>
  <c r="H48" i="13"/>
  <c r="K48" i="13"/>
  <c r="F49" i="13"/>
  <c r="H49" i="13"/>
  <c r="K49" i="13"/>
  <c r="F50" i="13"/>
  <c r="H50" i="13"/>
  <c r="K50" i="13"/>
  <c r="F51" i="13"/>
  <c r="H51" i="13"/>
  <c r="K51" i="13"/>
  <c r="F52" i="13"/>
  <c r="H52" i="13"/>
  <c r="K52" i="13"/>
  <c r="F53" i="13"/>
  <c r="H53" i="13"/>
  <c r="K53" i="13"/>
  <c r="F54" i="13"/>
  <c r="H54" i="13"/>
  <c r="K54" i="13"/>
  <c r="F55" i="13"/>
  <c r="H55" i="13"/>
  <c r="K55" i="13"/>
  <c r="F56" i="13"/>
  <c r="H56" i="13"/>
  <c r="K56" i="13"/>
  <c r="F57" i="13"/>
  <c r="H57" i="13"/>
  <c r="K57" i="13"/>
  <c r="F58" i="13"/>
  <c r="H58" i="13"/>
  <c r="K58" i="13"/>
  <c r="F59" i="13"/>
  <c r="H59" i="13"/>
  <c r="K59" i="13"/>
  <c r="F60" i="13"/>
  <c r="H60" i="13"/>
  <c r="K60" i="13"/>
  <c r="F61" i="13"/>
  <c r="H61" i="13"/>
  <c r="K61" i="13"/>
  <c r="F62" i="13"/>
  <c r="H62" i="13"/>
  <c r="K62" i="13"/>
  <c r="F63" i="13"/>
  <c r="H63" i="13"/>
  <c r="K63" i="13"/>
  <c r="F64" i="13"/>
  <c r="H64" i="13"/>
  <c r="K64" i="13"/>
  <c r="F65" i="13"/>
  <c r="H65" i="13"/>
  <c r="K65" i="13"/>
  <c r="F66" i="13"/>
  <c r="H66" i="13"/>
  <c r="K66" i="13"/>
  <c r="F67" i="13"/>
  <c r="H67" i="13"/>
  <c r="K67" i="13"/>
  <c r="F68" i="13"/>
  <c r="H68" i="13"/>
  <c r="K68" i="13"/>
  <c r="F69" i="13"/>
  <c r="H69" i="13"/>
  <c r="K69" i="13"/>
  <c r="F70" i="13"/>
  <c r="H70" i="13"/>
  <c r="K70" i="13"/>
  <c r="F71" i="13"/>
  <c r="H71" i="13"/>
  <c r="K71" i="13"/>
  <c r="F72" i="13"/>
  <c r="H72" i="13"/>
  <c r="K72" i="13"/>
  <c r="F73" i="13"/>
  <c r="H73" i="13"/>
  <c r="K73" i="13"/>
  <c r="F74" i="13"/>
  <c r="H74" i="13"/>
  <c r="K74" i="13"/>
  <c r="F75" i="13"/>
  <c r="H75" i="13"/>
  <c r="K75" i="13"/>
  <c r="F76" i="13"/>
  <c r="H76" i="13"/>
  <c r="K76" i="13"/>
  <c r="F77" i="13"/>
  <c r="H77" i="13"/>
  <c r="K77" i="13"/>
  <c r="F78" i="13"/>
  <c r="H78" i="13"/>
  <c r="K78" i="13"/>
  <c r="F79" i="13"/>
  <c r="H79" i="13"/>
  <c r="K79" i="13"/>
  <c r="F80" i="13"/>
  <c r="H80" i="13"/>
  <c r="K80" i="13"/>
  <c r="F81" i="13"/>
  <c r="H81" i="13"/>
  <c r="K81" i="13"/>
  <c r="F86" i="13"/>
  <c r="H86" i="13"/>
  <c r="K86" i="13"/>
  <c r="F87" i="13"/>
  <c r="H87" i="13"/>
  <c r="K87" i="13"/>
  <c r="F4" i="11"/>
  <c r="H4" i="11"/>
  <c r="K4" i="11"/>
  <c r="F5" i="11"/>
  <c r="H5" i="11"/>
  <c r="K5" i="11"/>
  <c r="K44" i="11" s="1"/>
  <c r="K88" i="11" s="1"/>
  <c r="F6" i="11"/>
  <c r="H6" i="11"/>
  <c r="K6" i="11"/>
  <c r="F7" i="11"/>
  <c r="H7" i="11"/>
  <c r="K7" i="11"/>
  <c r="F8" i="11"/>
  <c r="H8" i="11"/>
  <c r="K8" i="11"/>
  <c r="F9" i="11"/>
  <c r="H9" i="11"/>
  <c r="K9" i="11"/>
  <c r="F10" i="11"/>
  <c r="H10" i="11"/>
  <c r="K10" i="11"/>
  <c r="F11" i="11"/>
  <c r="H11" i="11"/>
  <c r="K11" i="11"/>
  <c r="F12" i="11"/>
  <c r="H12" i="11"/>
  <c r="K12" i="11"/>
  <c r="F13" i="11"/>
  <c r="H13" i="11"/>
  <c r="K13" i="11"/>
  <c r="F14" i="11"/>
  <c r="H14" i="11"/>
  <c r="K14" i="11"/>
  <c r="F15" i="11"/>
  <c r="H15" i="11"/>
  <c r="K15" i="11"/>
  <c r="F16" i="11"/>
  <c r="H16" i="11"/>
  <c r="K16" i="11"/>
  <c r="F17" i="11"/>
  <c r="H17" i="11"/>
  <c r="K17" i="11"/>
  <c r="F18" i="11"/>
  <c r="H18" i="11"/>
  <c r="K18" i="11"/>
  <c r="F19" i="11"/>
  <c r="H19" i="11"/>
  <c r="K19" i="11"/>
  <c r="F20" i="11"/>
  <c r="H20" i="11"/>
  <c r="K20" i="11"/>
  <c r="F21" i="11"/>
  <c r="H21" i="11"/>
  <c r="K21" i="11"/>
  <c r="F22" i="11"/>
  <c r="H22" i="11"/>
  <c r="K22" i="11"/>
  <c r="F23" i="11"/>
  <c r="H23" i="11"/>
  <c r="K23" i="11"/>
  <c r="F24" i="11"/>
  <c r="H24" i="11"/>
  <c r="K24" i="11"/>
  <c r="F25" i="11"/>
  <c r="H25" i="11"/>
  <c r="K25" i="11"/>
  <c r="F26" i="11"/>
  <c r="H26" i="11"/>
  <c r="K26" i="11"/>
  <c r="F27" i="11"/>
  <c r="H27" i="11"/>
  <c r="K27" i="11"/>
  <c r="F28" i="11"/>
  <c r="H28" i="11"/>
  <c r="K28" i="11"/>
  <c r="F29" i="11"/>
  <c r="H29" i="11"/>
  <c r="K29" i="11"/>
  <c r="F30" i="11"/>
  <c r="H30" i="11"/>
  <c r="K30" i="11"/>
  <c r="F31" i="11"/>
  <c r="H31" i="11"/>
  <c r="K31" i="11"/>
  <c r="F32" i="11"/>
  <c r="H32" i="11"/>
  <c r="K32" i="11"/>
  <c r="F33" i="11"/>
  <c r="H33" i="11"/>
  <c r="K33" i="11"/>
  <c r="F34" i="11"/>
  <c r="H34" i="11"/>
  <c r="K34" i="11"/>
  <c r="F35" i="11"/>
  <c r="H35" i="11"/>
  <c r="K35" i="11"/>
  <c r="F36" i="11"/>
  <c r="H36" i="11"/>
  <c r="K36" i="11"/>
  <c r="F37" i="11"/>
  <c r="H37" i="11"/>
  <c r="K37" i="11"/>
  <c r="F42" i="11"/>
  <c r="H42" i="11"/>
  <c r="K42" i="11"/>
  <c r="F43" i="11"/>
  <c r="H43" i="11"/>
  <c r="K43" i="11"/>
  <c r="I44" i="11"/>
  <c r="I88" i="11" s="1"/>
  <c r="F48" i="11"/>
  <c r="H48" i="11"/>
  <c r="K48" i="11"/>
  <c r="F49" i="11"/>
  <c r="H49" i="11"/>
  <c r="K49" i="11"/>
  <c r="F50" i="11"/>
  <c r="H50" i="11"/>
  <c r="K50" i="11"/>
  <c r="F51" i="11"/>
  <c r="H51" i="11"/>
  <c r="K51" i="11"/>
  <c r="F52" i="11"/>
  <c r="H52" i="11"/>
  <c r="K52" i="11"/>
  <c r="F53" i="11"/>
  <c r="H53" i="11"/>
  <c r="K53" i="11"/>
  <c r="F54" i="11"/>
  <c r="H54" i="11"/>
  <c r="K54" i="11"/>
  <c r="F55" i="11"/>
  <c r="H55" i="11"/>
  <c r="K55" i="11"/>
  <c r="F56" i="11"/>
  <c r="H56" i="11"/>
  <c r="K56" i="11"/>
  <c r="F57" i="11"/>
  <c r="H57" i="11"/>
  <c r="K57" i="11"/>
  <c r="F58" i="11"/>
  <c r="H58" i="11"/>
  <c r="K58" i="11"/>
  <c r="F59" i="11"/>
  <c r="H59" i="11"/>
  <c r="K59" i="11"/>
  <c r="F60" i="11"/>
  <c r="H60" i="11"/>
  <c r="K60" i="11"/>
  <c r="F61" i="11"/>
  <c r="H61" i="11"/>
  <c r="K61" i="11"/>
  <c r="F62" i="11"/>
  <c r="H62" i="11"/>
  <c r="K62" i="11"/>
  <c r="F63" i="11"/>
  <c r="H63" i="11"/>
  <c r="K63" i="11"/>
  <c r="F64" i="11"/>
  <c r="H64" i="11"/>
  <c r="K64" i="11"/>
  <c r="F65" i="11"/>
  <c r="H65" i="11"/>
  <c r="K65" i="11"/>
  <c r="F66" i="11"/>
  <c r="H66" i="11"/>
  <c r="K66" i="11"/>
  <c r="F67" i="11"/>
  <c r="H67" i="11"/>
  <c r="K67" i="11"/>
  <c r="F68" i="11"/>
  <c r="H68" i="11"/>
  <c r="K68" i="11"/>
  <c r="F69" i="11"/>
  <c r="H69" i="11"/>
  <c r="K69" i="11"/>
  <c r="F70" i="11"/>
  <c r="H70" i="11"/>
  <c r="K70" i="11"/>
  <c r="F71" i="11"/>
  <c r="H71" i="11"/>
  <c r="K71" i="11"/>
  <c r="F72" i="11"/>
  <c r="H72" i="11"/>
  <c r="K72" i="11"/>
  <c r="F73" i="11"/>
  <c r="H73" i="11"/>
  <c r="K73" i="11"/>
  <c r="F74" i="11"/>
  <c r="H74" i="11"/>
  <c r="K74" i="11"/>
  <c r="F75" i="11"/>
  <c r="H75" i="11"/>
  <c r="K75" i="11"/>
  <c r="F76" i="11"/>
  <c r="H76" i="11"/>
  <c r="K76" i="11"/>
  <c r="F77" i="11"/>
  <c r="H77" i="11"/>
  <c r="K77" i="11"/>
  <c r="F78" i="11"/>
  <c r="H78" i="11"/>
  <c r="K78" i="11"/>
  <c r="F79" i="11"/>
  <c r="H79" i="11"/>
  <c r="K79" i="11"/>
  <c r="F80" i="11"/>
  <c r="H80" i="11"/>
  <c r="K80" i="11"/>
  <c r="F81" i="11"/>
  <c r="H81" i="11"/>
  <c r="K81" i="11"/>
  <c r="F86" i="11"/>
  <c r="H86" i="11"/>
  <c r="K86" i="11"/>
  <c r="F87" i="11"/>
  <c r="H87" i="11"/>
  <c r="K87" i="11"/>
  <c r="F4" i="22"/>
  <c r="H4" i="22"/>
  <c r="K4" i="22"/>
  <c r="K44" i="22" s="1"/>
  <c r="K88" i="22" s="1"/>
  <c r="F5" i="22"/>
  <c r="H5" i="22"/>
  <c r="K5" i="22"/>
  <c r="F6" i="22"/>
  <c r="H6" i="22"/>
  <c r="K6" i="22"/>
  <c r="F7" i="22"/>
  <c r="H7" i="22"/>
  <c r="K7" i="22"/>
  <c r="F8" i="22"/>
  <c r="H8" i="22"/>
  <c r="K8" i="22"/>
  <c r="F9" i="22"/>
  <c r="H9" i="22"/>
  <c r="K9" i="22"/>
  <c r="F10" i="22"/>
  <c r="H10" i="22"/>
  <c r="K10" i="22"/>
  <c r="F11" i="22"/>
  <c r="H11" i="22"/>
  <c r="K11" i="22"/>
  <c r="F12" i="22"/>
  <c r="H12" i="22"/>
  <c r="K12" i="22"/>
  <c r="F13" i="22"/>
  <c r="H13" i="22"/>
  <c r="K13" i="22"/>
  <c r="F14" i="22"/>
  <c r="H14" i="22"/>
  <c r="K14" i="22"/>
  <c r="F15" i="22"/>
  <c r="H15" i="22"/>
  <c r="K15" i="22"/>
  <c r="F16" i="22"/>
  <c r="H16" i="22"/>
  <c r="K16" i="22"/>
  <c r="F17" i="22"/>
  <c r="H17" i="22"/>
  <c r="K17" i="22"/>
  <c r="F18" i="22"/>
  <c r="H18" i="22"/>
  <c r="K18" i="22"/>
  <c r="F19" i="22"/>
  <c r="H19" i="22"/>
  <c r="K19" i="22"/>
  <c r="F20" i="22"/>
  <c r="H20" i="22"/>
  <c r="K20" i="22"/>
  <c r="F21" i="22"/>
  <c r="H21" i="22"/>
  <c r="K21" i="22"/>
  <c r="F22" i="22"/>
  <c r="H22" i="22"/>
  <c r="K22" i="22"/>
  <c r="F23" i="22"/>
  <c r="H23" i="22"/>
  <c r="K23" i="22"/>
  <c r="F24" i="22"/>
  <c r="H24" i="22"/>
  <c r="K24" i="22"/>
  <c r="F25" i="22"/>
  <c r="H25" i="22"/>
  <c r="K25" i="22"/>
  <c r="F26" i="22"/>
  <c r="H26" i="22"/>
  <c r="K26" i="22"/>
  <c r="F27" i="22"/>
  <c r="H27" i="22"/>
  <c r="K27" i="22"/>
  <c r="F28" i="22"/>
  <c r="H28" i="22"/>
  <c r="K28" i="22"/>
  <c r="F29" i="22"/>
  <c r="H29" i="22"/>
  <c r="K29" i="22"/>
  <c r="F30" i="22"/>
  <c r="H30" i="22"/>
  <c r="K30" i="22"/>
  <c r="F31" i="22"/>
  <c r="H31" i="22"/>
  <c r="K31" i="22"/>
  <c r="F32" i="22"/>
  <c r="H32" i="22"/>
  <c r="K32" i="22"/>
  <c r="F33" i="22"/>
  <c r="H33" i="22"/>
  <c r="K33" i="22"/>
  <c r="F34" i="22"/>
  <c r="H34" i="22"/>
  <c r="K34" i="22"/>
  <c r="F35" i="22"/>
  <c r="H35" i="22"/>
  <c r="K35" i="22"/>
  <c r="F36" i="22"/>
  <c r="H36" i="22"/>
  <c r="K36" i="22"/>
  <c r="F37" i="22"/>
  <c r="H37" i="22"/>
  <c r="K37" i="22"/>
  <c r="F42" i="22"/>
  <c r="H42" i="22"/>
  <c r="K42" i="22"/>
  <c r="F43" i="22"/>
  <c r="H43" i="22"/>
  <c r="K43" i="22"/>
  <c r="I44" i="22"/>
  <c r="I88" i="22"/>
  <c r="F48" i="22"/>
  <c r="H48" i="22"/>
  <c r="K48" i="22"/>
  <c r="F49" i="22"/>
  <c r="H49" i="22"/>
  <c r="K49" i="22"/>
  <c r="F50" i="22"/>
  <c r="H50" i="22"/>
  <c r="K50" i="22"/>
  <c r="F51" i="22"/>
  <c r="H51" i="22"/>
  <c r="K51" i="22"/>
  <c r="F52" i="22"/>
  <c r="H52" i="22"/>
  <c r="K52" i="22"/>
  <c r="F53" i="22"/>
  <c r="H53" i="22"/>
  <c r="K53" i="22"/>
  <c r="F54" i="22"/>
  <c r="H54" i="22"/>
  <c r="K54" i="22"/>
  <c r="F55" i="22"/>
  <c r="H55" i="22"/>
  <c r="K55" i="22"/>
  <c r="F56" i="22"/>
  <c r="H56" i="22"/>
  <c r="K56" i="22"/>
  <c r="F57" i="22"/>
  <c r="H57" i="22"/>
  <c r="K57" i="22"/>
  <c r="F58" i="22"/>
  <c r="H58" i="22"/>
  <c r="K58" i="22"/>
  <c r="F59" i="22"/>
  <c r="H59" i="22"/>
  <c r="K59" i="22"/>
  <c r="F60" i="22"/>
  <c r="H60" i="22"/>
  <c r="K60" i="22"/>
  <c r="F61" i="22"/>
  <c r="H61" i="22"/>
  <c r="K61" i="22"/>
  <c r="F62" i="22"/>
  <c r="H62" i="22"/>
  <c r="K62" i="22"/>
  <c r="F63" i="22"/>
  <c r="H63" i="22"/>
  <c r="K63" i="22"/>
  <c r="F64" i="22"/>
  <c r="H64" i="22"/>
  <c r="K64" i="22"/>
  <c r="F65" i="22"/>
  <c r="H65" i="22"/>
  <c r="K65" i="22"/>
  <c r="F66" i="22"/>
  <c r="H66" i="22"/>
  <c r="K66" i="22"/>
  <c r="F67" i="22"/>
  <c r="H67" i="22"/>
  <c r="K67" i="22"/>
  <c r="F68" i="22"/>
  <c r="H68" i="22"/>
  <c r="K68" i="22"/>
  <c r="F69" i="22"/>
  <c r="H69" i="22"/>
  <c r="K69" i="22"/>
  <c r="F70" i="22"/>
  <c r="H70" i="22"/>
  <c r="K70" i="22"/>
  <c r="F71" i="22"/>
  <c r="H71" i="22"/>
  <c r="K71" i="22"/>
  <c r="F72" i="22"/>
  <c r="H72" i="22"/>
  <c r="K72" i="22"/>
  <c r="F73" i="22"/>
  <c r="H73" i="22"/>
  <c r="K73" i="22"/>
  <c r="F74" i="22"/>
  <c r="H74" i="22"/>
  <c r="K74" i="22"/>
  <c r="F75" i="22"/>
  <c r="H75" i="22"/>
  <c r="K75" i="22"/>
  <c r="F76" i="22"/>
  <c r="H76" i="22"/>
  <c r="K76" i="22"/>
  <c r="F77" i="22"/>
  <c r="H77" i="22"/>
  <c r="K77" i="22"/>
  <c r="F78" i="22"/>
  <c r="H78" i="22"/>
  <c r="K78" i="22"/>
  <c r="F79" i="22"/>
  <c r="H79" i="22"/>
  <c r="K79" i="22"/>
  <c r="F80" i="22"/>
  <c r="H80" i="22"/>
  <c r="K80" i="22"/>
  <c r="F81" i="22"/>
  <c r="H81" i="22"/>
  <c r="K81" i="22"/>
  <c r="F86" i="22"/>
  <c r="H86" i="22"/>
  <c r="K86" i="22"/>
  <c r="F87" i="22"/>
  <c r="H87" i="22"/>
  <c r="K87" i="22"/>
  <c r="F4" i="21"/>
  <c r="H4" i="21"/>
  <c r="K4" i="21"/>
  <c r="F5" i="21"/>
  <c r="H5" i="21"/>
  <c r="K5" i="21"/>
  <c r="F6" i="21"/>
  <c r="H6" i="21"/>
  <c r="K6" i="21"/>
  <c r="F7" i="21"/>
  <c r="H7" i="21"/>
  <c r="K7" i="21"/>
  <c r="K44" i="21" s="1"/>
  <c r="K88" i="21" s="1"/>
  <c r="F8" i="21"/>
  <c r="H8" i="21"/>
  <c r="K8" i="21"/>
  <c r="F9" i="21"/>
  <c r="H9" i="21"/>
  <c r="K9" i="21"/>
  <c r="F10" i="21"/>
  <c r="H10" i="21"/>
  <c r="K10" i="21"/>
  <c r="F11" i="21"/>
  <c r="H11" i="21"/>
  <c r="K11" i="21"/>
  <c r="F12" i="21"/>
  <c r="H12" i="21"/>
  <c r="K12" i="21"/>
  <c r="F13" i="21"/>
  <c r="H13" i="21"/>
  <c r="K13" i="21"/>
  <c r="F14" i="21"/>
  <c r="H14" i="21"/>
  <c r="K14" i="21"/>
  <c r="F15" i="21"/>
  <c r="H15" i="21"/>
  <c r="K15" i="21"/>
  <c r="F16" i="21"/>
  <c r="H16" i="21"/>
  <c r="K16" i="21"/>
  <c r="F17" i="21"/>
  <c r="H17" i="21"/>
  <c r="K17" i="21"/>
  <c r="F18" i="21"/>
  <c r="H18" i="21"/>
  <c r="K18" i="21"/>
  <c r="F19" i="21"/>
  <c r="H19" i="21"/>
  <c r="K19" i="21"/>
  <c r="F20" i="21"/>
  <c r="H20" i="21"/>
  <c r="K20" i="21"/>
  <c r="F21" i="21"/>
  <c r="H21" i="21"/>
  <c r="K21" i="21"/>
  <c r="F22" i="21"/>
  <c r="H22" i="21"/>
  <c r="K22" i="21"/>
  <c r="F23" i="21"/>
  <c r="H23" i="21"/>
  <c r="K23" i="21"/>
  <c r="F24" i="21"/>
  <c r="H24" i="21"/>
  <c r="K24" i="21"/>
  <c r="F25" i="21"/>
  <c r="H25" i="21"/>
  <c r="K25" i="21"/>
  <c r="F26" i="21"/>
  <c r="H26" i="21"/>
  <c r="K26" i="21"/>
  <c r="F27" i="21"/>
  <c r="H27" i="21"/>
  <c r="K27" i="21"/>
  <c r="F28" i="21"/>
  <c r="H28" i="21"/>
  <c r="K28" i="21"/>
  <c r="F29" i="21"/>
  <c r="H29" i="21"/>
  <c r="K29" i="21"/>
  <c r="F30" i="21"/>
  <c r="H30" i="21"/>
  <c r="K30" i="21"/>
  <c r="F31" i="21"/>
  <c r="H31" i="21"/>
  <c r="K31" i="21"/>
  <c r="F32" i="21"/>
  <c r="H32" i="21"/>
  <c r="K32" i="21"/>
  <c r="F33" i="21"/>
  <c r="H33" i="21"/>
  <c r="K33" i="21"/>
  <c r="F34" i="21"/>
  <c r="H34" i="21"/>
  <c r="K34" i="21"/>
  <c r="F35" i="21"/>
  <c r="H35" i="21"/>
  <c r="K35" i="21"/>
  <c r="F36" i="21"/>
  <c r="H36" i="21"/>
  <c r="K36" i="21"/>
  <c r="F37" i="21"/>
  <c r="H37" i="21"/>
  <c r="K37" i="21"/>
  <c r="F42" i="21"/>
  <c r="H42" i="21"/>
  <c r="K42" i="21"/>
  <c r="F43" i="21"/>
  <c r="H43" i="21"/>
  <c r="K43" i="21"/>
  <c r="I44" i="21"/>
  <c r="I88" i="21" s="1"/>
  <c r="F48" i="21"/>
  <c r="H48" i="21"/>
  <c r="K48" i="21"/>
  <c r="F49" i="21"/>
  <c r="H49" i="21"/>
  <c r="K49" i="21"/>
  <c r="F50" i="21"/>
  <c r="H50" i="21"/>
  <c r="K50" i="21"/>
  <c r="F51" i="21"/>
  <c r="H51" i="21"/>
  <c r="K51" i="21"/>
  <c r="F52" i="21"/>
  <c r="H52" i="21"/>
  <c r="K52" i="21"/>
  <c r="F53" i="21"/>
  <c r="H53" i="21"/>
  <c r="K53" i="21"/>
  <c r="F54" i="21"/>
  <c r="H54" i="21"/>
  <c r="K54" i="21"/>
  <c r="F55" i="21"/>
  <c r="H55" i="21"/>
  <c r="K55" i="21"/>
  <c r="F56" i="21"/>
  <c r="H56" i="21"/>
  <c r="K56" i="21"/>
  <c r="F57" i="21"/>
  <c r="H57" i="21"/>
  <c r="K57" i="21"/>
  <c r="F58" i="21"/>
  <c r="H58" i="21"/>
  <c r="K58" i="21"/>
  <c r="F59" i="21"/>
  <c r="H59" i="21"/>
  <c r="K59" i="21"/>
  <c r="F60" i="21"/>
  <c r="H60" i="21"/>
  <c r="K60" i="21"/>
  <c r="F61" i="21"/>
  <c r="H61" i="21"/>
  <c r="K61" i="21"/>
  <c r="F62" i="21"/>
  <c r="H62" i="21"/>
  <c r="K62" i="21"/>
  <c r="F63" i="21"/>
  <c r="H63" i="21"/>
  <c r="K63" i="21"/>
  <c r="F64" i="21"/>
  <c r="H64" i="21"/>
  <c r="K64" i="21"/>
  <c r="F65" i="21"/>
  <c r="H65" i="21"/>
  <c r="K65" i="21"/>
  <c r="F66" i="21"/>
  <c r="H66" i="21"/>
  <c r="K66" i="21"/>
  <c r="F67" i="21"/>
  <c r="H67" i="21"/>
  <c r="K67" i="21"/>
  <c r="F68" i="21"/>
  <c r="H68" i="21"/>
  <c r="K68" i="21"/>
  <c r="F69" i="21"/>
  <c r="H69" i="21"/>
  <c r="K69" i="21"/>
  <c r="F70" i="21"/>
  <c r="H70" i="21"/>
  <c r="K70" i="21"/>
  <c r="F71" i="21"/>
  <c r="H71" i="21"/>
  <c r="K71" i="21"/>
  <c r="F72" i="21"/>
  <c r="H72" i="21"/>
  <c r="K72" i="21"/>
  <c r="F73" i="21"/>
  <c r="H73" i="21"/>
  <c r="K73" i="21"/>
  <c r="F74" i="21"/>
  <c r="H74" i="21"/>
  <c r="K74" i="21"/>
  <c r="F75" i="21"/>
  <c r="H75" i="21"/>
  <c r="K75" i="21"/>
  <c r="F76" i="21"/>
  <c r="H76" i="21"/>
  <c r="K76" i="21"/>
  <c r="F77" i="21"/>
  <c r="H77" i="21"/>
  <c r="K77" i="21"/>
  <c r="F78" i="21"/>
  <c r="H78" i="21"/>
  <c r="K78" i="21"/>
  <c r="F79" i="21"/>
  <c r="H79" i="21"/>
  <c r="K79" i="21"/>
  <c r="F80" i="21"/>
  <c r="H80" i="21"/>
  <c r="K80" i="21"/>
  <c r="F81" i="21"/>
  <c r="H81" i="21"/>
  <c r="K81" i="21"/>
  <c r="F86" i="21"/>
  <c r="H86" i="21"/>
  <c r="K86" i="21"/>
  <c r="F87" i="21"/>
  <c r="H87" i="21"/>
  <c r="K87" i="21"/>
  <c r="F4" i="20"/>
  <c r="H4" i="20"/>
  <c r="K4" i="20"/>
  <c r="K44" i="20" s="1"/>
  <c r="K88" i="20" s="1"/>
  <c r="F5" i="20"/>
  <c r="H5" i="20"/>
  <c r="K5" i="20"/>
  <c r="F6" i="20"/>
  <c r="H6" i="20"/>
  <c r="K6" i="20"/>
  <c r="F7" i="20"/>
  <c r="H7" i="20"/>
  <c r="K7" i="20"/>
  <c r="F8" i="20"/>
  <c r="H8" i="20"/>
  <c r="K8" i="20"/>
  <c r="F9" i="20"/>
  <c r="H9" i="20"/>
  <c r="K9" i="20"/>
  <c r="F10" i="20"/>
  <c r="H10" i="20"/>
  <c r="K10" i="20"/>
  <c r="F11" i="20"/>
  <c r="H11" i="20"/>
  <c r="K11" i="20"/>
  <c r="F12" i="20"/>
  <c r="H12" i="20"/>
  <c r="K12" i="20"/>
  <c r="F13" i="20"/>
  <c r="H13" i="20"/>
  <c r="K13" i="20"/>
  <c r="F14" i="20"/>
  <c r="H14" i="20"/>
  <c r="K14" i="20"/>
  <c r="F15" i="20"/>
  <c r="H15" i="20"/>
  <c r="K15" i="20"/>
  <c r="F16" i="20"/>
  <c r="H16" i="20"/>
  <c r="K16" i="20"/>
  <c r="F17" i="20"/>
  <c r="H17" i="20"/>
  <c r="K17" i="20"/>
  <c r="F18" i="20"/>
  <c r="H18" i="20"/>
  <c r="K18" i="20"/>
  <c r="F19" i="20"/>
  <c r="H19" i="20"/>
  <c r="K19" i="20"/>
  <c r="F20" i="20"/>
  <c r="H20" i="20"/>
  <c r="K20" i="20"/>
  <c r="F21" i="20"/>
  <c r="H21" i="20"/>
  <c r="K21" i="20"/>
  <c r="F22" i="20"/>
  <c r="H22" i="20"/>
  <c r="K22" i="20"/>
  <c r="F23" i="20"/>
  <c r="H23" i="20"/>
  <c r="K23" i="20"/>
  <c r="F24" i="20"/>
  <c r="H24" i="20"/>
  <c r="K24" i="20"/>
  <c r="F25" i="20"/>
  <c r="H25" i="20"/>
  <c r="K25" i="20"/>
  <c r="F26" i="20"/>
  <c r="H26" i="20"/>
  <c r="K26" i="20"/>
  <c r="F27" i="20"/>
  <c r="H27" i="20"/>
  <c r="K27" i="20"/>
  <c r="F28" i="20"/>
  <c r="H28" i="20"/>
  <c r="K28" i="20"/>
  <c r="F29" i="20"/>
  <c r="H29" i="20"/>
  <c r="K29" i="20"/>
  <c r="F30" i="20"/>
  <c r="H30" i="20"/>
  <c r="K30" i="20"/>
  <c r="F31" i="20"/>
  <c r="H31" i="20"/>
  <c r="K31" i="20"/>
  <c r="F32" i="20"/>
  <c r="H32" i="20"/>
  <c r="K32" i="20"/>
  <c r="F33" i="20"/>
  <c r="H33" i="20"/>
  <c r="K33" i="20"/>
  <c r="F34" i="20"/>
  <c r="H34" i="20"/>
  <c r="K34" i="20"/>
  <c r="F35" i="20"/>
  <c r="H35" i="20"/>
  <c r="K35" i="20"/>
  <c r="F36" i="20"/>
  <c r="H36" i="20"/>
  <c r="K36" i="20"/>
  <c r="F37" i="20"/>
  <c r="H37" i="20"/>
  <c r="K37" i="20"/>
  <c r="F42" i="20"/>
  <c r="H42" i="20"/>
  <c r="K42" i="20"/>
  <c r="F43" i="20"/>
  <c r="H43" i="20"/>
  <c r="K43" i="20"/>
  <c r="I44" i="20"/>
  <c r="I88" i="20"/>
  <c r="F48" i="20"/>
  <c r="H48" i="20"/>
  <c r="K48" i="20"/>
  <c r="F49" i="20"/>
  <c r="H49" i="20"/>
  <c r="K49" i="20"/>
  <c r="F50" i="20"/>
  <c r="H50" i="20"/>
  <c r="K50" i="20"/>
  <c r="F51" i="20"/>
  <c r="H51" i="20"/>
  <c r="K51" i="20"/>
  <c r="F52" i="20"/>
  <c r="H52" i="20"/>
  <c r="K52" i="20"/>
  <c r="F53" i="20"/>
  <c r="H53" i="20"/>
  <c r="K53" i="20"/>
  <c r="F54" i="20"/>
  <c r="H54" i="20"/>
  <c r="K54" i="20"/>
  <c r="F55" i="20"/>
  <c r="H55" i="20"/>
  <c r="K55" i="20"/>
  <c r="F56" i="20"/>
  <c r="H56" i="20"/>
  <c r="K56" i="20"/>
  <c r="F57" i="20"/>
  <c r="H57" i="20"/>
  <c r="K57" i="20"/>
  <c r="F58" i="20"/>
  <c r="H58" i="20"/>
  <c r="K58" i="20"/>
  <c r="F59" i="20"/>
  <c r="H59" i="20"/>
  <c r="K59" i="20"/>
  <c r="F60" i="20"/>
  <c r="H60" i="20"/>
  <c r="K60" i="20"/>
  <c r="F61" i="20"/>
  <c r="H61" i="20"/>
  <c r="K61" i="20"/>
  <c r="F62" i="20"/>
  <c r="H62" i="20"/>
  <c r="K62" i="20"/>
  <c r="F63" i="20"/>
  <c r="H63" i="20"/>
  <c r="K63" i="20"/>
  <c r="F64" i="20"/>
  <c r="H64" i="20"/>
  <c r="K64" i="20"/>
  <c r="F65" i="20"/>
  <c r="H65" i="20"/>
  <c r="K65" i="20"/>
  <c r="F66" i="20"/>
  <c r="H66" i="20"/>
  <c r="K66" i="20"/>
  <c r="F67" i="20"/>
  <c r="H67" i="20"/>
  <c r="K67" i="20"/>
  <c r="F68" i="20"/>
  <c r="H68" i="20"/>
  <c r="K68" i="20"/>
  <c r="F69" i="20"/>
  <c r="H69" i="20"/>
  <c r="K69" i="20"/>
  <c r="F70" i="20"/>
  <c r="H70" i="20"/>
  <c r="K70" i="20"/>
  <c r="F71" i="20"/>
  <c r="H71" i="20"/>
  <c r="K71" i="20"/>
  <c r="F72" i="20"/>
  <c r="H72" i="20"/>
  <c r="K72" i="20"/>
  <c r="F73" i="20"/>
  <c r="H73" i="20"/>
  <c r="K73" i="20"/>
  <c r="F74" i="20"/>
  <c r="H74" i="20"/>
  <c r="K74" i="20"/>
  <c r="F75" i="20"/>
  <c r="H75" i="20"/>
  <c r="K75" i="20"/>
  <c r="F76" i="20"/>
  <c r="H76" i="20"/>
  <c r="K76" i="20"/>
  <c r="F77" i="20"/>
  <c r="H77" i="20"/>
  <c r="K77" i="20"/>
  <c r="F78" i="20"/>
  <c r="H78" i="20"/>
  <c r="K78" i="20"/>
  <c r="F79" i="20"/>
  <c r="H79" i="20"/>
  <c r="K79" i="20"/>
  <c r="F80" i="20"/>
  <c r="H80" i="20"/>
  <c r="K80" i="20"/>
  <c r="F81" i="20"/>
  <c r="H81" i="20"/>
  <c r="K81" i="20"/>
  <c r="F86" i="20"/>
  <c r="H86" i="20"/>
  <c r="K86" i="20"/>
  <c r="F87" i="20"/>
  <c r="H87" i="20"/>
  <c r="K87" i="20"/>
  <c r="F4" i="19"/>
  <c r="H4" i="19"/>
  <c r="K4" i="19"/>
  <c r="F5" i="19"/>
  <c r="H5" i="19"/>
  <c r="K5" i="19"/>
  <c r="K44" i="19" s="1"/>
  <c r="K88" i="19" s="1"/>
  <c r="F6" i="19"/>
  <c r="H6" i="19"/>
  <c r="K6" i="19"/>
  <c r="F7" i="19"/>
  <c r="H7" i="19"/>
  <c r="K7" i="19"/>
  <c r="F8" i="19"/>
  <c r="H8" i="19"/>
  <c r="K8" i="19"/>
  <c r="F9" i="19"/>
  <c r="H9" i="19"/>
  <c r="K9" i="19"/>
  <c r="F10" i="19"/>
  <c r="H10" i="19"/>
  <c r="K10" i="19"/>
  <c r="F11" i="19"/>
  <c r="H11" i="19"/>
  <c r="K11" i="19"/>
  <c r="F12" i="19"/>
  <c r="H12" i="19"/>
  <c r="K12" i="19"/>
  <c r="F13" i="19"/>
  <c r="H13" i="19"/>
  <c r="K13" i="19"/>
  <c r="F14" i="19"/>
  <c r="H14" i="19"/>
  <c r="K14" i="19"/>
  <c r="F15" i="19"/>
  <c r="H15" i="19"/>
  <c r="K15" i="19"/>
  <c r="F16" i="19"/>
  <c r="H16" i="19"/>
  <c r="K16" i="19"/>
  <c r="F17" i="19"/>
  <c r="H17" i="19"/>
  <c r="K17" i="19"/>
  <c r="F18" i="19"/>
  <c r="H18" i="19"/>
  <c r="K18" i="19"/>
  <c r="F19" i="19"/>
  <c r="H19" i="19"/>
  <c r="K19" i="19"/>
  <c r="F20" i="19"/>
  <c r="H20" i="19"/>
  <c r="K20" i="19"/>
  <c r="F21" i="19"/>
  <c r="H21" i="19"/>
  <c r="K21" i="19"/>
  <c r="F22" i="19"/>
  <c r="H22" i="19"/>
  <c r="K22" i="19"/>
  <c r="F23" i="19"/>
  <c r="H23" i="19"/>
  <c r="K23" i="19"/>
  <c r="F24" i="19"/>
  <c r="H24" i="19"/>
  <c r="K24" i="19"/>
  <c r="F25" i="19"/>
  <c r="H25" i="19"/>
  <c r="K25" i="19"/>
  <c r="F26" i="19"/>
  <c r="H26" i="19"/>
  <c r="K26" i="19"/>
  <c r="F27" i="19"/>
  <c r="H27" i="19"/>
  <c r="K27" i="19"/>
  <c r="F28" i="19"/>
  <c r="H28" i="19"/>
  <c r="K28" i="19"/>
  <c r="F29" i="19"/>
  <c r="H29" i="19"/>
  <c r="K29" i="19"/>
  <c r="F30" i="19"/>
  <c r="H30" i="19"/>
  <c r="K30" i="19"/>
  <c r="F31" i="19"/>
  <c r="H31" i="19"/>
  <c r="K31" i="19"/>
  <c r="F32" i="19"/>
  <c r="H32" i="19"/>
  <c r="K32" i="19"/>
  <c r="F33" i="19"/>
  <c r="H33" i="19"/>
  <c r="K33" i="19"/>
  <c r="F34" i="19"/>
  <c r="H34" i="19"/>
  <c r="K34" i="19"/>
  <c r="F35" i="19"/>
  <c r="H35" i="19"/>
  <c r="K35" i="19"/>
  <c r="F36" i="19"/>
  <c r="H36" i="19"/>
  <c r="K36" i="19"/>
  <c r="F37" i="19"/>
  <c r="H37" i="19"/>
  <c r="K37" i="19"/>
  <c r="F42" i="19"/>
  <c r="H42" i="19"/>
  <c r="K42" i="19"/>
  <c r="F43" i="19"/>
  <c r="H43" i="19"/>
  <c r="K43" i="19"/>
  <c r="I44" i="19"/>
  <c r="I88" i="19" s="1"/>
  <c r="F48" i="19"/>
  <c r="H48" i="19"/>
  <c r="K48" i="19"/>
  <c r="F49" i="19"/>
  <c r="H49" i="19"/>
  <c r="K49" i="19"/>
  <c r="F50" i="19"/>
  <c r="H50" i="19"/>
  <c r="K50" i="19"/>
  <c r="F51" i="19"/>
  <c r="H51" i="19"/>
  <c r="K51" i="19"/>
  <c r="F52" i="19"/>
  <c r="H52" i="19"/>
  <c r="K52" i="19"/>
  <c r="F53" i="19"/>
  <c r="H53" i="19"/>
  <c r="K53" i="19"/>
  <c r="F54" i="19"/>
  <c r="H54" i="19"/>
  <c r="K54" i="19"/>
  <c r="F55" i="19"/>
  <c r="H55" i="19"/>
  <c r="K55" i="19"/>
  <c r="F56" i="19"/>
  <c r="H56" i="19"/>
  <c r="K56" i="19"/>
  <c r="F57" i="19"/>
  <c r="H57" i="19"/>
  <c r="K57" i="19"/>
  <c r="F58" i="19"/>
  <c r="H58" i="19"/>
  <c r="K58" i="19"/>
  <c r="F59" i="19"/>
  <c r="H59" i="19"/>
  <c r="K59" i="19"/>
  <c r="F60" i="19"/>
  <c r="H60" i="19"/>
  <c r="K60" i="19"/>
  <c r="F61" i="19"/>
  <c r="H61" i="19"/>
  <c r="K61" i="19"/>
  <c r="F62" i="19"/>
  <c r="H62" i="19"/>
  <c r="K62" i="19"/>
  <c r="F63" i="19"/>
  <c r="H63" i="19"/>
  <c r="K63" i="19"/>
  <c r="F64" i="19"/>
  <c r="H64" i="19"/>
  <c r="K64" i="19"/>
  <c r="F65" i="19"/>
  <c r="H65" i="19"/>
  <c r="K65" i="19"/>
  <c r="F66" i="19"/>
  <c r="H66" i="19"/>
  <c r="K66" i="19"/>
  <c r="F67" i="19"/>
  <c r="H67" i="19"/>
  <c r="K67" i="19"/>
  <c r="F68" i="19"/>
  <c r="H68" i="19"/>
  <c r="K68" i="19"/>
  <c r="F69" i="19"/>
  <c r="H69" i="19"/>
  <c r="K69" i="19"/>
  <c r="F70" i="19"/>
  <c r="H70" i="19"/>
  <c r="K70" i="19"/>
  <c r="F71" i="19"/>
  <c r="H71" i="19"/>
  <c r="K71" i="19"/>
  <c r="F72" i="19"/>
  <c r="H72" i="19"/>
  <c r="K72" i="19"/>
  <c r="F73" i="19"/>
  <c r="H73" i="19"/>
  <c r="K73" i="19"/>
  <c r="F74" i="19"/>
  <c r="H74" i="19"/>
  <c r="K74" i="19"/>
  <c r="F75" i="19"/>
  <c r="H75" i="19"/>
  <c r="K75" i="19"/>
  <c r="F76" i="19"/>
  <c r="H76" i="19"/>
  <c r="K76" i="19"/>
  <c r="F77" i="19"/>
  <c r="H77" i="19"/>
  <c r="K77" i="19"/>
  <c r="F78" i="19"/>
  <c r="H78" i="19"/>
  <c r="K78" i="19"/>
  <c r="F79" i="19"/>
  <c r="H79" i="19"/>
  <c r="K79" i="19"/>
  <c r="F80" i="19"/>
  <c r="H80" i="19"/>
  <c r="K80" i="19"/>
  <c r="F81" i="19"/>
  <c r="H81" i="19"/>
  <c r="K81" i="19"/>
  <c r="F86" i="19"/>
  <c r="H86" i="19"/>
  <c r="K86" i="19"/>
  <c r="F87" i="19"/>
  <c r="H87" i="19"/>
  <c r="K87" i="19"/>
  <c r="F4" i="18"/>
  <c r="H4" i="18"/>
  <c r="K4" i="18"/>
  <c r="K44" i="18" s="1"/>
  <c r="K88" i="18" s="1"/>
  <c r="F5" i="18"/>
  <c r="H5" i="18"/>
  <c r="K5" i="18"/>
  <c r="F6" i="18"/>
  <c r="H6" i="18"/>
  <c r="K6" i="18"/>
  <c r="F7" i="18"/>
  <c r="H7" i="18"/>
  <c r="K7" i="18"/>
  <c r="F8" i="18"/>
  <c r="H8" i="18"/>
  <c r="K8" i="18"/>
  <c r="F9" i="18"/>
  <c r="H9" i="18"/>
  <c r="K9" i="18"/>
  <c r="F10" i="18"/>
  <c r="H10" i="18"/>
  <c r="K10" i="18"/>
  <c r="F11" i="18"/>
  <c r="H11" i="18"/>
  <c r="K11" i="18"/>
  <c r="F12" i="18"/>
  <c r="H12" i="18"/>
  <c r="K12" i="18"/>
  <c r="F13" i="18"/>
  <c r="H13" i="18"/>
  <c r="K13" i="18"/>
  <c r="F14" i="18"/>
  <c r="H14" i="18"/>
  <c r="K14" i="18"/>
  <c r="F15" i="18"/>
  <c r="H15" i="18"/>
  <c r="K15" i="18"/>
  <c r="F16" i="18"/>
  <c r="H16" i="18"/>
  <c r="K16" i="18"/>
  <c r="F17" i="18"/>
  <c r="H17" i="18"/>
  <c r="K17" i="18"/>
  <c r="F18" i="18"/>
  <c r="H18" i="18"/>
  <c r="K18" i="18"/>
  <c r="F19" i="18"/>
  <c r="H19" i="18"/>
  <c r="K19" i="18"/>
  <c r="F20" i="18"/>
  <c r="H20" i="18"/>
  <c r="K20" i="18"/>
  <c r="F21" i="18"/>
  <c r="H21" i="18"/>
  <c r="K21" i="18"/>
  <c r="F22" i="18"/>
  <c r="H22" i="18"/>
  <c r="K22" i="18"/>
  <c r="F23" i="18"/>
  <c r="H23" i="18"/>
  <c r="K23" i="18"/>
  <c r="F24" i="18"/>
  <c r="H24" i="18"/>
  <c r="K24" i="18"/>
  <c r="F25" i="18"/>
  <c r="H25" i="18"/>
  <c r="K25" i="18"/>
  <c r="F26" i="18"/>
  <c r="H26" i="18"/>
  <c r="K26" i="18"/>
  <c r="F27" i="18"/>
  <c r="H27" i="18"/>
  <c r="K27" i="18"/>
  <c r="F28" i="18"/>
  <c r="H28" i="18"/>
  <c r="K28" i="18"/>
  <c r="F29" i="18"/>
  <c r="H29" i="18"/>
  <c r="K29" i="18"/>
  <c r="F30" i="18"/>
  <c r="H30" i="18"/>
  <c r="K30" i="18"/>
  <c r="F31" i="18"/>
  <c r="H31" i="18"/>
  <c r="K31" i="18"/>
  <c r="F32" i="18"/>
  <c r="H32" i="18"/>
  <c r="K32" i="18"/>
  <c r="F33" i="18"/>
  <c r="H33" i="18"/>
  <c r="K33" i="18"/>
  <c r="F34" i="18"/>
  <c r="H34" i="18"/>
  <c r="K34" i="18"/>
  <c r="F35" i="18"/>
  <c r="H35" i="18"/>
  <c r="K35" i="18"/>
  <c r="F36" i="18"/>
  <c r="H36" i="18"/>
  <c r="K36" i="18"/>
  <c r="F37" i="18"/>
  <c r="H37" i="18"/>
  <c r="K37" i="18"/>
  <c r="F42" i="18"/>
  <c r="H42" i="18"/>
  <c r="K42" i="18"/>
  <c r="F43" i="18"/>
  <c r="H43" i="18"/>
  <c r="K43" i="18"/>
  <c r="I44" i="18"/>
  <c r="I88" i="18"/>
  <c r="F48" i="18"/>
  <c r="H48" i="18"/>
  <c r="K48" i="18"/>
  <c r="F49" i="18"/>
  <c r="H49" i="18"/>
  <c r="K49" i="18"/>
  <c r="F50" i="18"/>
  <c r="H50" i="18"/>
  <c r="K50" i="18"/>
  <c r="F51" i="18"/>
  <c r="H51" i="18"/>
  <c r="K51" i="18"/>
  <c r="F52" i="18"/>
  <c r="H52" i="18"/>
  <c r="K52" i="18"/>
  <c r="F53" i="18"/>
  <c r="H53" i="18"/>
  <c r="K53" i="18"/>
  <c r="F54" i="18"/>
  <c r="H54" i="18"/>
  <c r="K54" i="18"/>
  <c r="F55" i="18"/>
  <c r="H55" i="18"/>
  <c r="K55" i="18"/>
  <c r="F56" i="18"/>
  <c r="H56" i="18"/>
  <c r="K56" i="18"/>
  <c r="F57" i="18"/>
  <c r="H57" i="18"/>
  <c r="K57" i="18"/>
  <c r="F58" i="18"/>
  <c r="H58" i="18"/>
  <c r="K58" i="18"/>
  <c r="F59" i="18"/>
  <c r="H59" i="18"/>
  <c r="K59" i="18"/>
  <c r="F60" i="18"/>
  <c r="H60" i="18"/>
  <c r="K60" i="18"/>
  <c r="F61" i="18"/>
  <c r="H61" i="18"/>
  <c r="K61" i="18"/>
  <c r="F62" i="18"/>
  <c r="H62" i="18"/>
  <c r="K62" i="18"/>
  <c r="F63" i="18"/>
  <c r="H63" i="18"/>
  <c r="K63" i="18"/>
  <c r="F64" i="18"/>
  <c r="H64" i="18"/>
  <c r="K64" i="18"/>
  <c r="F65" i="18"/>
  <c r="H65" i="18"/>
  <c r="K65" i="18"/>
  <c r="F66" i="18"/>
  <c r="H66" i="18"/>
  <c r="K66" i="18"/>
  <c r="F67" i="18"/>
  <c r="H67" i="18"/>
  <c r="K67" i="18"/>
  <c r="F68" i="18"/>
  <c r="H68" i="18"/>
  <c r="K68" i="18"/>
  <c r="F69" i="18"/>
  <c r="H69" i="18"/>
  <c r="K69" i="18"/>
  <c r="F70" i="18"/>
  <c r="H70" i="18"/>
  <c r="K70" i="18"/>
  <c r="F71" i="18"/>
  <c r="H71" i="18"/>
  <c r="K71" i="18"/>
  <c r="F72" i="18"/>
  <c r="H72" i="18"/>
  <c r="K72" i="18"/>
  <c r="F73" i="18"/>
  <c r="H73" i="18"/>
  <c r="K73" i="18"/>
  <c r="F74" i="18"/>
  <c r="H74" i="18"/>
  <c r="K74" i="18"/>
  <c r="F75" i="18"/>
  <c r="H75" i="18"/>
  <c r="K75" i="18"/>
  <c r="F76" i="18"/>
  <c r="H76" i="18"/>
  <c r="K76" i="18"/>
  <c r="F77" i="18"/>
  <c r="H77" i="18"/>
  <c r="K77" i="18"/>
  <c r="F78" i="18"/>
  <c r="H78" i="18"/>
  <c r="K78" i="18"/>
  <c r="F79" i="18"/>
  <c r="H79" i="18"/>
  <c r="K79" i="18"/>
  <c r="F80" i="18"/>
  <c r="H80" i="18"/>
  <c r="K80" i="18"/>
  <c r="F81" i="18"/>
  <c r="H81" i="18"/>
  <c r="K81" i="18"/>
  <c r="F86" i="18"/>
  <c r="H86" i="18"/>
  <c r="K86" i="18"/>
  <c r="F87" i="18"/>
  <c r="H87" i="18"/>
  <c r="K87" i="18"/>
  <c r="F4" i="17"/>
  <c r="H4" i="17"/>
  <c r="K4" i="17"/>
  <c r="F5" i="17"/>
  <c r="H5" i="17"/>
  <c r="K5" i="17"/>
  <c r="K44" i="17" s="1"/>
  <c r="K88" i="17" s="1"/>
  <c r="F6" i="17"/>
  <c r="H6" i="17"/>
  <c r="K6" i="17"/>
  <c r="F7" i="17"/>
  <c r="H7" i="17"/>
  <c r="K7" i="17"/>
  <c r="F8" i="17"/>
  <c r="H8" i="17"/>
  <c r="K8" i="17"/>
  <c r="F9" i="17"/>
  <c r="H9" i="17"/>
  <c r="K9" i="17"/>
  <c r="F10" i="17"/>
  <c r="H10" i="17"/>
  <c r="K10" i="17"/>
  <c r="F11" i="17"/>
  <c r="H11" i="17"/>
  <c r="K11" i="17"/>
  <c r="F12" i="17"/>
  <c r="H12" i="17"/>
  <c r="K12" i="17"/>
  <c r="F13" i="17"/>
  <c r="H13" i="17"/>
  <c r="K13" i="17"/>
  <c r="F14" i="17"/>
  <c r="H14" i="17"/>
  <c r="K14" i="17"/>
  <c r="F15" i="17"/>
  <c r="H15" i="17"/>
  <c r="K15" i="17"/>
  <c r="F16" i="17"/>
  <c r="H16" i="17"/>
  <c r="K16" i="17"/>
  <c r="F17" i="17"/>
  <c r="H17" i="17"/>
  <c r="K17" i="17"/>
  <c r="F18" i="17"/>
  <c r="H18" i="17"/>
  <c r="K18" i="17"/>
  <c r="F19" i="17"/>
  <c r="H19" i="17"/>
  <c r="K19" i="17"/>
  <c r="F20" i="17"/>
  <c r="H20" i="17"/>
  <c r="K20" i="17"/>
  <c r="F21" i="17"/>
  <c r="H21" i="17"/>
  <c r="K21" i="17"/>
  <c r="F22" i="17"/>
  <c r="H22" i="17"/>
  <c r="K22" i="17"/>
  <c r="F23" i="17"/>
  <c r="H23" i="17"/>
  <c r="K23" i="17"/>
  <c r="F24" i="17"/>
  <c r="H24" i="17"/>
  <c r="K24" i="17"/>
  <c r="F25" i="17"/>
  <c r="H25" i="17"/>
  <c r="K25" i="17"/>
  <c r="F26" i="17"/>
  <c r="H26" i="17"/>
  <c r="K26" i="17"/>
  <c r="F27" i="17"/>
  <c r="H27" i="17"/>
  <c r="K27" i="17"/>
  <c r="F28" i="17"/>
  <c r="H28" i="17"/>
  <c r="K28" i="17"/>
  <c r="F29" i="17"/>
  <c r="H29" i="17"/>
  <c r="K29" i="17"/>
  <c r="F30" i="17"/>
  <c r="H30" i="17"/>
  <c r="K30" i="17"/>
  <c r="F31" i="17"/>
  <c r="H31" i="17"/>
  <c r="K31" i="17"/>
  <c r="F32" i="17"/>
  <c r="H32" i="17"/>
  <c r="K32" i="17"/>
  <c r="F33" i="17"/>
  <c r="H33" i="17"/>
  <c r="K33" i="17"/>
  <c r="F34" i="17"/>
  <c r="H34" i="17"/>
  <c r="K34" i="17"/>
  <c r="F35" i="17"/>
  <c r="H35" i="17"/>
  <c r="K35" i="17"/>
  <c r="F36" i="17"/>
  <c r="H36" i="17"/>
  <c r="K36" i="17"/>
  <c r="F37" i="17"/>
  <c r="H37" i="17"/>
  <c r="K37" i="17"/>
  <c r="F42" i="17"/>
  <c r="H42" i="17"/>
  <c r="K42" i="17"/>
  <c r="F43" i="17"/>
  <c r="H43" i="17"/>
  <c r="K43" i="17"/>
  <c r="I44" i="17"/>
  <c r="I88" i="17" s="1"/>
  <c r="F48" i="17"/>
  <c r="H48" i="17"/>
  <c r="K48" i="17"/>
  <c r="F49" i="17"/>
  <c r="H49" i="17"/>
  <c r="K49" i="17"/>
  <c r="F50" i="17"/>
  <c r="H50" i="17"/>
  <c r="K50" i="17"/>
  <c r="F51" i="17"/>
  <c r="H51" i="17"/>
  <c r="K51" i="17"/>
  <c r="F52" i="17"/>
  <c r="H52" i="17"/>
  <c r="K52" i="17"/>
  <c r="F53" i="17"/>
  <c r="H53" i="17"/>
  <c r="K53" i="17"/>
  <c r="F54" i="17"/>
  <c r="H54" i="17"/>
  <c r="K54" i="17"/>
  <c r="F55" i="17"/>
  <c r="H55" i="17"/>
  <c r="K55" i="17"/>
  <c r="F56" i="17"/>
  <c r="H56" i="17"/>
  <c r="K56" i="17"/>
  <c r="F57" i="17"/>
  <c r="H57" i="17"/>
  <c r="K57" i="17"/>
  <c r="F58" i="17"/>
  <c r="H58" i="17"/>
  <c r="K58" i="17"/>
  <c r="F59" i="17"/>
  <c r="H59" i="17"/>
  <c r="K59" i="17"/>
  <c r="F60" i="17"/>
  <c r="H60" i="17"/>
  <c r="K60" i="17"/>
  <c r="F61" i="17"/>
  <c r="H61" i="17"/>
  <c r="K61" i="17"/>
  <c r="F62" i="17"/>
  <c r="H62" i="17"/>
  <c r="K62" i="17"/>
  <c r="F63" i="17"/>
  <c r="H63" i="17"/>
  <c r="K63" i="17"/>
  <c r="F64" i="17"/>
  <c r="H64" i="17"/>
  <c r="K64" i="17"/>
  <c r="F65" i="17"/>
  <c r="H65" i="17"/>
  <c r="K65" i="17"/>
  <c r="F66" i="17"/>
  <c r="H66" i="17"/>
  <c r="K66" i="17"/>
  <c r="F67" i="17"/>
  <c r="H67" i="17"/>
  <c r="K67" i="17"/>
  <c r="F68" i="17"/>
  <c r="H68" i="17"/>
  <c r="K68" i="17"/>
  <c r="F69" i="17"/>
  <c r="H69" i="17"/>
  <c r="K69" i="17"/>
  <c r="F70" i="17"/>
  <c r="H70" i="17"/>
  <c r="K70" i="17"/>
  <c r="F71" i="17"/>
  <c r="H71" i="17"/>
  <c r="K71" i="17"/>
  <c r="F72" i="17"/>
  <c r="H72" i="17"/>
  <c r="K72" i="17"/>
  <c r="F73" i="17"/>
  <c r="H73" i="17"/>
  <c r="K73" i="17"/>
  <c r="F74" i="17"/>
  <c r="H74" i="17"/>
  <c r="K74" i="17"/>
  <c r="F75" i="17"/>
  <c r="H75" i="17"/>
  <c r="K75" i="17"/>
  <c r="F76" i="17"/>
  <c r="H76" i="17"/>
  <c r="K76" i="17"/>
  <c r="F77" i="17"/>
  <c r="H77" i="17"/>
  <c r="K77" i="17"/>
  <c r="F78" i="17"/>
  <c r="H78" i="17"/>
  <c r="K78" i="17"/>
  <c r="F79" i="17"/>
  <c r="H79" i="17"/>
  <c r="K79" i="17"/>
  <c r="F80" i="17"/>
  <c r="H80" i="17"/>
  <c r="K80" i="17"/>
  <c r="F81" i="17"/>
  <c r="H81" i="17"/>
  <c r="K81" i="17"/>
  <c r="F86" i="17"/>
  <c r="H86" i="17"/>
  <c r="K86" i="17"/>
  <c r="F87" i="17"/>
  <c r="H87" i="17"/>
  <c r="K87" i="17"/>
  <c r="F4" i="16"/>
  <c r="H4" i="16"/>
  <c r="K4" i="16"/>
  <c r="K44" i="16" s="1"/>
  <c r="K88" i="16" s="1"/>
  <c r="F5" i="16"/>
  <c r="H5" i="16"/>
  <c r="K5" i="16"/>
  <c r="F6" i="16"/>
  <c r="H6" i="16"/>
  <c r="K6" i="16"/>
  <c r="F7" i="16"/>
  <c r="H7" i="16"/>
  <c r="K7" i="16"/>
  <c r="F8" i="16"/>
  <c r="H8" i="16"/>
  <c r="K8" i="16"/>
  <c r="F9" i="16"/>
  <c r="H9" i="16"/>
  <c r="K9" i="16"/>
  <c r="F10" i="16"/>
  <c r="H10" i="16"/>
  <c r="K10" i="16"/>
  <c r="F11" i="16"/>
  <c r="H11" i="16"/>
  <c r="K11" i="16"/>
  <c r="F12" i="16"/>
  <c r="H12" i="16"/>
  <c r="K12" i="16"/>
  <c r="F13" i="16"/>
  <c r="H13" i="16"/>
  <c r="K13" i="16"/>
  <c r="F14" i="16"/>
  <c r="H14" i="16"/>
  <c r="K14" i="16"/>
  <c r="F15" i="16"/>
  <c r="H15" i="16"/>
  <c r="K15" i="16"/>
  <c r="F16" i="16"/>
  <c r="H16" i="16"/>
  <c r="K16" i="16"/>
  <c r="F17" i="16"/>
  <c r="H17" i="16"/>
  <c r="K17" i="16"/>
  <c r="F18" i="16"/>
  <c r="H18" i="16"/>
  <c r="K18" i="16"/>
  <c r="F19" i="16"/>
  <c r="H19" i="16"/>
  <c r="K19" i="16"/>
  <c r="F20" i="16"/>
  <c r="H20" i="16"/>
  <c r="K20" i="16"/>
  <c r="F21" i="16"/>
  <c r="H21" i="16"/>
  <c r="K21" i="16"/>
  <c r="F22" i="16"/>
  <c r="H22" i="16"/>
  <c r="K22" i="16"/>
  <c r="F23" i="16"/>
  <c r="H23" i="16"/>
  <c r="K23" i="16"/>
  <c r="F24" i="16"/>
  <c r="H24" i="16"/>
  <c r="K24" i="16"/>
  <c r="F25" i="16"/>
  <c r="H25" i="16"/>
  <c r="K25" i="16"/>
  <c r="F26" i="16"/>
  <c r="H26" i="16"/>
  <c r="K26" i="16"/>
  <c r="F27" i="16"/>
  <c r="H27" i="16"/>
  <c r="K27" i="16"/>
  <c r="F28" i="16"/>
  <c r="H28" i="16"/>
  <c r="K28" i="16"/>
  <c r="F29" i="16"/>
  <c r="H29" i="16"/>
  <c r="K29" i="16"/>
  <c r="F30" i="16"/>
  <c r="H30" i="16"/>
  <c r="K30" i="16"/>
  <c r="F31" i="16"/>
  <c r="H31" i="16"/>
  <c r="K31" i="16"/>
  <c r="F32" i="16"/>
  <c r="H32" i="16"/>
  <c r="K32" i="16"/>
  <c r="F33" i="16"/>
  <c r="H33" i="16"/>
  <c r="K33" i="16"/>
  <c r="F34" i="16"/>
  <c r="H34" i="16"/>
  <c r="K34" i="16"/>
  <c r="F35" i="16"/>
  <c r="H35" i="16"/>
  <c r="K35" i="16"/>
  <c r="F36" i="16"/>
  <c r="H36" i="16"/>
  <c r="K36" i="16"/>
  <c r="F37" i="16"/>
  <c r="H37" i="16"/>
  <c r="K37" i="16"/>
  <c r="F42" i="16"/>
  <c r="H42" i="16"/>
  <c r="K42" i="16"/>
  <c r="F43" i="16"/>
  <c r="H43" i="16"/>
  <c r="K43" i="16"/>
  <c r="I44" i="16"/>
  <c r="I88" i="16"/>
  <c r="F48" i="16"/>
  <c r="H48" i="16"/>
  <c r="K48" i="16"/>
  <c r="F49" i="16"/>
  <c r="H49" i="16"/>
  <c r="K49" i="16"/>
  <c r="F50" i="16"/>
  <c r="H50" i="16"/>
  <c r="K50" i="16"/>
  <c r="F51" i="16"/>
  <c r="H51" i="16"/>
  <c r="K51" i="16"/>
  <c r="F52" i="16"/>
  <c r="H52" i="16"/>
  <c r="K52" i="16"/>
  <c r="F53" i="16"/>
  <c r="H53" i="16"/>
  <c r="K53" i="16"/>
  <c r="F54" i="16"/>
  <c r="H54" i="16"/>
  <c r="K54" i="16"/>
  <c r="F55" i="16"/>
  <c r="H55" i="16"/>
  <c r="K55" i="16"/>
  <c r="F56" i="16"/>
  <c r="H56" i="16"/>
  <c r="K56" i="16"/>
  <c r="F57" i="16"/>
  <c r="H57" i="16"/>
  <c r="K57" i="16"/>
  <c r="F58" i="16"/>
  <c r="H58" i="16"/>
  <c r="K58" i="16"/>
  <c r="F59" i="16"/>
  <c r="H59" i="16"/>
  <c r="K59" i="16"/>
  <c r="F60" i="16"/>
  <c r="H60" i="16"/>
  <c r="K60" i="16"/>
  <c r="F61" i="16"/>
  <c r="H61" i="16"/>
  <c r="K61" i="16"/>
  <c r="F62" i="16"/>
  <c r="H62" i="16"/>
  <c r="K62" i="16"/>
  <c r="F63" i="16"/>
  <c r="H63" i="16"/>
  <c r="K63" i="16"/>
  <c r="F64" i="16"/>
  <c r="H64" i="16"/>
  <c r="K64" i="16"/>
  <c r="F65" i="16"/>
  <c r="H65" i="16"/>
  <c r="K65" i="16"/>
  <c r="F66" i="16"/>
  <c r="H66" i="16"/>
  <c r="K66" i="16"/>
  <c r="F67" i="16"/>
  <c r="H67" i="16"/>
  <c r="K67" i="16"/>
  <c r="F68" i="16"/>
  <c r="H68" i="16"/>
  <c r="K68" i="16"/>
  <c r="F69" i="16"/>
  <c r="H69" i="16"/>
  <c r="K69" i="16"/>
  <c r="F70" i="16"/>
  <c r="H70" i="16"/>
  <c r="K70" i="16"/>
  <c r="F71" i="16"/>
  <c r="H71" i="16"/>
  <c r="K71" i="16"/>
  <c r="F72" i="16"/>
  <c r="H72" i="16"/>
  <c r="K72" i="16"/>
  <c r="F73" i="16"/>
  <c r="H73" i="16"/>
  <c r="K73" i="16"/>
  <c r="F74" i="16"/>
  <c r="H74" i="16"/>
  <c r="K74" i="16"/>
  <c r="F75" i="16"/>
  <c r="H75" i="16"/>
  <c r="K75" i="16"/>
  <c r="F76" i="16"/>
  <c r="H76" i="16"/>
  <c r="K76" i="16"/>
  <c r="F77" i="16"/>
  <c r="H77" i="16"/>
  <c r="K77" i="16"/>
  <c r="F78" i="16"/>
  <c r="H78" i="16"/>
  <c r="K78" i="16"/>
  <c r="F79" i="16"/>
  <c r="H79" i="16"/>
  <c r="K79" i="16"/>
  <c r="F80" i="16"/>
  <c r="H80" i="16"/>
  <c r="K80" i="16"/>
  <c r="F81" i="16"/>
  <c r="H81" i="16"/>
  <c r="K81" i="16"/>
  <c r="F86" i="16"/>
  <c r="H86" i="16"/>
  <c r="K86" i="16"/>
  <c r="F87" i="16"/>
  <c r="H87" i="16"/>
  <c r="K87" i="16"/>
  <c r="F4" i="15"/>
  <c r="H4" i="15"/>
  <c r="K4" i="15"/>
  <c r="F5" i="15"/>
  <c r="H5" i="15"/>
  <c r="K5" i="15"/>
  <c r="F6" i="15"/>
  <c r="H6" i="15"/>
  <c r="K6" i="15"/>
  <c r="F7" i="15"/>
  <c r="H7" i="15"/>
  <c r="K7" i="15"/>
  <c r="K44" i="15" s="1"/>
  <c r="K88" i="15" s="1"/>
  <c r="F8" i="15"/>
  <c r="H8" i="15"/>
  <c r="K8" i="15"/>
  <c r="F9" i="15"/>
  <c r="H9" i="15"/>
  <c r="K9" i="15"/>
  <c r="F10" i="15"/>
  <c r="H10" i="15"/>
  <c r="K10" i="15"/>
  <c r="F11" i="15"/>
  <c r="H11" i="15"/>
  <c r="K11" i="15"/>
  <c r="F12" i="15"/>
  <c r="H12" i="15"/>
  <c r="K12" i="15"/>
  <c r="F13" i="15"/>
  <c r="H13" i="15"/>
  <c r="K13" i="15"/>
  <c r="F14" i="15"/>
  <c r="H14" i="15"/>
  <c r="K14" i="15"/>
  <c r="F15" i="15"/>
  <c r="H15" i="15"/>
  <c r="K15" i="15"/>
  <c r="F16" i="15"/>
  <c r="H16" i="15"/>
  <c r="K16" i="15"/>
  <c r="F17" i="15"/>
  <c r="H17" i="15"/>
  <c r="K17" i="15"/>
  <c r="F18" i="15"/>
  <c r="H18" i="15"/>
  <c r="K18" i="15"/>
  <c r="F19" i="15"/>
  <c r="H19" i="15"/>
  <c r="K19" i="15"/>
  <c r="F20" i="15"/>
  <c r="H20" i="15"/>
  <c r="K20" i="15"/>
  <c r="F21" i="15"/>
  <c r="H21" i="15"/>
  <c r="K21" i="15"/>
  <c r="F22" i="15"/>
  <c r="H22" i="15"/>
  <c r="K22" i="15"/>
  <c r="F23" i="15"/>
  <c r="H23" i="15"/>
  <c r="K23" i="15"/>
  <c r="F24" i="15"/>
  <c r="H24" i="15"/>
  <c r="K24" i="15"/>
  <c r="F25" i="15"/>
  <c r="H25" i="15"/>
  <c r="K25" i="15"/>
  <c r="F26" i="15"/>
  <c r="H26" i="15"/>
  <c r="K26" i="15"/>
  <c r="F27" i="15"/>
  <c r="H27" i="15"/>
  <c r="K27" i="15"/>
  <c r="F28" i="15"/>
  <c r="H28" i="15"/>
  <c r="K28" i="15"/>
  <c r="F29" i="15"/>
  <c r="H29" i="15"/>
  <c r="K29" i="15"/>
  <c r="F30" i="15"/>
  <c r="H30" i="15"/>
  <c r="K30" i="15"/>
  <c r="F31" i="15"/>
  <c r="H31" i="15"/>
  <c r="K31" i="15"/>
  <c r="F32" i="15"/>
  <c r="H32" i="15"/>
  <c r="K32" i="15"/>
  <c r="F33" i="15"/>
  <c r="H33" i="15"/>
  <c r="K33" i="15"/>
  <c r="F34" i="15"/>
  <c r="H34" i="15"/>
  <c r="K34" i="15"/>
  <c r="F35" i="15"/>
  <c r="H35" i="15"/>
  <c r="K35" i="15"/>
  <c r="F36" i="15"/>
  <c r="H36" i="15"/>
  <c r="K36" i="15"/>
  <c r="F37" i="15"/>
  <c r="H37" i="15"/>
  <c r="K37" i="15"/>
  <c r="F42" i="15"/>
  <c r="H42" i="15"/>
  <c r="K42" i="15"/>
  <c r="F43" i="15"/>
  <c r="H43" i="15"/>
  <c r="K43" i="15"/>
  <c r="I44" i="15"/>
  <c r="I88" i="15" s="1"/>
  <c r="F48" i="15"/>
  <c r="H48" i="15"/>
  <c r="K48" i="15"/>
  <c r="F49" i="15"/>
  <c r="H49" i="15"/>
  <c r="K49" i="15"/>
  <c r="F50" i="15"/>
  <c r="H50" i="15"/>
  <c r="K50" i="15"/>
  <c r="F51" i="15"/>
  <c r="H51" i="15"/>
  <c r="K51" i="15"/>
  <c r="F52" i="15"/>
  <c r="H52" i="15"/>
  <c r="K52" i="15"/>
  <c r="F53" i="15"/>
  <c r="H53" i="15"/>
  <c r="K53" i="15"/>
  <c r="F54" i="15"/>
  <c r="H54" i="15"/>
  <c r="K54" i="15"/>
  <c r="F55" i="15"/>
  <c r="H55" i="15"/>
  <c r="K55" i="15"/>
  <c r="F56" i="15"/>
  <c r="H56" i="15"/>
  <c r="K56" i="15"/>
  <c r="F57" i="15"/>
  <c r="H57" i="15"/>
  <c r="K57" i="15"/>
  <c r="F58" i="15"/>
  <c r="H58" i="15"/>
  <c r="K58" i="15"/>
  <c r="F59" i="15"/>
  <c r="H59" i="15"/>
  <c r="K59" i="15"/>
  <c r="F60" i="15"/>
  <c r="H60" i="15"/>
  <c r="K60" i="15"/>
  <c r="F61" i="15"/>
  <c r="H61" i="15"/>
  <c r="K61" i="15"/>
  <c r="F62" i="15"/>
  <c r="H62" i="15"/>
  <c r="K62" i="15"/>
  <c r="F63" i="15"/>
  <c r="H63" i="15"/>
  <c r="K63" i="15"/>
  <c r="F64" i="15"/>
  <c r="H64" i="15"/>
  <c r="K64" i="15"/>
  <c r="F65" i="15"/>
  <c r="H65" i="15"/>
  <c r="K65" i="15"/>
  <c r="F66" i="15"/>
  <c r="H66" i="15"/>
  <c r="K66" i="15"/>
  <c r="F67" i="15"/>
  <c r="H67" i="15"/>
  <c r="K67" i="15"/>
  <c r="F68" i="15"/>
  <c r="H68" i="15"/>
  <c r="K68" i="15"/>
  <c r="F69" i="15"/>
  <c r="H69" i="15"/>
  <c r="K69" i="15"/>
  <c r="F70" i="15"/>
  <c r="H70" i="15"/>
  <c r="K70" i="15"/>
  <c r="F71" i="15"/>
  <c r="H71" i="15"/>
  <c r="K71" i="15"/>
  <c r="F72" i="15"/>
  <c r="H72" i="15"/>
  <c r="K72" i="15"/>
  <c r="F73" i="15"/>
  <c r="H73" i="15"/>
  <c r="K73" i="15"/>
  <c r="F74" i="15"/>
  <c r="H74" i="15"/>
  <c r="K74" i="15"/>
  <c r="F75" i="15"/>
  <c r="H75" i="15"/>
  <c r="K75" i="15"/>
  <c r="F76" i="15"/>
  <c r="H76" i="15"/>
  <c r="K76" i="15"/>
  <c r="F77" i="15"/>
  <c r="H77" i="15"/>
  <c r="K77" i="15"/>
  <c r="F78" i="15"/>
  <c r="H78" i="15"/>
  <c r="K78" i="15"/>
  <c r="F79" i="15"/>
  <c r="H79" i="15"/>
  <c r="K79" i="15"/>
  <c r="F80" i="15"/>
  <c r="H80" i="15"/>
  <c r="K80" i="15"/>
  <c r="F81" i="15"/>
  <c r="H81" i="15"/>
  <c r="K81" i="15"/>
  <c r="F86" i="15"/>
  <c r="H86" i="15"/>
  <c r="K86" i="15"/>
  <c r="F87" i="15"/>
  <c r="H87" i="15"/>
  <c r="K87" i="15"/>
  <c r="F4" i="5"/>
  <c r="H4" i="5"/>
  <c r="K4" i="5"/>
  <c r="N44" i="5" s="1"/>
  <c r="F5" i="5"/>
  <c r="H5" i="5"/>
  <c r="K5" i="5"/>
  <c r="F6" i="5"/>
  <c r="H6" i="5"/>
  <c r="K6" i="5"/>
  <c r="F7" i="5"/>
  <c r="H7" i="5"/>
  <c r="K7" i="5"/>
  <c r="F8" i="5"/>
  <c r="H8" i="5"/>
  <c r="K8" i="5"/>
  <c r="F9" i="5"/>
  <c r="H9" i="5"/>
  <c r="K9" i="5"/>
  <c r="F10" i="5"/>
  <c r="H10" i="5"/>
  <c r="K10" i="5"/>
  <c r="F11" i="5"/>
  <c r="H11" i="5"/>
  <c r="K11" i="5"/>
  <c r="F12" i="5"/>
  <c r="H12" i="5"/>
  <c r="K12" i="5"/>
  <c r="F13" i="5"/>
  <c r="H13" i="5"/>
  <c r="K13" i="5"/>
  <c r="F14" i="5"/>
  <c r="H14" i="5"/>
  <c r="K14" i="5"/>
  <c r="F15" i="5"/>
  <c r="H15" i="5"/>
  <c r="K15" i="5"/>
  <c r="K44" i="5" s="1"/>
  <c r="K88" i="5" s="1"/>
  <c r="F16" i="5"/>
  <c r="H16" i="5"/>
  <c r="K16" i="5"/>
  <c r="F17" i="5"/>
  <c r="H17" i="5"/>
  <c r="K17" i="5"/>
  <c r="F18" i="5"/>
  <c r="H18" i="5"/>
  <c r="K18" i="5"/>
  <c r="F19" i="5"/>
  <c r="H19" i="5"/>
  <c r="K19" i="5"/>
  <c r="F20" i="5"/>
  <c r="H20" i="5"/>
  <c r="K20" i="5"/>
  <c r="F21" i="5"/>
  <c r="H21" i="5"/>
  <c r="K21" i="5"/>
  <c r="F22" i="5"/>
  <c r="H22" i="5"/>
  <c r="K22" i="5"/>
  <c r="F23" i="5"/>
  <c r="H23" i="5"/>
  <c r="K23" i="5"/>
  <c r="F24" i="5"/>
  <c r="H24" i="5"/>
  <c r="K24" i="5"/>
  <c r="F25" i="5"/>
  <c r="H25" i="5"/>
  <c r="K25" i="5"/>
  <c r="F26" i="5"/>
  <c r="H26" i="5"/>
  <c r="K26" i="5"/>
  <c r="F27" i="5"/>
  <c r="H27" i="5"/>
  <c r="K27" i="5"/>
  <c r="F28" i="5"/>
  <c r="H28" i="5"/>
  <c r="K28" i="5"/>
  <c r="F29" i="5"/>
  <c r="H29" i="5"/>
  <c r="K29" i="5"/>
  <c r="F30" i="5"/>
  <c r="H30" i="5"/>
  <c r="K30" i="5"/>
  <c r="F31" i="5"/>
  <c r="H31" i="5"/>
  <c r="K31" i="5"/>
  <c r="F32" i="5"/>
  <c r="H32" i="5"/>
  <c r="K32" i="5"/>
  <c r="F33" i="5"/>
  <c r="H33" i="5"/>
  <c r="K33" i="5"/>
  <c r="F34" i="5"/>
  <c r="H34" i="5"/>
  <c r="K34" i="5"/>
  <c r="F35" i="5"/>
  <c r="H35" i="5"/>
  <c r="K35" i="5"/>
  <c r="F36" i="5"/>
  <c r="H36" i="5"/>
  <c r="K36" i="5"/>
  <c r="F37" i="5"/>
  <c r="H37" i="5"/>
  <c r="K37" i="5"/>
  <c r="F38" i="5"/>
  <c r="H38" i="5"/>
  <c r="K38" i="5"/>
  <c r="F39" i="5"/>
  <c r="H39" i="5"/>
  <c r="K39" i="5"/>
  <c r="F40" i="5"/>
  <c r="H40" i="5"/>
  <c r="K40" i="5"/>
  <c r="F41" i="5"/>
  <c r="H41" i="5"/>
  <c r="K41" i="5"/>
  <c r="F48" i="5"/>
  <c r="H48" i="5"/>
  <c r="K48" i="5"/>
  <c r="F49" i="5"/>
  <c r="H49" i="5"/>
  <c r="K49" i="5"/>
  <c r="F50" i="5"/>
  <c r="H50" i="5"/>
  <c r="K50" i="5"/>
  <c r="F51" i="5"/>
  <c r="H51" i="5"/>
  <c r="K51" i="5"/>
  <c r="F52" i="5"/>
  <c r="H52" i="5"/>
  <c r="K52" i="5"/>
  <c r="F53" i="5"/>
  <c r="H53" i="5"/>
  <c r="K53" i="5"/>
  <c r="F54" i="5"/>
  <c r="H54" i="5"/>
  <c r="K54" i="5"/>
  <c r="F55" i="5"/>
  <c r="H55" i="5"/>
  <c r="K55" i="5"/>
  <c r="F56" i="5"/>
  <c r="H56" i="5"/>
  <c r="K56" i="5"/>
  <c r="F57" i="5"/>
  <c r="H57" i="5"/>
  <c r="K57" i="5"/>
  <c r="F58" i="5"/>
  <c r="H58" i="5"/>
  <c r="K58" i="5"/>
  <c r="F59" i="5"/>
  <c r="H59" i="5"/>
  <c r="K59" i="5"/>
  <c r="F60" i="5"/>
  <c r="H60" i="5"/>
  <c r="K60" i="5"/>
  <c r="F61" i="5"/>
  <c r="H61" i="5"/>
  <c r="K61" i="5"/>
  <c r="F62" i="5"/>
  <c r="H62" i="5"/>
  <c r="K62" i="5"/>
  <c r="F63" i="5"/>
  <c r="H63" i="5"/>
  <c r="K63" i="5"/>
  <c r="F64" i="5"/>
  <c r="H64" i="5"/>
  <c r="K64" i="5"/>
  <c r="F65" i="5"/>
  <c r="H65" i="5"/>
  <c r="K65" i="5"/>
  <c r="F66" i="5"/>
  <c r="H66" i="5"/>
  <c r="K66" i="5"/>
  <c r="F67" i="5"/>
  <c r="H67" i="5"/>
  <c r="K67" i="5"/>
  <c r="F68" i="5"/>
  <c r="H68" i="5"/>
  <c r="K68" i="5"/>
  <c r="F69" i="5"/>
  <c r="H69" i="5"/>
  <c r="K69" i="5"/>
  <c r="F70" i="5"/>
  <c r="H70" i="5"/>
  <c r="K70" i="5"/>
  <c r="F71" i="5"/>
  <c r="H71" i="5"/>
  <c r="K71" i="5"/>
  <c r="F72" i="5"/>
  <c r="H72" i="5"/>
  <c r="K72" i="5"/>
  <c r="F73" i="5"/>
  <c r="H73" i="5"/>
  <c r="K73" i="5"/>
  <c r="F74" i="5"/>
  <c r="H74" i="5"/>
  <c r="K74" i="5"/>
  <c r="F75" i="5"/>
  <c r="H75" i="5"/>
  <c r="K75" i="5"/>
  <c r="F76" i="5"/>
  <c r="H76" i="5"/>
  <c r="K76" i="5"/>
  <c r="F77" i="5"/>
  <c r="H77" i="5"/>
  <c r="K77" i="5"/>
  <c r="F78" i="5"/>
  <c r="H78" i="5"/>
  <c r="K78" i="5"/>
  <c r="F79" i="5"/>
  <c r="H79" i="5"/>
  <c r="K79" i="5"/>
  <c r="F80" i="5"/>
  <c r="H80" i="5"/>
  <c r="K80" i="5"/>
  <c r="F81" i="5"/>
  <c r="H81" i="5"/>
  <c r="K81" i="5"/>
  <c r="F82" i="5"/>
  <c r="H82" i="5"/>
  <c r="K82" i="5"/>
  <c r="F83" i="5"/>
  <c r="H83" i="5"/>
  <c r="K83" i="5"/>
  <c r="F84" i="5"/>
  <c r="H84" i="5"/>
  <c r="K84" i="5"/>
  <c r="F85" i="5"/>
  <c r="H85" i="5"/>
  <c r="K85" i="5"/>
  <c r="F87" i="5"/>
  <c r="H87" i="5"/>
  <c r="K87" i="5"/>
  <c r="F88" i="5"/>
  <c r="H88" i="5"/>
  <c r="K44" i="33" l="1"/>
  <c r="K88" i="33" s="1"/>
  <c r="K44" i="32"/>
  <c r="K88" i="32" s="1"/>
  <c r="K44" i="31"/>
  <c r="K88" i="31" s="1"/>
  <c r="K44" i="30"/>
  <c r="K88" i="30" s="1"/>
  <c r="K44" i="29"/>
  <c r="K88" i="29" s="1"/>
  <c r="K44" i="26"/>
  <c r="K88" i="26" s="1"/>
  <c r="M44" i="25"/>
  <c r="K44" i="25"/>
  <c r="K88" i="25" s="1"/>
  <c r="K44" i="24"/>
  <c r="K88" i="24" s="1"/>
  <c r="K44" i="23"/>
  <c r="K88" i="23" s="1"/>
  <c r="M44" i="5"/>
  <c r="M44" i="33" l="1"/>
  <c r="M44" i="32"/>
  <c r="M44" i="31"/>
  <c r="M44" i="30"/>
  <c r="M44" i="29"/>
  <c r="M44" i="26"/>
  <c r="M44" i="24"/>
  <c r="M44" i="23"/>
</calcChain>
</file>

<file path=xl/sharedStrings.xml><?xml version="1.0" encoding="utf-8"?>
<sst xmlns="http://schemas.openxmlformats.org/spreadsheetml/2006/main" count="4595" uniqueCount="23">
  <si>
    <t>課税対象産業廃棄物納入帳簿（産業廃棄物管理票から転記）</t>
    <rPh sb="0" eb="2">
      <t>カゼイ</t>
    </rPh>
    <rPh sb="2" eb="4">
      <t>タイショウ</t>
    </rPh>
    <rPh sb="4" eb="6">
      <t>サンギョウ</t>
    </rPh>
    <rPh sb="6" eb="9">
      <t>ハイキブツ</t>
    </rPh>
    <rPh sb="9" eb="11">
      <t>ノウニュウ</t>
    </rPh>
    <rPh sb="11" eb="13">
      <t>チョウボ</t>
    </rPh>
    <rPh sb="14" eb="16">
      <t>サンギョウ</t>
    </rPh>
    <rPh sb="16" eb="19">
      <t>ハイキブツ</t>
    </rPh>
    <rPh sb="19" eb="21">
      <t>カンリ</t>
    </rPh>
    <rPh sb="21" eb="22">
      <t>ヒョウ</t>
    </rPh>
    <rPh sb="24" eb="26">
      <t>テンキ</t>
    </rPh>
    <phoneticPr fontId="2"/>
  </si>
  <si>
    <t>廃棄物の種類</t>
    <rPh sb="0" eb="3">
      <t>ハイキブツ</t>
    </rPh>
    <rPh sb="4" eb="6">
      <t>シュルイ</t>
    </rPh>
    <phoneticPr fontId="2"/>
  </si>
  <si>
    <t>交付者氏名</t>
    <rPh sb="0" eb="2">
      <t>コウフ</t>
    </rPh>
    <rPh sb="2" eb="3">
      <t>シャ</t>
    </rPh>
    <rPh sb="3" eb="5">
      <t>シメイ</t>
    </rPh>
    <phoneticPr fontId="2"/>
  </si>
  <si>
    <t>交付番号</t>
    <rPh sb="0" eb="2">
      <t>コウフ</t>
    </rPh>
    <rPh sb="2" eb="4">
      <t>バンゴウ</t>
    </rPh>
    <phoneticPr fontId="2"/>
  </si>
  <si>
    <t>交付年月日</t>
    <rPh sb="0" eb="2">
      <t>コウフ</t>
    </rPh>
    <rPh sb="2" eb="3">
      <t>ネン</t>
    </rPh>
    <rPh sb="3" eb="4">
      <t>ツキ</t>
    </rPh>
    <rPh sb="4" eb="5">
      <t>ニチ</t>
    </rPh>
    <phoneticPr fontId="2"/>
  </si>
  <si>
    <t>循環税額</t>
    <rPh sb="0" eb="2">
      <t>ジュンカン</t>
    </rPh>
    <rPh sb="2" eb="4">
      <t>ゼイガク</t>
    </rPh>
    <phoneticPr fontId="2"/>
  </si>
  <si>
    <t>円</t>
    <rPh sb="0" eb="1">
      <t>エン</t>
    </rPh>
    <phoneticPr fontId="2"/>
  </si>
  <si>
    <t>受入年月日</t>
    <rPh sb="0" eb="2">
      <t>ウケイ</t>
    </rPh>
    <rPh sb="2" eb="3">
      <t>ネン</t>
    </rPh>
    <rPh sb="3" eb="4">
      <t>ツキ</t>
    </rPh>
    <rPh sb="4" eb="5">
      <t>ニチ</t>
    </rPh>
    <phoneticPr fontId="2"/>
  </si>
  <si>
    <t>受入量</t>
    <rPh sb="0" eb="2">
      <t>ウケイ</t>
    </rPh>
    <rPh sb="2" eb="3">
      <t>リョウ</t>
    </rPh>
    <phoneticPr fontId="2"/>
  </si>
  <si>
    <t>様式　北海道循環資源利用促進税申告関係（申告納税者）</t>
    <rPh sb="0" eb="2">
      <t>ヨウシキ</t>
    </rPh>
    <rPh sb="3" eb="6">
      <t>ホッカイドウ</t>
    </rPh>
    <rPh sb="6" eb="8">
      <t>ジュンカン</t>
    </rPh>
    <rPh sb="8" eb="10">
      <t>シゲン</t>
    </rPh>
    <rPh sb="10" eb="12">
      <t>リヨウ</t>
    </rPh>
    <rPh sb="12" eb="14">
      <t>ソクシン</t>
    </rPh>
    <rPh sb="14" eb="15">
      <t>ゼイ</t>
    </rPh>
    <rPh sb="15" eb="17">
      <t>シンコク</t>
    </rPh>
    <rPh sb="17" eb="19">
      <t>カンケイ</t>
    </rPh>
    <rPh sb="20" eb="22">
      <t>シンコク</t>
    </rPh>
    <rPh sb="22" eb="24">
      <t>ノウゼイ</t>
    </rPh>
    <rPh sb="24" eb="25">
      <t>シャ</t>
    </rPh>
    <phoneticPr fontId="2"/>
  </si>
  <si>
    <t>領収番号</t>
    <rPh sb="0" eb="1">
      <t>リョウ</t>
    </rPh>
    <rPh sb="1" eb="2">
      <t>シュウ</t>
    </rPh>
    <rPh sb="2" eb="4">
      <t>バンゴウ</t>
    </rPh>
    <phoneticPr fontId="2"/>
  </si>
  <si>
    <t>kg</t>
  </si>
  <si>
    <t>下水道汚泥</t>
  </si>
  <si>
    <t>様式　北海道循環資源利用促進税申告関係（特別徴収義務者）</t>
    <rPh sb="0" eb="2">
      <t>ヨウシキ</t>
    </rPh>
    <rPh sb="3" eb="6">
      <t>ホッカイドウ</t>
    </rPh>
    <rPh sb="6" eb="8">
      <t>ジュンカン</t>
    </rPh>
    <rPh sb="8" eb="10">
      <t>シゲン</t>
    </rPh>
    <rPh sb="10" eb="12">
      <t>リヨウ</t>
    </rPh>
    <rPh sb="12" eb="14">
      <t>ソクシン</t>
    </rPh>
    <rPh sb="14" eb="15">
      <t>ゼイ</t>
    </rPh>
    <rPh sb="15" eb="17">
      <t>シンコク</t>
    </rPh>
    <rPh sb="17" eb="19">
      <t>カンケイ</t>
    </rPh>
    <rPh sb="20" eb="22">
      <t>トクベツ</t>
    </rPh>
    <rPh sb="22" eb="24">
      <t>チョウシュウ</t>
    </rPh>
    <rPh sb="24" eb="26">
      <t>ギム</t>
    </rPh>
    <rPh sb="26" eb="27">
      <t>シャ</t>
    </rPh>
    <phoneticPr fontId="2"/>
  </si>
  <si>
    <t>納額通
知番号</t>
    <rPh sb="0" eb="2">
      <t>ノウガク</t>
    </rPh>
    <rPh sb="2" eb="3">
      <t>ツウ</t>
    </rPh>
    <rPh sb="4" eb="5">
      <t>チ</t>
    </rPh>
    <rPh sb="5" eb="7">
      <t>バンゴウ</t>
    </rPh>
    <phoneticPr fontId="2"/>
  </si>
  <si>
    <t>kg</t>
    <phoneticPr fontId="2"/>
  </si>
  <si>
    <t>kg</t>
    <phoneticPr fontId="2"/>
  </si>
  <si>
    <r>
      <t>k</t>
    </r>
    <r>
      <rPr>
        <sz val="11"/>
        <rFont val="ＭＳ Ｐゴシック"/>
        <family val="3"/>
        <charset val="128"/>
      </rPr>
      <t>g</t>
    </r>
    <phoneticPr fontId="2"/>
  </si>
  <si>
    <t>納額通
知番号</t>
    <rPh sb="0" eb="1">
      <t>ノウ</t>
    </rPh>
    <rPh sb="1" eb="2">
      <t>ガク</t>
    </rPh>
    <rPh sb="2" eb="3">
      <t>ツウ</t>
    </rPh>
    <rPh sb="4" eb="5">
      <t>チ</t>
    </rPh>
    <rPh sb="5" eb="7">
      <t>バンゴウ</t>
    </rPh>
    <phoneticPr fontId="2"/>
  </si>
  <si>
    <t>kg</t>
    <phoneticPr fontId="2"/>
  </si>
  <si>
    <t>kg</t>
    <phoneticPr fontId="2"/>
  </si>
  <si>
    <t>現金</t>
    <rPh sb="0" eb="2">
      <t>ゲンキン</t>
    </rPh>
    <phoneticPr fontId="2"/>
  </si>
  <si>
    <t>未納</t>
    <rPh sb="0" eb="2">
      <t>ミノウ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</si>
</sst>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;[Red]0"/>
    <numFmt numFmtId="177" formatCode="0_);[Red]\(0\)"/>
    <numFmt numFmtId="178" formatCode="#,##0;[Red]#,##0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57" fontId="4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3" fillId="0" borderId="3" xfId="0" applyFont="1" applyBorder="1" applyAlignment="1">
      <alignment horizontal="left" vertical="center" justifyLastLine="1" shrinkToFit="1"/>
    </xf>
    <xf numFmtId="178" fontId="1" fillId="0" borderId="6" xfId="0" applyNumberFormat="1" applyFont="1" applyBorder="1" applyAlignment="1">
      <alignment horizontal="right" vertical="center"/>
    </xf>
    <xf numFmtId="178" fontId="1" fillId="0" borderId="7" xfId="0" applyNumberFormat="1" applyFont="1" applyBorder="1" applyAlignment="1">
      <alignment vertical="center"/>
    </xf>
    <xf numFmtId="178" fontId="1" fillId="0" borderId="4" xfId="0" applyNumberFormat="1" applyFont="1" applyBorder="1" applyAlignment="1">
      <alignment horizontal="right" vertical="center"/>
    </xf>
    <xf numFmtId="178" fontId="1" fillId="0" borderId="2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distributed" vertical="center" justifyLastLine="1" shrinkToFit="1"/>
    </xf>
    <xf numFmtId="0" fontId="3" fillId="0" borderId="3" xfId="0" applyFont="1" applyBorder="1" applyAlignment="1">
      <alignment horizontal="distributed" vertical="center" shrinkToFit="1"/>
    </xf>
    <xf numFmtId="178" fontId="1" fillId="0" borderId="8" xfId="0" applyNumberFormat="1" applyFont="1" applyBorder="1" applyAlignment="1">
      <alignment horizontal="right" vertical="center"/>
    </xf>
    <xf numFmtId="178" fontId="1" fillId="0" borderId="2" xfId="0" applyNumberFormat="1" applyFont="1" applyBorder="1" applyAlignment="1">
      <alignment vertical="center"/>
    </xf>
    <xf numFmtId="178" fontId="1" fillId="0" borderId="0" xfId="0" applyNumberFormat="1" applyFont="1" applyAlignment="1">
      <alignment horizontal="right" vertical="center"/>
    </xf>
    <xf numFmtId="178" fontId="1" fillId="0" borderId="0" xfId="0" applyNumberFormat="1" applyFont="1" applyAlignment="1">
      <alignment vertical="center"/>
    </xf>
    <xf numFmtId="0" fontId="4" fillId="0" borderId="9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right" vertical="center"/>
    </xf>
    <xf numFmtId="0" fontId="6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177" fontId="3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 shrinkToFit="1"/>
    </xf>
    <xf numFmtId="0" fontId="1" fillId="0" borderId="6" xfId="0" applyFont="1" applyBorder="1" applyAlignment="1">
      <alignment horizontal="right" vertical="center"/>
    </xf>
    <xf numFmtId="3" fontId="1" fillId="0" borderId="7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3" fontId="1" fillId="0" borderId="2" xfId="0" applyNumberFormat="1" applyFont="1" applyBorder="1" applyAlignment="1">
      <alignment vertical="center"/>
    </xf>
    <xf numFmtId="3" fontId="1" fillId="0" borderId="4" xfId="0" applyNumberFormat="1" applyFont="1" applyBorder="1" applyAlignment="1">
      <alignment horizontal="right" vertical="center"/>
    </xf>
    <xf numFmtId="3" fontId="1" fillId="0" borderId="4" xfId="0" applyNumberFormat="1" applyFont="1" applyBorder="1" applyAlignment="1">
      <alignment vertical="center"/>
    </xf>
    <xf numFmtId="176" fontId="1" fillId="0" borderId="11" xfId="0" applyNumberFormat="1" applyFont="1" applyBorder="1" applyAlignment="1">
      <alignment horizontal="right" vertical="center"/>
    </xf>
    <xf numFmtId="3" fontId="1" fillId="0" borderId="2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57" fontId="4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176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0" fontId="1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57" fontId="4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right" vertical="center"/>
    </xf>
    <xf numFmtId="0" fontId="6" fillId="0" borderId="14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vertical="center"/>
    </xf>
    <xf numFmtId="176" fontId="1" fillId="0" borderId="12" xfId="0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wrapText="1"/>
    </xf>
    <xf numFmtId="3" fontId="4" fillId="0" borderId="0" xfId="0" applyNumberFormat="1" applyFont="1" applyAlignment="1">
      <alignment horizontal="right" vertical="center"/>
    </xf>
    <xf numFmtId="178" fontId="4" fillId="0" borderId="0" xfId="0" applyNumberFormat="1" applyFont="1" applyAlignment="1">
      <alignment horizontal="right" vertical="center"/>
    </xf>
    <xf numFmtId="0" fontId="3" fillId="0" borderId="14" xfId="0" applyFont="1" applyBorder="1" applyAlignment="1">
      <alignment horizontal="distributed" vertical="center" shrinkToFit="1"/>
    </xf>
    <xf numFmtId="178" fontId="1" fillId="0" borderId="13" xfId="0" applyNumberFormat="1" applyFont="1" applyBorder="1" applyAlignment="1">
      <alignment horizontal="right" vertical="center"/>
    </xf>
    <xf numFmtId="178" fontId="1" fillId="0" borderId="13" xfId="0" applyNumberFormat="1" applyFont="1" applyBorder="1" applyAlignment="1">
      <alignment vertical="center"/>
    </xf>
    <xf numFmtId="0" fontId="6" fillId="0" borderId="3" xfId="0" applyFont="1" applyBorder="1" applyAlignment="1">
      <alignment horizontal="left" vertical="center" justifyLastLine="1" shrinkToFit="1"/>
    </xf>
    <xf numFmtId="0" fontId="6" fillId="0" borderId="3" xfId="0" applyFont="1" applyBorder="1" applyAlignment="1">
      <alignment horizontal="distributed" vertical="center" justifyLastLine="1" shrinkToFit="1"/>
    </xf>
    <xf numFmtId="0" fontId="6" fillId="0" borderId="3" xfId="0" applyFont="1" applyBorder="1" applyAlignment="1">
      <alignment horizontal="distributed" vertical="center" shrinkToFit="1"/>
    </xf>
    <xf numFmtId="0" fontId="6" fillId="0" borderId="14" xfId="0" applyFont="1" applyBorder="1" applyAlignment="1">
      <alignment horizontal="distributed" vertical="center" shrinkToFit="1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justifyLastLine="1" shrinkToFit="1"/>
    </xf>
    <xf numFmtId="176" fontId="1" fillId="2" borderId="0" xfId="0" applyNumberFormat="1" applyFont="1" applyFill="1" applyAlignment="1">
      <alignment horizontal="right" vertical="center"/>
    </xf>
    <xf numFmtId="0" fontId="4" fillId="0" borderId="3" xfId="0" applyFont="1" applyBorder="1" applyAlignment="1">
      <alignment horizontal="distributed" vertical="center" justifyLastLine="1" shrinkToFit="1"/>
    </xf>
    <xf numFmtId="0" fontId="4" fillId="0" borderId="3" xfId="0" applyFont="1" applyBorder="1" applyAlignment="1">
      <alignment horizontal="distributed" vertical="center" shrinkToFit="1"/>
    </xf>
    <xf numFmtId="0" fontId="4" fillId="0" borderId="14" xfId="0" applyFont="1" applyBorder="1" applyAlignment="1">
      <alignment horizontal="distributed" vertical="center" shrinkToFit="1"/>
    </xf>
    <xf numFmtId="0" fontId="1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distributed" vertical="center" shrinkToFit="1"/>
    </xf>
    <xf numFmtId="0" fontId="4" fillId="0" borderId="17" xfId="0" applyFont="1" applyBorder="1" applyAlignment="1">
      <alignment horizontal="center" vertical="center"/>
    </xf>
    <xf numFmtId="57" fontId="4" fillId="0" borderId="15" xfId="0" applyNumberFormat="1" applyFont="1" applyBorder="1" applyAlignment="1">
      <alignment horizontal="center" vertical="center"/>
    </xf>
    <xf numFmtId="178" fontId="1" fillId="0" borderId="16" xfId="0" applyNumberFormat="1" applyFont="1" applyBorder="1" applyAlignment="1">
      <alignment horizontal="right" vertical="center"/>
    </xf>
    <xf numFmtId="0" fontId="6" fillId="0" borderId="17" xfId="0" applyFont="1" applyBorder="1" applyAlignment="1">
      <alignment horizontal="center" vertical="center"/>
    </xf>
    <xf numFmtId="178" fontId="1" fillId="0" borderId="16" xfId="0" applyNumberFormat="1" applyFont="1" applyBorder="1" applyAlignment="1">
      <alignment vertical="center"/>
    </xf>
    <xf numFmtId="176" fontId="1" fillId="0" borderId="15" xfId="0" applyNumberFormat="1" applyFont="1" applyBorder="1" applyAlignment="1">
      <alignment horizontal="right" vertical="center"/>
    </xf>
    <xf numFmtId="176" fontId="1" fillId="0" borderId="12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shrinkToFit="1"/>
    </xf>
    <xf numFmtId="0" fontId="0" fillId="0" borderId="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660FE-A8F0-484A-AFBA-84151CB667BF}">
  <dimension ref="A1:O88"/>
  <sheetViews>
    <sheetView topLeftCell="A64" workbookViewId="0">
      <selection activeCell="M4" sqref="M4"/>
    </sheetView>
  </sheetViews>
  <sheetFormatPr defaultRowHeight="13.5" x14ac:dyDescent="0.15"/>
  <cols>
    <col min="1" max="1" width="3.375" style="12" customWidth="1"/>
    <col min="2" max="2" width="11" style="10" customWidth="1"/>
    <col min="3" max="3" width="1" style="10" customWidth="1"/>
    <col min="4" max="4" width="15.625" style="10" customWidth="1"/>
    <col min="5" max="5" width="10.125" style="10" customWidth="1"/>
    <col min="6" max="6" width="2.25" style="10" customWidth="1"/>
    <col min="7" max="8" width="8.625" style="10" customWidth="1"/>
    <col min="9" max="9" width="6" style="13" customWidth="1"/>
    <col min="10" max="10" width="2.375" style="10" customWidth="1"/>
    <col min="11" max="11" width="6.125" style="10" customWidth="1"/>
    <col min="12" max="12" width="2.25" style="10" customWidth="1"/>
    <col min="13" max="14" width="6.25" style="12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 x14ac:dyDescent="0.15">
      <c r="B1" s="95" t="s">
        <v>13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10"/>
    </row>
    <row r="2" spans="1:15" ht="21" customHeight="1" x14ac:dyDescent="0.15"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10"/>
    </row>
    <row r="3" spans="1:15" ht="26.25" customHeight="1" x14ac:dyDescent="0.15">
      <c r="A3" s="11"/>
      <c r="B3" s="2" t="s">
        <v>1</v>
      </c>
      <c r="C3" s="97" t="s">
        <v>2</v>
      </c>
      <c r="D3" s="98"/>
      <c r="E3" s="99" t="s">
        <v>3</v>
      </c>
      <c r="F3" s="100"/>
      <c r="G3" s="25" t="s">
        <v>4</v>
      </c>
      <c r="H3" s="25" t="s">
        <v>7</v>
      </c>
      <c r="I3" s="101" t="s">
        <v>8</v>
      </c>
      <c r="J3" s="99"/>
      <c r="K3" s="101" t="s">
        <v>5</v>
      </c>
      <c r="L3" s="101"/>
      <c r="M3" s="26" t="s">
        <v>14</v>
      </c>
      <c r="N3" s="1" t="s">
        <v>10</v>
      </c>
    </row>
    <row r="4" spans="1:15" ht="18.75" customHeight="1" x14ac:dyDescent="0.15">
      <c r="A4" s="11">
        <v>1</v>
      </c>
      <c r="B4" s="2" t="s">
        <v>12</v>
      </c>
      <c r="C4" s="3"/>
      <c r="D4" s="14"/>
      <c r="E4" s="3"/>
      <c r="F4" s="4" t="str">
        <f t="shared" ref="F4:F43" si="0">IF(E4="","",E4-7*INT(E4/7))</f>
        <v/>
      </c>
      <c r="G4" s="5"/>
      <c r="H4" s="5" t="str">
        <f t="shared" ref="H4:H43" si="1">IF(G4="","",G4)</f>
        <v/>
      </c>
      <c r="I4" s="15"/>
      <c r="J4" s="6" t="s">
        <v>15</v>
      </c>
      <c r="K4" s="16" t="str">
        <f t="shared" ref="K4:K43" si="2">IF(I4&gt;0,I4,"")</f>
        <v/>
      </c>
      <c r="L4" s="6" t="s">
        <v>6</v>
      </c>
      <c r="M4" s="27"/>
      <c r="N4" s="27"/>
    </row>
    <row r="5" spans="1:15" ht="18.75" customHeight="1" x14ac:dyDescent="0.15">
      <c r="A5" s="11">
        <v>2</v>
      </c>
      <c r="B5" s="2" t="s">
        <v>12</v>
      </c>
      <c r="C5" s="3"/>
      <c r="D5" s="14"/>
      <c r="E5" s="7"/>
      <c r="F5" s="4" t="str">
        <f t="shared" si="0"/>
        <v/>
      </c>
      <c r="G5" s="5"/>
      <c r="H5" s="5" t="str">
        <f t="shared" si="1"/>
        <v/>
      </c>
      <c r="I5" s="17"/>
      <c r="J5" s="8" t="s">
        <v>16</v>
      </c>
      <c r="K5" s="16" t="str">
        <f t="shared" si="2"/>
        <v/>
      </c>
      <c r="L5" s="9" t="s">
        <v>6</v>
      </c>
      <c r="M5" s="27"/>
      <c r="N5" s="27"/>
    </row>
    <row r="6" spans="1:15" ht="18.75" customHeight="1" x14ac:dyDescent="0.15">
      <c r="A6" s="11">
        <v>3</v>
      </c>
      <c r="B6" s="2" t="s">
        <v>12</v>
      </c>
      <c r="C6" s="3"/>
      <c r="D6" s="14"/>
      <c r="E6" s="3"/>
      <c r="F6" s="4" t="str">
        <f t="shared" si="0"/>
        <v/>
      </c>
      <c r="G6" s="5"/>
      <c r="H6" s="5" t="str">
        <f t="shared" si="1"/>
        <v/>
      </c>
      <c r="I6" s="18"/>
      <c r="J6" s="6" t="s">
        <v>16</v>
      </c>
      <c r="K6" s="16" t="str">
        <f t="shared" si="2"/>
        <v/>
      </c>
      <c r="L6" s="6" t="s">
        <v>6</v>
      </c>
      <c r="M6" s="27"/>
      <c r="N6" s="27"/>
    </row>
    <row r="7" spans="1:15" ht="18.75" customHeight="1" x14ac:dyDescent="0.15">
      <c r="A7" s="11">
        <v>4</v>
      </c>
      <c r="B7" s="2" t="s">
        <v>12</v>
      </c>
      <c r="C7" s="3"/>
      <c r="D7" s="14"/>
      <c r="E7" s="3"/>
      <c r="F7" s="4" t="str">
        <f t="shared" si="0"/>
        <v/>
      </c>
      <c r="G7" s="5"/>
      <c r="H7" s="5" t="str">
        <f t="shared" si="1"/>
        <v/>
      </c>
      <c r="I7" s="17"/>
      <c r="J7" s="8" t="s">
        <v>16</v>
      </c>
      <c r="K7" s="16" t="str">
        <f t="shared" si="2"/>
        <v/>
      </c>
      <c r="L7" s="9" t="s">
        <v>6</v>
      </c>
      <c r="M7" s="27"/>
      <c r="N7" s="27"/>
    </row>
    <row r="8" spans="1:15" ht="18.75" customHeight="1" x14ac:dyDescent="0.15">
      <c r="A8" s="11">
        <v>5</v>
      </c>
      <c r="B8" s="2" t="s">
        <v>12</v>
      </c>
      <c r="C8" s="3"/>
      <c r="D8" s="60"/>
      <c r="E8" s="7"/>
      <c r="F8" s="4" t="str">
        <f t="shared" si="0"/>
        <v/>
      </c>
      <c r="G8" s="5"/>
      <c r="H8" s="5" t="str">
        <f t="shared" si="1"/>
        <v/>
      </c>
      <c r="I8" s="18"/>
      <c r="J8" s="6" t="s">
        <v>16</v>
      </c>
      <c r="K8" s="16" t="str">
        <f t="shared" si="2"/>
        <v/>
      </c>
      <c r="L8" s="6" t="s">
        <v>6</v>
      </c>
      <c r="M8" s="27"/>
      <c r="N8" s="27"/>
    </row>
    <row r="9" spans="1:15" ht="18.75" customHeight="1" x14ac:dyDescent="0.15">
      <c r="A9" s="11">
        <v>6</v>
      </c>
      <c r="B9" s="2" t="s">
        <v>12</v>
      </c>
      <c r="C9" s="3"/>
      <c r="D9" s="14"/>
      <c r="E9" s="3"/>
      <c r="F9" s="4" t="str">
        <f t="shared" si="0"/>
        <v/>
      </c>
      <c r="G9" s="5"/>
      <c r="H9" s="5" t="str">
        <f t="shared" si="1"/>
        <v/>
      </c>
      <c r="I9" s="18"/>
      <c r="J9" s="6" t="s">
        <v>16</v>
      </c>
      <c r="K9" s="16" t="str">
        <f t="shared" si="2"/>
        <v/>
      </c>
      <c r="L9" s="6" t="s">
        <v>6</v>
      </c>
      <c r="M9" s="27"/>
      <c r="N9" s="27"/>
    </row>
    <row r="10" spans="1:15" ht="18.75" customHeight="1" x14ac:dyDescent="0.15">
      <c r="A10" s="11">
        <v>7</v>
      </c>
      <c r="B10" s="2" t="s">
        <v>12</v>
      </c>
      <c r="C10" s="3"/>
      <c r="D10" s="14"/>
      <c r="E10" s="3"/>
      <c r="F10" s="4" t="str">
        <f t="shared" si="0"/>
        <v/>
      </c>
      <c r="G10" s="5"/>
      <c r="H10" s="5" t="str">
        <f t="shared" si="1"/>
        <v/>
      </c>
      <c r="I10" s="17"/>
      <c r="J10" s="28" t="s">
        <v>16</v>
      </c>
      <c r="K10" s="16" t="str">
        <f t="shared" si="2"/>
        <v/>
      </c>
      <c r="L10" s="28" t="s">
        <v>6</v>
      </c>
      <c r="M10" s="27"/>
      <c r="N10" s="27"/>
    </row>
    <row r="11" spans="1:15" ht="18.75" customHeight="1" x14ac:dyDescent="0.15">
      <c r="A11" s="11">
        <v>8</v>
      </c>
      <c r="B11" s="2" t="s">
        <v>12</v>
      </c>
      <c r="C11" s="3"/>
      <c r="D11" s="14"/>
      <c r="E11" s="7"/>
      <c r="F11" s="4" t="str">
        <f t="shared" si="0"/>
        <v/>
      </c>
      <c r="G11" s="5"/>
      <c r="H11" s="5" t="str">
        <f t="shared" si="1"/>
        <v/>
      </c>
      <c r="I11" s="18"/>
      <c r="J11" s="8" t="s">
        <v>16</v>
      </c>
      <c r="K11" s="16" t="str">
        <f t="shared" si="2"/>
        <v/>
      </c>
      <c r="L11" s="9" t="s">
        <v>6</v>
      </c>
      <c r="M11" s="27"/>
      <c r="N11" s="27"/>
    </row>
    <row r="12" spans="1:15" ht="18.75" customHeight="1" x14ac:dyDescent="0.15">
      <c r="A12" s="11">
        <v>9</v>
      </c>
      <c r="B12" s="2" t="s">
        <v>12</v>
      </c>
      <c r="C12" s="3"/>
      <c r="D12" s="14"/>
      <c r="E12" s="3"/>
      <c r="F12" s="4" t="str">
        <f t="shared" si="0"/>
        <v/>
      </c>
      <c r="G12" s="5"/>
      <c r="H12" s="5" t="str">
        <f t="shared" si="1"/>
        <v/>
      </c>
      <c r="I12" s="18"/>
      <c r="J12" s="6" t="s">
        <v>16</v>
      </c>
      <c r="K12" s="16" t="str">
        <f t="shared" si="2"/>
        <v/>
      </c>
      <c r="L12" s="6" t="s">
        <v>6</v>
      </c>
      <c r="M12" s="27"/>
      <c r="N12" s="27"/>
    </row>
    <row r="13" spans="1:15" ht="18.75" customHeight="1" x14ac:dyDescent="0.15">
      <c r="A13" s="11">
        <v>10</v>
      </c>
      <c r="B13" s="2" t="s">
        <v>12</v>
      </c>
      <c r="C13" s="3"/>
      <c r="D13" s="14"/>
      <c r="E13" s="7"/>
      <c r="F13" s="4" t="str">
        <f t="shared" si="0"/>
        <v/>
      </c>
      <c r="G13" s="5"/>
      <c r="H13" s="5" t="str">
        <f t="shared" si="1"/>
        <v/>
      </c>
      <c r="I13" s="18"/>
      <c r="J13" s="8" t="s">
        <v>16</v>
      </c>
      <c r="K13" s="16" t="str">
        <f t="shared" si="2"/>
        <v/>
      </c>
      <c r="L13" s="9" t="s">
        <v>6</v>
      </c>
      <c r="M13" s="27"/>
      <c r="N13" s="27"/>
      <c r="O13" s="59"/>
    </row>
    <row r="14" spans="1:15" ht="18.75" customHeight="1" x14ac:dyDescent="0.15">
      <c r="A14" s="11">
        <v>11</v>
      </c>
      <c r="B14" s="2" t="s">
        <v>12</v>
      </c>
      <c r="C14" s="3"/>
      <c r="D14" s="14"/>
      <c r="E14" s="3"/>
      <c r="F14" s="4" t="str">
        <f t="shared" si="0"/>
        <v/>
      </c>
      <c r="G14" s="5"/>
      <c r="H14" s="5" t="str">
        <f t="shared" si="1"/>
        <v/>
      </c>
      <c r="I14" s="18"/>
      <c r="J14" s="6" t="s">
        <v>16</v>
      </c>
      <c r="K14" s="16" t="str">
        <f t="shared" si="2"/>
        <v/>
      </c>
      <c r="L14" s="6" t="s">
        <v>6</v>
      </c>
      <c r="M14" s="27"/>
      <c r="N14" s="27"/>
    </row>
    <row r="15" spans="1:15" ht="18.75" customHeight="1" x14ac:dyDescent="0.15">
      <c r="A15" s="11">
        <v>12</v>
      </c>
      <c r="B15" s="2" t="s">
        <v>12</v>
      </c>
      <c r="C15" s="3"/>
      <c r="D15" s="14"/>
      <c r="E15" s="3"/>
      <c r="F15" s="4" t="str">
        <f t="shared" si="0"/>
        <v/>
      </c>
      <c r="G15" s="5"/>
      <c r="H15" s="5" t="str">
        <f t="shared" si="1"/>
        <v/>
      </c>
      <c r="I15" s="17"/>
      <c r="J15" s="8" t="s">
        <v>16</v>
      </c>
      <c r="K15" s="16" t="str">
        <f t="shared" si="2"/>
        <v/>
      </c>
      <c r="L15" s="6" t="s">
        <v>6</v>
      </c>
      <c r="M15" s="27"/>
      <c r="N15" s="27"/>
    </row>
    <row r="16" spans="1:15" ht="18.75" customHeight="1" x14ac:dyDescent="0.15">
      <c r="A16" s="11">
        <v>13</v>
      </c>
      <c r="B16" s="2"/>
      <c r="C16" s="3"/>
      <c r="D16" s="19"/>
      <c r="E16" s="3"/>
      <c r="F16" s="4" t="str">
        <f t="shared" si="0"/>
        <v/>
      </c>
      <c r="G16" s="5"/>
      <c r="H16" s="5" t="str">
        <f t="shared" si="1"/>
        <v/>
      </c>
      <c r="I16" s="18"/>
      <c r="J16" s="6" t="s">
        <v>16</v>
      </c>
      <c r="K16" s="16" t="str">
        <f t="shared" si="2"/>
        <v/>
      </c>
      <c r="L16" s="6" t="s">
        <v>6</v>
      </c>
      <c r="M16" s="27"/>
      <c r="N16" s="27"/>
    </row>
    <row r="17" spans="1:14" ht="18.75" customHeight="1" x14ac:dyDescent="0.15">
      <c r="A17" s="11">
        <v>14</v>
      </c>
      <c r="B17" s="2"/>
      <c r="C17" s="3"/>
      <c r="D17" s="19"/>
      <c r="E17" s="3"/>
      <c r="F17" s="4" t="str">
        <f t="shared" si="0"/>
        <v/>
      </c>
      <c r="G17" s="5"/>
      <c r="H17" s="5" t="str">
        <f t="shared" si="1"/>
        <v/>
      </c>
      <c r="I17" s="18"/>
      <c r="J17" s="6" t="s">
        <v>16</v>
      </c>
      <c r="K17" s="16" t="str">
        <f t="shared" si="2"/>
        <v/>
      </c>
      <c r="L17" s="6" t="s">
        <v>6</v>
      </c>
      <c r="M17" s="27"/>
      <c r="N17" s="27"/>
    </row>
    <row r="18" spans="1:14" ht="18.75" customHeight="1" x14ac:dyDescent="0.15">
      <c r="A18" s="11">
        <v>15</v>
      </c>
      <c r="B18" s="2"/>
      <c r="C18" s="3"/>
      <c r="D18" s="19"/>
      <c r="E18" s="3"/>
      <c r="F18" s="4" t="str">
        <f t="shared" si="0"/>
        <v/>
      </c>
      <c r="G18" s="5"/>
      <c r="H18" s="5" t="str">
        <f t="shared" si="1"/>
        <v/>
      </c>
      <c r="I18" s="18"/>
      <c r="J18" s="6" t="s">
        <v>16</v>
      </c>
      <c r="K18" s="16" t="str">
        <f t="shared" si="2"/>
        <v/>
      </c>
      <c r="L18" s="9" t="s">
        <v>6</v>
      </c>
      <c r="M18" s="27"/>
      <c r="N18" s="27"/>
    </row>
    <row r="19" spans="1:14" ht="18.75" customHeight="1" x14ac:dyDescent="0.15">
      <c r="A19" s="11">
        <v>16</v>
      </c>
      <c r="B19" s="2"/>
      <c r="C19" s="3"/>
      <c r="D19" s="19"/>
      <c r="E19" s="7"/>
      <c r="F19" s="4" t="str">
        <f t="shared" si="0"/>
        <v/>
      </c>
      <c r="G19" s="5"/>
      <c r="H19" s="5" t="str">
        <f t="shared" si="1"/>
        <v/>
      </c>
      <c r="I19" s="17"/>
      <c r="J19" s="8" t="s">
        <v>16</v>
      </c>
      <c r="K19" s="16" t="str">
        <f t="shared" si="2"/>
        <v/>
      </c>
      <c r="L19" s="6" t="s">
        <v>6</v>
      </c>
      <c r="M19" s="27"/>
      <c r="N19" s="27"/>
    </row>
    <row r="20" spans="1:14" ht="18.75" customHeight="1" x14ac:dyDescent="0.15">
      <c r="A20" s="11">
        <v>17</v>
      </c>
      <c r="B20" s="2"/>
      <c r="C20" s="3"/>
      <c r="D20" s="19"/>
      <c r="E20" s="3"/>
      <c r="F20" s="4" t="str">
        <f t="shared" si="0"/>
        <v/>
      </c>
      <c r="G20" s="5"/>
      <c r="H20" s="5" t="str">
        <f t="shared" si="1"/>
        <v/>
      </c>
      <c r="I20" s="18"/>
      <c r="J20" s="6" t="s">
        <v>16</v>
      </c>
      <c r="K20" s="16" t="str">
        <f t="shared" si="2"/>
        <v/>
      </c>
      <c r="L20" s="6" t="s">
        <v>6</v>
      </c>
      <c r="M20" s="27"/>
      <c r="N20" s="27"/>
    </row>
    <row r="21" spans="1:14" ht="18.75" customHeight="1" x14ac:dyDescent="0.15">
      <c r="A21" s="11">
        <v>18</v>
      </c>
      <c r="B21" s="2"/>
      <c r="C21" s="3"/>
      <c r="D21" s="19"/>
      <c r="E21" s="3"/>
      <c r="F21" s="4" t="str">
        <f t="shared" si="0"/>
        <v/>
      </c>
      <c r="G21" s="5"/>
      <c r="H21" s="5" t="str">
        <f t="shared" si="1"/>
        <v/>
      </c>
      <c r="I21" s="18"/>
      <c r="J21" s="6" t="s">
        <v>16</v>
      </c>
      <c r="K21" s="16" t="str">
        <f t="shared" si="2"/>
        <v/>
      </c>
      <c r="L21" s="6" t="s">
        <v>6</v>
      </c>
      <c r="M21" s="27"/>
      <c r="N21" s="27"/>
    </row>
    <row r="22" spans="1:14" ht="18.75" customHeight="1" x14ac:dyDescent="0.15">
      <c r="A22" s="11">
        <v>19</v>
      </c>
      <c r="B22" s="2"/>
      <c r="C22" s="3"/>
      <c r="D22" s="19"/>
      <c r="E22" s="3"/>
      <c r="F22" s="4" t="str">
        <f t="shared" si="0"/>
        <v/>
      </c>
      <c r="G22" s="5"/>
      <c r="H22" s="5" t="str">
        <f t="shared" si="1"/>
        <v/>
      </c>
      <c r="I22" s="18"/>
      <c r="J22" s="6" t="s">
        <v>16</v>
      </c>
      <c r="K22" s="16" t="str">
        <f t="shared" si="2"/>
        <v/>
      </c>
      <c r="L22" s="6" t="s">
        <v>6</v>
      </c>
      <c r="M22" s="27"/>
      <c r="N22" s="27"/>
    </row>
    <row r="23" spans="1:14" ht="18.75" customHeight="1" x14ac:dyDescent="0.15">
      <c r="A23" s="11">
        <v>20</v>
      </c>
      <c r="B23" s="2"/>
      <c r="C23" s="3"/>
      <c r="D23" s="20"/>
      <c r="E23" s="3"/>
      <c r="F23" s="4" t="str">
        <f t="shared" si="0"/>
        <v/>
      </c>
      <c r="G23" s="5"/>
      <c r="H23" s="5" t="str">
        <f t="shared" si="1"/>
        <v/>
      </c>
      <c r="I23" s="18"/>
      <c r="J23" s="6" t="s">
        <v>11</v>
      </c>
      <c r="K23" s="16" t="str">
        <f t="shared" si="2"/>
        <v/>
      </c>
      <c r="L23" s="6" t="s">
        <v>6</v>
      </c>
      <c r="M23" s="27"/>
      <c r="N23" s="27"/>
    </row>
    <row r="24" spans="1:14" ht="18.75" customHeight="1" x14ac:dyDescent="0.15">
      <c r="A24" s="11">
        <v>21</v>
      </c>
      <c r="B24" s="2"/>
      <c r="C24" s="3"/>
      <c r="D24" s="20"/>
      <c r="E24" s="3"/>
      <c r="F24" s="4" t="str">
        <f t="shared" si="0"/>
        <v/>
      </c>
      <c r="G24" s="5"/>
      <c r="H24" s="5" t="str">
        <f t="shared" si="1"/>
        <v/>
      </c>
      <c r="I24" s="18"/>
      <c r="J24" s="8" t="s">
        <v>11</v>
      </c>
      <c r="K24" s="16" t="str">
        <f t="shared" si="2"/>
        <v/>
      </c>
      <c r="L24" s="6" t="s">
        <v>6</v>
      </c>
      <c r="M24" s="27"/>
      <c r="N24" s="27"/>
    </row>
    <row r="25" spans="1:14" ht="18.75" customHeight="1" x14ac:dyDescent="0.15">
      <c r="A25" s="11">
        <v>22</v>
      </c>
      <c r="B25" s="2"/>
      <c r="C25" s="3"/>
      <c r="D25" s="20"/>
      <c r="E25" s="3"/>
      <c r="F25" s="4" t="str">
        <f t="shared" si="0"/>
        <v/>
      </c>
      <c r="G25" s="5"/>
      <c r="H25" s="5" t="str">
        <f t="shared" si="1"/>
        <v/>
      </c>
      <c r="I25" s="18"/>
      <c r="J25" s="6" t="s">
        <v>11</v>
      </c>
      <c r="K25" s="16" t="str">
        <f t="shared" si="2"/>
        <v/>
      </c>
      <c r="L25" s="6" t="s">
        <v>6</v>
      </c>
      <c r="M25" s="27"/>
      <c r="N25" s="27"/>
    </row>
    <row r="26" spans="1:14" ht="18.75" customHeight="1" x14ac:dyDescent="0.15">
      <c r="A26" s="11">
        <v>23</v>
      </c>
      <c r="B26" s="2"/>
      <c r="C26" s="3"/>
      <c r="D26" s="20"/>
      <c r="E26" s="3"/>
      <c r="F26" s="4" t="str">
        <f t="shared" si="0"/>
        <v/>
      </c>
      <c r="G26" s="5"/>
      <c r="H26" s="5" t="str">
        <f t="shared" si="1"/>
        <v/>
      </c>
      <c r="I26" s="18"/>
      <c r="J26" s="6" t="s">
        <v>16</v>
      </c>
      <c r="K26" s="16" t="str">
        <f t="shared" si="2"/>
        <v/>
      </c>
      <c r="L26" s="6" t="s">
        <v>6</v>
      </c>
      <c r="M26" s="27"/>
      <c r="N26" s="27"/>
    </row>
    <row r="27" spans="1:14" ht="18.75" customHeight="1" x14ac:dyDescent="0.15">
      <c r="A27" s="11">
        <v>24</v>
      </c>
      <c r="B27" s="2"/>
      <c r="C27" s="3"/>
      <c r="D27" s="20"/>
      <c r="E27" s="3"/>
      <c r="F27" s="4" t="str">
        <f t="shared" si="0"/>
        <v/>
      </c>
      <c r="G27" s="5"/>
      <c r="H27" s="5" t="str">
        <f t="shared" si="1"/>
        <v/>
      </c>
      <c r="I27" s="18"/>
      <c r="J27" s="8" t="s">
        <v>16</v>
      </c>
      <c r="K27" s="16" t="str">
        <f t="shared" si="2"/>
        <v/>
      </c>
      <c r="L27" s="6" t="s">
        <v>6</v>
      </c>
      <c r="M27" s="27"/>
      <c r="N27" s="27"/>
    </row>
    <row r="28" spans="1:14" ht="18.75" customHeight="1" x14ac:dyDescent="0.15">
      <c r="A28" s="11">
        <v>25</v>
      </c>
      <c r="B28" s="2"/>
      <c r="C28" s="3"/>
      <c r="D28" s="20"/>
      <c r="E28" s="3"/>
      <c r="F28" s="4" t="str">
        <f t="shared" si="0"/>
        <v/>
      </c>
      <c r="G28" s="5"/>
      <c r="H28" s="5" t="str">
        <f t="shared" si="1"/>
        <v/>
      </c>
      <c r="I28" s="18"/>
      <c r="J28" s="6" t="s">
        <v>16</v>
      </c>
      <c r="K28" s="16" t="str">
        <f t="shared" si="2"/>
        <v/>
      </c>
      <c r="L28" s="6" t="s">
        <v>6</v>
      </c>
      <c r="M28" s="27"/>
      <c r="N28" s="27"/>
    </row>
    <row r="29" spans="1:14" ht="18.75" customHeight="1" x14ac:dyDescent="0.15">
      <c r="A29" s="11">
        <v>26</v>
      </c>
      <c r="B29" s="2"/>
      <c r="C29" s="3"/>
      <c r="D29" s="20"/>
      <c r="E29" s="3"/>
      <c r="F29" s="4" t="str">
        <f t="shared" si="0"/>
        <v/>
      </c>
      <c r="G29" s="5"/>
      <c r="H29" s="5" t="str">
        <f t="shared" si="1"/>
        <v/>
      </c>
      <c r="I29" s="18"/>
      <c r="J29" s="6" t="s">
        <v>16</v>
      </c>
      <c r="K29" s="16" t="str">
        <f t="shared" si="2"/>
        <v/>
      </c>
      <c r="L29" s="6" t="s">
        <v>6</v>
      </c>
      <c r="M29" s="27"/>
      <c r="N29" s="27"/>
    </row>
    <row r="30" spans="1:14" ht="18.75" customHeight="1" x14ac:dyDescent="0.15">
      <c r="A30" s="11">
        <v>27</v>
      </c>
      <c r="B30" s="2"/>
      <c r="C30" s="3"/>
      <c r="D30" s="20"/>
      <c r="E30" s="3"/>
      <c r="F30" s="4" t="str">
        <f t="shared" si="0"/>
        <v/>
      </c>
      <c r="G30" s="5"/>
      <c r="H30" s="5" t="str">
        <f t="shared" si="1"/>
        <v/>
      </c>
      <c r="I30" s="18"/>
      <c r="J30" s="8" t="s">
        <v>16</v>
      </c>
      <c r="K30" s="16" t="str">
        <f t="shared" si="2"/>
        <v/>
      </c>
      <c r="L30" s="6" t="s">
        <v>6</v>
      </c>
      <c r="M30" s="27"/>
      <c r="N30" s="27"/>
    </row>
    <row r="31" spans="1:14" ht="18.75" customHeight="1" x14ac:dyDescent="0.15">
      <c r="A31" s="11">
        <v>28</v>
      </c>
      <c r="B31" s="2"/>
      <c r="C31" s="3"/>
      <c r="D31" s="20"/>
      <c r="E31" s="7"/>
      <c r="F31" s="4" t="str">
        <f t="shared" si="0"/>
        <v/>
      </c>
      <c r="G31" s="5"/>
      <c r="H31" s="5" t="str">
        <f t="shared" si="1"/>
        <v/>
      </c>
      <c r="I31" s="18"/>
      <c r="J31" s="6" t="s">
        <v>16</v>
      </c>
      <c r="K31" s="16" t="str">
        <f t="shared" si="2"/>
        <v/>
      </c>
      <c r="L31" s="6" t="s">
        <v>6</v>
      </c>
      <c r="M31" s="27"/>
      <c r="N31" s="27"/>
    </row>
    <row r="32" spans="1:14" ht="18.75" customHeight="1" x14ac:dyDescent="0.15">
      <c r="A32" s="11">
        <v>29</v>
      </c>
      <c r="B32" s="2"/>
      <c r="C32" s="3"/>
      <c r="D32" s="20"/>
      <c r="E32" s="3"/>
      <c r="F32" s="4" t="str">
        <f t="shared" si="0"/>
        <v/>
      </c>
      <c r="G32" s="5"/>
      <c r="H32" s="5" t="str">
        <f t="shared" si="1"/>
        <v/>
      </c>
      <c r="I32" s="18"/>
      <c r="J32" s="6" t="s">
        <v>16</v>
      </c>
      <c r="K32" s="16" t="str">
        <f t="shared" si="2"/>
        <v/>
      </c>
      <c r="L32" s="6" t="s">
        <v>6</v>
      </c>
      <c r="M32" s="27"/>
      <c r="N32" s="27"/>
    </row>
    <row r="33" spans="1:14" ht="18.75" customHeight="1" x14ac:dyDescent="0.15">
      <c r="A33" s="11">
        <v>30</v>
      </c>
      <c r="B33" s="2"/>
      <c r="C33" s="3"/>
      <c r="D33" s="20"/>
      <c r="E33" s="3"/>
      <c r="F33" s="4" t="str">
        <f t="shared" si="0"/>
        <v/>
      </c>
      <c r="G33" s="5"/>
      <c r="H33" s="5" t="str">
        <f t="shared" si="1"/>
        <v/>
      </c>
      <c r="I33" s="18"/>
      <c r="J33" s="6" t="s">
        <v>16</v>
      </c>
      <c r="K33" s="16" t="str">
        <f t="shared" si="2"/>
        <v/>
      </c>
      <c r="L33" s="6" t="s">
        <v>6</v>
      </c>
      <c r="M33" s="27"/>
      <c r="N33" s="27"/>
    </row>
    <row r="34" spans="1:14" ht="18.75" customHeight="1" x14ac:dyDescent="0.15">
      <c r="A34" s="11">
        <v>31</v>
      </c>
      <c r="B34" s="2"/>
      <c r="C34" s="3"/>
      <c r="D34" s="20"/>
      <c r="E34" s="3"/>
      <c r="F34" s="4" t="str">
        <f t="shared" si="0"/>
        <v/>
      </c>
      <c r="G34" s="5"/>
      <c r="H34" s="5" t="str">
        <f t="shared" si="1"/>
        <v/>
      </c>
      <c r="I34" s="21"/>
      <c r="J34" s="6" t="s">
        <v>16</v>
      </c>
      <c r="K34" s="16" t="str">
        <f t="shared" si="2"/>
        <v/>
      </c>
      <c r="L34" s="6" t="s">
        <v>6</v>
      </c>
      <c r="M34" s="27"/>
      <c r="N34" s="27"/>
    </row>
    <row r="35" spans="1:14" ht="18.75" customHeight="1" x14ac:dyDescent="0.15">
      <c r="A35" s="11">
        <v>32</v>
      </c>
      <c r="B35" s="2"/>
      <c r="C35" s="3"/>
      <c r="D35" s="20"/>
      <c r="E35" s="3"/>
      <c r="F35" s="4" t="str">
        <f t="shared" si="0"/>
        <v/>
      </c>
      <c r="G35" s="5"/>
      <c r="H35" s="5" t="str">
        <f t="shared" si="1"/>
        <v/>
      </c>
      <c r="I35" s="18"/>
      <c r="J35" s="6" t="s">
        <v>16</v>
      </c>
      <c r="K35" s="16" t="str">
        <f t="shared" si="2"/>
        <v/>
      </c>
      <c r="L35" s="6" t="s">
        <v>6</v>
      </c>
      <c r="M35" s="27"/>
      <c r="N35" s="27"/>
    </row>
    <row r="36" spans="1:14" ht="18.75" customHeight="1" x14ac:dyDescent="0.15">
      <c r="A36" s="11">
        <v>33</v>
      </c>
      <c r="B36" s="2"/>
      <c r="C36" s="3"/>
      <c r="D36" s="20"/>
      <c r="E36" s="7"/>
      <c r="F36" s="4" t="str">
        <f t="shared" si="0"/>
        <v/>
      </c>
      <c r="G36" s="5"/>
      <c r="H36" s="5" t="str">
        <f t="shared" si="1"/>
        <v/>
      </c>
      <c r="I36" s="17"/>
      <c r="J36" s="6" t="s">
        <v>16</v>
      </c>
      <c r="K36" s="16" t="str">
        <f t="shared" si="2"/>
        <v/>
      </c>
      <c r="L36" s="6" t="s">
        <v>6</v>
      </c>
      <c r="M36" s="27"/>
      <c r="N36" s="27"/>
    </row>
    <row r="37" spans="1:14" ht="18.75" customHeight="1" x14ac:dyDescent="0.15">
      <c r="A37" s="11">
        <v>34</v>
      </c>
      <c r="B37" s="2"/>
      <c r="C37" s="3"/>
      <c r="D37" s="20"/>
      <c r="E37" s="3"/>
      <c r="F37" s="4" t="str">
        <f t="shared" si="0"/>
        <v/>
      </c>
      <c r="G37" s="5"/>
      <c r="H37" s="5" t="str">
        <f t="shared" si="1"/>
        <v/>
      </c>
      <c r="I37" s="18"/>
      <c r="J37" s="6" t="s">
        <v>16</v>
      </c>
      <c r="K37" s="16" t="str">
        <f t="shared" si="2"/>
        <v/>
      </c>
      <c r="L37" s="6" t="s">
        <v>6</v>
      </c>
      <c r="M37" s="27"/>
      <c r="N37" s="27"/>
    </row>
    <row r="38" spans="1:14" ht="18.75" customHeight="1" x14ac:dyDescent="0.15">
      <c r="A38" s="11">
        <v>35</v>
      </c>
      <c r="B38" s="2"/>
      <c r="C38" s="3"/>
      <c r="D38" s="20"/>
      <c r="E38" s="3"/>
      <c r="F38" s="4"/>
      <c r="G38" s="5"/>
      <c r="H38" s="5"/>
      <c r="I38" s="18"/>
      <c r="J38" s="6" t="s">
        <v>16</v>
      </c>
      <c r="K38" s="16"/>
      <c r="L38" s="6" t="s">
        <v>6</v>
      </c>
      <c r="M38" s="27"/>
      <c r="N38" s="27"/>
    </row>
    <row r="39" spans="1:14" ht="18.75" customHeight="1" x14ac:dyDescent="0.15">
      <c r="A39" s="11">
        <v>36</v>
      </c>
      <c r="B39" s="2"/>
      <c r="C39" s="3"/>
      <c r="D39" s="20"/>
      <c r="E39" s="3"/>
      <c r="F39" s="4"/>
      <c r="G39" s="5"/>
      <c r="H39" s="5"/>
      <c r="I39" s="18"/>
      <c r="J39" s="6" t="s">
        <v>16</v>
      </c>
      <c r="K39" s="16"/>
      <c r="L39" s="6" t="s">
        <v>6</v>
      </c>
      <c r="M39" s="27"/>
      <c r="N39" s="27"/>
    </row>
    <row r="40" spans="1:14" ht="18.75" customHeight="1" x14ac:dyDescent="0.15">
      <c r="A40" s="11">
        <v>37</v>
      </c>
      <c r="B40" s="2"/>
      <c r="C40" s="3"/>
      <c r="D40" s="20"/>
      <c r="E40" s="3"/>
      <c r="F40" s="4"/>
      <c r="G40" s="5"/>
      <c r="H40" s="5"/>
      <c r="I40" s="18"/>
      <c r="J40" s="6" t="s">
        <v>16</v>
      </c>
      <c r="K40" s="16"/>
      <c r="L40" s="6" t="s">
        <v>6</v>
      </c>
      <c r="M40" s="27"/>
      <c r="N40" s="27"/>
    </row>
    <row r="41" spans="1:14" ht="18.75" customHeight="1" x14ac:dyDescent="0.15">
      <c r="A41" s="11">
        <v>38</v>
      </c>
      <c r="B41" s="2"/>
      <c r="C41" s="3"/>
      <c r="D41" s="20"/>
      <c r="E41" s="3"/>
      <c r="F41" s="4"/>
      <c r="G41" s="5"/>
      <c r="H41" s="5"/>
      <c r="I41" s="18"/>
      <c r="J41" s="6" t="s">
        <v>16</v>
      </c>
      <c r="K41" s="16"/>
      <c r="L41" s="6" t="s">
        <v>6</v>
      </c>
      <c r="M41" s="27"/>
      <c r="N41" s="27"/>
    </row>
    <row r="42" spans="1:14" ht="18.75" customHeight="1" x14ac:dyDescent="0.15">
      <c r="A42" s="11">
        <v>39</v>
      </c>
      <c r="B42" s="2"/>
      <c r="C42" s="3"/>
      <c r="D42" s="20"/>
      <c r="E42" s="3"/>
      <c r="F42" s="4" t="str">
        <f t="shared" si="0"/>
        <v/>
      </c>
      <c r="G42" s="5"/>
      <c r="H42" s="5" t="str">
        <f t="shared" si="1"/>
        <v/>
      </c>
      <c r="I42" s="18"/>
      <c r="J42" s="6" t="s">
        <v>16</v>
      </c>
      <c r="K42" s="16" t="str">
        <f t="shared" si="2"/>
        <v/>
      </c>
      <c r="L42" s="6" t="s">
        <v>6</v>
      </c>
      <c r="M42" s="27"/>
      <c r="N42" s="27"/>
    </row>
    <row r="43" spans="1:14" ht="18.75" customHeight="1" thickBot="1" x14ac:dyDescent="0.2">
      <c r="A43" s="50">
        <v>40</v>
      </c>
      <c r="B43" s="51"/>
      <c r="C43" s="52"/>
      <c r="D43" s="63"/>
      <c r="E43" s="52"/>
      <c r="F43" s="53" t="str">
        <f t="shared" si="0"/>
        <v/>
      </c>
      <c r="G43" s="54"/>
      <c r="H43" s="54" t="str">
        <f t="shared" si="1"/>
        <v/>
      </c>
      <c r="I43" s="64"/>
      <c r="J43" s="56" t="s">
        <v>16</v>
      </c>
      <c r="K43" s="65" t="str">
        <f t="shared" si="2"/>
        <v/>
      </c>
      <c r="L43" s="56" t="s">
        <v>6</v>
      </c>
      <c r="M43" s="58"/>
      <c r="N43" s="58"/>
    </row>
    <row r="44" spans="1:14" ht="18.75" customHeight="1" thickTop="1" x14ac:dyDescent="0.15">
      <c r="I44" s="62">
        <f>SUM(I4:I43)</f>
        <v>0</v>
      </c>
      <c r="J44" s="10" t="s">
        <v>17</v>
      </c>
      <c r="K44" s="24">
        <f>SUM(K4:K43)</f>
        <v>0</v>
      </c>
      <c r="L44" s="10" t="s">
        <v>6</v>
      </c>
    </row>
    <row r="45" spans="1:14" ht="20.25" customHeight="1" x14ac:dyDescent="0.15">
      <c r="B45" s="95" t="s">
        <v>13</v>
      </c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10"/>
    </row>
    <row r="46" spans="1:14" ht="21" customHeight="1" x14ac:dyDescent="0.15">
      <c r="B46" s="96" t="s">
        <v>0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10"/>
    </row>
    <row r="47" spans="1:14" ht="26.25" customHeight="1" x14ac:dyDescent="0.15">
      <c r="A47" s="11"/>
      <c r="B47" s="2" t="s">
        <v>1</v>
      </c>
      <c r="C47" s="97" t="s">
        <v>2</v>
      </c>
      <c r="D47" s="98"/>
      <c r="E47" s="99" t="s">
        <v>3</v>
      </c>
      <c r="F47" s="100"/>
      <c r="G47" s="25" t="s">
        <v>4</v>
      </c>
      <c r="H47" s="25" t="s">
        <v>7</v>
      </c>
      <c r="I47" s="101" t="s">
        <v>8</v>
      </c>
      <c r="J47" s="99"/>
      <c r="K47" s="101" t="s">
        <v>5</v>
      </c>
      <c r="L47" s="101"/>
      <c r="M47" s="26" t="s">
        <v>14</v>
      </c>
      <c r="N47" s="1" t="s">
        <v>10</v>
      </c>
    </row>
    <row r="48" spans="1:14" ht="18.75" customHeight="1" x14ac:dyDescent="0.15">
      <c r="A48" s="11">
        <v>41</v>
      </c>
      <c r="B48" s="2"/>
      <c r="C48" s="3"/>
      <c r="D48" s="14"/>
      <c r="E48" s="3"/>
      <c r="F48" s="4" t="str">
        <f t="shared" ref="F48:F87" si="3">IF(E48="","",E48-7*INT(E48/7))</f>
        <v/>
      </c>
      <c r="G48" s="5"/>
      <c r="H48" s="5" t="str">
        <f t="shared" ref="H48:H87" si="4">IF(G48="","",G48)</f>
        <v/>
      </c>
      <c r="I48" s="15"/>
      <c r="J48" s="6" t="s">
        <v>15</v>
      </c>
      <c r="K48" s="16" t="str">
        <f t="shared" ref="K48:K81" si="5">IF(I48&gt;0,I48,"")</f>
        <v/>
      </c>
      <c r="L48" s="6" t="s">
        <v>6</v>
      </c>
      <c r="M48" s="27"/>
      <c r="N48" s="27"/>
    </row>
    <row r="49" spans="1:14" ht="18.75" customHeight="1" x14ac:dyDescent="0.15">
      <c r="A49" s="11">
        <v>42</v>
      </c>
      <c r="B49" s="2"/>
      <c r="C49" s="3"/>
      <c r="D49" s="14"/>
      <c r="E49" s="7"/>
      <c r="F49" s="4" t="str">
        <f t="shared" si="3"/>
        <v/>
      </c>
      <c r="G49" s="5"/>
      <c r="H49" s="5" t="str">
        <f t="shared" si="4"/>
        <v/>
      </c>
      <c r="I49" s="17"/>
      <c r="J49" s="8" t="s">
        <v>16</v>
      </c>
      <c r="K49" s="16" t="str">
        <f t="shared" si="5"/>
        <v/>
      </c>
      <c r="L49" s="9" t="s">
        <v>6</v>
      </c>
      <c r="M49" s="27"/>
      <c r="N49" s="27"/>
    </row>
    <row r="50" spans="1:14" ht="18.75" customHeight="1" x14ac:dyDescent="0.15">
      <c r="A50" s="11">
        <v>43</v>
      </c>
      <c r="B50" s="2"/>
      <c r="C50" s="3"/>
      <c r="D50" s="14"/>
      <c r="E50" s="3"/>
      <c r="F50" s="4" t="str">
        <f t="shared" si="3"/>
        <v/>
      </c>
      <c r="G50" s="5"/>
      <c r="H50" s="5" t="str">
        <f t="shared" si="4"/>
        <v/>
      </c>
      <c r="I50" s="18"/>
      <c r="J50" s="6" t="s">
        <v>16</v>
      </c>
      <c r="K50" s="16" t="str">
        <f t="shared" si="5"/>
        <v/>
      </c>
      <c r="L50" s="6" t="s">
        <v>6</v>
      </c>
      <c r="M50" s="27"/>
      <c r="N50" s="27"/>
    </row>
    <row r="51" spans="1:14" ht="18.75" customHeight="1" x14ac:dyDescent="0.15">
      <c r="A51" s="11">
        <v>44</v>
      </c>
      <c r="B51" s="2"/>
      <c r="C51" s="3"/>
      <c r="D51" s="14"/>
      <c r="E51" s="3"/>
      <c r="F51" s="4" t="str">
        <f t="shared" si="3"/>
        <v/>
      </c>
      <c r="G51" s="5"/>
      <c r="H51" s="5" t="str">
        <f t="shared" si="4"/>
        <v/>
      </c>
      <c r="I51" s="17"/>
      <c r="J51" s="8" t="s">
        <v>16</v>
      </c>
      <c r="K51" s="16" t="str">
        <f t="shared" si="5"/>
        <v/>
      </c>
      <c r="L51" s="9" t="s">
        <v>6</v>
      </c>
      <c r="M51" s="27"/>
      <c r="N51" s="27"/>
    </row>
    <row r="52" spans="1:14" ht="18.75" customHeight="1" x14ac:dyDescent="0.15">
      <c r="A52" s="11">
        <v>45</v>
      </c>
      <c r="B52" s="2"/>
      <c r="C52" s="3"/>
      <c r="D52" s="14"/>
      <c r="E52" s="7"/>
      <c r="F52" s="4" t="str">
        <f t="shared" si="3"/>
        <v/>
      </c>
      <c r="G52" s="5"/>
      <c r="H52" s="5" t="str">
        <f t="shared" si="4"/>
        <v/>
      </c>
      <c r="I52" s="18"/>
      <c r="J52" s="6" t="s">
        <v>16</v>
      </c>
      <c r="K52" s="16" t="str">
        <f t="shared" si="5"/>
        <v/>
      </c>
      <c r="L52" s="6" t="s">
        <v>6</v>
      </c>
      <c r="M52" s="27"/>
      <c r="N52" s="27"/>
    </row>
    <row r="53" spans="1:14" ht="18.75" customHeight="1" x14ac:dyDescent="0.15">
      <c r="A53" s="11">
        <v>46</v>
      </c>
      <c r="B53" s="2"/>
      <c r="C53" s="3"/>
      <c r="D53" s="14"/>
      <c r="E53" s="3"/>
      <c r="F53" s="4" t="str">
        <f t="shared" si="3"/>
        <v/>
      </c>
      <c r="G53" s="5"/>
      <c r="H53" s="5" t="str">
        <f t="shared" si="4"/>
        <v/>
      </c>
      <c r="I53" s="18"/>
      <c r="J53" s="6" t="s">
        <v>16</v>
      </c>
      <c r="K53" s="16" t="str">
        <f t="shared" si="5"/>
        <v/>
      </c>
      <c r="L53" s="6" t="s">
        <v>6</v>
      </c>
      <c r="M53" s="27"/>
      <c r="N53" s="27"/>
    </row>
    <row r="54" spans="1:14" ht="18.75" customHeight="1" x14ac:dyDescent="0.15">
      <c r="A54" s="11">
        <v>47</v>
      </c>
      <c r="B54" s="2"/>
      <c r="C54" s="3"/>
      <c r="D54" s="14"/>
      <c r="E54" s="3"/>
      <c r="F54" s="4" t="str">
        <f t="shared" si="3"/>
        <v/>
      </c>
      <c r="G54" s="5"/>
      <c r="H54" s="5" t="str">
        <f t="shared" si="4"/>
        <v/>
      </c>
      <c r="I54" s="17"/>
      <c r="J54" s="28" t="s">
        <v>16</v>
      </c>
      <c r="K54" s="16" t="str">
        <f t="shared" si="5"/>
        <v/>
      </c>
      <c r="L54" s="28" t="s">
        <v>6</v>
      </c>
      <c r="M54" s="27"/>
      <c r="N54" s="27"/>
    </row>
    <row r="55" spans="1:14" ht="18.75" customHeight="1" x14ac:dyDescent="0.15">
      <c r="A55" s="11">
        <v>48</v>
      </c>
      <c r="B55" s="2"/>
      <c r="C55" s="3"/>
      <c r="D55" s="14"/>
      <c r="E55" s="7"/>
      <c r="F55" s="4" t="str">
        <f t="shared" si="3"/>
        <v/>
      </c>
      <c r="G55" s="5"/>
      <c r="H55" s="5" t="str">
        <f t="shared" si="4"/>
        <v/>
      </c>
      <c r="I55" s="18"/>
      <c r="J55" s="8" t="s">
        <v>16</v>
      </c>
      <c r="K55" s="16" t="str">
        <f t="shared" si="5"/>
        <v/>
      </c>
      <c r="L55" s="9" t="s">
        <v>6</v>
      </c>
      <c r="M55" s="27"/>
      <c r="N55" s="27"/>
    </row>
    <row r="56" spans="1:14" ht="18.75" customHeight="1" x14ac:dyDescent="0.15">
      <c r="A56" s="11">
        <v>49</v>
      </c>
      <c r="B56" s="2"/>
      <c r="C56" s="3"/>
      <c r="D56" s="14"/>
      <c r="E56" s="3"/>
      <c r="F56" s="4" t="str">
        <f t="shared" si="3"/>
        <v/>
      </c>
      <c r="G56" s="5"/>
      <c r="H56" s="5" t="str">
        <f t="shared" si="4"/>
        <v/>
      </c>
      <c r="I56" s="18"/>
      <c r="J56" s="6" t="s">
        <v>16</v>
      </c>
      <c r="K56" s="16" t="str">
        <f t="shared" si="5"/>
        <v/>
      </c>
      <c r="L56" s="6" t="s">
        <v>6</v>
      </c>
      <c r="M56" s="27"/>
      <c r="N56" s="27"/>
    </row>
    <row r="57" spans="1:14" ht="18.75" customHeight="1" x14ac:dyDescent="0.15">
      <c r="A57" s="11">
        <v>50</v>
      </c>
      <c r="B57" s="2"/>
      <c r="C57" s="3"/>
      <c r="D57" s="14"/>
      <c r="E57" s="7"/>
      <c r="F57" s="4" t="str">
        <f t="shared" si="3"/>
        <v/>
      </c>
      <c r="G57" s="5"/>
      <c r="H57" s="5" t="str">
        <f t="shared" si="4"/>
        <v/>
      </c>
      <c r="I57" s="18"/>
      <c r="J57" s="8" t="s">
        <v>16</v>
      </c>
      <c r="K57" s="16" t="str">
        <f t="shared" si="5"/>
        <v/>
      </c>
      <c r="L57" s="9" t="s">
        <v>6</v>
      </c>
      <c r="M57" s="27"/>
      <c r="N57" s="27"/>
    </row>
    <row r="58" spans="1:14" ht="18.75" customHeight="1" x14ac:dyDescent="0.15">
      <c r="A58" s="11">
        <v>51</v>
      </c>
      <c r="B58" s="2"/>
      <c r="C58" s="3"/>
      <c r="D58" s="14"/>
      <c r="E58" s="3"/>
      <c r="F58" s="4" t="str">
        <f t="shared" si="3"/>
        <v/>
      </c>
      <c r="G58" s="5"/>
      <c r="H58" s="5" t="str">
        <f t="shared" si="4"/>
        <v/>
      </c>
      <c r="I58" s="18"/>
      <c r="J58" s="6" t="s">
        <v>16</v>
      </c>
      <c r="K58" s="16" t="str">
        <f t="shared" si="5"/>
        <v/>
      </c>
      <c r="L58" s="6" t="s">
        <v>6</v>
      </c>
      <c r="M58" s="27"/>
      <c r="N58" s="27"/>
    </row>
    <row r="59" spans="1:14" ht="18.75" customHeight="1" x14ac:dyDescent="0.15">
      <c r="A59" s="11">
        <v>52</v>
      </c>
      <c r="B59" s="2"/>
      <c r="C59" s="3"/>
      <c r="D59" s="14"/>
      <c r="E59" s="3"/>
      <c r="F59" s="4" t="str">
        <f t="shared" si="3"/>
        <v/>
      </c>
      <c r="G59" s="5"/>
      <c r="H59" s="5" t="str">
        <f t="shared" si="4"/>
        <v/>
      </c>
      <c r="I59" s="17"/>
      <c r="J59" s="8" t="s">
        <v>16</v>
      </c>
      <c r="K59" s="16" t="str">
        <f t="shared" si="5"/>
        <v/>
      </c>
      <c r="L59" s="6" t="s">
        <v>6</v>
      </c>
      <c r="M59" s="27"/>
      <c r="N59" s="27"/>
    </row>
    <row r="60" spans="1:14" ht="18.75" customHeight="1" x14ac:dyDescent="0.15">
      <c r="A60" s="11">
        <v>53</v>
      </c>
      <c r="B60" s="2"/>
      <c r="C60" s="3"/>
      <c r="D60" s="19"/>
      <c r="E60" s="3"/>
      <c r="F60" s="4" t="str">
        <f t="shared" si="3"/>
        <v/>
      </c>
      <c r="G60" s="5"/>
      <c r="H60" s="5" t="str">
        <f t="shared" si="4"/>
        <v/>
      </c>
      <c r="I60" s="18"/>
      <c r="J60" s="6" t="s">
        <v>16</v>
      </c>
      <c r="K60" s="16" t="str">
        <f t="shared" si="5"/>
        <v/>
      </c>
      <c r="L60" s="6" t="s">
        <v>6</v>
      </c>
      <c r="M60" s="27"/>
      <c r="N60" s="27"/>
    </row>
    <row r="61" spans="1:14" ht="18.75" customHeight="1" x14ac:dyDescent="0.15">
      <c r="A61" s="11">
        <v>54</v>
      </c>
      <c r="B61" s="2"/>
      <c r="C61" s="3"/>
      <c r="D61" s="19"/>
      <c r="E61" s="3"/>
      <c r="F61" s="4" t="str">
        <f t="shared" si="3"/>
        <v/>
      </c>
      <c r="G61" s="5"/>
      <c r="H61" s="5" t="str">
        <f t="shared" si="4"/>
        <v/>
      </c>
      <c r="I61" s="18"/>
      <c r="J61" s="6" t="s">
        <v>16</v>
      </c>
      <c r="K61" s="16" t="str">
        <f t="shared" si="5"/>
        <v/>
      </c>
      <c r="L61" s="6" t="s">
        <v>6</v>
      </c>
      <c r="M61" s="27"/>
      <c r="N61" s="27"/>
    </row>
    <row r="62" spans="1:14" ht="18.75" customHeight="1" x14ac:dyDescent="0.15">
      <c r="A62" s="11">
        <v>55</v>
      </c>
      <c r="B62" s="2"/>
      <c r="C62" s="3"/>
      <c r="D62" s="19"/>
      <c r="E62" s="3"/>
      <c r="F62" s="4" t="str">
        <f t="shared" si="3"/>
        <v/>
      </c>
      <c r="G62" s="5"/>
      <c r="H62" s="5" t="str">
        <f t="shared" si="4"/>
        <v/>
      </c>
      <c r="I62" s="18"/>
      <c r="J62" s="6" t="s">
        <v>16</v>
      </c>
      <c r="K62" s="16" t="str">
        <f t="shared" si="5"/>
        <v/>
      </c>
      <c r="L62" s="9" t="s">
        <v>6</v>
      </c>
      <c r="M62" s="27"/>
      <c r="N62" s="27"/>
    </row>
    <row r="63" spans="1:14" ht="18.75" customHeight="1" x14ac:dyDescent="0.15">
      <c r="A63" s="11">
        <v>56</v>
      </c>
      <c r="B63" s="2"/>
      <c r="C63" s="3"/>
      <c r="D63" s="19"/>
      <c r="E63" s="7"/>
      <c r="F63" s="4" t="str">
        <f t="shared" si="3"/>
        <v/>
      </c>
      <c r="G63" s="5"/>
      <c r="H63" s="5" t="str">
        <f t="shared" si="4"/>
        <v/>
      </c>
      <c r="I63" s="17"/>
      <c r="J63" s="8" t="s">
        <v>16</v>
      </c>
      <c r="K63" s="16" t="str">
        <f t="shared" si="5"/>
        <v/>
      </c>
      <c r="L63" s="6" t="s">
        <v>6</v>
      </c>
      <c r="M63" s="27"/>
      <c r="N63" s="27"/>
    </row>
    <row r="64" spans="1:14" ht="18.75" customHeight="1" x14ac:dyDescent="0.15">
      <c r="A64" s="11">
        <v>57</v>
      </c>
      <c r="B64" s="2"/>
      <c r="C64" s="3"/>
      <c r="D64" s="19"/>
      <c r="E64" s="3"/>
      <c r="F64" s="4" t="str">
        <f t="shared" si="3"/>
        <v/>
      </c>
      <c r="G64" s="5"/>
      <c r="H64" s="5" t="str">
        <f t="shared" si="4"/>
        <v/>
      </c>
      <c r="I64" s="18"/>
      <c r="J64" s="6" t="s">
        <v>16</v>
      </c>
      <c r="K64" s="16" t="str">
        <f t="shared" si="5"/>
        <v/>
      </c>
      <c r="L64" s="6" t="s">
        <v>6</v>
      </c>
      <c r="M64" s="27"/>
      <c r="N64" s="27"/>
    </row>
    <row r="65" spans="1:14" ht="18.75" customHeight="1" x14ac:dyDescent="0.15">
      <c r="A65" s="11">
        <v>58</v>
      </c>
      <c r="B65" s="2"/>
      <c r="C65" s="3"/>
      <c r="D65" s="19"/>
      <c r="E65" s="3"/>
      <c r="F65" s="4" t="str">
        <f t="shared" si="3"/>
        <v/>
      </c>
      <c r="G65" s="5"/>
      <c r="H65" s="5" t="str">
        <f t="shared" si="4"/>
        <v/>
      </c>
      <c r="I65" s="18"/>
      <c r="J65" s="6" t="s">
        <v>16</v>
      </c>
      <c r="K65" s="16" t="str">
        <f t="shared" si="5"/>
        <v/>
      </c>
      <c r="L65" s="6" t="s">
        <v>6</v>
      </c>
      <c r="M65" s="27"/>
      <c r="N65" s="27"/>
    </row>
    <row r="66" spans="1:14" ht="18.75" customHeight="1" x14ac:dyDescent="0.15">
      <c r="A66" s="11">
        <v>59</v>
      </c>
      <c r="B66" s="2"/>
      <c r="C66" s="3"/>
      <c r="D66" s="19"/>
      <c r="E66" s="3"/>
      <c r="F66" s="4" t="str">
        <f t="shared" si="3"/>
        <v/>
      </c>
      <c r="G66" s="5"/>
      <c r="H66" s="5" t="str">
        <f t="shared" si="4"/>
        <v/>
      </c>
      <c r="I66" s="18"/>
      <c r="J66" s="6" t="s">
        <v>16</v>
      </c>
      <c r="K66" s="16" t="str">
        <f t="shared" si="5"/>
        <v/>
      </c>
      <c r="L66" s="6" t="s">
        <v>6</v>
      </c>
      <c r="M66" s="27"/>
      <c r="N66" s="27"/>
    </row>
    <row r="67" spans="1:14" ht="18.75" customHeight="1" x14ac:dyDescent="0.15">
      <c r="A67" s="11">
        <v>60</v>
      </c>
      <c r="B67" s="2"/>
      <c r="C67" s="3"/>
      <c r="D67" s="20"/>
      <c r="E67" s="3"/>
      <c r="F67" s="4" t="str">
        <f t="shared" si="3"/>
        <v/>
      </c>
      <c r="G67" s="5"/>
      <c r="H67" s="5" t="str">
        <f t="shared" si="4"/>
        <v/>
      </c>
      <c r="I67" s="18"/>
      <c r="J67" s="6" t="s">
        <v>11</v>
      </c>
      <c r="K67" s="16" t="str">
        <f t="shared" si="5"/>
        <v/>
      </c>
      <c r="L67" s="6" t="s">
        <v>6</v>
      </c>
      <c r="M67" s="27"/>
      <c r="N67" s="27"/>
    </row>
    <row r="68" spans="1:14" ht="18.75" customHeight="1" x14ac:dyDescent="0.15">
      <c r="A68" s="11">
        <v>61</v>
      </c>
      <c r="B68" s="2"/>
      <c r="C68" s="3"/>
      <c r="D68" s="20"/>
      <c r="E68" s="3"/>
      <c r="F68" s="4" t="str">
        <f t="shared" si="3"/>
        <v/>
      </c>
      <c r="G68" s="5"/>
      <c r="H68" s="5" t="str">
        <f t="shared" si="4"/>
        <v/>
      </c>
      <c r="I68" s="18"/>
      <c r="J68" s="8" t="s">
        <v>11</v>
      </c>
      <c r="K68" s="16" t="str">
        <f t="shared" si="5"/>
        <v/>
      </c>
      <c r="L68" s="6" t="s">
        <v>6</v>
      </c>
      <c r="M68" s="27"/>
      <c r="N68" s="27"/>
    </row>
    <row r="69" spans="1:14" ht="18.75" customHeight="1" x14ac:dyDescent="0.15">
      <c r="A69" s="11">
        <v>62</v>
      </c>
      <c r="B69" s="2"/>
      <c r="C69" s="3"/>
      <c r="D69" s="20"/>
      <c r="E69" s="3"/>
      <c r="F69" s="4" t="str">
        <f t="shared" si="3"/>
        <v/>
      </c>
      <c r="G69" s="5"/>
      <c r="H69" s="5" t="str">
        <f t="shared" si="4"/>
        <v/>
      </c>
      <c r="I69" s="18"/>
      <c r="J69" s="6" t="s">
        <v>11</v>
      </c>
      <c r="K69" s="16" t="str">
        <f t="shared" si="5"/>
        <v/>
      </c>
      <c r="L69" s="6" t="s">
        <v>6</v>
      </c>
      <c r="M69" s="27"/>
      <c r="N69" s="27"/>
    </row>
    <row r="70" spans="1:14" ht="18.75" customHeight="1" x14ac:dyDescent="0.15">
      <c r="A70" s="11">
        <v>63</v>
      </c>
      <c r="B70" s="2"/>
      <c r="C70" s="3"/>
      <c r="D70" s="20"/>
      <c r="E70" s="3"/>
      <c r="F70" s="4" t="str">
        <f t="shared" si="3"/>
        <v/>
      </c>
      <c r="G70" s="5"/>
      <c r="H70" s="5" t="str">
        <f t="shared" si="4"/>
        <v/>
      </c>
      <c r="I70" s="18"/>
      <c r="J70" s="6" t="s">
        <v>16</v>
      </c>
      <c r="K70" s="16" t="str">
        <f t="shared" si="5"/>
        <v/>
      </c>
      <c r="L70" s="6" t="s">
        <v>6</v>
      </c>
      <c r="M70" s="27"/>
      <c r="N70" s="27"/>
    </row>
    <row r="71" spans="1:14" ht="18.75" customHeight="1" x14ac:dyDescent="0.15">
      <c r="A71" s="11">
        <v>64</v>
      </c>
      <c r="B71" s="2"/>
      <c r="C71" s="3"/>
      <c r="D71" s="20"/>
      <c r="E71" s="3"/>
      <c r="F71" s="4" t="str">
        <f t="shared" si="3"/>
        <v/>
      </c>
      <c r="G71" s="5"/>
      <c r="H71" s="5" t="str">
        <f t="shared" si="4"/>
        <v/>
      </c>
      <c r="I71" s="18"/>
      <c r="J71" s="8" t="s">
        <v>16</v>
      </c>
      <c r="K71" s="16" t="str">
        <f t="shared" si="5"/>
        <v/>
      </c>
      <c r="L71" s="6" t="s">
        <v>6</v>
      </c>
      <c r="M71" s="27"/>
      <c r="N71" s="27"/>
    </row>
    <row r="72" spans="1:14" ht="18.75" customHeight="1" x14ac:dyDescent="0.15">
      <c r="A72" s="11">
        <v>65</v>
      </c>
      <c r="B72" s="2"/>
      <c r="C72" s="3"/>
      <c r="D72" s="20"/>
      <c r="E72" s="3"/>
      <c r="F72" s="4" t="str">
        <f t="shared" si="3"/>
        <v/>
      </c>
      <c r="G72" s="5"/>
      <c r="H72" s="5" t="str">
        <f t="shared" si="4"/>
        <v/>
      </c>
      <c r="I72" s="18"/>
      <c r="J72" s="6" t="s">
        <v>16</v>
      </c>
      <c r="K72" s="16" t="str">
        <f t="shared" si="5"/>
        <v/>
      </c>
      <c r="L72" s="6" t="s">
        <v>6</v>
      </c>
      <c r="M72" s="27"/>
      <c r="N72" s="27"/>
    </row>
    <row r="73" spans="1:14" ht="18.75" customHeight="1" x14ac:dyDescent="0.15">
      <c r="A73" s="11">
        <v>66</v>
      </c>
      <c r="B73" s="2"/>
      <c r="C73" s="3"/>
      <c r="D73" s="20"/>
      <c r="E73" s="3"/>
      <c r="F73" s="4" t="str">
        <f t="shared" si="3"/>
        <v/>
      </c>
      <c r="G73" s="5"/>
      <c r="H73" s="5" t="str">
        <f t="shared" si="4"/>
        <v/>
      </c>
      <c r="I73" s="18"/>
      <c r="J73" s="6" t="s">
        <v>16</v>
      </c>
      <c r="K73" s="16" t="str">
        <f t="shared" si="5"/>
        <v/>
      </c>
      <c r="L73" s="6" t="s">
        <v>6</v>
      </c>
      <c r="M73" s="27"/>
      <c r="N73" s="27"/>
    </row>
    <row r="74" spans="1:14" ht="18.75" customHeight="1" x14ac:dyDescent="0.15">
      <c r="A74" s="11">
        <v>67</v>
      </c>
      <c r="B74" s="2"/>
      <c r="C74" s="3"/>
      <c r="D74" s="20"/>
      <c r="E74" s="3"/>
      <c r="F74" s="4" t="str">
        <f t="shared" si="3"/>
        <v/>
      </c>
      <c r="G74" s="5"/>
      <c r="H74" s="5" t="str">
        <f t="shared" si="4"/>
        <v/>
      </c>
      <c r="I74" s="18"/>
      <c r="J74" s="8" t="s">
        <v>16</v>
      </c>
      <c r="K74" s="16" t="str">
        <f t="shared" si="5"/>
        <v/>
      </c>
      <c r="L74" s="6" t="s">
        <v>6</v>
      </c>
      <c r="M74" s="27"/>
      <c r="N74" s="27"/>
    </row>
    <row r="75" spans="1:14" ht="18.75" customHeight="1" x14ac:dyDescent="0.15">
      <c r="A75" s="11">
        <v>68</v>
      </c>
      <c r="B75" s="2"/>
      <c r="C75" s="3"/>
      <c r="D75" s="20"/>
      <c r="E75" s="7"/>
      <c r="F75" s="4" t="str">
        <f t="shared" si="3"/>
        <v/>
      </c>
      <c r="G75" s="5"/>
      <c r="H75" s="5" t="str">
        <f t="shared" si="4"/>
        <v/>
      </c>
      <c r="I75" s="18"/>
      <c r="J75" s="6" t="s">
        <v>16</v>
      </c>
      <c r="K75" s="16" t="str">
        <f t="shared" si="5"/>
        <v/>
      </c>
      <c r="L75" s="6" t="s">
        <v>6</v>
      </c>
      <c r="M75" s="27"/>
      <c r="N75" s="27"/>
    </row>
    <row r="76" spans="1:14" ht="18.75" customHeight="1" x14ac:dyDescent="0.15">
      <c r="A76" s="11">
        <v>69</v>
      </c>
      <c r="B76" s="2"/>
      <c r="C76" s="3"/>
      <c r="D76" s="20"/>
      <c r="E76" s="3"/>
      <c r="F76" s="4" t="str">
        <f t="shared" si="3"/>
        <v/>
      </c>
      <c r="G76" s="5"/>
      <c r="H76" s="5" t="str">
        <f t="shared" si="4"/>
        <v/>
      </c>
      <c r="I76" s="18"/>
      <c r="J76" s="6" t="s">
        <v>16</v>
      </c>
      <c r="K76" s="16" t="str">
        <f t="shared" si="5"/>
        <v/>
      </c>
      <c r="L76" s="6" t="s">
        <v>6</v>
      </c>
      <c r="M76" s="27"/>
      <c r="N76" s="27"/>
    </row>
    <row r="77" spans="1:14" ht="18.75" customHeight="1" x14ac:dyDescent="0.15">
      <c r="A77" s="11">
        <v>70</v>
      </c>
      <c r="B77" s="2"/>
      <c r="C77" s="3"/>
      <c r="D77" s="20"/>
      <c r="E77" s="3"/>
      <c r="F77" s="4" t="str">
        <f t="shared" si="3"/>
        <v/>
      </c>
      <c r="G77" s="5"/>
      <c r="H77" s="5" t="str">
        <f t="shared" si="4"/>
        <v/>
      </c>
      <c r="I77" s="18"/>
      <c r="J77" s="6" t="s">
        <v>16</v>
      </c>
      <c r="K77" s="16" t="str">
        <f t="shared" si="5"/>
        <v/>
      </c>
      <c r="L77" s="6" t="s">
        <v>6</v>
      </c>
      <c r="M77" s="27"/>
      <c r="N77" s="27"/>
    </row>
    <row r="78" spans="1:14" ht="18.75" customHeight="1" x14ac:dyDescent="0.15">
      <c r="A78" s="11">
        <v>71</v>
      </c>
      <c r="B78" s="2"/>
      <c r="C78" s="3"/>
      <c r="D78" s="20"/>
      <c r="E78" s="3"/>
      <c r="F78" s="4" t="str">
        <f t="shared" si="3"/>
        <v/>
      </c>
      <c r="G78" s="5"/>
      <c r="H78" s="5" t="str">
        <f t="shared" si="4"/>
        <v/>
      </c>
      <c r="I78" s="21"/>
      <c r="J78" s="6" t="s">
        <v>16</v>
      </c>
      <c r="K78" s="16" t="str">
        <f t="shared" si="5"/>
        <v/>
      </c>
      <c r="L78" s="6" t="s">
        <v>6</v>
      </c>
      <c r="M78" s="27"/>
      <c r="N78" s="27"/>
    </row>
    <row r="79" spans="1:14" ht="18.75" customHeight="1" x14ac:dyDescent="0.15">
      <c r="A79" s="11">
        <v>72</v>
      </c>
      <c r="B79" s="2"/>
      <c r="C79" s="3"/>
      <c r="D79" s="20"/>
      <c r="E79" s="3"/>
      <c r="F79" s="4" t="str">
        <f t="shared" si="3"/>
        <v/>
      </c>
      <c r="G79" s="5"/>
      <c r="H79" s="5" t="str">
        <f t="shared" si="4"/>
        <v/>
      </c>
      <c r="I79" s="18"/>
      <c r="J79" s="6" t="s">
        <v>16</v>
      </c>
      <c r="K79" s="16" t="str">
        <f t="shared" si="5"/>
        <v/>
      </c>
      <c r="L79" s="6" t="s">
        <v>6</v>
      </c>
      <c r="M79" s="27"/>
      <c r="N79" s="27"/>
    </row>
    <row r="80" spans="1:14" ht="18.75" customHeight="1" x14ac:dyDescent="0.15">
      <c r="A80" s="11">
        <v>73</v>
      </c>
      <c r="B80" s="2"/>
      <c r="C80" s="3"/>
      <c r="D80" s="20"/>
      <c r="E80" s="7"/>
      <c r="F80" s="4" t="str">
        <f t="shared" si="3"/>
        <v/>
      </c>
      <c r="G80" s="5"/>
      <c r="H80" s="5" t="str">
        <f t="shared" si="4"/>
        <v/>
      </c>
      <c r="I80" s="17"/>
      <c r="J80" s="6" t="s">
        <v>16</v>
      </c>
      <c r="K80" s="16" t="str">
        <f t="shared" si="5"/>
        <v/>
      </c>
      <c r="L80" s="6" t="s">
        <v>6</v>
      </c>
      <c r="M80" s="27"/>
      <c r="N80" s="27"/>
    </row>
    <row r="81" spans="1:14" ht="18.75" customHeight="1" x14ac:dyDescent="0.15">
      <c r="A81" s="11">
        <v>74</v>
      </c>
      <c r="B81" s="2"/>
      <c r="C81" s="3"/>
      <c r="D81" s="20"/>
      <c r="E81" s="3"/>
      <c r="F81" s="4" t="str">
        <f t="shared" si="3"/>
        <v/>
      </c>
      <c r="G81" s="5"/>
      <c r="H81" s="5" t="str">
        <f t="shared" si="4"/>
        <v/>
      </c>
      <c r="I81" s="18"/>
      <c r="J81" s="6" t="s">
        <v>16</v>
      </c>
      <c r="K81" s="16" t="str">
        <f t="shared" si="5"/>
        <v/>
      </c>
      <c r="L81" s="6" t="s">
        <v>6</v>
      </c>
      <c r="M81" s="27"/>
      <c r="N81" s="27"/>
    </row>
    <row r="82" spans="1:14" ht="18.75" customHeight="1" x14ac:dyDescent="0.15">
      <c r="A82" s="11">
        <v>75</v>
      </c>
      <c r="B82" s="2"/>
      <c r="C82" s="3"/>
      <c r="D82" s="20"/>
      <c r="E82" s="3"/>
      <c r="F82" s="4"/>
      <c r="G82" s="5"/>
      <c r="H82" s="5"/>
      <c r="I82" s="18"/>
      <c r="J82" s="6" t="s">
        <v>16</v>
      </c>
      <c r="K82" s="16"/>
      <c r="L82" s="6" t="s">
        <v>6</v>
      </c>
      <c r="M82" s="27"/>
      <c r="N82" s="27"/>
    </row>
    <row r="83" spans="1:14" ht="18.75" customHeight="1" x14ac:dyDescent="0.15">
      <c r="A83" s="11">
        <v>76</v>
      </c>
      <c r="B83" s="2"/>
      <c r="C83" s="3"/>
      <c r="D83" s="20"/>
      <c r="E83" s="3"/>
      <c r="F83" s="4"/>
      <c r="G83" s="5"/>
      <c r="H83" s="5"/>
      <c r="I83" s="18"/>
      <c r="J83" s="6" t="s">
        <v>16</v>
      </c>
      <c r="K83" s="16"/>
      <c r="L83" s="6" t="s">
        <v>6</v>
      </c>
      <c r="M83" s="27"/>
      <c r="N83" s="27"/>
    </row>
    <row r="84" spans="1:14" ht="18.75" customHeight="1" x14ac:dyDescent="0.15">
      <c r="A84" s="11">
        <v>77</v>
      </c>
      <c r="B84" s="2"/>
      <c r="C84" s="3"/>
      <c r="D84" s="20"/>
      <c r="E84" s="3"/>
      <c r="F84" s="4"/>
      <c r="G84" s="5"/>
      <c r="H84" s="5"/>
      <c r="I84" s="18"/>
      <c r="J84" s="6" t="s">
        <v>16</v>
      </c>
      <c r="K84" s="16"/>
      <c r="L84" s="6" t="s">
        <v>6</v>
      </c>
      <c r="M84" s="27"/>
      <c r="N84" s="27"/>
    </row>
    <row r="85" spans="1:14" ht="18.75" customHeight="1" x14ac:dyDescent="0.15">
      <c r="A85" s="11">
        <v>78</v>
      </c>
      <c r="B85" s="2"/>
      <c r="C85" s="3"/>
      <c r="D85" s="20"/>
      <c r="E85" s="3"/>
      <c r="F85" s="4"/>
      <c r="G85" s="5"/>
      <c r="H85" s="5"/>
      <c r="I85" s="18"/>
      <c r="J85" s="6" t="s">
        <v>16</v>
      </c>
      <c r="K85" s="16"/>
      <c r="L85" s="6" t="s">
        <v>6</v>
      </c>
      <c r="M85" s="27"/>
      <c r="N85" s="27"/>
    </row>
    <row r="86" spans="1:14" ht="18.75" customHeight="1" x14ac:dyDescent="0.15">
      <c r="A86" s="11">
        <v>79</v>
      </c>
      <c r="B86" s="2"/>
      <c r="C86" s="3"/>
      <c r="D86" s="20"/>
      <c r="E86" s="3"/>
      <c r="F86" s="4" t="str">
        <f t="shared" si="3"/>
        <v/>
      </c>
      <c r="G86" s="5"/>
      <c r="H86" s="5" t="str">
        <f t="shared" si="4"/>
        <v/>
      </c>
      <c r="I86" s="18"/>
      <c r="J86" s="6" t="s">
        <v>16</v>
      </c>
      <c r="K86" s="16" t="str">
        <f>IF(I86&gt;0,I86,"")</f>
        <v/>
      </c>
      <c r="L86" s="6" t="s">
        <v>6</v>
      </c>
      <c r="M86" s="27"/>
      <c r="N86" s="27"/>
    </row>
    <row r="87" spans="1:14" ht="18.75" customHeight="1" x14ac:dyDescent="0.15">
      <c r="A87" s="11">
        <v>80</v>
      </c>
      <c r="B87" s="2"/>
      <c r="C87" s="3"/>
      <c r="D87" s="20"/>
      <c r="E87" s="3"/>
      <c r="F87" s="4" t="str">
        <f t="shared" si="3"/>
        <v/>
      </c>
      <c r="G87" s="5"/>
      <c r="H87" s="5" t="str">
        <f t="shared" si="4"/>
        <v/>
      </c>
      <c r="I87" s="18"/>
      <c r="J87" s="6" t="s">
        <v>16</v>
      </c>
      <c r="K87" s="22" t="str">
        <f>IF(I87&gt;0,I87,"")</f>
        <v/>
      </c>
      <c r="L87" s="6" t="s">
        <v>6</v>
      </c>
      <c r="M87" s="27"/>
      <c r="N87" s="27"/>
    </row>
    <row r="88" spans="1:14" ht="18.75" customHeight="1" x14ac:dyDescent="0.15">
      <c r="I88" s="23">
        <f>SUM(I48:I87)+I44</f>
        <v>0</v>
      </c>
      <c r="J88" s="10" t="s">
        <v>17</v>
      </c>
      <c r="K88" s="24">
        <f>SUM(K48:K87)+K44</f>
        <v>0</v>
      </c>
      <c r="L88" s="10" t="s">
        <v>6</v>
      </c>
    </row>
  </sheetData>
  <mergeCells count="12">
    <mergeCell ref="B46:M46"/>
    <mergeCell ref="B45:M45"/>
    <mergeCell ref="C47:D47"/>
    <mergeCell ref="E47:F47"/>
    <mergeCell ref="I47:J47"/>
    <mergeCell ref="K47:L47"/>
    <mergeCell ref="B1:M1"/>
    <mergeCell ref="B2:M2"/>
    <mergeCell ref="C3:D3"/>
    <mergeCell ref="E3:F3"/>
    <mergeCell ref="I3:J3"/>
    <mergeCell ref="K3:L3"/>
  </mergeCells>
  <phoneticPr fontId="2"/>
  <dataValidations count="3">
    <dataValidation imeMode="on" allowBlank="1" showInputMessage="1" showErrorMessage="1" sqref="B48:C87 B4:C43" xr:uid="{4FB5ED57-1A40-4AE2-82A2-0B6D36F231DE}"/>
    <dataValidation imeMode="disabled" allowBlank="1" showInputMessage="1" showErrorMessage="1" sqref="E48:E87 E4:E43 G4:N43 G48:N87" xr:uid="{95F651CC-2759-482E-AF8D-39679DCB9992}"/>
    <dataValidation type="list" imeMode="on" allowBlank="1" showInputMessage="1" showErrorMessage="1" promptTitle="こんにちは" sqref="D48:D87 D4:D7 D9:D43" xr:uid="{1E1DA25C-918A-4F13-8A2E-997A0626D920}">
      <formula1>"鴛泊下水浄化センター,沓形浄化センター"</formula1>
    </dataValidation>
  </dataValidations>
  <printOptions horizontalCentered="1" verticalCentered="1"/>
  <pageMargins left="0.59055118110236227" right="0.59055118110236227" top="0.59055118110236227" bottom="0.59055118110236227" header="0.51181102362204722" footer="0.51181102362204722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64D7C-91B9-40D4-91DE-F492E39B4C69}">
  <dimension ref="A1:O88"/>
  <sheetViews>
    <sheetView topLeftCell="A29" workbookViewId="0">
      <selection activeCell="Q22" sqref="Q22"/>
    </sheetView>
  </sheetViews>
  <sheetFormatPr defaultRowHeight="13.5" x14ac:dyDescent="0.15"/>
  <cols>
    <col min="1" max="1" width="3.375" style="12" customWidth="1"/>
    <col min="2" max="2" width="11" style="10" customWidth="1"/>
    <col min="3" max="3" width="1" style="10" customWidth="1"/>
    <col min="4" max="4" width="15.625" style="10" customWidth="1"/>
    <col min="5" max="5" width="10.125" style="10" customWidth="1"/>
    <col min="6" max="6" width="2.25" style="10" customWidth="1"/>
    <col min="7" max="8" width="8.625" style="10" customWidth="1"/>
    <col min="9" max="9" width="6" style="13" customWidth="1"/>
    <col min="10" max="10" width="2.375" style="10" customWidth="1"/>
    <col min="11" max="11" width="6.125" style="10" customWidth="1"/>
    <col min="12" max="12" width="2.25" style="10" customWidth="1"/>
    <col min="13" max="14" width="6.25" style="12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 x14ac:dyDescent="0.15">
      <c r="B1" s="95" t="s">
        <v>13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10"/>
    </row>
    <row r="2" spans="1:15" ht="21" customHeight="1" x14ac:dyDescent="0.15"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10"/>
    </row>
    <row r="3" spans="1:15" ht="26.25" customHeight="1" x14ac:dyDescent="0.15">
      <c r="A3" s="11"/>
      <c r="B3" s="2" t="s">
        <v>1</v>
      </c>
      <c r="C3" s="97" t="s">
        <v>2</v>
      </c>
      <c r="D3" s="98"/>
      <c r="E3" s="99" t="s">
        <v>3</v>
      </c>
      <c r="F3" s="100"/>
      <c r="G3" s="25" t="s">
        <v>4</v>
      </c>
      <c r="H3" s="25" t="s">
        <v>7</v>
      </c>
      <c r="I3" s="101" t="s">
        <v>8</v>
      </c>
      <c r="J3" s="99"/>
      <c r="K3" s="101" t="s">
        <v>5</v>
      </c>
      <c r="L3" s="101"/>
      <c r="M3" s="26" t="s">
        <v>14</v>
      </c>
      <c r="N3" s="1" t="s">
        <v>10</v>
      </c>
    </row>
    <row r="4" spans="1:15" ht="18.75" customHeight="1" x14ac:dyDescent="0.15">
      <c r="A4" s="11">
        <v>1</v>
      </c>
      <c r="B4" s="2" t="s">
        <v>12</v>
      </c>
      <c r="C4" s="3"/>
      <c r="D4" s="14"/>
      <c r="E4" s="3"/>
      <c r="F4" s="4" t="str">
        <f t="shared" ref="F4:F37" si="0">IF(E4="","",E4-7*INT(E4/7))</f>
        <v/>
      </c>
      <c r="G4" s="5"/>
      <c r="H4" s="5" t="str">
        <f t="shared" ref="H4:H37" si="1">IF(G4="","",G4)</f>
        <v/>
      </c>
      <c r="I4" s="15"/>
      <c r="J4" s="6" t="s">
        <v>15</v>
      </c>
      <c r="K4" s="16" t="str">
        <f t="shared" ref="K4:K37" si="2">IF(I4&gt;0,I4,"")</f>
        <v/>
      </c>
      <c r="L4" s="6" t="s">
        <v>6</v>
      </c>
      <c r="M4" s="27"/>
      <c r="N4" s="27"/>
    </row>
    <row r="5" spans="1:15" ht="18.75" customHeight="1" x14ac:dyDescent="0.15">
      <c r="A5" s="11">
        <v>2</v>
      </c>
      <c r="B5" s="2" t="s">
        <v>12</v>
      </c>
      <c r="C5" s="3"/>
      <c r="D5" s="14"/>
      <c r="E5" s="7"/>
      <c r="F5" s="4" t="str">
        <f t="shared" si="0"/>
        <v/>
      </c>
      <c r="G5" s="5"/>
      <c r="H5" s="5" t="str">
        <f t="shared" si="1"/>
        <v/>
      </c>
      <c r="I5" s="17"/>
      <c r="J5" s="8" t="s">
        <v>16</v>
      </c>
      <c r="K5" s="16" t="str">
        <f t="shared" si="2"/>
        <v/>
      </c>
      <c r="L5" s="9" t="s">
        <v>6</v>
      </c>
      <c r="M5" s="27"/>
      <c r="N5" s="27"/>
    </row>
    <row r="6" spans="1:15" ht="18.75" customHeight="1" x14ac:dyDescent="0.15">
      <c r="A6" s="11">
        <v>3</v>
      </c>
      <c r="B6" s="2" t="s">
        <v>12</v>
      </c>
      <c r="C6" s="3"/>
      <c r="D6" s="14"/>
      <c r="E6" s="3"/>
      <c r="F6" s="4" t="str">
        <f t="shared" si="0"/>
        <v/>
      </c>
      <c r="G6" s="5"/>
      <c r="H6" s="5" t="str">
        <f t="shared" si="1"/>
        <v/>
      </c>
      <c r="I6" s="18"/>
      <c r="J6" s="6" t="s">
        <v>16</v>
      </c>
      <c r="K6" s="16" t="str">
        <f t="shared" si="2"/>
        <v/>
      </c>
      <c r="L6" s="6" t="s">
        <v>6</v>
      </c>
      <c r="M6" s="27"/>
      <c r="N6" s="27"/>
    </row>
    <row r="7" spans="1:15" ht="18.75" customHeight="1" x14ac:dyDescent="0.15">
      <c r="A7" s="11">
        <v>4</v>
      </c>
      <c r="B7" s="2" t="s">
        <v>12</v>
      </c>
      <c r="C7" s="3"/>
      <c r="D7" s="14"/>
      <c r="E7" s="3"/>
      <c r="F7" s="4" t="str">
        <f t="shared" si="0"/>
        <v/>
      </c>
      <c r="G7" s="5"/>
      <c r="H7" s="5" t="str">
        <f t="shared" si="1"/>
        <v/>
      </c>
      <c r="I7" s="17"/>
      <c r="J7" s="8" t="s">
        <v>16</v>
      </c>
      <c r="K7" s="16" t="str">
        <f t="shared" si="2"/>
        <v/>
      </c>
      <c r="L7" s="9" t="s">
        <v>6</v>
      </c>
      <c r="M7" s="27"/>
      <c r="N7" s="27"/>
    </row>
    <row r="8" spans="1:15" ht="18.75" customHeight="1" x14ac:dyDescent="0.15">
      <c r="A8" s="11">
        <v>5</v>
      </c>
      <c r="B8" s="2" t="s">
        <v>12</v>
      </c>
      <c r="C8" s="3"/>
      <c r="D8" s="14"/>
      <c r="E8" s="7"/>
      <c r="F8" s="4" t="str">
        <f t="shared" si="0"/>
        <v/>
      </c>
      <c r="G8" s="5"/>
      <c r="H8" s="5" t="str">
        <f t="shared" si="1"/>
        <v/>
      </c>
      <c r="I8" s="18"/>
      <c r="J8" s="6" t="s">
        <v>16</v>
      </c>
      <c r="K8" s="16" t="str">
        <f t="shared" si="2"/>
        <v/>
      </c>
      <c r="L8" s="6" t="s">
        <v>6</v>
      </c>
      <c r="M8" s="27"/>
      <c r="N8" s="27"/>
    </row>
    <row r="9" spans="1:15" ht="18.75" customHeight="1" x14ac:dyDescent="0.15">
      <c r="A9" s="11">
        <v>6</v>
      </c>
      <c r="B9" s="2" t="s">
        <v>12</v>
      </c>
      <c r="C9" s="3"/>
      <c r="D9" s="14"/>
      <c r="E9" s="3"/>
      <c r="F9" s="4" t="str">
        <f t="shared" si="0"/>
        <v/>
      </c>
      <c r="G9" s="5"/>
      <c r="H9" s="5" t="str">
        <f t="shared" si="1"/>
        <v/>
      </c>
      <c r="I9" s="18"/>
      <c r="J9" s="6" t="s">
        <v>16</v>
      </c>
      <c r="K9" s="16" t="str">
        <f t="shared" si="2"/>
        <v/>
      </c>
      <c r="L9" s="6" t="s">
        <v>6</v>
      </c>
      <c r="M9" s="27"/>
      <c r="N9" s="27"/>
    </row>
    <row r="10" spans="1:15" ht="18.75" customHeight="1" x14ac:dyDescent="0.15">
      <c r="A10" s="11">
        <v>7</v>
      </c>
      <c r="B10" s="2" t="s">
        <v>12</v>
      </c>
      <c r="C10" s="3"/>
      <c r="D10" s="14"/>
      <c r="E10" s="3"/>
      <c r="F10" s="4" t="str">
        <f t="shared" si="0"/>
        <v/>
      </c>
      <c r="G10" s="5"/>
      <c r="H10" s="5" t="str">
        <f t="shared" si="1"/>
        <v/>
      </c>
      <c r="I10" s="17"/>
      <c r="J10" s="28" t="s">
        <v>16</v>
      </c>
      <c r="K10" s="16" t="str">
        <f t="shared" si="2"/>
        <v/>
      </c>
      <c r="L10" s="28" t="s">
        <v>6</v>
      </c>
      <c r="M10" s="27"/>
      <c r="N10" s="27"/>
    </row>
    <row r="11" spans="1:15" ht="18.75" customHeight="1" x14ac:dyDescent="0.15">
      <c r="A11" s="11">
        <v>8</v>
      </c>
      <c r="B11" s="2" t="s">
        <v>12</v>
      </c>
      <c r="C11" s="3"/>
      <c r="D11" s="14"/>
      <c r="E11" s="7"/>
      <c r="F11" s="4" t="str">
        <f t="shared" si="0"/>
        <v/>
      </c>
      <c r="G11" s="5"/>
      <c r="H11" s="5" t="str">
        <f t="shared" si="1"/>
        <v/>
      </c>
      <c r="I11" s="18"/>
      <c r="J11" s="8" t="s">
        <v>16</v>
      </c>
      <c r="K11" s="16" t="str">
        <f t="shared" si="2"/>
        <v/>
      </c>
      <c r="L11" s="9" t="s">
        <v>6</v>
      </c>
      <c r="M11" s="27"/>
      <c r="N11" s="27"/>
      <c r="O11" s="59"/>
    </row>
    <row r="12" spans="1:15" ht="18.75" customHeight="1" x14ac:dyDescent="0.15">
      <c r="A12" s="11">
        <v>9</v>
      </c>
      <c r="B12" s="2" t="s">
        <v>12</v>
      </c>
      <c r="C12" s="3"/>
      <c r="D12" s="14"/>
      <c r="E12" s="3"/>
      <c r="F12" s="4" t="str">
        <f t="shared" si="0"/>
        <v/>
      </c>
      <c r="G12" s="5"/>
      <c r="H12" s="5" t="str">
        <f t="shared" si="1"/>
        <v/>
      </c>
      <c r="I12" s="18"/>
      <c r="J12" s="6" t="s">
        <v>16</v>
      </c>
      <c r="K12" s="16" t="str">
        <f t="shared" si="2"/>
        <v/>
      </c>
      <c r="L12" s="6" t="s">
        <v>6</v>
      </c>
      <c r="M12" s="27"/>
      <c r="N12" s="27"/>
    </row>
    <row r="13" spans="1:15" ht="18.75" customHeight="1" x14ac:dyDescent="0.15">
      <c r="A13" s="11">
        <v>10</v>
      </c>
      <c r="B13" s="2" t="s">
        <v>12</v>
      </c>
      <c r="C13" s="3"/>
      <c r="D13" s="14"/>
      <c r="E13" s="7"/>
      <c r="F13" s="4" t="str">
        <f t="shared" si="0"/>
        <v/>
      </c>
      <c r="G13" s="5"/>
      <c r="H13" s="5" t="str">
        <f t="shared" si="1"/>
        <v/>
      </c>
      <c r="I13" s="18"/>
      <c r="J13" s="8" t="s">
        <v>16</v>
      </c>
      <c r="K13" s="16" t="str">
        <f t="shared" si="2"/>
        <v/>
      </c>
      <c r="L13" s="9" t="s">
        <v>6</v>
      </c>
      <c r="M13" s="27"/>
      <c r="N13" s="27"/>
    </row>
    <row r="14" spans="1:15" ht="18.75" customHeight="1" x14ac:dyDescent="0.15">
      <c r="A14" s="11">
        <v>11</v>
      </c>
      <c r="B14" s="2"/>
      <c r="C14" s="3"/>
      <c r="D14" s="14"/>
      <c r="E14" s="3"/>
      <c r="F14" s="4" t="str">
        <f t="shared" si="0"/>
        <v/>
      </c>
      <c r="G14" s="5"/>
      <c r="H14" s="5" t="str">
        <f t="shared" si="1"/>
        <v/>
      </c>
      <c r="I14" s="18"/>
      <c r="J14" s="6" t="s">
        <v>16</v>
      </c>
      <c r="K14" s="16" t="str">
        <f t="shared" si="2"/>
        <v/>
      </c>
      <c r="L14" s="6" t="s">
        <v>6</v>
      </c>
      <c r="M14" s="27"/>
      <c r="N14" s="27"/>
    </row>
    <row r="15" spans="1:15" ht="18.75" customHeight="1" x14ac:dyDescent="0.15">
      <c r="A15" s="11">
        <v>12</v>
      </c>
      <c r="B15" s="2"/>
      <c r="C15" s="3"/>
      <c r="D15" s="14"/>
      <c r="E15" s="3"/>
      <c r="F15" s="4" t="str">
        <f t="shared" si="0"/>
        <v/>
      </c>
      <c r="G15" s="5"/>
      <c r="H15" s="5" t="str">
        <f t="shared" si="1"/>
        <v/>
      </c>
      <c r="I15" s="17"/>
      <c r="J15" s="8" t="s">
        <v>16</v>
      </c>
      <c r="K15" s="16" t="str">
        <f t="shared" si="2"/>
        <v/>
      </c>
      <c r="L15" s="6" t="s">
        <v>6</v>
      </c>
      <c r="M15" s="27"/>
      <c r="N15" s="27"/>
    </row>
    <row r="16" spans="1:15" ht="18.75" customHeight="1" x14ac:dyDescent="0.15">
      <c r="A16" s="11">
        <v>13</v>
      </c>
      <c r="B16" s="2"/>
      <c r="C16" s="3"/>
      <c r="D16" s="19"/>
      <c r="E16" s="3"/>
      <c r="F16" s="4" t="str">
        <f t="shared" si="0"/>
        <v/>
      </c>
      <c r="G16" s="5"/>
      <c r="H16" s="5" t="str">
        <f t="shared" si="1"/>
        <v/>
      </c>
      <c r="I16" s="18"/>
      <c r="J16" s="6" t="s">
        <v>16</v>
      </c>
      <c r="K16" s="16" t="str">
        <f t="shared" si="2"/>
        <v/>
      </c>
      <c r="L16" s="6" t="s">
        <v>6</v>
      </c>
      <c r="M16" s="27"/>
      <c r="N16" s="27"/>
    </row>
    <row r="17" spans="1:14" ht="18.75" customHeight="1" x14ac:dyDescent="0.15">
      <c r="A17" s="11">
        <v>14</v>
      </c>
      <c r="B17" s="2"/>
      <c r="C17" s="3"/>
      <c r="D17" s="19"/>
      <c r="E17" s="3"/>
      <c r="F17" s="4" t="str">
        <f t="shared" si="0"/>
        <v/>
      </c>
      <c r="G17" s="5"/>
      <c r="H17" s="5" t="str">
        <f t="shared" si="1"/>
        <v/>
      </c>
      <c r="I17" s="18"/>
      <c r="J17" s="6" t="s">
        <v>16</v>
      </c>
      <c r="K17" s="16" t="str">
        <f t="shared" si="2"/>
        <v/>
      </c>
      <c r="L17" s="6" t="s">
        <v>6</v>
      </c>
      <c r="M17" s="27"/>
      <c r="N17" s="27"/>
    </row>
    <row r="18" spans="1:14" ht="18.75" customHeight="1" x14ac:dyDescent="0.15">
      <c r="A18" s="11">
        <v>15</v>
      </c>
      <c r="B18" s="2"/>
      <c r="C18" s="3"/>
      <c r="D18" s="19"/>
      <c r="E18" s="3"/>
      <c r="F18" s="4" t="str">
        <f t="shared" si="0"/>
        <v/>
      </c>
      <c r="G18" s="5"/>
      <c r="H18" s="5" t="str">
        <f t="shared" si="1"/>
        <v/>
      </c>
      <c r="I18" s="18"/>
      <c r="J18" s="6" t="s">
        <v>16</v>
      </c>
      <c r="K18" s="16" t="str">
        <f t="shared" si="2"/>
        <v/>
      </c>
      <c r="L18" s="9" t="s">
        <v>6</v>
      </c>
      <c r="M18" s="27"/>
      <c r="N18" s="27"/>
    </row>
    <row r="19" spans="1:14" ht="18.75" customHeight="1" x14ac:dyDescent="0.15">
      <c r="A19" s="11">
        <v>16</v>
      </c>
      <c r="B19" s="2"/>
      <c r="C19" s="3"/>
      <c r="D19" s="19"/>
      <c r="E19" s="7"/>
      <c r="F19" s="4" t="str">
        <f t="shared" si="0"/>
        <v/>
      </c>
      <c r="G19" s="5"/>
      <c r="H19" s="5" t="str">
        <f t="shared" si="1"/>
        <v/>
      </c>
      <c r="I19" s="17"/>
      <c r="J19" s="8" t="s">
        <v>16</v>
      </c>
      <c r="K19" s="16" t="str">
        <f t="shared" si="2"/>
        <v/>
      </c>
      <c r="L19" s="6" t="s">
        <v>6</v>
      </c>
      <c r="M19" s="27"/>
      <c r="N19" s="27"/>
    </row>
    <row r="20" spans="1:14" ht="18.75" customHeight="1" x14ac:dyDescent="0.15">
      <c r="A20" s="11">
        <v>17</v>
      </c>
      <c r="B20" s="2"/>
      <c r="C20" s="3"/>
      <c r="D20" s="19"/>
      <c r="E20" s="3"/>
      <c r="F20" s="4" t="str">
        <f t="shared" si="0"/>
        <v/>
      </c>
      <c r="G20" s="5"/>
      <c r="H20" s="5" t="str">
        <f t="shared" si="1"/>
        <v/>
      </c>
      <c r="I20" s="18"/>
      <c r="J20" s="6" t="s">
        <v>16</v>
      </c>
      <c r="K20" s="16" t="str">
        <f t="shared" si="2"/>
        <v/>
      </c>
      <c r="L20" s="6" t="s">
        <v>6</v>
      </c>
      <c r="M20" s="27"/>
      <c r="N20" s="27"/>
    </row>
    <row r="21" spans="1:14" ht="18.75" customHeight="1" x14ac:dyDescent="0.15">
      <c r="A21" s="11">
        <v>18</v>
      </c>
      <c r="B21" s="2"/>
      <c r="C21" s="3"/>
      <c r="D21" s="19"/>
      <c r="E21" s="3"/>
      <c r="F21" s="4" t="str">
        <f t="shared" si="0"/>
        <v/>
      </c>
      <c r="G21" s="5"/>
      <c r="H21" s="5" t="str">
        <f t="shared" si="1"/>
        <v/>
      </c>
      <c r="I21" s="18"/>
      <c r="J21" s="6" t="s">
        <v>16</v>
      </c>
      <c r="K21" s="16" t="str">
        <f t="shared" si="2"/>
        <v/>
      </c>
      <c r="L21" s="6" t="s">
        <v>6</v>
      </c>
      <c r="M21" s="27"/>
      <c r="N21" s="27"/>
    </row>
    <row r="22" spans="1:14" ht="18.75" customHeight="1" x14ac:dyDescent="0.15">
      <c r="A22" s="11">
        <v>19</v>
      </c>
      <c r="B22" s="2"/>
      <c r="C22" s="3"/>
      <c r="D22" s="19"/>
      <c r="E22" s="3"/>
      <c r="F22" s="4" t="str">
        <f t="shared" si="0"/>
        <v/>
      </c>
      <c r="G22" s="5"/>
      <c r="H22" s="5" t="str">
        <f t="shared" si="1"/>
        <v/>
      </c>
      <c r="I22" s="18"/>
      <c r="J22" s="6" t="s">
        <v>16</v>
      </c>
      <c r="K22" s="16" t="str">
        <f t="shared" si="2"/>
        <v/>
      </c>
      <c r="L22" s="6" t="s">
        <v>6</v>
      </c>
      <c r="M22" s="27"/>
      <c r="N22" s="27"/>
    </row>
    <row r="23" spans="1:14" ht="18.75" customHeight="1" x14ac:dyDescent="0.15">
      <c r="A23" s="11">
        <v>20</v>
      </c>
      <c r="B23" s="2"/>
      <c r="C23" s="3"/>
      <c r="D23" s="20"/>
      <c r="E23" s="3"/>
      <c r="F23" s="4" t="str">
        <f t="shared" si="0"/>
        <v/>
      </c>
      <c r="G23" s="5"/>
      <c r="H23" s="5" t="str">
        <f t="shared" si="1"/>
        <v/>
      </c>
      <c r="I23" s="18"/>
      <c r="J23" s="6" t="s">
        <v>11</v>
      </c>
      <c r="K23" s="16" t="str">
        <f t="shared" si="2"/>
        <v/>
      </c>
      <c r="L23" s="6" t="s">
        <v>6</v>
      </c>
      <c r="M23" s="27"/>
      <c r="N23" s="27"/>
    </row>
    <row r="24" spans="1:14" ht="18.75" customHeight="1" x14ac:dyDescent="0.15">
      <c r="A24" s="11">
        <v>21</v>
      </c>
      <c r="B24" s="2"/>
      <c r="C24" s="3"/>
      <c r="D24" s="20"/>
      <c r="E24" s="3"/>
      <c r="F24" s="4" t="str">
        <f t="shared" si="0"/>
        <v/>
      </c>
      <c r="G24" s="5"/>
      <c r="H24" s="5" t="str">
        <f t="shared" si="1"/>
        <v/>
      </c>
      <c r="I24" s="18"/>
      <c r="J24" s="8" t="s">
        <v>11</v>
      </c>
      <c r="K24" s="16" t="str">
        <f t="shared" si="2"/>
        <v/>
      </c>
      <c r="L24" s="6" t="s">
        <v>6</v>
      </c>
      <c r="M24" s="27"/>
      <c r="N24" s="27"/>
    </row>
    <row r="25" spans="1:14" ht="18.75" customHeight="1" x14ac:dyDescent="0.15">
      <c r="A25" s="11">
        <v>22</v>
      </c>
      <c r="B25" s="2"/>
      <c r="C25" s="3"/>
      <c r="D25" s="20"/>
      <c r="E25" s="3"/>
      <c r="F25" s="4" t="str">
        <f t="shared" si="0"/>
        <v/>
      </c>
      <c r="G25" s="5"/>
      <c r="H25" s="5" t="str">
        <f t="shared" si="1"/>
        <v/>
      </c>
      <c r="I25" s="18"/>
      <c r="J25" s="6" t="s">
        <v>11</v>
      </c>
      <c r="K25" s="16" t="str">
        <f t="shared" si="2"/>
        <v/>
      </c>
      <c r="L25" s="6" t="s">
        <v>6</v>
      </c>
      <c r="M25" s="27"/>
      <c r="N25" s="27"/>
    </row>
    <row r="26" spans="1:14" ht="18.75" customHeight="1" x14ac:dyDescent="0.15">
      <c r="A26" s="11">
        <v>23</v>
      </c>
      <c r="B26" s="2"/>
      <c r="C26" s="3"/>
      <c r="D26" s="20"/>
      <c r="E26" s="3"/>
      <c r="F26" s="4" t="str">
        <f t="shared" si="0"/>
        <v/>
      </c>
      <c r="G26" s="5"/>
      <c r="H26" s="5" t="str">
        <f t="shared" si="1"/>
        <v/>
      </c>
      <c r="I26" s="18"/>
      <c r="J26" s="6" t="s">
        <v>16</v>
      </c>
      <c r="K26" s="16" t="str">
        <f t="shared" si="2"/>
        <v/>
      </c>
      <c r="L26" s="6" t="s">
        <v>6</v>
      </c>
      <c r="M26" s="27"/>
      <c r="N26" s="27"/>
    </row>
    <row r="27" spans="1:14" ht="18.75" customHeight="1" x14ac:dyDescent="0.15">
      <c r="A27" s="11">
        <v>24</v>
      </c>
      <c r="B27" s="2"/>
      <c r="C27" s="3"/>
      <c r="D27" s="20"/>
      <c r="E27" s="3"/>
      <c r="F27" s="4" t="str">
        <f t="shared" si="0"/>
        <v/>
      </c>
      <c r="G27" s="5"/>
      <c r="H27" s="5" t="str">
        <f t="shared" si="1"/>
        <v/>
      </c>
      <c r="I27" s="18"/>
      <c r="J27" s="8" t="s">
        <v>16</v>
      </c>
      <c r="K27" s="16" t="str">
        <f t="shared" si="2"/>
        <v/>
      </c>
      <c r="L27" s="6" t="s">
        <v>6</v>
      </c>
      <c r="M27" s="27"/>
      <c r="N27" s="27"/>
    </row>
    <row r="28" spans="1:14" ht="18.75" customHeight="1" x14ac:dyDescent="0.15">
      <c r="A28" s="11">
        <v>25</v>
      </c>
      <c r="B28" s="2"/>
      <c r="C28" s="3"/>
      <c r="D28" s="20"/>
      <c r="E28" s="3"/>
      <c r="F28" s="4" t="str">
        <f t="shared" si="0"/>
        <v/>
      </c>
      <c r="G28" s="5"/>
      <c r="H28" s="5" t="str">
        <f t="shared" si="1"/>
        <v/>
      </c>
      <c r="I28" s="18"/>
      <c r="J28" s="6" t="s">
        <v>16</v>
      </c>
      <c r="K28" s="16" t="str">
        <f t="shared" si="2"/>
        <v/>
      </c>
      <c r="L28" s="6" t="s">
        <v>6</v>
      </c>
      <c r="M28" s="27"/>
      <c r="N28" s="27"/>
    </row>
    <row r="29" spans="1:14" ht="18.75" customHeight="1" x14ac:dyDescent="0.15">
      <c r="A29" s="11">
        <v>26</v>
      </c>
      <c r="B29" s="2"/>
      <c r="C29" s="3"/>
      <c r="D29" s="20"/>
      <c r="E29" s="3"/>
      <c r="F29" s="4" t="str">
        <f t="shared" si="0"/>
        <v/>
      </c>
      <c r="G29" s="5"/>
      <c r="H29" s="5" t="str">
        <f t="shared" si="1"/>
        <v/>
      </c>
      <c r="I29" s="18"/>
      <c r="J29" s="6" t="s">
        <v>16</v>
      </c>
      <c r="K29" s="16" t="str">
        <f t="shared" si="2"/>
        <v/>
      </c>
      <c r="L29" s="6" t="s">
        <v>6</v>
      </c>
      <c r="M29" s="27"/>
      <c r="N29" s="27"/>
    </row>
    <row r="30" spans="1:14" ht="18.75" customHeight="1" x14ac:dyDescent="0.15">
      <c r="A30" s="11">
        <v>27</v>
      </c>
      <c r="B30" s="2"/>
      <c r="C30" s="3"/>
      <c r="D30" s="20"/>
      <c r="E30" s="3"/>
      <c r="F30" s="4" t="str">
        <f t="shared" si="0"/>
        <v/>
      </c>
      <c r="G30" s="5"/>
      <c r="H30" s="5" t="str">
        <f t="shared" si="1"/>
        <v/>
      </c>
      <c r="I30" s="18"/>
      <c r="J30" s="8" t="s">
        <v>16</v>
      </c>
      <c r="K30" s="16" t="str">
        <f t="shared" si="2"/>
        <v/>
      </c>
      <c r="L30" s="6" t="s">
        <v>6</v>
      </c>
      <c r="M30" s="27"/>
      <c r="N30" s="27"/>
    </row>
    <row r="31" spans="1:14" ht="18.75" customHeight="1" x14ac:dyDescent="0.15">
      <c r="A31" s="11">
        <v>28</v>
      </c>
      <c r="B31" s="2"/>
      <c r="C31" s="3"/>
      <c r="D31" s="20"/>
      <c r="E31" s="7"/>
      <c r="F31" s="4" t="str">
        <f t="shared" si="0"/>
        <v/>
      </c>
      <c r="G31" s="5"/>
      <c r="H31" s="5" t="str">
        <f t="shared" si="1"/>
        <v/>
      </c>
      <c r="I31" s="18"/>
      <c r="J31" s="6" t="s">
        <v>16</v>
      </c>
      <c r="K31" s="16" t="str">
        <f t="shared" si="2"/>
        <v/>
      </c>
      <c r="L31" s="6" t="s">
        <v>6</v>
      </c>
      <c r="M31" s="27"/>
      <c r="N31" s="27"/>
    </row>
    <row r="32" spans="1:14" ht="18.75" customHeight="1" x14ac:dyDescent="0.15">
      <c r="A32" s="11">
        <v>29</v>
      </c>
      <c r="B32" s="2"/>
      <c r="C32" s="3"/>
      <c r="D32" s="20"/>
      <c r="E32" s="3"/>
      <c r="F32" s="4" t="str">
        <f t="shared" si="0"/>
        <v/>
      </c>
      <c r="G32" s="5"/>
      <c r="H32" s="5" t="str">
        <f t="shared" si="1"/>
        <v/>
      </c>
      <c r="I32" s="18"/>
      <c r="J32" s="6" t="s">
        <v>16</v>
      </c>
      <c r="K32" s="16" t="str">
        <f t="shared" si="2"/>
        <v/>
      </c>
      <c r="L32" s="6" t="s">
        <v>6</v>
      </c>
      <c r="M32" s="27"/>
      <c r="N32" s="27"/>
    </row>
    <row r="33" spans="1:14" ht="18.75" customHeight="1" x14ac:dyDescent="0.15">
      <c r="A33" s="11">
        <v>30</v>
      </c>
      <c r="B33" s="2"/>
      <c r="C33" s="3"/>
      <c r="D33" s="20"/>
      <c r="E33" s="3"/>
      <c r="F33" s="4" t="str">
        <f t="shared" si="0"/>
        <v/>
      </c>
      <c r="G33" s="5"/>
      <c r="H33" s="5" t="str">
        <f t="shared" si="1"/>
        <v/>
      </c>
      <c r="I33" s="18"/>
      <c r="J33" s="6" t="s">
        <v>16</v>
      </c>
      <c r="K33" s="16" t="str">
        <f t="shared" si="2"/>
        <v/>
      </c>
      <c r="L33" s="6" t="s">
        <v>6</v>
      </c>
      <c r="M33" s="27"/>
      <c r="N33" s="27"/>
    </row>
    <row r="34" spans="1:14" ht="18.75" customHeight="1" x14ac:dyDescent="0.15">
      <c r="A34" s="11">
        <v>31</v>
      </c>
      <c r="B34" s="2"/>
      <c r="C34" s="3"/>
      <c r="D34" s="20"/>
      <c r="E34" s="3"/>
      <c r="F34" s="4" t="str">
        <f t="shared" si="0"/>
        <v/>
      </c>
      <c r="G34" s="5"/>
      <c r="H34" s="5" t="str">
        <f t="shared" si="1"/>
        <v/>
      </c>
      <c r="I34" s="21"/>
      <c r="J34" s="6" t="s">
        <v>16</v>
      </c>
      <c r="K34" s="16" t="str">
        <f t="shared" si="2"/>
        <v/>
      </c>
      <c r="L34" s="6" t="s">
        <v>6</v>
      </c>
      <c r="M34" s="27"/>
      <c r="N34" s="27"/>
    </row>
    <row r="35" spans="1:14" ht="18.75" customHeight="1" x14ac:dyDescent="0.15">
      <c r="A35" s="11">
        <v>32</v>
      </c>
      <c r="B35" s="2"/>
      <c r="C35" s="3"/>
      <c r="D35" s="20"/>
      <c r="E35" s="3"/>
      <c r="F35" s="4" t="str">
        <f t="shared" si="0"/>
        <v/>
      </c>
      <c r="G35" s="5"/>
      <c r="H35" s="5" t="str">
        <f t="shared" si="1"/>
        <v/>
      </c>
      <c r="I35" s="18"/>
      <c r="J35" s="6" t="s">
        <v>16</v>
      </c>
      <c r="K35" s="16" t="str">
        <f t="shared" si="2"/>
        <v/>
      </c>
      <c r="L35" s="6" t="s">
        <v>6</v>
      </c>
      <c r="M35" s="27"/>
      <c r="N35" s="27"/>
    </row>
    <row r="36" spans="1:14" ht="18.75" customHeight="1" x14ac:dyDescent="0.15">
      <c r="A36" s="11">
        <v>33</v>
      </c>
      <c r="B36" s="2"/>
      <c r="C36" s="3"/>
      <c r="D36" s="20"/>
      <c r="E36" s="7"/>
      <c r="F36" s="4" t="str">
        <f t="shared" si="0"/>
        <v/>
      </c>
      <c r="G36" s="5"/>
      <c r="H36" s="5" t="str">
        <f t="shared" si="1"/>
        <v/>
      </c>
      <c r="I36" s="17"/>
      <c r="J36" s="6" t="s">
        <v>16</v>
      </c>
      <c r="K36" s="16" t="str">
        <f t="shared" si="2"/>
        <v/>
      </c>
      <c r="L36" s="6" t="s">
        <v>6</v>
      </c>
      <c r="M36" s="27"/>
      <c r="N36" s="27"/>
    </row>
    <row r="37" spans="1:14" ht="18.75" customHeight="1" x14ac:dyDescent="0.15">
      <c r="A37" s="11">
        <v>34</v>
      </c>
      <c r="B37" s="2"/>
      <c r="C37" s="3"/>
      <c r="D37" s="20"/>
      <c r="E37" s="3"/>
      <c r="F37" s="4" t="str">
        <f t="shared" si="0"/>
        <v/>
      </c>
      <c r="G37" s="5"/>
      <c r="H37" s="5" t="str">
        <f t="shared" si="1"/>
        <v/>
      </c>
      <c r="I37" s="18"/>
      <c r="J37" s="6" t="s">
        <v>16</v>
      </c>
      <c r="K37" s="16" t="str">
        <f t="shared" si="2"/>
        <v/>
      </c>
      <c r="L37" s="6" t="s">
        <v>6</v>
      </c>
      <c r="M37" s="27"/>
      <c r="N37" s="27"/>
    </row>
    <row r="38" spans="1:14" ht="18.75" customHeight="1" x14ac:dyDescent="0.15">
      <c r="A38" s="11">
        <v>35</v>
      </c>
      <c r="B38" s="2"/>
      <c r="C38" s="3"/>
      <c r="D38" s="20"/>
      <c r="E38" s="3"/>
      <c r="F38" s="4"/>
      <c r="G38" s="5"/>
      <c r="H38" s="5"/>
      <c r="I38" s="18"/>
      <c r="J38" s="6" t="s">
        <v>16</v>
      </c>
      <c r="K38" s="16"/>
      <c r="L38" s="6" t="s">
        <v>6</v>
      </c>
      <c r="M38" s="27"/>
      <c r="N38" s="27"/>
    </row>
    <row r="39" spans="1:14" ht="18.75" customHeight="1" x14ac:dyDescent="0.15">
      <c r="A39" s="11">
        <v>36</v>
      </c>
      <c r="B39" s="2"/>
      <c r="C39" s="3"/>
      <c r="D39" s="20"/>
      <c r="E39" s="3"/>
      <c r="F39" s="4"/>
      <c r="G39" s="5"/>
      <c r="H39" s="5"/>
      <c r="I39" s="18"/>
      <c r="J39" s="6" t="s">
        <v>16</v>
      </c>
      <c r="K39" s="16"/>
      <c r="L39" s="6" t="s">
        <v>6</v>
      </c>
      <c r="M39" s="27"/>
      <c r="N39" s="27"/>
    </row>
    <row r="40" spans="1:14" ht="18.75" customHeight="1" x14ac:dyDescent="0.15">
      <c r="A40" s="11">
        <v>37</v>
      </c>
      <c r="B40" s="2"/>
      <c r="C40" s="3"/>
      <c r="D40" s="20"/>
      <c r="E40" s="3"/>
      <c r="F40" s="4"/>
      <c r="G40" s="5"/>
      <c r="H40" s="5"/>
      <c r="I40" s="18"/>
      <c r="J40" s="6" t="s">
        <v>16</v>
      </c>
      <c r="K40" s="16"/>
      <c r="L40" s="6" t="s">
        <v>6</v>
      </c>
      <c r="M40" s="27"/>
      <c r="N40" s="27"/>
    </row>
    <row r="41" spans="1:14" ht="18.75" customHeight="1" x14ac:dyDescent="0.15">
      <c r="A41" s="11">
        <v>38</v>
      </c>
      <c r="B41" s="2"/>
      <c r="C41" s="3"/>
      <c r="D41" s="20"/>
      <c r="E41" s="3"/>
      <c r="F41" s="4"/>
      <c r="G41" s="5"/>
      <c r="H41" s="5"/>
      <c r="I41" s="18"/>
      <c r="J41" s="6" t="s">
        <v>16</v>
      </c>
      <c r="K41" s="16"/>
      <c r="L41" s="6" t="s">
        <v>6</v>
      </c>
      <c r="M41" s="27"/>
      <c r="N41" s="27"/>
    </row>
    <row r="42" spans="1:14" ht="18.75" customHeight="1" x14ac:dyDescent="0.15">
      <c r="A42" s="11">
        <v>39</v>
      </c>
      <c r="B42" s="2"/>
      <c r="C42" s="3"/>
      <c r="D42" s="20"/>
      <c r="E42" s="3"/>
      <c r="F42" s="4" t="str">
        <f>IF(E42="","",E42-7*INT(E42/7))</f>
        <v/>
      </c>
      <c r="G42" s="5"/>
      <c r="H42" s="5" t="str">
        <f>IF(G42="","",G42)</f>
        <v/>
      </c>
      <c r="I42" s="18"/>
      <c r="J42" s="6" t="s">
        <v>16</v>
      </c>
      <c r="K42" s="16" t="str">
        <f>IF(I42&gt;0,I42,"")</f>
        <v/>
      </c>
      <c r="L42" s="6" t="s">
        <v>6</v>
      </c>
      <c r="M42" s="27"/>
      <c r="N42" s="27"/>
    </row>
    <row r="43" spans="1:14" ht="18.75" customHeight="1" thickBot="1" x14ac:dyDescent="0.2">
      <c r="A43" s="50">
        <v>40</v>
      </c>
      <c r="B43" s="51"/>
      <c r="C43" s="52"/>
      <c r="D43" s="63"/>
      <c r="E43" s="52"/>
      <c r="F43" s="53" t="str">
        <f>IF(E43="","",E43-7*INT(E43/7))</f>
        <v/>
      </c>
      <c r="G43" s="54"/>
      <c r="H43" s="54" t="str">
        <f>IF(G43="","",G43)</f>
        <v/>
      </c>
      <c r="I43" s="64"/>
      <c r="J43" s="56" t="s">
        <v>16</v>
      </c>
      <c r="K43" s="65" t="str">
        <f>IF(I43&gt;0,I43,"")</f>
        <v/>
      </c>
      <c r="L43" s="56" t="s">
        <v>6</v>
      </c>
      <c r="M43" s="58"/>
      <c r="N43" s="58"/>
    </row>
    <row r="44" spans="1:14" ht="18.75" customHeight="1" thickTop="1" x14ac:dyDescent="0.15">
      <c r="I44" s="62">
        <f>SUM(I4:I43)</f>
        <v>0</v>
      </c>
      <c r="J44" s="10" t="s">
        <v>17</v>
      </c>
      <c r="K44" s="24">
        <f>SUM(K4:K43)</f>
        <v>0</v>
      </c>
      <c r="L44" s="10" t="s">
        <v>6</v>
      </c>
    </row>
    <row r="45" spans="1:14" ht="20.25" customHeight="1" x14ac:dyDescent="0.15">
      <c r="B45" s="95" t="s">
        <v>13</v>
      </c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10"/>
    </row>
    <row r="46" spans="1:14" ht="21" customHeight="1" x14ac:dyDescent="0.15">
      <c r="B46" s="96" t="s">
        <v>0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10"/>
    </row>
    <row r="47" spans="1:14" ht="26.25" customHeight="1" x14ac:dyDescent="0.15">
      <c r="A47" s="11"/>
      <c r="B47" s="2" t="s">
        <v>1</v>
      </c>
      <c r="C47" s="97" t="s">
        <v>2</v>
      </c>
      <c r="D47" s="98"/>
      <c r="E47" s="99" t="s">
        <v>3</v>
      </c>
      <c r="F47" s="100"/>
      <c r="G47" s="25" t="s">
        <v>4</v>
      </c>
      <c r="H47" s="25" t="s">
        <v>7</v>
      </c>
      <c r="I47" s="101" t="s">
        <v>8</v>
      </c>
      <c r="J47" s="99"/>
      <c r="K47" s="101" t="s">
        <v>5</v>
      </c>
      <c r="L47" s="101"/>
      <c r="M47" s="26" t="s">
        <v>14</v>
      </c>
      <c r="N47" s="1" t="s">
        <v>10</v>
      </c>
    </row>
    <row r="48" spans="1:14" ht="18.75" customHeight="1" x14ac:dyDescent="0.15">
      <c r="A48" s="11">
        <v>41</v>
      </c>
      <c r="B48" s="2"/>
      <c r="C48" s="3"/>
      <c r="D48" s="14"/>
      <c r="E48" s="3"/>
      <c r="F48" s="4" t="str">
        <f t="shared" ref="F48:F81" si="3">IF(E48="","",E48-7*INT(E48/7))</f>
        <v/>
      </c>
      <c r="G48" s="5"/>
      <c r="H48" s="5" t="str">
        <f t="shared" ref="H48:H81" si="4">IF(G48="","",G48)</f>
        <v/>
      </c>
      <c r="I48" s="15"/>
      <c r="J48" s="6" t="s">
        <v>15</v>
      </c>
      <c r="K48" s="16" t="str">
        <f t="shared" ref="K48:K81" si="5">IF(I48&gt;0,I48,"")</f>
        <v/>
      </c>
      <c r="L48" s="6" t="s">
        <v>6</v>
      </c>
      <c r="M48" s="27"/>
      <c r="N48" s="27"/>
    </row>
    <row r="49" spans="1:14" ht="18.75" customHeight="1" x14ac:dyDescent="0.15">
      <c r="A49" s="11">
        <v>42</v>
      </c>
      <c r="B49" s="2"/>
      <c r="C49" s="3"/>
      <c r="D49" s="14"/>
      <c r="E49" s="7"/>
      <c r="F49" s="4" t="str">
        <f t="shared" si="3"/>
        <v/>
      </c>
      <c r="G49" s="5"/>
      <c r="H49" s="5" t="str">
        <f t="shared" si="4"/>
        <v/>
      </c>
      <c r="I49" s="17"/>
      <c r="J49" s="8" t="s">
        <v>16</v>
      </c>
      <c r="K49" s="16" t="str">
        <f t="shared" si="5"/>
        <v/>
      </c>
      <c r="L49" s="9" t="s">
        <v>6</v>
      </c>
      <c r="M49" s="27"/>
      <c r="N49" s="27"/>
    </row>
    <row r="50" spans="1:14" ht="18.75" customHeight="1" x14ac:dyDescent="0.15">
      <c r="A50" s="11">
        <v>43</v>
      </c>
      <c r="B50" s="2"/>
      <c r="C50" s="3"/>
      <c r="D50" s="14"/>
      <c r="E50" s="3"/>
      <c r="F50" s="4" t="str">
        <f t="shared" si="3"/>
        <v/>
      </c>
      <c r="G50" s="5"/>
      <c r="H50" s="5" t="str">
        <f t="shared" si="4"/>
        <v/>
      </c>
      <c r="I50" s="18"/>
      <c r="J50" s="6" t="s">
        <v>16</v>
      </c>
      <c r="K50" s="16" t="str">
        <f t="shared" si="5"/>
        <v/>
      </c>
      <c r="L50" s="6" t="s">
        <v>6</v>
      </c>
      <c r="M50" s="27"/>
      <c r="N50" s="27"/>
    </row>
    <row r="51" spans="1:14" ht="18.75" customHeight="1" x14ac:dyDescent="0.15">
      <c r="A51" s="11">
        <v>44</v>
      </c>
      <c r="B51" s="2"/>
      <c r="C51" s="3"/>
      <c r="D51" s="14"/>
      <c r="E51" s="3"/>
      <c r="F51" s="4" t="str">
        <f t="shared" si="3"/>
        <v/>
      </c>
      <c r="G51" s="5"/>
      <c r="H51" s="5" t="str">
        <f t="shared" si="4"/>
        <v/>
      </c>
      <c r="I51" s="17"/>
      <c r="J51" s="8" t="s">
        <v>16</v>
      </c>
      <c r="K51" s="16" t="str">
        <f t="shared" si="5"/>
        <v/>
      </c>
      <c r="L51" s="9" t="s">
        <v>6</v>
      </c>
      <c r="M51" s="27"/>
      <c r="N51" s="27"/>
    </row>
    <row r="52" spans="1:14" ht="18.75" customHeight="1" x14ac:dyDescent="0.15">
      <c r="A52" s="11">
        <v>45</v>
      </c>
      <c r="B52" s="2"/>
      <c r="C52" s="3"/>
      <c r="D52" s="14"/>
      <c r="E52" s="7"/>
      <c r="F52" s="4" t="str">
        <f t="shared" si="3"/>
        <v/>
      </c>
      <c r="G52" s="5"/>
      <c r="H52" s="5" t="str">
        <f t="shared" si="4"/>
        <v/>
      </c>
      <c r="I52" s="18"/>
      <c r="J52" s="6" t="s">
        <v>16</v>
      </c>
      <c r="K52" s="16" t="str">
        <f t="shared" si="5"/>
        <v/>
      </c>
      <c r="L52" s="6" t="s">
        <v>6</v>
      </c>
      <c r="M52" s="27"/>
      <c r="N52" s="27"/>
    </row>
    <row r="53" spans="1:14" ht="18.75" customHeight="1" x14ac:dyDescent="0.15">
      <c r="A53" s="11">
        <v>46</v>
      </c>
      <c r="B53" s="2"/>
      <c r="C53" s="3"/>
      <c r="D53" s="14"/>
      <c r="E53" s="3"/>
      <c r="F53" s="4" t="str">
        <f t="shared" si="3"/>
        <v/>
      </c>
      <c r="G53" s="5"/>
      <c r="H53" s="5" t="str">
        <f t="shared" si="4"/>
        <v/>
      </c>
      <c r="I53" s="18"/>
      <c r="J53" s="6" t="s">
        <v>16</v>
      </c>
      <c r="K53" s="16" t="str">
        <f t="shared" si="5"/>
        <v/>
      </c>
      <c r="L53" s="6" t="s">
        <v>6</v>
      </c>
      <c r="M53" s="27"/>
      <c r="N53" s="27"/>
    </row>
    <row r="54" spans="1:14" ht="18.75" customHeight="1" x14ac:dyDescent="0.15">
      <c r="A54" s="11">
        <v>47</v>
      </c>
      <c r="B54" s="2"/>
      <c r="C54" s="3"/>
      <c r="D54" s="14"/>
      <c r="E54" s="3"/>
      <c r="F54" s="4" t="str">
        <f t="shared" si="3"/>
        <v/>
      </c>
      <c r="G54" s="5"/>
      <c r="H54" s="5" t="str">
        <f t="shared" si="4"/>
        <v/>
      </c>
      <c r="I54" s="17"/>
      <c r="J54" s="28" t="s">
        <v>16</v>
      </c>
      <c r="K54" s="16" t="str">
        <f t="shared" si="5"/>
        <v/>
      </c>
      <c r="L54" s="28" t="s">
        <v>6</v>
      </c>
      <c r="M54" s="27"/>
      <c r="N54" s="27"/>
    </row>
    <row r="55" spans="1:14" ht="18.75" customHeight="1" x14ac:dyDescent="0.15">
      <c r="A55" s="11">
        <v>48</v>
      </c>
      <c r="B55" s="2"/>
      <c r="C55" s="3"/>
      <c r="D55" s="14"/>
      <c r="E55" s="7"/>
      <c r="F55" s="4" t="str">
        <f t="shared" si="3"/>
        <v/>
      </c>
      <c r="G55" s="5"/>
      <c r="H55" s="5" t="str">
        <f t="shared" si="4"/>
        <v/>
      </c>
      <c r="I55" s="18"/>
      <c r="J55" s="8" t="s">
        <v>16</v>
      </c>
      <c r="K55" s="16" t="str">
        <f t="shared" si="5"/>
        <v/>
      </c>
      <c r="L55" s="9" t="s">
        <v>6</v>
      </c>
      <c r="M55" s="27"/>
      <c r="N55" s="27"/>
    </row>
    <row r="56" spans="1:14" ht="18.75" customHeight="1" x14ac:dyDescent="0.15">
      <c r="A56" s="11">
        <v>49</v>
      </c>
      <c r="B56" s="2"/>
      <c r="C56" s="3"/>
      <c r="D56" s="14"/>
      <c r="E56" s="3"/>
      <c r="F56" s="4" t="str">
        <f t="shared" si="3"/>
        <v/>
      </c>
      <c r="G56" s="5"/>
      <c r="H56" s="5" t="str">
        <f t="shared" si="4"/>
        <v/>
      </c>
      <c r="I56" s="18"/>
      <c r="J56" s="6" t="s">
        <v>16</v>
      </c>
      <c r="K56" s="16" t="str">
        <f t="shared" si="5"/>
        <v/>
      </c>
      <c r="L56" s="6" t="s">
        <v>6</v>
      </c>
      <c r="M56" s="27"/>
      <c r="N56" s="27"/>
    </row>
    <row r="57" spans="1:14" ht="18.75" customHeight="1" x14ac:dyDescent="0.15">
      <c r="A57" s="11">
        <v>50</v>
      </c>
      <c r="B57" s="2"/>
      <c r="C57" s="3"/>
      <c r="D57" s="14"/>
      <c r="E57" s="7"/>
      <c r="F57" s="4" t="str">
        <f t="shared" si="3"/>
        <v/>
      </c>
      <c r="G57" s="5"/>
      <c r="H57" s="5" t="str">
        <f t="shared" si="4"/>
        <v/>
      </c>
      <c r="I57" s="18"/>
      <c r="J57" s="8" t="s">
        <v>16</v>
      </c>
      <c r="K57" s="16" t="str">
        <f t="shared" si="5"/>
        <v/>
      </c>
      <c r="L57" s="9" t="s">
        <v>6</v>
      </c>
      <c r="M57" s="27"/>
      <c r="N57" s="27"/>
    </row>
    <row r="58" spans="1:14" ht="18.75" customHeight="1" x14ac:dyDescent="0.15">
      <c r="A58" s="11">
        <v>51</v>
      </c>
      <c r="B58" s="2"/>
      <c r="C58" s="3"/>
      <c r="D58" s="14"/>
      <c r="E58" s="3"/>
      <c r="F58" s="4" t="str">
        <f t="shared" si="3"/>
        <v/>
      </c>
      <c r="G58" s="5"/>
      <c r="H58" s="5" t="str">
        <f t="shared" si="4"/>
        <v/>
      </c>
      <c r="I58" s="18"/>
      <c r="J58" s="6" t="s">
        <v>16</v>
      </c>
      <c r="K58" s="16" t="str">
        <f t="shared" si="5"/>
        <v/>
      </c>
      <c r="L58" s="6" t="s">
        <v>6</v>
      </c>
      <c r="M58" s="27"/>
      <c r="N58" s="27"/>
    </row>
    <row r="59" spans="1:14" ht="18.75" customHeight="1" x14ac:dyDescent="0.15">
      <c r="A59" s="11">
        <v>52</v>
      </c>
      <c r="B59" s="2"/>
      <c r="C59" s="3"/>
      <c r="D59" s="14"/>
      <c r="E59" s="3"/>
      <c r="F59" s="4" t="str">
        <f t="shared" si="3"/>
        <v/>
      </c>
      <c r="G59" s="5"/>
      <c r="H59" s="5" t="str">
        <f t="shared" si="4"/>
        <v/>
      </c>
      <c r="I59" s="17"/>
      <c r="J59" s="8" t="s">
        <v>16</v>
      </c>
      <c r="K59" s="16" t="str">
        <f t="shared" si="5"/>
        <v/>
      </c>
      <c r="L59" s="6" t="s">
        <v>6</v>
      </c>
      <c r="M59" s="27"/>
      <c r="N59" s="27"/>
    </row>
    <row r="60" spans="1:14" ht="18.75" customHeight="1" x14ac:dyDescent="0.15">
      <c r="A60" s="11">
        <v>53</v>
      </c>
      <c r="B60" s="2"/>
      <c r="C60" s="3"/>
      <c r="D60" s="19"/>
      <c r="E60" s="3"/>
      <c r="F60" s="4" t="str">
        <f t="shared" si="3"/>
        <v/>
      </c>
      <c r="G60" s="5"/>
      <c r="H60" s="5" t="str">
        <f t="shared" si="4"/>
        <v/>
      </c>
      <c r="I60" s="18"/>
      <c r="J60" s="6" t="s">
        <v>16</v>
      </c>
      <c r="K60" s="16" t="str">
        <f t="shared" si="5"/>
        <v/>
      </c>
      <c r="L60" s="6" t="s">
        <v>6</v>
      </c>
      <c r="M60" s="27"/>
      <c r="N60" s="27"/>
    </row>
    <row r="61" spans="1:14" ht="18.75" customHeight="1" x14ac:dyDescent="0.15">
      <c r="A61" s="11">
        <v>54</v>
      </c>
      <c r="B61" s="2"/>
      <c r="C61" s="3"/>
      <c r="D61" s="19"/>
      <c r="E61" s="3"/>
      <c r="F61" s="4" t="str">
        <f t="shared" si="3"/>
        <v/>
      </c>
      <c r="G61" s="5"/>
      <c r="H61" s="5" t="str">
        <f t="shared" si="4"/>
        <v/>
      </c>
      <c r="I61" s="18"/>
      <c r="J61" s="6" t="s">
        <v>16</v>
      </c>
      <c r="K61" s="16" t="str">
        <f t="shared" si="5"/>
        <v/>
      </c>
      <c r="L61" s="6" t="s">
        <v>6</v>
      </c>
      <c r="M61" s="27"/>
      <c r="N61" s="27"/>
    </row>
    <row r="62" spans="1:14" ht="18.75" customHeight="1" x14ac:dyDescent="0.15">
      <c r="A62" s="11">
        <v>55</v>
      </c>
      <c r="B62" s="2"/>
      <c r="C62" s="3"/>
      <c r="D62" s="19"/>
      <c r="E62" s="3"/>
      <c r="F62" s="4" t="str">
        <f t="shared" si="3"/>
        <v/>
      </c>
      <c r="G62" s="5"/>
      <c r="H62" s="5" t="str">
        <f t="shared" si="4"/>
        <v/>
      </c>
      <c r="I62" s="18"/>
      <c r="J62" s="6" t="s">
        <v>16</v>
      </c>
      <c r="K62" s="16" t="str">
        <f t="shared" si="5"/>
        <v/>
      </c>
      <c r="L62" s="9" t="s">
        <v>6</v>
      </c>
      <c r="M62" s="27"/>
      <c r="N62" s="27"/>
    </row>
    <row r="63" spans="1:14" ht="18.75" customHeight="1" x14ac:dyDescent="0.15">
      <c r="A63" s="11">
        <v>56</v>
      </c>
      <c r="B63" s="2"/>
      <c r="C63" s="3"/>
      <c r="D63" s="19"/>
      <c r="E63" s="7"/>
      <c r="F63" s="4" t="str">
        <f t="shared" si="3"/>
        <v/>
      </c>
      <c r="G63" s="5"/>
      <c r="H63" s="5" t="str">
        <f t="shared" si="4"/>
        <v/>
      </c>
      <c r="I63" s="17"/>
      <c r="J63" s="8" t="s">
        <v>16</v>
      </c>
      <c r="K63" s="16" t="str">
        <f t="shared" si="5"/>
        <v/>
      </c>
      <c r="L63" s="6" t="s">
        <v>6</v>
      </c>
      <c r="M63" s="27"/>
      <c r="N63" s="27"/>
    </row>
    <row r="64" spans="1:14" ht="18.75" customHeight="1" x14ac:dyDescent="0.15">
      <c r="A64" s="11">
        <v>57</v>
      </c>
      <c r="B64" s="2"/>
      <c r="C64" s="3"/>
      <c r="D64" s="19"/>
      <c r="E64" s="3"/>
      <c r="F64" s="4" t="str">
        <f t="shared" si="3"/>
        <v/>
      </c>
      <c r="G64" s="5"/>
      <c r="H64" s="5" t="str">
        <f t="shared" si="4"/>
        <v/>
      </c>
      <c r="I64" s="18"/>
      <c r="J64" s="6" t="s">
        <v>16</v>
      </c>
      <c r="K64" s="16" t="str">
        <f t="shared" si="5"/>
        <v/>
      </c>
      <c r="L64" s="6" t="s">
        <v>6</v>
      </c>
      <c r="M64" s="27"/>
      <c r="N64" s="27"/>
    </row>
    <row r="65" spans="1:14" ht="18.75" customHeight="1" x14ac:dyDescent="0.15">
      <c r="A65" s="11">
        <v>58</v>
      </c>
      <c r="B65" s="2"/>
      <c r="C65" s="3"/>
      <c r="D65" s="19"/>
      <c r="E65" s="3"/>
      <c r="F65" s="4" t="str">
        <f t="shared" si="3"/>
        <v/>
      </c>
      <c r="G65" s="5"/>
      <c r="H65" s="5" t="str">
        <f t="shared" si="4"/>
        <v/>
      </c>
      <c r="I65" s="18"/>
      <c r="J65" s="6" t="s">
        <v>16</v>
      </c>
      <c r="K65" s="16" t="str">
        <f t="shared" si="5"/>
        <v/>
      </c>
      <c r="L65" s="6" t="s">
        <v>6</v>
      </c>
      <c r="M65" s="27"/>
      <c r="N65" s="27"/>
    </row>
    <row r="66" spans="1:14" ht="18.75" customHeight="1" x14ac:dyDescent="0.15">
      <c r="A66" s="11">
        <v>59</v>
      </c>
      <c r="B66" s="2"/>
      <c r="C66" s="3"/>
      <c r="D66" s="19"/>
      <c r="E66" s="3"/>
      <c r="F66" s="4" t="str">
        <f t="shared" si="3"/>
        <v/>
      </c>
      <c r="G66" s="5"/>
      <c r="H66" s="5" t="str">
        <f t="shared" si="4"/>
        <v/>
      </c>
      <c r="I66" s="18"/>
      <c r="J66" s="6" t="s">
        <v>16</v>
      </c>
      <c r="K66" s="16" t="str">
        <f t="shared" si="5"/>
        <v/>
      </c>
      <c r="L66" s="6" t="s">
        <v>6</v>
      </c>
      <c r="M66" s="27"/>
      <c r="N66" s="27"/>
    </row>
    <row r="67" spans="1:14" ht="18.75" customHeight="1" x14ac:dyDescent="0.15">
      <c r="A67" s="11">
        <v>60</v>
      </c>
      <c r="B67" s="2"/>
      <c r="C67" s="3"/>
      <c r="D67" s="20"/>
      <c r="E67" s="3"/>
      <c r="F67" s="4" t="str">
        <f t="shared" si="3"/>
        <v/>
      </c>
      <c r="G67" s="5"/>
      <c r="H67" s="5" t="str">
        <f t="shared" si="4"/>
        <v/>
      </c>
      <c r="I67" s="18"/>
      <c r="J67" s="6" t="s">
        <v>11</v>
      </c>
      <c r="K67" s="16" t="str">
        <f t="shared" si="5"/>
        <v/>
      </c>
      <c r="L67" s="6" t="s">
        <v>6</v>
      </c>
      <c r="M67" s="27"/>
      <c r="N67" s="27"/>
    </row>
    <row r="68" spans="1:14" ht="18.75" customHeight="1" x14ac:dyDescent="0.15">
      <c r="A68" s="11">
        <v>61</v>
      </c>
      <c r="B68" s="2"/>
      <c r="C68" s="3"/>
      <c r="D68" s="20"/>
      <c r="E68" s="3"/>
      <c r="F68" s="4" t="str">
        <f t="shared" si="3"/>
        <v/>
      </c>
      <c r="G68" s="5"/>
      <c r="H68" s="5" t="str">
        <f t="shared" si="4"/>
        <v/>
      </c>
      <c r="I68" s="18"/>
      <c r="J68" s="8" t="s">
        <v>11</v>
      </c>
      <c r="K68" s="16" t="str">
        <f t="shared" si="5"/>
        <v/>
      </c>
      <c r="L68" s="6" t="s">
        <v>6</v>
      </c>
      <c r="M68" s="27"/>
      <c r="N68" s="27"/>
    </row>
    <row r="69" spans="1:14" ht="18.75" customHeight="1" x14ac:dyDescent="0.15">
      <c r="A69" s="11">
        <v>62</v>
      </c>
      <c r="B69" s="2"/>
      <c r="C69" s="3"/>
      <c r="D69" s="20"/>
      <c r="E69" s="3"/>
      <c r="F69" s="4" t="str">
        <f t="shared" si="3"/>
        <v/>
      </c>
      <c r="G69" s="5"/>
      <c r="H69" s="5" t="str">
        <f t="shared" si="4"/>
        <v/>
      </c>
      <c r="I69" s="18"/>
      <c r="J69" s="6" t="s">
        <v>11</v>
      </c>
      <c r="K69" s="16" t="str">
        <f t="shared" si="5"/>
        <v/>
      </c>
      <c r="L69" s="6" t="s">
        <v>6</v>
      </c>
      <c r="M69" s="27"/>
      <c r="N69" s="27"/>
    </row>
    <row r="70" spans="1:14" ht="18.75" customHeight="1" x14ac:dyDescent="0.15">
      <c r="A70" s="11">
        <v>63</v>
      </c>
      <c r="B70" s="2"/>
      <c r="C70" s="3"/>
      <c r="D70" s="20"/>
      <c r="E70" s="3"/>
      <c r="F70" s="4" t="str">
        <f t="shared" si="3"/>
        <v/>
      </c>
      <c r="G70" s="5"/>
      <c r="H70" s="5" t="str">
        <f t="shared" si="4"/>
        <v/>
      </c>
      <c r="I70" s="18"/>
      <c r="J70" s="6" t="s">
        <v>16</v>
      </c>
      <c r="K70" s="16" t="str">
        <f t="shared" si="5"/>
        <v/>
      </c>
      <c r="L70" s="6" t="s">
        <v>6</v>
      </c>
      <c r="M70" s="27"/>
      <c r="N70" s="27"/>
    </row>
    <row r="71" spans="1:14" ht="18.75" customHeight="1" x14ac:dyDescent="0.15">
      <c r="A71" s="11">
        <v>64</v>
      </c>
      <c r="B71" s="2"/>
      <c r="C71" s="3"/>
      <c r="D71" s="20"/>
      <c r="E71" s="3"/>
      <c r="F71" s="4" t="str">
        <f t="shared" si="3"/>
        <v/>
      </c>
      <c r="G71" s="5"/>
      <c r="H71" s="5" t="str">
        <f t="shared" si="4"/>
        <v/>
      </c>
      <c r="I71" s="18"/>
      <c r="J71" s="8" t="s">
        <v>16</v>
      </c>
      <c r="K71" s="16" t="str">
        <f t="shared" si="5"/>
        <v/>
      </c>
      <c r="L71" s="6" t="s">
        <v>6</v>
      </c>
      <c r="M71" s="27"/>
      <c r="N71" s="27"/>
    </row>
    <row r="72" spans="1:14" ht="18.75" customHeight="1" x14ac:dyDescent="0.15">
      <c r="A72" s="11">
        <v>65</v>
      </c>
      <c r="B72" s="2"/>
      <c r="C72" s="3"/>
      <c r="D72" s="20"/>
      <c r="E72" s="3"/>
      <c r="F72" s="4" t="str">
        <f t="shared" si="3"/>
        <v/>
      </c>
      <c r="G72" s="5"/>
      <c r="H72" s="5" t="str">
        <f t="shared" si="4"/>
        <v/>
      </c>
      <c r="I72" s="18"/>
      <c r="J72" s="6" t="s">
        <v>16</v>
      </c>
      <c r="K72" s="16" t="str">
        <f t="shared" si="5"/>
        <v/>
      </c>
      <c r="L72" s="6" t="s">
        <v>6</v>
      </c>
      <c r="M72" s="27"/>
      <c r="N72" s="27"/>
    </row>
    <row r="73" spans="1:14" ht="18.75" customHeight="1" x14ac:dyDescent="0.15">
      <c r="A73" s="11">
        <v>66</v>
      </c>
      <c r="B73" s="2"/>
      <c r="C73" s="3"/>
      <c r="D73" s="20"/>
      <c r="E73" s="3"/>
      <c r="F73" s="4" t="str">
        <f t="shared" si="3"/>
        <v/>
      </c>
      <c r="G73" s="5"/>
      <c r="H73" s="5" t="str">
        <f t="shared" si="4"/>
        <v/>
      </c>
      <c r="I73" s="18"/>
      <c r="J73" s="6" t="s">
        <v>16</v>
      </c>
      <c r="K73" s="16" t="str">
        <f t="shared" si="5"/>
        <v/>
      </c>
      <c r="L73" s="6" t="s">
        <v>6</v>
      </c>
      <c r="M73" s="27"/>
      <c r="N73" s="27"/>
    </row>
    <row r="74" spans="1:14" ht="18.75" customHeight="1" x14ac:dyDescent="0.15">
      <c r="A74" s="11">
        <v>67</v>
      </c>
      <c r="B74" s="2"/>
      <c r="C74" s="3"/>
      <c r="D74" s="20"/>
      <c r="E74" s="3"/>
      <c r="F74" s="4" t="str">
        <f t="shared" si="3"/>
        <v/>
      </c>
      <c r="G74" s="5"/>
      <c r="H74" s="5" t="str">
        <f t="shared" si="4"/>
        <v/>
      </c>
      <c r="I74" s="18"/>
      <c r="J74" s="8" t="s">
        <v>16</v>
      </c>
      <c r="K74" s="16" t="str">
        <f t="shared" si="5"/>
        <v/>
      </c>
      <c r="L74" s="6" t="s">
        <v>6</v>
      </c>
      <c r="M74" s="27"/>
      <c r="N74" s="27"/>
    </row>
    <row r="75" spans="1:14" ht="18.75" customHeight="1" x14ac:dyDescent="0.15">
      <c r="A75" s="11">
        <v>68</v>
      </c>
      <c r="B75" s="2"/>
      <c r="C75" s="3"/>
      <c r="D75" s="20"/>
      <c r="E75" s="7"/>
      <c r="F75" s="4" t="str">
        <f t="shared" si="3"/>
        <v/>
      </c>
      <c r="G75" s="5"/>
      <c r="H75" s="5" t="str">
        <f t="shared" si="4"/>
        <v/>
      </c>
      <c r="I75" s="18"/>
      <c r="J75" s="6" t="s">
        <v>16</v>
      </c>
      <c r="K75" s="16" t="str">
        <f t="shared" si="5"/>
        <v/>
      </c>
      <c r="L75" s="6" t="s">
        <v>6</v>
      </c>
      <c r="M75" s="27"/>
      <c r="N75" s="27"/>
    </row>
    <row r="76" spans="1:14" ht="18.75" customHeight="1" x14ac:dyDescent="0.15">
      <c r="A76" s="11">
        <v>69</v>
      </c>
      <c r="B76" s="2"/>
      <c r="C76" s="3"/>
      <c r="D76" s="20"/>
      <c r="E76" s="3"/>
      <c r="F76" s="4" t="str">
        <f t="shared" si="3"/>
        <v/>
      </c>
      <c r="G76" s="5"/>
      <c r="H76" s="5" t="str">
        <f t="shared" si="4"/>
        <v/>
      </c>
      <c r="I76" s="18"/>
      <c r="J76" s="6" t="s">
        <v>16</v>
      </c>
      <c r="K76" s="16" t="str">
        <f t="shared" si="5"/>
        <v/>
      </c>
      <c r="L76" s="6" t="s">
        <v>6</v>
      </c>
      <c r="M76" s="27"/>
      <c r="N76" s="27"/>
    </row>
    <row r="77" spans="1:14" ht="18.75" customHeight="1" x14ac:dyDescent="0.15">
      <c r="A77" s="11">
        <v>70</v>
      </c>
      <c r="B77" s="2"/>
      <c r="C77" s="3"/>
      <c r="D77" s="20"/>
      <c r="E77" s="3"/>
      <c r="F77" s="4" t="str">
        <f t="shared" si="3"/>
        <v/>
      </c>
      <c r="G77" s="5"/>
      <c r="H77" s="5" t="str">
        <f t="shared" si="4"/>
        <v/>
      </c>
      <c r="I77" s="18"/>
      <c r="J77" s="6" t="s">
        <v>16</v>
      </c>
      <c r="K77" s="16" t="str">
        <f t="shared" si="5"/>
        <v/>
      </c>
      <c r="L77" s="6" t="s">
        <v>6</v>
      </c>
      <c r="M77" s="27"/>
      <c r="N77" s="27"/>
    </row>
    <row r="78" spans="1:14" ht="18.75" customHeight="1" x14ac:dyDescent="0.15">
      <c r="A78" s="11">
        <v>71</v>
      </c>
      <c r="B78" s="2"/>
      <c r="C78" s="3"/>
      <c r="D78" s="20"/>
      <c r="E78" s="3"/>
      <c r="F78" s="4" t="str">
        <f t="shared" si="3"/>
        <v/>
      </c>
      <c r="G78" s="5"/>
      <c r="H78" s="5" t="str">
        <f t="shared" si="4"/>
        <v/>
      </c>
      <c r="I78" s="21"/>
      <c r="J78" s="6" t="s">
        <v>16</v>
      </c>
      <c r="K78" s="16" t="str">
        <f t="shared" si="5"/>
        <v/>
      </c>
      <c r="L78" s="6" t="s">
        <v>6</v>
      </c>
      <c r="M78" s="27"/>
      <c r="N78" s="27"/>
    </row>
    <row r="79" spans="1:14" ht="18.75" customHeight="1" x14ac:dyDescent="0.15">
      <c r="A79" s="11">
        <v>72</v>
      </c>
      <c r="B79" s="2"/>
      <c r="C79" s="3"/>
      <c r="D79" s="20"/>
      <c r="E79" s="3"/>
      <c r="F79" s="4" t="str">
        <f t="shared" si="3"/>
        <v/>
      </c>
      <c r="G79" s="5"/>
      <c r="H79" s="5" t="str">
        <f t="shared" si="4"/>
        <v/>
      </c>
      <c r="I79" s="18"/>
      <c r="J79" s="6" t="s">
        <v>16</v>
      </c>
      <c r="K79" s="16" t="str">
        <f t="shared" si="5"/>
        <v/>
      </c>
      <c r="L79" s="6" t="s">
        <v>6</v>
      </c>
      <c r="M79" s="27"/>
      <c r="N79" s="27"/>
    </row>
    <row r="80" spans="1:14" ht="18.75" customHeight="1" x14ac:dyDescent="0.15">
      <c r="A80" s="11">
        <v>73</v>
      </c>
      <c r="B80" s="2"/>
      <c r="C80" s="3"/>
      <c r="D80" s="20"/>
      <c r="E80" s="7"/>
      <c r="F80" s="4" t="str">
        <f t="shared" si="3"/>
        <v/>
      </c>
      <c r="G80" s="5"/>
      <c r="H80" s="5" t="str">
        <f t="shared" si="4"/>
        <v/>
      </c>
      <c r="I80" s="17"/>
      <c r="J80" s="6" t="s">
        <v>16</v>
      </c>
      <c r="K80" s="16" t="str">
        <f t="shared" si="5"/>
        <v/>
      </c>
      <c r="L80" s="6" t="s">
        <v>6</v>
      </c>
      <c r="M80" s="27"/>
      <c r="N80" s="27"/>
    </row>
    <row r="81" spans="1:14" ht="18.75" customHeight="1" x14ac:dyDescent="0.15">
      <c r="A81" s="11">
        <v>74</v>
      </c>
      <c r="B81" s="2"/>
      <c r="C81" s="3"/>
      <c r="D81" s="20"/>
      <c r="E81" s="3"/>
      <c r="F81" s="4" t="str">
        <f t="shared" si="3"/>
        <v/>
      </c>
      <c r="G81" s="5"/>
      <c r="H81" s="5" t="str">
        <f t="shared" si="4"/>
        <v/>
      </c>
      <c r="I81" s="18"/>
      <c r="J81" s="6" t="s">
        <v>16</v>
      </c>
      <c r="K81" s="16" t="str">
        <f t="shared" si="5"/>
        <v/>
      </c>
      <c r="L81" s="6" t="s">
        <v>6</v>
      </c>
      <c r="M81" s="27"/>
      <c r="N81" s="27"/>
    </row>
    <row r="82" spans="1:14" ht="18.75" customHeight="1" x14ac:dyDescent="0.15">
      <c r="A82" s="11">
        <v>75</v>
      </c>
      <c r="B82" s="2"/>
      <c r="C82" s="3"/>
      <c r="D82" s="20"/>
      <c r="E82" s="3"/>
      <c r="F82" s="4"/>
      <c r="G82" s="5"/>
      <c r="H82" s="5"/>
      <c r="I82" s="18"/>
      <c r="J82" s="6" t="s">
        <v>16</v>
      </c>
      <c r="K82" s="16"/>
      <c r="L82" s="6" t="s">
        <v>6</v>
      </c>
      <c r="M82" s="27"/>
      <c r="N82" s="27"/>
    </row>
    <row r="83" spans="1:14" ht="18.75" customHeight="1" x14ac:dyDescent="0.15">
      <c r="A83" s="11">
        <v>76</v>
      </c>
      <c r="B83" s="2"/>
      <c r="C83" s="3"/>
      <c r="D83" s="20"/>
      <c r="E83" s="3"/>
      <c r="F83" s="4"/>
      <c r="G83" s="5"/>
      <c r="H83" s="5"/>
      <c r="I83" s="18"/>
      <c r="J83" s="6" t="s">
        <v>16</v>
      </c>
      <c r="K83" s="16"/>
      <c r="L83" s="6" t="s">
        <v>6</v>
      </c>
      <c r="M83" s="27"/>
      <c r="N83" s="27"/>
    </row>
    <row r="84" spans="1:14" ht="18.75" customHeight="1" x14ac:dyDescent="0.15">
      <c r="A84" s="11">
        <v>77</v>
      </c>
      <c r="B84" s="2"/>
      <c r="C84" s="3"/>
      <c r="D84" s="20"/>
      <c r="E84" s="3"/>
      <c r="F84" s="4"/>
      <c r="G84" s="5"/>
      <c r="H84" s="5"/>
      <c r="I84" s="18"/>
      <c r="J84" s="6" t="s">
        <v>16</v>
      </c>
      <c r="K84" s="16"/>
      <c r="L84" s="6" t="s">
        <v>6</v>
      </c>
      <c r="M84" s="27"/>
      <c r="N84" s="27"/>
    </row>
    <row r="85" spans="1:14" ht="18.75" customHeight="1" x14ac:dyDescent="0.15">
      <c r="A85" s="11">
        <v>78</v>
      </c>
      <c r="B85" s="2"/>
      <c r="C85" s="3"/>
      <c r="D85" s="20"/>
      <c r="E85" s="3"/>
      <c r="F85" s="4"/>
      <c r="G85" s="5"/>
      <c r="H85" s="5"/>
      <c r="I85" s="18"/>
      <c r="J85" s="6" t="s">
        <v>16</v>
      </c>
      <c r="K85" s="16"/>
      <c r="L85" s="6" t="s">
        <v>6</v>
      </c>
      <c r="M85" s="27"/>
      <c r="N85" s="27"/>
    </row>
    <row r="86" spans="1:14" ht="18.75" customHeight="1" x14ac:dyDescent="0.15">
      <c r="A86" s="11">
        <v>79</v>
      </c>
      <c r="B86" s="2"/>
      <c r="C86" s="3"/>
      <c r="D86" s="20"/>
      <c r="E86" s="3"/>
      <c r="F86" s="4" t="str">
        <f>IF(E86="","",E86-7*INT(E86/7))</f>
        <v/>
      </c>
      <c r="G86" s="5"/>
      <c r="H86" s="5" t="str">
        <f>IF(G86="","",G86)</f>
        <v/>
      </c>
      <c r="I86" s="18"/>
      <c r="J86" s="6" t="s">
        <v>16</v>
      </c>
      <c r="K86" s="16" t="str">
        <f>IF(I86&gt;0,I86,"")</f>
        <v/>
      </c>
      <c r="L86" s="6" t="s">
        <v>6</v>
      </c>
      <c r="M86" s="27"/>
      <c r="N86" s="27"/>
    </row>
    <row r="87" spans="1:14" ht="18.75" customHeight="1" x14ac:dyDescent="0.15">
      <c r="A87" s="11">
        <v>80</v>
      </c>
      <c r="B87" s="2"/>
      <c r="C87" s="3"/>
      <c r="D87" s="20"/>
      <c r="E87" s="3"/>
      <c r="F87" s="4" t="str">
        <f>IF(E87="","",E87-7*INT(E87/7))</f>
        <v/>
      </c>
      <c r="G87" s="5"/>
      <c r="H87" s="5" t="str">
        <f>IF(G87="","",G87)</f>
        <v/>
      </c>
      <c r="I87" s="18"/>
      <c r="J87" s="6" t="s">
        <v>16</v>
      </c>
      <c r="K87" s="22" t="str">
        <f>IF(I87&gt;0,I87,"")</f>
        <v/>
      </c>
      <c r="L87" s="6" t="s">
        <v>6</v>
      </c>
      <c r="M87" s="27"/>
      <c r="N87" s="27"/>
    </row>
    <row r="88" spans="1:14" ht="18.75" customHeight="1" x14ac:dyDescent="0.15">
      <c r="I88" s="23">
        <f>SUM(I48:I87)+I44</f>
        <v>0</v>
      </c>
      <c r="J88" s="10" t="s">
        <v>17</v>
      </c>
      <c r="K88" s="24">
        <f>SUM(K48:K87)+K44</f>
        <v>0</v>
      </c>
      <c r="L88" s="10" t="s">
        <v>6</v>
      </c>
    </row>
  </sheetData>
  <mergeCells count="12">
    <mergeCell ref="B1:M1"/>
    <mergeCell ref="B2:M2"/>
    <mergeCell ref="C3:D3"/>
    <mergeCell ref="E3:F3"/>
    <mergeCell ref="I3:J3"/>
    <mergeCell ref="K3:L3"/>
    <mergeCell ref="B46:M46"/>
    <mergeCell ref="B45:M45"/>
    <mergeCell ref="C47:D47"/>
    <mergeCell ref="E47:F47"/>
    <mergeCell ref="I47:J47"/>
    <mergeCell ref="K47:L47"/>
  </mergeCells>
  <phoneticPr fontId="2"/>
  <dataValidations count="3">
    <dataValidation imeMode="on" allowBlank="1" showInputMessage="1" showErrorMessage="1" sqref="B48:C87 B4:C43" xr:uid="{029B1805-2F80-49C7-9422-90F562FC076A}"/>
    <dataValidation imeMode="disabled" allowBlank="1" showInputMessage="1" showErrorMessage="1" sqref="E48:E87 E4:E43 G4:N43 G48:N87" xr:uid="{26ED57B9-1789-4F37-86C4-7975198282D9}"/>
    <dataValidation type="list" imeMode="on" allowBlank="1" showInputMessage="1" showErrorMessage="1" promptTitle="こんにちは" sqref="D48:D87 D4:D43" xr:uid="{92FD2A3E-3FB3-430C-A8AB-A8E7A5D79168}">
      <formula1>"鴛泊下水浄化センター,沓形浄化センター"</formula1>
    </dataValidation>
  </dataValidations>
  <printOptions horizontalCentered="1" verticalCentered="1"/>
  <pageMargins left="0.59055118110236227" right="0.59055118110236227" top="0.59055118110236227" bottom="0.59055118110236227" header="0.51181102362204722" footer="0.51181102362204722"/>
  <pageSetup paperSize="9" orientation="portrait" horizontalDpi="4294967293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CC09F-2550-442A-9ACF-97C8525E0D52}">
  <dimension ref="A1:N88"/>
  <sheetViews>
    <sheetView workbookViewId="0">
      <selection activeCell="O21" sqref="O21"/>
    </sheetView>
  </sheetViews>
  <sheetFormatPr defaultRowHeight="13.5" x14ac:dyDescent="0.15"/>
  <cols>
    <col min="1" max="1" width="3.375" style="12" customWidth="1"/>
    <col min="2" max="2" width="11" style="10" customWidth="1"/>
    <col min="3" max="3" width="1" style="10" customWidth="1"/>
    <col min="4" max="4" width="15.625" style="10" customWidth="1"/>
    <col min="5" max="5" width="10.125" style="10" customWidth="1"/>
    <col min="6" max="6" width="2.25" style="10" customWidth="1"/>
    <col min="7" max="8" width="8.625" style="10" customWidth="1"/>
    <col min="9" max="9" width="6" style="13" customWidth="1"/>
    <col min="10" max="10" width="2.375" style="10" customWidth="1"/>
    <col min="11" max="11" width="6.125" style="10" customWidth="1"/>
    <col min="12" max="12" width="2.25" style="10" customWidth="1"/>
    <col min="13" max="14" width="6.25" style="12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4" ht="20.25" customHeight="1" x14ac:dyDescent="0.15">
      <c r="B1" s="95" t="s">
        <v>13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10"/>
    </row>
    <row r="2" spans="1:14" ht="21" customHeight="1" x14ac:dyDescent="0.15"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10"/>
    </row>
    <row r="3" spans="1:14" ht="26.25" customHeight="1" x14ac:dyDescent="0.15">
      <c r="A3" s="11"/>
      <c r="B3" s="2" t="s">
        <v>1</v>
      </c>
      <c r="C3" s="97" t="s">
        <v>2</v>
      </c>
      <c r="D3" s="98"/>
      <c r="E3" s="99" t="s">
        <v>3</v>
      </c>
      <c r="F3" s="100"/>
      <c r="G3" s="25" t="s">
        <v>4</v>
      </c>
      <c r="H3" s="25" t="s">
        <v>7</v>
      </c>
      <c r="I3" s="101" t="s">
        <v>8</v>
      </c>
      <c r="J3" s="99"/>
      <c r="K3" s="101" t="s">
        <v>5</v>
      </c>
      <c r="L3" s="101"/>
      <c r="M3" s="26" t="s">
        <v>14</v>
      </c>
      <c r="N3" s="1" t="s">
        <v>10</v>
      </c>
    </row>
    <row r="4" spans="1:14" ht="18.75" customHeight="1" x14ac:dyDescent="0.15">
      <c r="A4" s="11">
        <v>1</v>
      </c>
      <c r="B4" s="2" t="s">
        <v>12</v>
      </c>
      <c r="C4" s="3"/>
      <c r="D4" s="66"/>
      <c r="E4" s="3"/>
      <c r="F4" s="4" t="str">
        <f t="shared" ref="F4:F37" si="0">IF(E4="","",E4-7*INT(E4/7))</f>
        <v/>
      </c>
      <c r="G4" s="5"/>
      <c r="H4" s="5" t="str">
        <f t="shared" ref="H4:H37" si="1">IF(G4="","",G4)</f>
        <v/>
      </c>
      <c r="I4" s="15"/>
      <c r="J4" s="6" t="s">
        <v>15</v>
      </c>
      <c r="K4" s="16" t="str">
        <f t="shared" ref="K4:K37" si="2">IF(I4&gt;0,I4,"")</f>
        <v/>
      </c>
      <c r="L4" s="6" t="s">
        <v>6</v>
      </c>
      <c r="M4" s="27"/>
      <c r="N4" s="27"/>
    </row>
    <row r="5" spans="1:14" ht="18.75" customHeight="1" x14ac:dyDescent="0.15">
      <c r="A5" s="11">
        <v>2</v>
      </c>
      <c r="B5" s="2" t="s">
        <v>12</v>
      </c>
      <c r="C5" s="3"/>
      <c r="D5" s="66"/>
      <c r="E5" s="7"/>
      <c r="F5" s="4" t="str">
        <f t="shared" si="0"/>
        <v/>
      </c>
      <c r="G5" s="5"/>
      <c r="H5" s="5" t="str">
        <f t="shared" si="1"/>
        <v/>
      </c>
      <c r="I5" s="17"/>
      <c r="J5" s="8" t="s">
        <v>16</v>
      </c>
      <c r="K5" s="16" t="str">
        <f t="shared" si="2"/>
        <v/>
      </c>
      <c r="L5" s="9" t="s">
        <v>6</v>
      </c>
      <c r="M5" s="27"/>
      <c r="N5" s="27"/>
    </row>
    <row r="6" spans="1:14" ht="18.75" customHeight="1" x14ac:dyDescent="0.15">
      <c r="A6" s="11">
        <v>3</v>
      </c>
      <c r="B6" s="2" t="s">
        <v>12</v>
      </c>
      <c r="C6" s="3"/>
      <c r="D6" s="66"/>
      <c r="E6" s="3"/>
      <c r="F6" s="4" t="str">
        <f t="shared" si="0"/>
        <v/>
      </c>
      <c r="G6" s="5"/>
      <c r="H6" s="5" t="str">
        <f t="shared" si="1"/>
        <v/>
      </c>
      <c r="I6" s="18"/>
      <c r="J6" s="6" t="s">
        <v>16</v>
      </c>
      <c r="K6" s="16" t="str">
        <f t="shared" si="2"/>
        <v/>
      </c>
      <c r="L6" s="6" t="s">
        <v>6</v>
      </c>
      <c r="M6" s="27"/>
      <c r="N6" s="27"/>
    </row>
    <row r="7" spans="1:14" ht="18.75" customHeight="1" x14ac:dyDescent="0.15">
      <c r="A7" s="11">
        <v>4</v>
      </c>
      <c r="B7" s="2" t="s">
        <v>12</v>
      </c>
      <c r="C7" s="3"/>
      <c r="D7" s="66"/>
      <c r="E7" s="3"/>
      <c r="F7" s="4" t="str">
        <f t="shared" si="0"/>
        <v/>
      </c>
      <c r="G7" s="5"/>
      <c r="H7" s="5" t="str">
        <f t="shared" si="1"/>
        <v/>
      </c>
      <c r="I7" s="17"/>
      <c r="J7" s="8" t="s">
        <v>16</v>
      </c>
      <c r="K7" s="16" t="str">
        <f t="shared" si="2"/>
        <v/>
      </c>
      <c r="L7" s="9" t="s">
        <v>6</v>
      </c>
      <c r="M7" s="27"/>
      <c r="N7" s="27"/>
    </row>
    <row r="8" spans="1:14" ht="18.75" customHeight="1" x14ac:dyDescent="0.15">
      <c r="A8" s="11">
        <v>5</v>
      </c>
      <c r="B8" s="2" t="s">
        <v>12</v>
      </c>
      <c r="C8" s="3"/>
      <c r="D8" s="66"/>
      <c r="E8" s="3"/>
      <c r="F8" s="4" t="str">
        <f t="shared" si="0"/>
        <v/>
      </c>
      <c r="G8" s="5"/>
      <c r="H8" s="5" t="str">
        <f t="shared" si="1"/>
        <v/>
      </c>
      <c r="I8" s="18"/>
      <c r="J8" s="6" t="s">
        <v>16</v>
      </c>
      <c r="K8" s="16" t="str">
        <f t="shared" si="2"/>
        <v/>
      </c>
      <c r="L8" s="6" t="s">
        <v>6</v>
      </c>
      <c r="M8" s="27"/>
      <c r="N8" s="27"/>
    </row>
    <row r="9" spans="1:14" ht="18.75" customHeight="1" x14ac:dyDescent="0.15">
      <c r="A9" s="11">
        <v>6</v>
      </c>
      <c r="B9" s="2" t="s">
        <v>12</v>
      </c>
      <c r="C9" s="3"/>
      <c r="D9" s="66"/>
      <c r="E9" s="7"/>
      <c r="F9" s="4" t="str">
        <f t="shared" si="0"/>
        <v/>
      </c>
      <c r="G9" s="5"/>
      <c r="H9" s="5" t="str">
        <f t="shared" si="1"/>
        <v/>
      </c>
      <c r="I9" s="18"/>
      <c r="J9" s="6" t="s">
        <v>16</v>
      </c>
      <c r="K9" s="16" t="str">
        <f t="shared" si="2"/>
        <v/>
      </c>
      <c r="L9" s="6" t="s">
        <v>6</v>
      </c>
      <c r="M9" s="27"/>
      <c r="N9" s="27"/>
    </row>
    <row r="10" spans="1:14" ht="18.75" customHeight="1" x14ac:dyDescent="0.15">
      <c r="A10" s="11">
        <v>7</v>
      </c>
      <c r="B10" s="2" t="s">
        <v>12</v>
      </c>
      <c r="C10" s="3"/>
      <c r="D10" s="66"/>
      <c r="E10" s="3"/>
      <c r="F10" s="4" t="str">
        <f t="shared" si="0"/>
        <v/>
      </c>
      <c r="G10" s="5"/>
      <c r="H10" s="5" t="str">
        <f t="shared" si="1"/>
        <v/>
      </c>
      <c r="I10" s="17"/>
      <c r="J10" s="28" t="s">
        <v>16</v>
      </c>
      <c r="K10" s="16" t="str">
        <f t="shared" si="2"/>
        <v/>
      </c>
      <c r="L10" s="28" t="s">
        <v>6</v>
      </c>
      <c r="M10" s="27"/>
      <c r="N10" s="27"/>
    </row>
    <row r="11" spans="1:14" ht="18.75" customHeight="1" x14ac:dyDescent="0.15">
      <c r="A11" s="11">
        <v>8</v>
      </c>
      <c r="B11" s="2" t="s">
        <v>12</v>
      </c>
      <c r="C11" s="3"/>
      <c r="D11" s="66"/>
      <c r="E11" s="7"/>
      <c r="F11" s="4" t="str">
        <f t="shared" si="0"/>
        <v/>
      </c>
      <c r="G11" s="5"/>
      <c r="H11" s="5" t="str">
        <f t="shared" si="1"/>
        <v/>
      </c>
      <c r="I11" s="18"/>
      <c r="J11" s="8" t="s">
        <v>16</v>
      </c>
      <c r="K11" s="16" t="str">
        <f t="shared" si="2"/>
        <v/>
      </c>
      <c r="L11" s="9" t="s">
        <v>6</v>
      </c>
      <c r="M11" s="27"/>
      <c r="N11" s="27"/>
    </row>
    <row r="12" spans="1:14" ht="18.75" customHeight="1" x14ac:dyDescent="0.15">
      <c r="A12" s="11">
        <v>9</v>
      </c>
      <c r="B12" s="2" t="s">
        <v>12</v>
      </c>
      <c r="C12" s="3"/>
      <c r="D12" s="66"/>
      <c r="E12" s="3"/>
      <c r="F12" s="4" t="str">
        <f t="shared" si="0"/>
        <v/>
      </c>
      <c r="G12" s="5"/>
      <c r="H12" s="5" t="str">
        <f t="shared" si="1"/>
        <v/>
      </c>
      <c r="I12" s="18"/>
      <c r="J12" s="6" t="s">
        <v>16</v>
      </c>
      <c r="K12" s="16" t="str">
        <f t="shared" si="2"/>
        <v/>
      </c>
      <c r="L12" s="6" t="s">
        <v>6</v>
      </c>
      <c r="M12" s="27"/>
      <c r="N12" s="27"/>
    </row>
    <row r="13" spans="1:14" ht="18.75" customHeight="1" x14ac:dyDescent="0.15">
      <c r="A13" s="11">
        <v>10</v>
      </c>
      <c r="B13" s="2"/>
      <c r="C13" s="3"/>
      <c r="D13" s="66"/>
      <c r="E13" s="7"/>
      <c r="F13" s="4" t="str">
        <f t="shared" si="0"/>
        <v/>
      </c>
      <c r="G13" s="5"/>
      <c r="H13" s="5" t="str">
        <f t="shared" si="1"/>
        <v/>
      </c>
      <c r="I13" s="18"/>
      <c r="J13" s="8" t="s">
        <v>16</v>
      </c>
      <c r="K13" s="16" t="str">
        <f t="shared" si="2"/>
        <v/>
      </c>
      <c r="L13" s="9" t="s">
        <v>6</v>
      </c>
      <c r="M13" s="27"/>
      <c r="N13" s="27"/>
    </row>
    <row r="14" spans="1:14" ht="18.75" customHeight="1" x14ac:dyDescent="0.15">
      <c r="A14" s="11">
        <v>11</v>
      </c>
      <c r="B14" s="2"/>
      <c r="C14" s="3"/>
      <c r="D14" s="66"/>
      <c r="E14" s="3"/>
      <c r="F14" s="4" t="str">
        <f t="shared" si="0"/>
        <v/>
      </c>
      <c r="G14" s="5"/>
      <c r="H14" s="5" t="str">
        <f t="shared" si="1"/>
        <v/>
      </c>
      <c r="I14" s="18"/>
      <c r="J14" s="6" t="s">
        <v>16</v>
      </c>
      <c r="K14" s="16" t="str">
        <f t="shared" si="2"/>
        <v/>
      </c>
      <c r="L14" s="6" t="s">
        <v>6</v>
      </c>
      <c r="M14" s="27"/>
      <c r="N14" s="27"/>
    </row>
    <row r="15" spans="1:14" ht="18.75" customHeight="1" x14ac:dyDescent="0.15">
      <c r="A15" s="11">
        <v>12</v>
      </c>
      <c r="B15" s="2"/>
      <c r="C15" s="3"/>
      <c r="D15" s="66"/>
      <c r="E15" s="3"/>
      <c r="F15" s="4" t="str">
        <f t="shared" si="0"/>
        <v/>
      </c>
      <c r="G15" s="5"/>
      <c r="H15" s="5" t="str">
        <f t="shared" si="1"/>
        <v/>
      </c>
      <c r="I15" s="17"/>
      <c r="J15" s="8" t="s">
        <v>16</v>
      </c>
      <c r="K15" s="16" t="str">
        <f t="shared" si="2"/>
        <v/>
      </c>
      <c r="L15" s="6" t="s">
        <v>6</v>
      </c>
      <c r="M15" s="27"/>
      <c r="N15" s="27"/>
    </row>
    <row r="16" spans="1:14" ht="18.75" customHeight="1" x14ac:dyDescent="0.15">
      <c r="A16" s="11">
        <v>13</v>
      </c>
      <c r="B16" s="2"/>
      <c r="C16" s="3"/>
      <c r="D16" s="67"/>
      <c r="E16" s="3"/>
      <c r="F16" s="4" t="str">
        <f t="shared" si="0"/>
        <v/>
      </c>
      <c r="G16" s="5"/>
      <c r="H16" s="5" t="str">
        <f t="shared" si="1"/>
        <v/>
      </c>
      <c r="I16" s="18"/>
      <c r="J16" s="6" t="s">
        <v>16</v>
      </c>
      <c r="K16" s="16" t="str">
        <f t="shared" si="2"/>
        <v/>
      </c>
      <c r="L16" s="6" t="s">
        <v>6</v>
      </c>
      <c r="M16" s="27"/>
      <c r="N16" s="27"/>
    </row>
    <row r="17" spans="1:14" ht="18.75" customHeight="1" x14ac:dyDescent="0.15">
      <c r="A17" s="11">
        <v>14</v>
      </c>
      <c r="B17" s="2"/>
      <c r="C17" s="3"/>
      <c r="D17" s="67"/>
      <c r="E17" s="3"/>
      <c r="F17" s="4" t="str">
        <f t="shared" si="0"/>
        <v/>
      </c>
      <c r="G17" s="5"/>
      <c r="H17" s="5" t="str">
        <f t="shared" si="1"/>
        <v/>
      </c>
      <c r="I17" s="18"/>
      <c r="J17" s="6" t="s">
        <v>16</v>
      </c>
      <c r="K17" s="16" t="str">
        <f t="shared" si="2"/>
        <v/>
      </c>
      <c r="L17" s="6" t="s">
        <v>6</v>
      </c>
      <c r="M17" s="27"/>
      <c r="N17" s="27"/>
    </row>
    <row r="18" spans="1:14" ht="18.75" customHeight="1" x14ac:dyDescent="0.15">
      <c r="A18" s="11">
        <v>15</v>
      </c>
      <c r="B18" s="2"/>
      <c r="C18" s="3"/>
      <c r="D18" s="67"/>
      <c r="E18" s="3"/>
      <c r="F18" s="4" t="str">
        <f t="shared" si="0"/>
        <v/>
      </c>
      <c r="G18" s="5"/>
      <c r="H18" s="5" t="str">
        <f t="shared" si="1"/>
        <v/>
      </c>
      <c r="I18" s="18"/>
      <c r="J18" s="6" t="s">
        <v>16</v>
      </c>
      <c r="K18" s="16" t="str">
        <f t="shared" si="2"/>
        <v/>
      </c>
      <c r="L18" s="9" t="s">
        <v>6</v>
      </c>
      <c r="M18" s="27"/>
      <c r="N18" s="27"/>
    </row>
    <row r="19" spans="1:14" ht="18.75" customHeight="1" x14ac:dyDescent="0.15">
      <c r="A19" s="11">
        <v>16</v>
      </c>
      <c r="B19" s="2"/>
      <c r="C19" s="3"/>
      <c r="D19" s="67"/>
      <c r="E19" s="7"/>
      <c r="F19" s="4" t="str">
        <f t="shared" si="0"/>
        <v/>
      </c>
      <c r="G19" s="5"/>
      <c r="H19" s="5" t="str">
        <f t="shared" si="1"/>
        <v/>
      </c>
      <c r="I19" s="17"/>
      <c r="J19" s="8" t="s">
        <v>16</v>
      </c>
      <c r="K19" s="16" t="str">
        <f t="shared" si="2"/>
        <v/>
      </c>
      <c r="L19" s="6" t="s">
        <v>6</v>
      </c>
      <c r="M19" s="27"/>
      <c r="N19" s="27"/>
    </row>
    <row r="20" spans="1:14" ht="18.75" customHeight="1" x14ac:dyDescent="0.15">
      <c r="A20" s="11">
        <v>17</v>
      </c>
      <c r="B20" s="2"/>
      <c r="C20" s="3"/>
      <c r="D20" s="67"/>
      <c r="E20" s="3"/>
      <c r="F20" s="4" t="str">
        <f t="shared" si="0"/>
        <v/>
      </c>
      <c r="G20" s="5"/>
      <c r="H20" s="5" t="str">
        <f t="shared" si="1"/>
        <v/>
      </c>
      <c r="I20" s="18"/>
      <c r="J20" s="6" t="s">
        <v>16</v>
      </c>
      <c r="K20" s="16" t="str">
        <f t="shared" si="2"/>
        <v/>
      </c>
      <c r="L20" s="6" t="s">
        <v>6</v>
      </c>
      <c r="M20" s="27"/>
      <c r="N20" s="27"/>
    </row>
    <row r="21" spans="1:14" ht="18.75" customHeight="1" x14ac:dyDescent="0.15">
      <c r="A21" s="11">
        <v>18</v>
      </c>
      <c r="B21" s="2"/>
      <c r="C21" s="3"/>
      <c r="D21" s="67"/>
      <c r="E21" s="3"/>
      <c r="F21" s="4" t="str">
        <f t="shared" si="0"/>
        <v/>
      </c>
      <c r="G21" s="5"/>
      <c r="H21" s="5" t="str">
        <f t="shared" si="1"/>
        <v/>
      </c>
      <c r="I21" s="18"/>
      <c r="J21" s="6" t="s">
        <v>16</v>
      </c>
      <c r="K21" s="16" t="str">
        <f t="shared" si="2"/>
        <v/>
      </c>
      <c r="L21" s="6" t="s">
        <v>6</v>
      </c>
      <c r="M21" s="27"/>
      <c r="N21" s="27"/>
    </row>
    <row r="22" spans="1:14" ht="18.75" customHeight="1" x14ac:dyDescent="0.15">
      <c r="A22" s="11">
        <v>19</v>
      </c>
      <c r="B22" s="2"/>
      <c r="C22" s="3"/>
      <c r="D22" s="67"/>
      <c r="E22" s="3"/>
      <c r="F22" s="4" t="str">
        <f t="shared" si="0"/>
        <v/>
      </c>
      <c r="G22" s="5"/>
      <c r="H22" s="5" t="str">
        <f t="shared" si="1"/>
        <v/>
      </c>
      <c r="I22" s="18"/>
      <c r="J22" s="6" t="s">
        <v>16</v>
      </c>
      <c r="K22" s="16" t="str">
        <f t="shared" si="2"/>
        <v/>
      </c>
      <c r="L22" s="6" t="s">
        <v>6</v>
      </c>
      <c r="M22" s="27"/>
      <c r="N22" s="27"/>
    </row>
    <row r="23" spans="1:14" ht="18.75" customHeight="1" x14ac:dyDescent="0.15">
      <c r="A23" s="11">
        <v>20</v>
      </c>
      <c r="B23" s="2"/>
      <c r="C23" s="3"/>
      <c r="D23" s="68"/>
      <c r="E23" s="3"/>
      <c r="F23" s="4" t="str">
        <f t="shared" si="0"/>
        <v/>
      </c>
      <c r="G23" s="5"/>
      <c r="H23" s="5" t="str">
        <f t="shared" si="1"/>
        <v/>
      </c>
      <c r="I23" s="18"/>
      <c r="J23" s="6" t="s">
        <v>11</v>
      </c>
      <c r="K23" s="16" t="str">
        <f t="shared" si="2"/>
        <v/>
      </c>
      <c r="L23" s="6" t="s">
        <v>6</v>
      </c>
      <c r="M23" s="27"/>
      <c r="N23" s="27"/>
    </row>
    <row r="24" spans="1:14" ht="18.75" customHeight="1" x14ac:dyDescent="0.15">
      <c r="A24" s="11">
        <v>21</v>
      </c>
      <c r="B24" s="2"/>
      <c r="C24" s="3"/>
      <c r="D24" s="68"/>
      <c r="E24" s="3"/>
      <c r="F24" s="4" t="str">
        <f t="shared" si="0"/>
        <v/>
      </c>
      <c r="G24" s="5"/>
      <c r="H24" s="5" t="str">
        <f t="shared" si="1"/>
        <v/>
      </c>
      <c r="I24" s="18"/>
      <c r="J24" s="8" t="s">
        <v>11</v>
      </c>
      <c r="K24" s="16" t="str">
        <f t="shared" si="2"/>
        <v/>
      </c>
      <c r="L24" s="6" t="s">
        <v>6</v>
      </c>
      <c r="M24" s="27"/>
      <c r="N24" s="27"/>
    </row>
    <row r="25" spans="1:14" ht="18.75" customHeight="1" x14ac:dyDescent="0.15">
      <c r="A25" s="11">
        <v>22</v>
      </c>
      <c r="B25" s="2"/>
      <c r="C25" s="3"/>
      <c r="D25" s="68"/>
      <c r="E25" s="3"/>
      <c r="F25" s="4" t="str">
        <f t="shared" si="0"/>
        <v/>
      </c>
      <c r="G25" s="5"/>
      <c r="H25" s="5" t="str">
        <f t="shared" si="1"/>
        <v/>
      </c>
      <c r="I25" s="18"/>
      <c r="J25" s="6" t="s">
        <v>11</v>
      </c>
      <c r="K25" s="16" t="str">
        <f t="shared" si="2"/>
        <v/>
      </c>
      <c r="L25" s="6" t="s">
        <v>6</v>
      </c>
      <c r="M25" s="27"/>
      <c r="N25" s="27"/>
    </row>
    <row r="26" spans="1:14" ht="18.75" customHeight="1" x14ac:dyDescent="0.15">
      <c r="A26" s="11">
        <v>23</v>
      </c>
      <c r="B26" s="2"/>
      <c r="C26" s="3"/>
      <c r="D26" s="68"/>
      <c r="E26" s="3"/>
      <c r="F26" s="4" t="str">
        <f t="shared" si="0"/>
        <v/>
      </c>
      <c r="G26" s="5"/>
      <c r="H26" s="5" t="str">
        <f t="shared" si="1"/>
        <v/>
      </c>
      <c r="I26" s="18"/>
      <c r="J26" s="6" t="s">
        <v>16</v>
      </c>
      <c r="K26" s="16" t="str">
        <f t="shared" si="2"/>
        <v/>
      </c>
      <c r="L26" s="6" t="s">
        <v>6</v>
      </c>
      <c r="M26" s="27"/>
      <c r="N26" s="27"/>
    </row>
    <row r="27" spans="1:14" ht="18.75" customHeight="1" x14ac:dyDescent="0.15">
      <c r="A27" s="11">
        <v>24</v>
      </c>
      <c r="B27" s="2"/>
      <c r="C27" s="3"/>
      <c r="D27" s="68"/>
      <c r="E27" s="3"/>
      <c r="F27" s="4" t="str">
        <f t="shared" si="0"/>
        <v/>
      </c>
      <c r="G27" s="5"/>
      <c r="H27" s="5" t="str">
        <f t="shared" si="1"/>
        <v/>
      </c>
      <c r="I27" s="18"/>
      <c r="J27" s="8" t="s">
        <v>16</v>
      </c>
      <c r="K27" s="16" t="str">
        <f t="shared" si="2"/>
        <v/>
      </c>
      <c r="L27" s="6" t="s">
        <v>6</v>
      </c>
      <c r="M27" s="27"/>
      <c r="N27" s="27"/>
    </row>
    <row r="28" spans="1:14" ht="18.75" customHeight="1" x14ac:dyDescent="0.15">
      <c r="A28" s="11">
        <v>25</v>
      </c>
      <c r="B28" s="2"/>
      <c r="C28" s="3"/>
      <c r="D28" s="68"/>
      <c r="E28" s="3"/>
      <c r="F28" s="4" t="str">
        <f t="shared" si="0"/>
        <v/>
      </c>
      <c r="G28" s="5"/>
      <c r="H28" s="5" t="str">
        <f t="shared" si="1"/>
        <v/>
      </c>
      <c r="I28" s="18"/>
      <c r="J28" s="6" t="s">
        <v>16</v>
      </c>
      <c r="K28" s="16" t="str">
        <f t="shared" si="2"/>
        <v/>
      </c>
      <c r="L28" s="6" t="s">
        <v>6</v>
      </c>
      <c r="M28" s="27"/>
      <c r="N28" s="27"/>
    </row>
    <row r="29" spans="1:14" ht="18.75" customHeight="1" x14ac:dyDescent="0.15">
      <c r="A29" s="11">
        <v>26</v>
      </c>
      <c r="B29" s="2"/>
      <c r="C29" s="3"/>
      <c r="D29" s="68"/>
      <c r="E29" s="3"/>
      <c r="F29" s="4" t="str">
        <f t="shared" si="0"/>
        <v/>
      </c>
      <c r="G29" s="5"/>
      <c r="H29" s="5" t="str">
        <f t="shared" si="1"/>
        <v/>
      </c>
      <c r="I29" s="18"/>
      <c r="J29" s="6" t="s">
        <v>16</v>
      </c>
      <c r="K29" s="16" t="str">
        <f t="shared" si="2"/>
        <v/>
      </c>
      <c r="L29" s="6" t="s">
        <v>6</v>
      </c>
      <c r="M29" s="27"/>
      <c r="N29" s="27"/>
    </row>
    <row r="30" spans="1:14" ht="18.75" customHeight="1" x14ac:dyDescent="0.15">
      <c r="A30" s="11">
        <v>27</v>
      </c>
      <c r="B30" s="2"/>
      <c r="C30" s="3"/>
      <c r="D30" s="68"/>
      <c r="E30" s="3"/>
      <c r="F30" s="4" t="str">
        <f t="shared" si="0"/>
        <v/>
      </c>
      <c r="G30" s="5"/>
      <c r="H30" s="5" t="str">
        <f t="shared" si="1"/>
        <v/>
      </c>
      <c r="I30" s="18"/>
      <c r="J30" s="8" t="s">
        <v>16</v>
      </c>
      <c r="K30" s="16" t="str">
        <f t="shared" si="2"/>
        <v/>
      </c>
      <c r="L30" s="6" t="s">
        <v>6</v>
      </c>
      <c r="M30" s="27"/>
      <c r="N30" s="27"/>
    </row>
    <row r="31" spans="1:14" ht="18.75" customHeight="1" x14ac:dyDescent="0.15">
      <c r="A31" s="11">
        <v>28</v>
      </c>
      <c r="B31" s="2"/>
      <c r="C31" s="3"/>
      <c r="D31" s="68"/>
      <c r="E31" s="7"/>
      <c r="F31" s="4" t="str">
        <f t="shared" si="0"/>
        <v/>
      </c>
      <c r="G31" s="5"/>
      <c r="H31" s="5" t="str">
        <f t="shared" si="1"/>
        <v/>
      </c>
      <c r="I31" s="18"/>
      <c r="J31" s="6" t="s">
        <v>16</v>
      </c>
      <c r="K31" s="16" t="str">
        <f t="shared" si="2"/>
        <v/>
      </c>
      <c r="L31" s="6" t="s">
        <v>6</v>
      </c>
      <c r="M31" s="27"/>
      <c r="N31" s="27"/>
    </row>
    <row r="32" spans="1:14" ht="18.75" customHeight="1" x14ac:dyDescent="0.15">
      <c r="A32" s="11">
        <v>29</v>
      </c>
      <c r="B32" s="2"/>
      <c r="C32" s="3"/>
      <c r="D32" s="68"/>
      <c r="E32" s="3"/>
      <c r="F32" s="4" t="str">
        <f t="shared" si="0"/>
        <v/>
      </c>
      <c r="G32" s="5"/>
      <c r="H32" s="5" t="str">
        <f t="shared" si="1"/>
        <v/>
      </c>
      <c r="I32" s="18"/>
      <c r="J32" s="6" t="s">
        <v>16</v>
      </c>
      <c r="K32" s="16" t="str">
        <f t="shared" si="2"/>
        <v/>
      </c>
      <c r="L32" s="6" t="s">
        <v>6</v>
      </c>
      <c r="M32" s="27"/>
      <c r="N32" s="27"/>
    </row>
    <row r="33" spans="1:14" ht="18.75" customHeight="1" x14ac:dyDescent="0.15">
      <c r="A33" s="11">
        <v>30</v>
      </c>
      <c r="B33" s="2"/>
      <c r="C33" s="3"/>
      <c r="D33" s="68"/>
      <c r="E33" s="3"/>
      <c r="F33" s="4" t="str">
        <f t="shared" si="0"/>
        <v/>
      </c>
      <c r="G33" s="5"/>
      <c r="H33" s="5" t="str">
        <f t="shared" si="1"/>
        <v/>
      </c>
      <c r="I33" s="18"/>
      <c r="J33" s="6" t="s">
        <v>16</v>
      </c>
      <c r="K33" s="16" t="str">
        <f t="shared" si="2"/>
        <v/>
      </c>
      <c r="L33" s="6" t="s">
        <v>6</v>
      </c>
      <c r="M33" s="27"/>
      <c r="N33" s="27"/>
    </row>
    <row r="34" spans="1:14" ht="18.75" customHeight="1" x14ac:dyDescent="0.15">
      <c r="A34" s="11">
        <v>31</v>
      </c>
      <c r="B34" s="2"/>
      <c r="C34" s="3"/>
      <c r="D34" s="68"/>
      <c r="E34" s="3"/>
      <c r="F34" s="4" t="str">
        <f t="shared" si="0"/>
        <v/>
      </c>
      <c r="G34" s="5"/>
      <c r="H34" s="5" t="str">
        <f t="shared" si="1"/>
        <v/>
      </c>
      <c r="I34" s="21"/>
      <c r="J34" s="6" t="s">
        <v>16</v>
      </c>
      <c r="K34" s="16" t="str">
        <f t="shared" si="2"/>
        <v/>
      </c>
      <c r="L34" s="6" t="s">
        <v>6</v>
      </c>
      <c r="M34" s="27"/>
      <c r="N34" s="27"/>
    </row>
    <row r="35" spans="1:14" ht="18.75" customHeight="1" x14ac:dyDescent="0.15">
      <c r="A35" s="11">
        <v>32</v>
      </c>
      <c r="B35" s="2"/>
      <c r="C35" s="3"/>
      <c r="D35" s="68"/>
      <c r="E35" s="3"/>
      <c r="F35" s="4" t="str">
        <f t="shared" si="0"/>
        <v/>
      </c>
      <c r="G35" s="5"/>
      <c r="H35" s="5" t="str">
        <f t="shared" si="1"/>
        <v/>
      </c>
      <c r="I35" s="18"/>
      <c r="J35" s="6" t="s">
        <v>16</v>
      </c>
      <c r="K35" s="16" t="str">
        <f t="shared" si="2"/>
        <v/>
      </c>
      <c r="L35" s="6" t="s">
        <v>6</v>
      </c>
      <c r="M35" s="27"/>
      <c r="N35" s="27"/>
    </row>
    <row r="36" spans="1:14" ht="18.75" customHeight="1" x14ac:dyDescent="0.15">
      <c r="A36" s="11">
        <v>33</v>
      </c>
      <c r="B36" s="2"/>
      <c r="C36" s="3"/>
      <c r="D36" s="68"/>
      <c r="E36" s="7"/>
      <c r="F36" s="4" t="str">
        <f t="shared" si="0"/>
        <v/>
      </c>
      <c r="G36" s="5"/>
      <c r="H36" s="5" t="str">
        <f t="shared" si="1"/>
        <v/>
      </c>
      <c r="I36" s="17"/>
      <c r="J36" s="6" t="s">
        <v>16</v>
      </c>
      <c r="K36" s="16" t="str">
        <f t="shared" si="2"/>
        <v/>
      </c>
      <c r="L36" s="6" t="s">
        <v>6</v>
      </c>
      <c r="M36" s="27"/>
      <c r="N36" s="27"/>
    </row>
    <row r="37" spans="1:14" ht="18.75" customHeight="1" x14ac:dyDescent="0.15">
      <c r="A37" s="11">
        <v>34</v>
      </c>
      <c r="B37" s="2"/>
      <c r="C37" s="3"/>
      <c r="D37" s="68"/>
      <c r="E37" s="3"/>
      <c r="F37" s="4" t="str">
        <f t="shared" si="0"/>
        <v/>
      </c>
      <c r="G37" s="5"/>
      <c r="H37" s="5" t="str">
        <f t="shared" si="1"/>
        <v/>
      </c>
      <c r="I37" s="18"/>
      <c r="J37" s="6" t="s">
        <v>16</v>
      </c>
      <c r="K37" s="16" t="str">
        <f t="shared" si="2"/>
        <v/>
      </c>
      <c r="L37" s="6" t="s">
        <v>6</v>
      </c>
      <c r="M37" s="27"/>
      <c r="N37" s="27"/>
    </row>
    <row r="38" spans="1:14" ht="18.75" customHeight="1" x14ac:dyDescent="0.15">
      <c r="A38" s="11">
        <v>35</v>
      </c>
      <c r="B38" s="2"/>
      <c r="C38" s="3"/>
      <c r="D38" s="68"/>
      <c r="E38" s="3"/>
      <c r="F38" s="4"/>
      <c r="G38" s="5"/>
      <c r="H38" s="5"/>
      <c r="I38" s="18"/>
      <c r="J38" s="6" t="s">
        <v>16</v>
      </c>
      <c r="K38" s="16"/>
      <c r="L38" s="6" t="s">
        <v>6</v>
      </c>
      <c r="M38" s="27"/>
      <c r="N38" s="27"/>
    </row>
    <row r="39" spans="1:14" ht="18.75" customHeight="1" x14ac:dyDescent="0.15">
      <c r="A39" s="11">
        <v>36</v>
      </c>
      <c r="B39" s="2"/>
      <c r="C39" s="3"/>
      <c r="D39" s="68"/>
      <c r="E39" s="3"/>
      <c r="F39" s="4"/>
      <c r="G39" s="5"/>
      <c r="H39" s="5"/>
      <c r="I39" s="18"/>
      <c r="J39" s="6" t="s">
        <v>16</v>
      </c>
      <c r="K39" s="16"/>
      <c r="L39" s="6" t="s">
        <v>6</v>
      </c>
      <c r="M39" s="27"/>
      <c r="N39" s="27"/>
    </row>
    <row r="40" spans="1:14" ht="18.75" customHeight="1" x14ac:dyDescent="0.15">
      <c r="A40" s="11">
        <v>37</v>
      </c>
      <c r="B40" s="2"/>
      <c r="C40" s="3"/>
      <c r="D40" s="68"/>
      <c r="E40" s="3"/>
      <c r="F40" s="4"/>
      <c r="G40" s="5"/>
      <c r="H40" s="5"/>
      <c r="I40" s="18"/>
      <c r="J40" s="6" t="s">
        <v>16</v>
      </c>
      <c r="K40" s="16"/>
      <c r="L40" s="6" t="s">
        <v>6</v>
      </c>
      <c r="M40" s="27"/>
      <c r="N40" s="27"/>
    </row>
    <row r="41" spans="1:14" ht="18.75" customHeight="1" x14ac:dyDescent="0.15">
      <c r="A41" s="11">
        <v>38</v>
      </c>
      <c r="B41" s="2"/>
      <c r="C41" s="3"/>
      <c r="D41" s="68"/>
      <c r="E41" s="3"/>
      <c r="F41" s="4"/>
      <c r="G41" s="5"/>
      <c r="H41" s="5"/>
      <c r="I41" s="18"/>
      <c r="J41" s="6" t="s">
        <v>16</v>
      </c>
      <c r="K41" s="16"/>
      <c r="L41" s="6" t="s">
        <v>6</v>
      </c>
      <c r="M41" s="27"/>
      <c r="N41" s="27"/>
    </row>
    <row r="42" spans="1:14" ht="18.75" customHeight="1" x14ac:dyDescent="0.15">
      <c r="A42" s="11">
        <v>39</v>
      </c>
      <c r="B42" s="2"/>
      <c r="C42" s="3"/>
      <c r="D42" s="68"/>
      <c r="E42" s="3"/>
      <c r="F42" s="4" t="str">
        <f>IF(E42="","",E42-7*INT(E42/7))</f>
        <v/>
      </c>
      <c r="G42" s="5"/>
      <c r="H42" s="5" t="str">
        <f>IF(G42="","",G42)</f>
        <v/>
      </c>
      <c r="I42" s="18"/>
      <c r="J42" s="6" t="s">
        <v>16</v>
      </c>
      <c r="K42" s="16" t="str">
        <f>IF(I42&gt;0,I42,"")</f>
        <v/>
      </c>
      <c r="L42" s="6" t="s">
        <v>6</v>
      </c>
      <c r="M42" s="27"/>
      <c r="N42" s="27"/>
    </row>
    <row r="43" spans="1:14" ht="18.75" customHeight="1" thickBot="1" x14ac:dyDescent="0.2">
      <c r="A43" s="50">
        <v>40</v>
      </c>
      <c r="B43" s="51"/>
      <c r="C43" s="52"/>
      <c r="D43" s="69"/>
      <c r="E43" s="52"/>
      <c r="F43" s="53" t="str">
        <f>IF(E43="","",E43-7*INT(E43/7))</f>
        <v/>
      </c>
      <c r="G43" s="54"/>
      <c r="H43" s="54" t="str">
        <f>IF(G43="","",G43)</f>
        <v/>
      </c>
      <c r="I43" s="64"/>
      <c r="J43" s="56" t="s">
        <v>16</v>
      </c>
      <c r="K43" s="65" t="str">
        <f>IF(I43&gt;0,I43,"")</f>
        <v/>
      </c>
      <c r="L43" s="56" t="s">
        <v>6</v>
      </c>
      <c r="M43" s="58"/>
      <c r="N43" s="58"/>
    </row>
    <row r="44" spans="1:14" ht="18.75" customHeight="1" thickTop="1" x14ac:dyDescent="0.15">
      <c r="I44" s="62">
        <f>SUM(I4:I43)</f>
        <v>0</v>
      </c>
      <c r="J44" s="10" t="s">
        <v>17</v>
      </c>
      <c r="K44" s="24">
        <f>SUM(K4:K43)</f>
        <v>0</v>
      </c>
      <c r="L44" s="10" t="s">
        <v>6</v>
      </c>
    </row>
    <row r="45" spans="1:14" ht="20.25" customHeight="1" x14ac:dyDescent="0.15">
      <c r="B45" s="95" t="s">
        <v>13</v>
      </c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10"/>
    </row>
    <row r="46" spans="1:14" ht="21" customHeight="1" x14ac:dyDescent="0.15">
      <c r="B46" s="96" t="s">
        <v>0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10"/>
    </row>
    <row r="47" spans="1:14" ht="26.25" customHeight="1" x14ac:dyDescent="0.15">
      <c r="A47" s="11"/>
      <c r="B47" s="2" t="s">
        <v>1</v>
      </c>
      <c r="C47" s="97" t="s">
        <v>2</v>
      </c>
      <c r="D47" s="98"/>
      <c r="E47" s="99" t="s">
        <v>3</v>
      </c>
      <c r="F47" s="100"/>
      <c r="G47" s="25" t="s">
        <v>4</v>
      </c>
      <c r="H47" s="25" t="s">
        <v>7</v>
      </c>
      <c r="I47" s="101" t="s">
        <v>8</v>
      </c>
      <c r="J47" s="99"/>
      <c r="K47" s="101" t="s">
        <v>5</v>
      </c>
      <c r="L47" s="101"/>
      <c r="M47" s="26" t="s">
        <v>14</v>
      </c>
      <c r="N47" s="1" t="s">
        <v>10</v>
      </c>
    </row>
    <row r="48" spans="1:14" ht="18.75" customHeight="1" x14ac:dyDescent="0.15">
      <c r="A48" s="11">
        <v>41</v>
      </c>
      <c r="B48" s="2"/>
      <c r="C48" s="3"/>
      <c r="D48" s="14"/>
      <c r="E48" s="3"/>
      <c r="F48" s="4" t="str">
        <f t="shared" ref="F48:F81" si="3">IF(E48="","",E48-7*INT(E48/7))</f>
        <v/>
      </c>
      <c r="G48" s="5"/>
      <c r="H48" s="5" t="str">
        <f t="shared" ref="H48:H81" si="4">IF(G48="","",G48)</f>
        <v/>
      </c>
      <c r="I48" s="15"/>
      <c r="J48" s="6" t="s">
        <v>15</v>
      </c>
      <c r="K48" s="16" t="str">
        <f t="shared" ref="K48:K81" si="5">IF(I48&gt;0,I48,"")</f>
        <v/>
      </c>
      <c r="L48" s="6" t="s">
        <v>6</v>
      </c>
      <c r="M48" s="27"/>
      <c r="N48" s="27"/>
    </row>
    <row r="49" spans="1:14" ht="18.75" customHeight="1" x14ac:dyDescent="0.15">
      <c r="A49" s="11">
        <v>42</v>
      </c>
      <c r="B49" s="2"/>
      <c r="C49" s="3"/>
      <c r="D49" s="14"/>
      <c r="E49" s="7"/>
      <c r="F49" s="4" t="str">
        <f t="shared" si="3"/>
        <v/>
      </c>
      <c r="G49" s="5"/>
      <c r="H49" s="5" t="str">
        <f t="shared" si="4"/>
        <v/>
      </c>
      <c r="I49" s="17"/>
      <c r="J49" s="8" t="s">
        <v>16</v>
      </c>
      <c r="K49" s="16" t="str">
        <f t="shared" si="5"/>
        <v/>
      </c>
      <c r="L49" s="9" t="s">
        <v>6</v>
      </c>
      <c r="M49" s="27"/>
      <c r="N49" s="27"/>
    </row>
    <row r="50" spans="1:14" ht="18.75" customHeight="1" x14ac:dyDescent="0.15">
      <c r="A50" s="11">
        <v>43</v>
      </c>
      <c r="B50" s="2"/>
      <c r="C50" s="3"/>
      <c r="D50" s="14"/>
      <c r="E50" s="3"/>
      <c r="F50" s="4" t="str">
        <f t="shared" si="3"/>
        <v/>
      </c>
      <c r="G50" s="5"/>
      <c r="H50" s="5" t="str">
        <f t="shared" si="4"/>
        <v/>
      </c>
      <c r="I50" s="18"/>
      <c r="J50" s="6" t="s">
        <v>16</v>
      </c>
      <c r="K50" s="16" t="str">
        <f t="shared" si="5"/>
        <v/>
      </c>
      <c r="L50" s="6" t="s">
        <v>6</v>
      </c>
      <c r="M50" s="27"/>
      <c r="N50" s="27"/>
    </row>
    <row r="51" spans="1:14" ht="18.75" customHeight="1" x14ac:dyDescent="0.15">
      <c r="A51" s="11">
        <v>44</v>
      </c>
      <c r="B51" s="2"/>
      <c r="C51" s="3"/>
      <c r="D51" s="14"/>
      <c r="E51" s="3"/>
      <c r="F51" s="4" t="str">
        <f t="shared" si="3"/>
        <v/>
      </c>
      <c r="G51" s="5"/>
      <c r="H51" s="5" t="str">
        <f t="shared" si="4"/>
        <v/>
      </c>
      <c r="I51" s="17"/>
      <c r="J51" s="8" t="s">
        <v>16</v>
      </c>
      <c r="K51" s="16" t="str">
        <f t="shared" si="5"/>
        <v/>
      </c>
      <c r="L51" s="9" t="s">
        <v>6</v>
      </c>
      <c r="M51" s="27"/>
      <c r="N51" s="27"/>
    </row>
    <row r="52" spans="1:14" ht="18.75" customHeight="1" x14ac:dyDescent="0.15">
      <c r="A52" s="11">
        <v>45</v>
      </c>
      <c r="B52" s="2"/>
      <c r="C52" s="3"/>
      <c r="D52" s="14"/>
      <c r="E52" s="7"/>
      <c r="F52" s="4" t="str">
        <f t="shared" si="3"/>
        <v/>
      </c>
      <c r="G52" s="5"/>
      <c r="H52" s="5" t="str">
        <f t="shared" si="4"/>
        <v/>
      </c>
      <c r="I52" s="18"/>
      <c r="J52" s="6" t="s">
        <v>16</v>
      </c>
      <c r="K52" s="16" t="str">
        <f t="shared" si="5"/>
        <v/>
      </c>
      <c r="L52" s="6" t="s">
        <v>6</v>
      </c>
      <c r="M52" s="27"/>
      <c r="N52" s="27"/>
    </row>
    <row r="53" spans="1:14" ht="18.75" customHeight="1" x14ac:dyDescent="0.15">
      <c r="A53" s="11">
        <v>46</v>
      </c>
      <c r="B53" s="2"/>
      <c r="C53" s="3"/>
      <c r="D53" s="14"/>
      <c r="E53" s="3"/>
      <c r="F53" s="4" t="str">
        <f t="shared" si="3"/>
        <v/>
      </c>
      <c r="G53" s="5"/>
      <c r="H53" s="5" t="str">
        <f t="shared" si="4"/>
        <v/>
      </c>
      <c r="I53" s="18"/>
      <c r="J53" s="6" t="s">
        <v>16</v>
      </c>
      <c r="K53" s="16" t="str">
        <f t="shared" si="5"/>
        <v/>
      </c>
      <c r="L53" s="6" t="s">
        <v>6</v>
      </c>
      <c r="M53" s="27"/>
      <c r="N53" s="27"/>
    </row>
    <row r="54" spans="1:14" ht="18.75" customHeight="1" x14ac:dyDescent="0.15">
      <c r="A54" s="11">
        <v>47</v>
      </c>
      <c r="B54" s="2"/>
      <c r="C54" s="3"/>
      <c r="D54" s="14"/>
      <c r="E54" s="3"/>
      <c r="F54" s="4" t="str">
        <f t="shared" si="3"/>
        <v/>
      </c>
      <c r="G54" s="5"/>
      <c r="H54" s="5" t="str">
        <f t="shared" si="4"/>
        <v/>
      </c>
      <c r="I54" s="17"/>
      <c r="J54" s="28" t="s">
        <v>16</v>
      </c>
      <c r="K54" s="16" t="str">
        <f t="shared" si="5"/>
        <v/>
      </c>
      <c r="L54" s="28" t="s">
        <v>6</v>
      </c>
      <c r="M54" s="27"/>
      <c r="N54" s="27"/>
    </row>
    <row r="55" spans="1:14" ht="18.75" customHeight="1" x14ac:dyDescent="0.15">
      <c r="A55" s="11">
        <v>48</v>
      </c>
      <c r="B55" s="2"/>
      <c r="C55" s="3"/>
      <c r="D55" s="14"/>
      <c r="E55" s="7"/>
      <c r="F55" s="4" t="str">
        <f t="shared" si="3"/>
        <v/>
      </c>
      <c r="G55" s="5"/>
      <c r="H55" s="5" t="str">
        <f t="shared" si="4"/>
        <v/>
      </c>
      <c r="I55" s="18"/>
      <c r="J55" s="8" t="s">
        <v>16</v>
      </c>
      <c r="K55" s="16" t="str">
        <f t="shared" si="5"/>
        <v/>
      </c>
      <c r="L55" s="9" t="s">
        <v>6</v>
      </c>
      <c r="M55" s="27"/>
      <c r="N55" s="27"/>
    </row>
    <row r="56" spans="1:14" ht="18.75" customHeight="1" x14ac:dyDescent="0.15">
      <c r="A56" s="11">
        <v>49</v>
      </c>
      <c r="B56" s="2"/>
      <c r="C56" s="3"/>
      <c r="D56" s="14"/>
      <c r="E56" s="3"/>
      <c r="F56" s="4" t="str">
        <f t="shared" si="3"/>
        <v/>
      </c>
      <c r="G56" s="5"/>
      <c r="H56" s="5" t="str">
        <f t="shared" si="4"/>
        <v/>
      </c>
      <c r="I56" s="18"/>
      <c r="J56" s="6" t="s">
        <v>16</v>
      </c>
      <c r="K56" s="16" t="str">
        <f t="shared" si="5"/>
        <v/>
      </c>
      <c r="L56" s="6" t="s">
        <v>6</v>
      </c>
      <c r="M56" s="27"/>
      <c r="N56" s="27"/>
    </row>
    <row r="57" spans="1:14" ht="18.75" customHeight="1" x14ac:dyDescent="0.15">
      <c r="A57" s="11">
        <v>50</v>
      </c>
      <c r="B57" s="2"/>
      <c r="C57" s="3"/>
      <c r="D57" s="14"/>
      <c r="E57" s="7"/>
      <c r="F57" s="4" t="str">
        <f t="shared" si="3"/>
        <v/>
      </c>
      <c r="G57" s="5"/>
      <c r="H57" s="5" t="str">
        <f t="shared" si="4"/>
        <v/>
      </c>
      <c r="I57" s="18"/>
      <c r="J57" s="8" t="s">
        <v>16</v>
      </c>
      <c r="K57" s="16" t="str">
        <f t="shared" si="5"/>
        <v/>
      </c>
      <c r="L57" s="9" t="s">
        <v>6</v>
      </c>
      <c r="M57" s="27"/>
      <c r="N57" s="27"/>
    </row>
    <row r="58" spans="1:14" ht="18.75" customHeight="1" x14ac:dyDescent="0.15">
      <c r="A58" s="11">
        <v>51</v>
      </c>
      <c r="B58" s="2"/>
      <c r="C58" s="3"/>
      <c r="D58" s="14"/>
      <c r="E58" s="3"/>
      <c r="F58" s="4" t="str">
        <f t="shared" si="3"/>
        <v/>
      </c>
      <c r="G58" s="5"/>
      <c r="H58" s="5" t="str">
        <f t="shared" si="4"/>
        <v/>
      </c>
      <c r="I58" s="18"/>
      <c r="J58" s="6" t="s">
        <v>16</v>
      </c>
      <c r="K58" s="16" t="str">
        <f t="shared" si="5"/>
        <v/>
      </c>
      <c r="L58" s="6" t="s">
        <v>6</v>
      </c>
      <c r="M58" s="27"/>
      <c r="N58" s="27"/>
    </row>
    <row r="59" spans="1:14" ht="18.75" customHeight="1" x14ac:dyDescent="0.15">
      <c r="A59" s="11">
        <v>52</v>
      </c>
      <c r="B59" s="2"/>
      <c r="C59" s="3"/>
      <c r="D59" s="14"/>
      <c r="E59" s="3"/>
      <c r="F59" s="4" t="str">
        <f t="shared" si="3"/>
        <v/>
      </c>
      <c r="G59" s="5"/>
      <c r="H59" s="5" t="str">
        <f t="shared" si="4"/>
        <v/>
      </c>
      <c r="I59" s="17"/>
      <c r="J59" s="8" t="s">
        <v>16</v>
      </c>
      <c r="K59" s="16" t="str">
        <f t="shared" si="5"/>
        <v/>
      </c>
      <c r="L59" s="6" t="s">
        <v>6</v>
      </c>
      <c r="M59" s="27"/>
      <c r="N59" s="27"/>
    </row>
    <row r="60" spans="1:14" ht="18.75" customHeight="1" x14ac:dyDescent="0.15">
      <c r="A60" s="11">
        <v>53</v>
      </c>
      <c r="B60" s="2"/>
      <c r="C60" s="3"/>
      <c r="D60" s="19"/>
      <c r="E60" s="3"/>
      <c r="F60" s="4" t="str">
        <f t="shared" si="3"/>
        <v/>
      </c>
      <c r="G60" s="5"/>
      <c r="H60" s="5" t="str">
        <f t="shared" si="4"/>
        <v/>
      </c>
      <c r="I60" s="18"/>
      <c r="J60" s="6" t="s">
        <v>16</v>
      </c>
      <c r="K60" s="16" t="str">
        <f t="shared" si="5"/>
        <v/>
      </c>
      <c r="L60" s="6" t="s">
        <v>6</v>
      </c>
      <c r="M60" s="27"/>
      <c r="N60" s="27"/>
    </row>
    <row r="61" spans="1:14" ht="18.75" customHeight="1" x14ac:dyDescent="0.15">
      <c r="A61" s="11">
        <v>54</v>
      </c>
      <c r="B61" s="2"/>
      <c r="C61" s="3"/>
      <c r="D61" s="19"/>
      <c r="E61" s="3"/>
      <c r="F61" s="4" t="str">
        <f t="shared" si="3"/>
        <v/>
      </c>
      <c r="G61" s="5"/>
      <c r="H61" s="5" t="str">
        <f t="shared" si="4"/>
        <v/>
      </c>
      <c r="I61" s="18"/>
      <c r="J61" s="6" t="s">
        <v>16</v>
      </c>
      <c r="K61" s="16" t="str">
        <f t="shared" si="5"/>
        <v/>
      </c>
      <c r="L61" s="6" t="s">
        <v>6</v>
      </c>
      <c r="M61" s="27"/>
      <c r="N61" s="27"/>
    </row>
    <row r="62" spans="1:14" ht="18.75" customHeight="1" x14ac:dyDescent="0.15">
      <c r="A62" s="11">
        <v>55</v>
      </c>
      <c r="B62" s="2"/>
      <c r="C62" s="3"/>
      <c r="D62" s="19"/>
      <c r="E62" s="3"/>
      <c r="F62" s="4" t="str">
        <f t="shared" si="3"/>
        <v/>
      </c>
      <c r="G62" s="5"/>
      <c r="H62" s="5" t="str">
        <f t="shared" si="4"/>
        <v/>
      </c>
      <c r="I62" s="18"/>
      <c r="J62" s="6" t="s">
        <v>16</v>
      </c>
      <c r="K62" s="16" t="str">
        <f t="shared" si="5"/>
        <v/>
      </c>
      <c r="L62" s="9" t="s">
        <v>6</v>
      </c>
      <c r="M62" s="27"/>
      <c r="N62" s="27"/>
    </row>
    <row r="63" spans="1:14" ht="18.75" customHeight="1" x14ac:dyDescent="0.15">
      <c r="A63" s="11">
        <v>56</v>
      </c>
      <c r="B63" s="2"/>
      <c r="C63" s="3"/>
      <c r="D63" s="19"/>
      <c r="E63" s="7"/>
      <c r="F63" s="4" t="str">
        <f t="shared" si="3"/>
        <v/>
      </c>
      <c r="G63" s="5"/>
      <c r="H63" s="5" t="str">
        <f t="shared" si="4"/>
        <v/>
      </c>
      <c r="I63" s="17"/>
      <c r="J63" s="8" t="s">
        <v>16</v>
      </c>
      <c r="K63" s="16" t="str">
        <f t="shared" si="5"/>
        <v/>
      </c>
      <c r="L63" s="6" t="s">
        <v>6</v>
      </c>
      <c r="M63" s="27"/>
      <c r="N63" s="27"/>
    </row>
    <row r="64" spans="1:14" ht="18.75" customHeight="1" x14ac:dyDescent="0.15">
      <c r="A64" s="11">
        <v>57</v>
      </c>
      <c r="B64" s="2"/>
      <c r="C64" s="3"/>
      <c r="D64" s="19"/>
      <c r="E64" s="3"/>
      <c r="F64" s="4" t="str">
        <f t="shared" si="3"/>
        <v/>
      </c>
      <c r="G64" s="5"/>
      <c r="H64" s="5" t="str">
        <f t="shared" si="4"/>
        <v/>
      </c>
      <c r="I64" s="18"/>
      <c r="J64" s="6" t="s">
        <v>16</v>
      </c>
      <c r="K64" s="16" t="str">
        <f t="shared" si="5"/>
        <v/>
      </c>
      <c r="L64" s="6" t="s">
        <v>6</v>
      </c>
      <c r="M64" s="27"/>
      <c r="N64" s="27"/>
    </row>
    <row r="65" spans="1:14" ht="18.75" customHeight="1" x14ac:dyDescent="0.15">
      <c r="A65" s="11">
        <v>58</v>
      </c>
      <c r="B65" s="2"/>
      <c r="C65" s="3"/>
      <c r="D65" s="19"/>
      <c r="E65" s="3"/>
      <c r="F65" s="4" t="str">
        <f t="shared" si="3"/>
        <v/>
      </c>
      <c r="G65" s="5"/>
      <c r="H65" s="5" t="str">
        <f t="shared" si="4"/>
        <v/>
      </c>
      <c r="I65" s="18"/>
      <c r="J65" s="6" t="s">
        <v>16</v>
      </c>
      <c r="K65" s="16" t="str">
        <f t="shared" si="5"/>
        <v/>
      </c>
      <c r="L65" s="6" t="s">
        <v>6</v>
      </c>
      <c r="M65" s="27"/>
      <c r="N65" s="27"/>
    </row>
    <row r="66" spans="1:14" ht="18.75" customHeight="1" x14ac:dyDescent="0.15">
      <c r="A66" s="11">
        <v>59</v>
      </c>
      <c r="B66" s="2"/>
      <c r="C66" s="3"/>
      <c r="D66" s="19"/>
      <c r="E66" s="3"/>
      <c r="F66" s="4" t="str">
        <f t="shared" si="3"/>
        <v/>
      </c>
      <c r="G66" s="5"/>
      <c r="H66" s="5" t="str">
        <f t="shared" si="4"/>
        <v/>
      </c>
      <c r="I66" s="18"/>
      <c r="J66" s="6" t="s">
        <v>16</v>
      </c>
      <c r="K66" s="16" t="str">
        <f t="shared" si="5"/>
        <v/>
      </c>
      <c r="L66" s="6" t="s">
        <v>6</v>
      </c>
      <c r="M66" s="27"/>
      <c r="N66" s="27"/>
    </row>
    <row r="67" spans="1:14" ht="18.75" customHeight="1" x14ac:dyDescent="0.15">
      <c r="A67" s="11">
        <v>60</v>
      </c>
      <c r="B67" s="2"/>
      <c r="C67" s="3"/>
      <c r="D67" s="20"/>
      <c r="E67" s="3"/>
      <c r="F67" s="4" t="str">
        <f t="shared" si="3"/>
        <v/>
      </c>
      <c r="G67" s="5"/>
      <c r="H67" s="5" t="str">
        <f t="shared" si="4"/>
        <v/>
      </c>
      <c r="I67" s="18"/>
      <c r="J67" s="6" t="s">
        <v>11</v>
      </c>
      <c r="K67" s="16" t="str">
        <f t="shared" si="5"/>
        <v/>
      </c>
      <c r="L67" s="6" t="s">
        <v>6</v>
      </c>
      <c r="M67" s="27"/>
      <c r="N67" s="27"/>
    </row>
    <row r="68" spans="1:14" ht="18.75" customHeight="1" x14ac:dyDescent="0.15">
      <c r="A68" s="11">
        <v>61</v>
      </c>
      <c r="B68" s="2"/>
      <c r="C68" s="3"/>
      <c r="D68" s="20"/>
      <c r="E68" s="3"/>
      <c r="F68" s="4" t="str">
        <f t="shared" si="3"/>
        <v/>
      </c>
      <c r="G68" s="5"/>
      <c r="H68" s="5" t="str">
        <f t="shared" si="4"/>
        <v/>
      </c>
      <c r="I68" s="18"/>
      <c r="J68" s="8" t="s">
        <v>11</v>
      </c>
      <c r="K68" s="16" t="str">
        <f t="shared" si="5"/>
        <v/>
      </c>
      <c r="L68" s="6" t="s">
        <v>6</v>
      </c>
      <c r="M68" s="27"/>
      <c r="N68" s="27"/>
    </row>
    <row r="69" spans="1:14" ht="18.75" customHeight="1" x14ac:dyDescent="0.15">
      <c r="A69" s="11">
        <v>62</v>
      </c>
      <c r="B69" s="2"/>
      <c r="C69" s="3"/>
      <c r="D69" s="20"/>
      <c r="E69" s="3"/>
      <c r="F69" s="4" t="str">
        <f t="shared" si="3"/>
        <v/>
      </c>
      <c r="G69" s="5"/>
      <c r="H69" s="5" t="str">
        <f t="shared" si="4"/>
        <v/>
      </c>
      <c r="I69" s="18"/>
      <c r="J69" s="6" t="s">
        <v>11</v>
      </c>
      <c r="K69" s="16" t="str">
        <f t="shared" si="5"/>
        <v/>
      </c>
      <c r="L69" s="6" t="s">
        <v>6</v>
      </c>
      <c r="M69" s="27"/>
      <c r="N69" s="27"/>
    </row>
    <row r="70" spans="1:14" ht="18.75" customHeight="1" x14ac:dyDescent="0.15">
      <c r="A70" s="11">
        <v>63</v>
      </c>
      <c r="B70" s="2"/>
      <c r="C70" s="3"/>
      <c r="D70" s="20"/>
      <c r="E70" s="3"/>
      <c r="F70" s="4" t="str">
        <f t="shared" si="3"/>
        <v/>
      </c>
      <c r="G70" s="5"/>
      <c r="H70" s="5" t="str">
        <f t="shared" si="4"/>
        <v/>
      </c>
      <c r="I70" s="18"/>
      <c r="J70" s="6" t="s">
        <v>16</v>
      </c>
      <c r="K70" s="16" t="str">
        <f t="shared" si="5"/>
        <v/>
      </c>
      <c r="L70" s="6" t="s">
        <v>6</v>
      </c>
      <c r="M70" s="27"/>
      <c r="N70" s="27"/>
    </row>
    <row r="71" spans="1:14" ht="18.75" customHeight="1" x14ac:dyDescent="0.15">
      <c r="A71" s="11">
        <v>64</v>
      </c>
      <c r="B71" s="2"/>
      <c r="C71" s="3"/>
      <c r="D71" s="20"/>
      <c r="E71" s="3"/>
      <c r="F71" s="4" t="str">
        <f t="shared" si="3"/>
        <v/>
      </c>
      <c r="G71" s="5"/>
      <c r="H71" s="5" t="str">
        <f t="shared" si="4"/>
        <v/>
      </c>
      <c r="I71" s="18"/>
      <c r="J71" s="8" t="s">
        <v>16</v>
      </c>
      <c r="K71" s="16" t="str">
        <f t="shared" si="5"/>
        <v/>
      </c>
      <c r="L71" s="6" t="s">
        <v>6</v>
      </c>
      <c r="M71" s="27"/>
      <c r="N71" s="27"/>
    </row>
    <row r="72" spans="1:14" ht="18.75" customHeight="1" x14ac:dyDescent="0.15">
      <c r="A72" s="11">
        <v>65</v>
      </c>
      <c r="B72" s="2"/>
      <c r="C72" s="3"/>
      <c r="D72" s="20"/>
      <c r="E72" s="3"/>
      <c r="F72" s="4" t="str">
        <f t="shared" si="3"/>
        <v/>
      </c>
      <c r="G72" s="5"/>
      <c r="H72" s="5" t="str">
        <f t="shared" si="4"/>
        <v/>
      </c>
      <c r="I72" s="18"/>
      <c r="J72" s="6" t="s">
        <v>16</v>
      </c>
      <c r="K72" s="16" t="str">
        <f t="shared" si="5"/>
        <v/>
      </c>
      <c r="L72" s="6" t="s">
        <v>6</v>
      </c>
      <c r="M72" s="27"/>
      <c r="N72" s="27"/>
    </row>
    <row r="73" spans="1:14" ht="18.75" customHeight="1" x14ac:dyDescent="0.15">
      <c r="A73" s="11">
        <v>66</v>
      </c>
      <c r="B73" s="2"/>
      <c r="C73" s="3"/>
      <c r="D73" s="20"/>
      <c r="E73" s="3"/>
      <c r="F73" s="4" t="str">
        <f t="shared" si="3"/>
        <v/>
      </c>
      <c r="G73" s="5"/>
      <c r="H73" s="5" t="str">
        <f t="shared" si="4"/>
        <v/>
      </c>
      <c r="I73" s="18"/>
      <c r="J73" s="6" t="s">
        <v>16</v>
      </c>
      <c r="K73" s="16" t="str">
        <f t="shared" si="5"/>
        <v/>
      </c>
      <c r="L73" s="6" t="s">
        <v>6</v>
      </c>
      <c r="M73" s="27"/>
      <c r="N73" s="27"/>
    </row>
    <row r="74" spans="1:14" ht="18.75" customHeight="1" x14ac:dyDescent="0.15">
      <c r="A74" s="11">
        <v>67</v>
      </c>
      <c r="B74" s="2"/>
      <c r="C74" s="3"/>
      <c r="D74" s="20"/>
      <c r="E74" s="3"/>
      <c r="F74" s="4" t="str">
        <f t="shared" si="3"/>
        <v/>
      </c>
      <c r="G74" s="5"/>
      <c r="H74" s="5" t="str">
        <f t="shared" si="4"/>
        <v/>
      </c>
      <c r="I74" s="18"/>
      <c r="J74" s="8" t="s">
        <v>16</v>
      </c>
      <c r="K74" s="16" t="str">
        <f t="shared" si="5"/>
        <v/>
      </c>
      <c r="L74" s="6" t="s">
        <v>6</v>
      </c>
      <c r="M74" s="27"/>
      <c r="N74" s="27"/>
    </row>
    <row r="75" spans="1:14" ht="18.75" customHeight="1" x14ac:dyDescent="0.15">
      <c r="A75" s="11">
        <v>68</v>
      </c>
      <c r="B75" s="2"/>
      <c r="C75" s="3"/>
      <c r="D75" s="20"/>
      <c r="E75" s="7"/>
      <c r="F75" s="4" t="str">
        <f t="shared" si="3"/>
        <v/>
      </c>
      <c r="G75" s="5"/>
      <c r="H75" s="5" t="str">
        <f t="shared" si="4"/>
        <v/>
      </c>
      <c r="I75" s="18"/>
      <c r="J75" s="6" t="s">
        <v>16</v>
      </c>
      <c r="K75" s="16" t="str">
        <f t="shared" si="5"/>
        <v/>
      </c>
      <c r="L75" s="6" t="s">
        <v>6</v>
      </c>
      <c r="M75" s="27"/>
      <c r="N75" s="27"/>
    </row>
    <row r="76" spans="1:14" ht="18.75" customHeight="1" x14ac:dyDescent="0.15">
      <c r="A76" s="11">
        <v>69</v>
      </c>
      <c r="B76" s="2"/>
      <c r="C76" s="3"/>
      <c r="D76" s="20"/>
      <c r="E76" s="3"/>
      <c r="F76" s="4" t="str">
        <f t="shared" si="3"/>
        <v/>
      </c>
      <c r="G76" s="5"/>
      <c r="H76" s="5" t="str">
        <f t="shared" si="4"/>
        <v/>
      </c>
      <c r="I76" s="18"/>
      <c r="J76" s="6" t="s">
        <v>16</v>
      </c>
      <c r="K76" s="16" t="str">
        <f t="shared" si="5"/>
        <v/>
      </c>
      <c r="L76" s="6" t="s">
        <v>6</v>
      </c>
      <c r="M76" s="27"/>
      <c r="N76" s="27"/>
    </row>
    <row r="77" spans="1:14" ht="18.75" customHeight="1" x14ac:dyDescent="0.15">
      <c r="A77" s="11">
        <v>70</v>
      </c>
      <c r="B77" s="2"/>
      <c r="C77" s="3"/>
      <c r="D77" s="20"/>
      <c r="E77" s="3"/>
      <c r="F77" s="4" t="str">
        <f t="shared" si="3"/>
        <v/>
      </c>
      <c r="G77" s="5"/>
      <c r="H77" s="5" t="str">
        <f t="shared" si="4"/>
        <v/>
      </c>
      <c r="I77" s="18"/>
      <c r="J77" s="6" t="s">
        <v>16</v>
      </c>
      <c r="K77" s="16" t="str">
        <f t="shared" si="5"/>
        <v/>
      </c>
      <c r="L77" s="6" t="s">
        <v>6</v>
      </c>
      <c r="M77" s="27"/>
      <c r="N77" s="27"/>
    </row>
    <row r="78" spans="1:14" ht="18.75" customHeight="1" x14ac:dyDescent="0.15">
      <c r="A78" s="11">
        <v>71</v>
      </c>
      <c r="B78" s="2"/>
      <c r="C78" s="3"/>
      <c r="D78" s="20"/>
      <c r="E78" s="3"/>
      <c r="F78" s="4" t="str">
        <f t="shared" si="3"/>
        <v/>
      </c>
      <c r="G78" s="5"/>
      <c r="H78" s="5" t="str">
        <f t="shared" si="4"/>
        <v/>
      </c>
      <c r="I78" s="21"/>
      <c r="J78" s="6" t="s">
        <v>16</v>
      </c>
      <c r="K78" s="16" t="str">
        <f t="shared" si="5"/>
        <v/>
      </c>
      <c r="L78" s="6" t="s">
        <v>6</v>
      </c>
      <c r="M78" s="27"/>
      <c r="N78" s="27"/>
    </row>
    <row r="79" spans="1:14" ht="18.75" customHeight="1" x14ac:dyDescent="0.15">
      <c r="A79" s="11">
        <v>72</v>
      </c>
      <c r="B79" s="2"/>
      <c r="C79" s="3"/>
      <c r="D79" s="20"/>
      <c r="E79" s="3"/>
      <c r="F79" s="4" t="str">
        <f t="shared" si="3"/>
        <v/>
      </c>
      <c r="G79" s="5"/>
      <c r="H79" s="5" t="str">
        <f t="shared" si="4"/>
        <v/>
      </c>
      <c r="I79" s="18"/>
      <c r="J79" s="6" t="s">
        <v>16</v>
      </c>
      <c r="K79" s="16" t="str">
        <f t="shared" si="5"/>
        <v/>
      </c>
      <c r="L79" s="6" t="s">
        <v>6</v>
      </c>
      <c r="M79" s="27"/>
      <c r="N79" s="27"/>
    </row>
    <row r="80" spans="1:14" ht="18.75" customHeight="1" x14ac:dyDescent="0.15">
      <c r="A80" s="11">
        <v>73</v>
      </c>
      <c r="B80" s="2"/>
      <c r="C80" s="3"/>
      <c r="D80" s="20"/>
      <c r="E80" s="7"/>
      <c r="F80" s="4" t="str">
        <f t="shared" si="3"/>
        <v/>
      </c>
      <c r="G80" s="5"/>
      <c r="H80" s="5" t="str">
        <f t="shared" si="4"/>
        <v/>
      </c>
      <c r="I80" s="17"/>
      <c r="J80" s="6" t="s">
        <v>16</v>
      </c>
      <c r="K80" s="16" t="str">
        <f t="shared" si="5"/>
        <v/>
      </c>
      <c r="L80" s="6" t="s">
        <v>6</v>
      </c>
      <c r="M80" s="27"/>
      <c r="N80" s="27"/>
    </row>
    <row r="81" spans="1:14" ht="18.75" customHeight="1" x14ac:dyDescent="0.15">
      <c r="A81" s="11">
        <v>74</v>
      </c>
      <c r="B81" s="2"/>
      <c r="C81" s="3"/>
      <c r="D81" s="20"/>
      <c r="E81" s="3"/>
      <c r="F81" s="4" t="str">
        <f t="shared" si="3"/>
        <v/>
      </c>
      <c r="G81" s="5"/>
      <c r="H81" s="5" t="str">
        <f t="shared" si="4"/>
        <v/>
      </c>
      <c r="I81" s="18"/>
      <c r="J81" s="6" t="s">
        <v>16</v>
      </c>
      <c r="K81" s="16" t="str">
        <f t="shared" si="5"/>
        <v/>
      </c>
      <c r="L81" s="6" t="s">
        <v>6</v>
      </c>
      <c r="M81" s="27"/>
      <c r="N81" s="27"/>
    </row>
    <row r="82" spans="1:14" ht="18.75" customHeight="1" x14ac:dyDescent="0.15">
      <c r="A82" s="11">
        <v>75</v>
      </c>
      <c r="B82" s="2"/>
      <c r="C82" s="3"/>
      <c r="D82" s="20"/>
      <c r="E82" s="3"/>
      <c r="F82" s="4"/>
      <c r="G82" s="5"/>
      <c r="H82" s="5"/>
      <c r="I82" s="18"/>
      <c r="J82" s="6" t="s">
        <v>16</v>
      </c>
      <c r="K82" s="16"/>
      <c r="L82" s="6" t="s">
        <v>6</v>
      </c>
      <c r="M82" s="27"/>
      <c r="N82" s="27"/>
    </row>
    <row r="83" spans="1:14" ht="18.75" customHeight="1" x14ac:dyDescent="0.15">
      <c r="A83" s="11">
        <v>76</v>
      </c>
      <c r="B83" s="2"/>
      <c r="C83" s="3"/>
      <c r="D83" s="20"/>
      <c r="E83" s="3"/>
      <c r="F83" s="4"/>
      <c r="G83" s="5"/>
      <c r="H83" s="5"/>
      <c r="I83" s="18"/>
      <c r="J83" s="6" t="s">
        <v>16</v>
      </c>
      <c r="K83" s="16"/>
      <c r="L83" s="6" t="s">
        <v>6</v>
      </c>
      <c r="M83" s="27"/>
      <c r="N83" s="27"/>
    </row>
    <row r="84" spans="1:14" ht="18.75" customHeight="1" x14ac:dyDescent="0.15">
      <c r="A84" s="11">
        <v>77</v>
      </c>
      <c r="B84" s="2"/>
      <c r="C84" s="3"/>
      <c r="D84" s="20"/>
      <c r="E84" s="3"/>
      <c r="F84" s="4"/>
      <c r="G84" s="5"/>
      <c r="H84" s="5"/>
      <c r="I84" s="18"/>
      <c r="J84" s="6" t="s">
        <v>16</v>
      </c>
      <c r="K84" s="16"/>
      <c r="L84" s="6" t="s">
        <v>6</v>
      </c>
      <c r="M84" s="27"/>
      <c r="N84" s="27"/>
    </row>
    <row r="85" spans="1:14" ht="18.75" customHeight="1" x14ac:dyDescent="0.15">
      <c r="A85" s="11">
        <v>78</v>
      </c>
      <c r="B85" s="2"/>
      <c r="C85" s="3"/>
      <c r="D85" s="20"/>
      <c r="E85" s="3"/>
      <c r="F85" s="4"/>
      <c r="G85" s="5"/>
      <c r="H85" s="5"/>
      <c r="I85" s="18"/>
      <c r="J85" s="6" t="s">
        <v>16</v>
      </c>
      <c r="K85" s="16"/>
      <c r="L85" s="6" t="s">
        <v>6</v>
      </c>
      <c r="M85" s="27"/>
      <c r="N85" s="27"/>
    </row>
    <row r="86" spans="1:14" ht="18.75" customHeight="1" x14ac:dyDescent="0.15">
      <c r="A86" s="11">
        <v>79</v>
      </c>
      <c r="B86" s="2"/>
      <c r="C86" s="3"/>
      <c r="D86" s="20"/>
      <c r="E86" s="3"/>
      <c r="F86" s="4" t="str">
        <f>IF(E86="","",E86-7*INT(E86/7))</f>
        <v/>
      </c>
      <c r="G86" s="5"/>
      <c r="H86" s="5" t="str">
        <f>IF(G86="","",G86)</f>
        <v/>
      </c>
      <c r="I86" s="18"/>
      <c r="J86" s="6" t="s">
        <v>16</v>
      </c>
      <c r="K86" s="16" t="str">
        <f>IF(I86&gt;0,I86,"")</f>
        <v/>
      </c>
      <c r="L86" s="6" t="s">
        <v>6</v>
      </c>
      <c r="M86" s="27"/>
      <c r="N86" s="27"/>
    </row>
    <row r="87" spans="1:14" ht="18.75" customHeight="1" x14ac:dyDescent="0.15">
      <c r="A87" s="11">
        <v>80</v>
      </c>
      <c r="B87" s="2"/>
      <c r="C87" s="3"/>
      <c r="D87" s="20"/>
      <c r="E87" s="3"/>
      <c r="F87" s="4" t="str">
        <f>IF(E87="","",E87-7*INT(E87/7))</f>
        <v/>
      </c>
      <c r="G87" s="5"/>
      <c r="H87" s="5" t="str">
        <f>IF(G87="","",G87)</f>
        <v/>
      </c>
      <c r="I87" s="18"/>
      <c r="J87" s="6" t="s">
        <v>16</v>
      </c>
      <c r="K87" s="22" t="str">
        <f>IF(I87&gt;0,I87,"")</f>
        <v/>
      </c>
      <c r="L87" s="6" t="s">
        <v>6</v>
      </c>
      <c r="M87" s="27"/>
      <c r="N87" s="27"/>
    </row>
    <row r="88" spans="1:14" ht="18.75" customHeight="1" x14ac:dyDescent="0.15">
      <c r="I88" s="23">
        <f>SUM(I48:I87)+I44</f>
        <v>0</v>
      </c>
      <c r="J88" s="10" t="s">
        <v>17</v>
      </c>
      <c r="K88" s="24">
        <f>SUM(K48:K87)+K44</f>
        <v>0</v>
      </c>
      <c r="L88" s="10" t="s">
        <v>6</v>
      </c>
    </row>
  </sheetData>
  <mergeCells count="12">
    <mergeCell ref="B1:M1"/>
    <mergeCell ref="B2:M2"/>
    <mergeCell ref="C3:D3"/>
    <mergeCell ref="E3:F3"/>
    <mergeCell ref="I3:J3"/>
    <mergeCell ref="K3:L3"/>
    <mergeCell ref="B46:M46"/>
    <mergeCell ref="B45:M45"/>
    <mergeCell ref="C47:D47"/>
    <mergeCell ref="E47:F47"/>
    <mergeCell ref="I47:J47"/>
    <mergeCell ref="K47:L47"/>
  </mergeCells>
  <phoneticPr fontId="2"/>
  <dataValidations count="3">
    <dataValidation imeMode="on" allowBlank="1" showInputMessage="1" showErrorMessage="1" sqref="B48:C87 B4:C43" xr:uid="{89C46731-4262-430B-A6B7-C0985524A51D}"/>
    <dataValidation imeMode="disabled" allowBlank="1" showInputMessage="1" showErrorMessage="1" sqref="E48:E87 G48:N87 G4:N43 E4:E43" xr:uid="{6FCDE562-A481-4EEB-AF1A-EDF133DC321C}"/>
    <dataValidation type="list" imeMode="on" allowBlank="1" showInputMessage="1" showErrorMessage="1" promptTitle="こんにちは" sqref="D48:D87 D4:D43" xr:uid="{42D50FBB-D5BB-4A4C-9F91-DCD4DDA5B880}">
      <formula1>"鴛泊下水浄化センター,沓形浄化センター"</formula1>
    </dataValidation>
  </dataValidations>
  <printOptions horizontalCentered="1" verticalCentered="1"/>
  <pageMargins left="0.59055118110236227" right="0.59055118110236227" top="0.59055118110236227" bottom="0.59055118110236227" header="0.51181102362204722" footer="0.51181102362204722"/>
  <pageSetup paperSize="9" orientation="portrait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EB18-26E3-47D5-AAB8-596FDAD57F40}">
  <dimension ref="A1:N88"/>
  <sheetViews>
    <sheetView workbookViewId="0">
      <selection activeCell="Q19" sqref="Q19"/>
    </sheetView>
  </sheetViews>
  <sheetFormatPr defaultRowHeight="13.5" x14ac:dyDescent="0.15"/>
  <cols>
    <col min="1" max="1" width="3.375" style="12" customWidth="1"/>
    <col min="2" max="2" width="11" style="10" customWidth="1"/>
    <col min="3" max="3" width="1" style="10" customWidth="1"/>
    <col min="4" max="4" width="15.625" style="10" customWidth="1"/>
    <col min="5" max="5" width="10.125" style="10" customWidth="1"/>
    <col min="6" max="6" width="2.25" style="10" customWidth="1"/>
    <col min="7" max="8" width="8.625" style="10" customWidth="1"/>
    <col min="9" max="9" width="6" style="13" customWidth="1"/>
    <col min="10" max="10" width="2.375" style="10" customWidth="1"/>
    <col min="11" max="11" width="6.125" style="10" customWidth="1"/>
    <col min="12" max="12" width="2.25" style="10" customWidth="1"/>
    <col min="13" max="14" width="6.25" style="12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4" ht="20.25" customHeight="1" x14ac:dyDescent="0.15">
      <c r="B1" s="95" t="s">
        <v>13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10"/>
    </row>
    <row r="2" spans="1:14" ht="21" customHeight="1" x14ac:dyDescent="0.15"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10"/>
    </row>
    <row r="3" spans="1:14" ht="26.25" customHeight="1" x14ac:dyDescent="0.15">
      <c r="A3" s="11"/>
      <c r="B3" s="2" t="s">
        <v>1</v>
      </c>
      <c r="C3" s="97" t="s">
        <v>2</v>
      </c>
      <c r="D3" s="98"/>
      <c r="E3" s="97" t="s">
        <v>3</v>
      </c>
      <c r="F3" s="98"/>
      <c r="G3" s="25" t="s">
        <v>4</v>
      </c>
      <c r="H3" s="25" t="s">
        <v>7</v>
      </c>
      <c r="I3" s="101" t="s">
        <v>8</v>
      </c>
      <c r="J3" s="99"/>
      <c r="K3" s="101" t="s">
        <v>5</v>
      </c>
      <c r="L3" s="101"/>
      <c r="M3" s="26" t="s">
        <v>14</v>
      </c>
      <c r="N3" s="1" t="s">
        <v>10</v>
      </c>
    </row>
    <row r="4" spans="1:14" ht="18.75" customHeight="1" x14ac:dyDescent="0.15">
      <c r="A4" s="11">
        <v>1</v>
      </c>
      <c r="B4" s="2" t="s">
        <v>12</v>
      </c>
      <c r="C4" s="3"/>
      <c r="D4" s="66"/>
      <c r="E4" s="7"/>
      <c r="F4" s="70" t="str">
        <f t="shared" ref="F4:F37" si="0">IF(E4="","",E4-7*INT(E4/7))</f>
        <v/>
      </c>
      <c r="G4" s="5"/>
      <c r="H4" s="5" t="str">
        <f t="shared" ref="H4:H37" si="1">IF(G4="","",G4)</f>
        <v/>
      </c>
      <c r="I4" s="15"/>
      <c r="J4" s="6" t="s">
        <v>15</v>
      </c>
      <c r="K4" s="16" t="str">
        <f t="shared" ref="K4:K37" si="2">IF(I4&gt;0,I4,"")</f>
        <v/>
      </c>
      <c r="L4" s="6" t="s">
        <v>6</v>
      </c>
      <c r="M4" s="27"/>
      <c r="N4" s="27"/>
    </row>
    <row r="5" spans="1:14" ht="18.75" customHeight="1" x14ac:dyDescent="0.15">
      <c r="A5" s="11">
        <v>2</v>
      </c>
      <c r="B5" s="2" t="s">
        <v>12</v>
      </c>
      <c r="C5" s="3"/>
      <c r="D5" s="66"/>
      <c r="E5" s="3"/>
      <c r="F5" s="4" t="str">
        <f t="shared" si="0"/>
        <v/>
      </c>
      <c r="G5" s="5"/>
      <c r="H5" s="5" t="str">
        <f t="shared" si="1"/>
        <v/>
      </c>
      <c r="I5" s="17"/>
      <c r="J5" s="8" t="s">
        <v>16</v>
      </c>
      <c r="K5" s="16" t="str">
        <f t="shared" si="2"/>
        <v/>
      </c>
      <c r="L5" s="9" t="s">
        <v>6</v>
      </c>
      <c r="M5" s="27"/>
      <c r="N5" s="27"/>
    </row>
    <row r="6" spans="1:14" ht="18.75" customHeight="1" x14ac:dyDescent="0.15">
      <c r="A6" s="11">
        <v>3</v>
      </c>
      <c r="B6" s="2" t="s">
        <v>12</v>
      </c>
      <c r="C6" s="3"/>
      <c r="D6" s="66"/>
      <c r="E6" s="3"/>
      <c r="F6" s="4" t="str">
        <f t="shared" si="0"/>
        <v/>
      </c>
      <c r="G6" s="5"/>
      <c r="H6" s="5" t="str">
        <f t="shared" si="1"/>
        <v/>
      </c>
      <c r="I6" s="18"/>
      <c r="J6" s="6" t="s">
        <v>16</v>
      </c>
      <c r="K6" s="16" t="str">
        <f t="shared" si="2"/>
        <v/>
      </c>
      <c r="L6" s="6" t="s">
        <v>6</v>
      </c>
      <c r="M6" s="27"/>
      <c r="N6" s="27"/>
    </row>
    <row r="7" spans="1:14" ht="18.75" customHeight="1" x14ac:dyDescent="0.15">
      <c r="A7" s="11">
        <v>4</v>
      </c>
      <c r="B7" s="2" t="s">
        <v>12</v>
      </c>
      <c r="C7" s="3"/>
      <c r="D7" s="66"/>
      <c r="E7" s="3"/>
      <c r="F7" s="4" t="str">
        <f t="shared" si="0"/>
        <v/>
      </c>
      <c r="G7" s="5"/>
      <c r="H7" s="5" t="str">
        <f t="shared" si="1"/>
        <v/>
      </c>
      <c r="I7" s="17"/>
      <c r="J7" s="8" t="s">
        <v>16</v>
      </c>
      <c r="K7" s="16" t="str">
        <f t="shared" si="2"/>
        <v/>
      </c>
      <c r="L7" s="9" t="s">
        <v>6</v>
      </c>
      <c r="M7" s="27"/>
      <c r="N7" s="27"/>
    </row>
    <row r="8" spans="1:14" ht="18.75" customHeight="1" x14ac:dyDescent="0.15">
      <c r="A8" s="11">
        <v>5</v>
      </c>
      <c r="B8" s="2" t="s">
        <v>12</v>
      </c>
      <c r="C8" s="3"/>
      <c r="D8" s="71"/>
      <c r="E8" s="7"/>
      <c r="F8" s="4" t="str">
        <f t="shared" si="0"/>
        <v/>
      </c>
      <c r="G8" s="5"/>
      <c r="H8" s="5" t="str">
        <f t="shared" si="1"/>
        <v/>
      </c>
      <c r="I8" s="18"/>
      <c r="J8" s="6" t="s">
        <v>16</v>
      </c>
      <c r="K8" s="16" t="str">
        <f t="shared" si="2"/>
        <v/>
      </c>
      <c r="L8" s="6" t="s">
        <v>6</v>
      </c>
      <c r="M8" s="27"/>
      <c r="N8" s="27"/>
    </row>
    <row r="9" spans="1:14" ht="18.75" customHeight="1" x14ac:dyDescent="0.15">
      <c r="A9" s="11">
        <v>6</v>
      </c>
      <c r="B9" s="2" t="s">
        <v>12</v>
      </c>
      <c r="C9" s="3"/>
      <c r="D9" s="66"/>
      <c r="E9" s="3"/>
      <c r="F9" s="4" t="str">
        <f t="shared" si="0"/>
        <v/>
      </c>
      <c r="G9" s="5"/>
      <c r="H9" s="5" t="str">
        <f t="shared" si="1"/>
        <v/>
      </c>
      <c r="I9" s="18"/>
      <c r="J9" s="6" t="s">
        <v>16</v>
      </c>
      <c r="K9" s="16" t="str">
        <f t="shared" si="2"/>
        <v/>
      </c>
      <c r="L9" s="6" t="s">
        <v>6</v>
      </c>
      <c r="M9" s="27"/>
      <c r="N9" s="27"/>
    </row>
    <row r="10" spans="1:14" ht="18.75" customHeight="1" x14ac:dyDescent="0.15">
      <c r="A10" s="11">
        <v>7</v>
      </c>
      <c r="B10" s="2" t="s">
        <v>12</v>
      </c>
      <c r="C10" s="3"/>
      <c r="D10" s="66"/>
      <c r="E10" s="3"/>
      <c r="F10" s="4" t="str">
        <f t="shared" si="0"/>
        <v/>
      </c>
      <c r="G10" s="5"/>
      <c r="H10" s="5" t="str">
        <f t="shared" si="1"/>
        <v/>
      </c>
      <c r="I10" s="17"/>
      <c r="J10" s="28" t="s">
        <v>16</v>
      </c>
      <c r="K10" s="16" t="str">
        <f t="shared" si="2"/>
        <v/>
      </c>
      <c r="L10" s="28" t="s">
        <v>6</v>
      </c>
      <c r="M10" s="27"/>
      <c r="N10" s="27"/>
    </row>
    <row r="11" spans="1:14" ht="18.75" customHeight="1" x14ac:dyDescent="0.15">
      <c r="A11" s="11">
        <v>8</v>
      </c>
      <c r="B11" s="2" t="s">
        <v>12</v>
      </c>
      <c r="C11" s="3"/>
      <c r="D11" s="66"/>
      <c r="E11" s="7"/>
      <c r="F11" s="4" t="str">
        <f t="shared" si="0"/>
        <v/>
      </c>
      <c r="G11" s="5"/>
      <c r="H11" s="5" t="str">
        <f t="shared" si="1"/>
        <v/>
      </c>
      <c r="I11" s="18"/>
      <c r="J11" s="8" t="s">
        <v>16</v>
      </c>
      <c r="K11" s="16" t="str">
        <f t="shared" si="2"/>
        <v/>
      </c>
      <c r="L11" s="9" t="s">
        <v>6</v>
      </c>
      <c r="M11" s="27"/>
      <c r="N11" s="27"/>
    </row>
    <row r="12" spans="1:14" ht="18.75" customHeight="1" x14ac:dyDescent="0.15">
      <c r="A12" s="11">
        <v>9</v>
      </c>
      <c r="B12" s="2" t="s">
        <v>12</v>
      </c>
      <c r="C12" s="3"/>
      <c r="D12" s="66"/>
      <c r="E12" s="3"/>
      <c r="F12" s="4" t="str">
        <f t="shared" si="0"/>
        <v/>
      </c>
      <c r="G12" s="5"/>
      <c r="H12" s="5" t="str">
        <f t="shared" si="1"/>
        <v/>
      </c>
      <c r="I12" s="18"/>
      <c r="J12" s="6" t="s">
        <v>16</v>
      </c>
      <c r="K12" s="16" t="str">
        <f t="shared" si="2"/>
        <v/>
      </c>
      <c r="L12" s="6" t="s">
        <v>6</v>
      </c>
      <c r="M12" s="27"/>
      <c r="N12" s="27"/>
    </row>
    <row r="13" spans="1:14" ht="18.75" customHeight="1" x14ac:dyDescent="0.15">
      <c r="A13" s="11">
        <v>10</v>
      </c>
      <c r="B13" s="2"/>
      <c r="C13" s="3"/>
      <c r="D13" s="66"/>
      <c r="E13" s="7"/>
      <c r="F13" s="4" t="str">
        <f t="shared" si="0"/>
        <v/>
      </c>
      <c r="G13" s="5"/>
      <c r="H13" s="5" t="str">
        <f t="shared" si="1"/>
        <v/>
      </c>
      <c r="I13" s="18"/>
      <c r="J13" s="8" t="s">
        <v>16</v>
      </c>
      <c r="K13" s="16" t="str">
        <f t="shared" si="2"/>
        <v/>
      </c>
      <c r="L13" s="9" t="s">
        <v>6</v>
      </c>
      <c r="M13" s="27"/>
      <c r="N13" s="27"/>
    </row>
    <row r="14" spans="1:14" ht="18.75" customHeight="1" x14ac:dyDescent="0.15">
      <c r="A14" s="11">
        <v>11</v>
      </c>
      <c r="B14" s="2"/>
      <c r="C14" s="3"/>
      <c r="D14" s="66"/>
      <c r="E14" s="3"/>
      <c r="F14" s="4" t="str">
        <f t="shared" si="0"/>
        <v/>
      </c>
      <c r="G14" s="5"/>
      <c r="H14" s="5" t="str">
        <f t="shared" si="1"/>
        <v/>
      </c>
      <c r="I14" s="18"/>
      <c r="J14" s="6" t="s">
        <v>16</v>
      </c>
      <c r="K14" s="16" t="str">
        <f t="shared" si="2"/>
        <v/>
      </c>
      <c r="L14" s="6" t="s">
        <v>6</v>
      </c>
      <c r="M14" s="27"/>
      <c r="N14" s="27"/>
    </row>
    <row r="15" spans="1:14" ht="18.75" customHeight="1" x14ac:dyDescent="0.15">
      <c r="A15" s="11">
        <v>12</v>
      </c>
      <c r="B15" s="2"/>
      <c r="C15" s="3"/>
      <c r="D15" s="66"/>
      <c r="E15" s="3"/>
      <c r="F15" s="4" t="str">
        <f t="shared" si="0"/>
        <v/>
      </c>
      <c r="G15" s="5"/>
      <c r="H15" s="5" t="str">
        <f t="shared" si="1"/>
        <v/>
      </c>
      <c r="I15" s="17"/>
      <c r="J15" s="8" t="s">
        <v>16</v>
      </c>
      <c r="K15" s="16" t="str">
        <f t="shared" si="2"/>
        <v/>
      </c>
      <c r="L15" s="6" t="s">
        <v>6</v>
      </c>
      <c r="M15" s="27"/>
      <c r="N15" s="27"/>
    </row>
    <row r="16" spans="1:14" ht="18.75" customHeight="1" x14ac:dyDescent="0.15">
      <c r="A16" s="11">
        <v>13</v>
      </c>
      <c r="B16" s="2"/>
      <c r="C16" s="3"/>
      <c r="D16" s="67"/>
      <c r="E16" s="3"/>
      <c r="F16" s="4" t="str">
        <f t="shared" si="0"/>
        <v/>
      </c>
      <c r="G16" s="5"/>
      <c r="H16" s="5" t="str">
        <f t="shared" si="1"/>
        <v/>
      </c>
      <c r="I16" s="18"/>
      <c r="J16" s="6" t="s">
        <v>16</v>
      </c>
      <c r="K16" s="16" t="str">
        <f t="shared" si="2"/>
        <v/>
      </c>
      <c r="L16" s="6" t="s">
        <v>6</v>
      </c>
      <c r="M16" s="27"/>
      <c r="N16" s="27"/>
    </row>
    <row r="17" spans="1:14" ht="18.75" customHeight="1" x14ac:dyDescent="0.15">
      <c r="A17" s="11">
        <v>14</v>
      </c>
      <c r="B17" s="2"/>
      <c r="C17" s="3"/>
      <c r="D17" s="67"/>
      <c r="E17" s="3"/>
      <c r="F17" s="4" t="str">
        <f t="shared" si="0"/>
        <v/>
      </c>
      <c r="G17" s="5"/>
      <c r="H17" s="5" t="str">
        <f t="shared" si="1"/>
        <v/>
      </c>
      <c r="I17" s="18"/>
      <c r="J17" s="6" t="s">
        <v>16</v>
      </c>
      <c r="K17" s="16" t="str">
        <f t="shared" si="2"/>
        <v/>
      </c>
      <c r="L17" s="6" t="s">
        <v>6</v>
      </c>
      <c r="M17" s="27"/>
      <c r="N17" s="27"/>
    </row>
    <row r="18" spans="1:14" ht="18.75" customHeight="1" x14ac:dyDescent="0.15">
      <c r="A18" s="11">
        <v>15</v>
      </c>
      <c r="B18" s="2"/>
      <c r="C18" s="3"/>
      <c r="D18" s="67"/>
      <c r="E18" s="3"/>
      <c r="F18" s="4" t="str">
        <f t="shared" si="0"/>
        <v/>
      </c>
      <c r="G18" s="5"/>
      <c r="H18" s="5" t="str">
        <f t="shared" si="1"/>
        <v/>
      </c>
      <c r="I18" s="18"/>
      <c r="J18" s="6" t="s">
        <v>16</v>
      </c>
      <c r="K18" s="16" t="str">
        <f t="shared" si="2"/>
        <v/>
      </c>
      <c r="L18" s="9" t="s">
        <v>6</v>
      </c>
      <c r="M18" s="27"/>
      <c r="N18" s="27"/>
    </row>
    <row r="19" spans="1:14" ht="18.75" customHeight="1" x14ac:dyDescent="0.15">
      <c r="A19" s="11">
        <v>16</v>
      </c>
      <c r="B19" s="2"/>
      <c r="C19" s="3"/>
      <c r="D19" s="67"/>
      <c r="E19" s="7"/>
      <c r="F19" s="4" t="str">
        <f t="shared" si="0"/>
        <v/>
      </c>
      <c r="G19" s="5"/>
      <c r="H19" s="5" t="str">
        <f t="shared" si="1"/>
        <v/>
      </c>
      <c r="I19" s="17"/>
      <c r="J19" s="8" t="s">
        <v>16</v>
      </c>
      <c r="K19" s="16" t="str">
        <f t="shared" si="2"/>
        <v/>
      </c>
      <c r="L19" s="6" t="s">
        <v>6</v>
      </c>
      <c r="M19" s="27"/>
      <c r="N19" s="27"/>
    </row>
    <row r="20" spans="1:14" ht="18.75" customHeight="1" x14ac:dyDescent="0.15">
      <c r="A20" s="11">
        <v>17</v>
      </c>
      <c r="B20" s="2"/>
      <c r="C20" s="3"/>
      <c r="D20" s="67"/>
      <c r="E20" s="3"/>
      <c r="F20" s="4" t="str">
        <f t="shared" si="0"/>
        <v/>
      </c>
      <c r="G20" s="5"/>
      <c r="H20" s="5" t="str">
        <f t="shared" si="1"/>
        <v/>
      </c>
      <c r="I20" s="18"/>
      <c r="J20" s="6" t="s">
        <v>16</v>
      </c>
      <c r="K20" s="16" t="str">
        <f t="shared" si="2"/>
        <v/>
      </c>
      <c r="L20" s="6" t="s">
        <v>6</v>
      </c>
      <c r="M20" s="27"/>
      <c r="N20" s="27"/>
    </row>
    <row r="21" spans="1:14" ht="18.75" customHeight="1" x14ac:dyDescent="0.15">
      <c r="A21" s="11">
        <v>18</v>
      </c>
      <c r="B21" s="2"/>
      <c r="C21" s="3"/>
      <c r="D21" s="67"/>
      <c r="E21" s="3"/>
      <c r="F21" s="4" t="str">
        <f t="shared" si="0"/>
        <v/>
      </c>
      <c r="G21" s="5"/>
      <c r="H21" s="5" t="str">
        <f t="shared" si="1"/>
        <v/>
      </c>
      <c r="I21" s="18"/>
      <c r="J21" s="6" t="s">
        <v>16</v>
      </c>
      <c r="K21" s="16" t="str">
        <f t="shared" si="2"/>
        <v/>
      </c>
      <c r="L21" s="6" t="s">
        <v>6</v>
      </c>
      <c r="M21" s="27"/>
      <c r="N21" s="27"/>
    </row>
    <row r="22" spans="1:14" ht="18.75" customHeight="1" x14ac:dyDescent="0.15">
      <c r="A22" s="11">
        <v>19</v>
      </c>
      <c r="B22" s="2"/>
      <c r="C22" s="3"/>
      <c r="D22" s="67"/>
      <c r="E22" s="3"/>
      <c r="F22" s="4" t="str">
        <f t="shared" si="0"/>
        <v/>
      </c>
      <c r="G22" s="5"/>
      <c r="H22" s="5" t="str">
        <f t="shared" si="1"/>
        <v/>
      </c>
      <c r="I22" s="18"/>
      <c r="J22" s="6" t="s">
        <v>16</v>
      </c>
      <c r="K22" s="16" t="str">
        <f t="shared" si="2"/>
        <v/>
      </c>
      <c r="L22" s="6" t="s">
        <v>6</v>
      </c>
      <c r="M22" s="27"/>
      <c r="N22" s="27"/>
    </row>
    <row r="23" spans="1:14" ht="18.75" customHeight="1" x14ac:dyDescent="0.15">
      <c r="A23" s="11">
        <v>20</v>
      </c>
      <c r="B23" s="2"/>
      <c r="C23" s="3"/>
      <c r="D23" s="68"/>
      <c r="E23" s="3"/>
      <c r="F23" s="4" t="str">
        <f t="shared" si="0"/>
        <v/>
      </c>
      <c r="G23" s="5"/>
      <c r="H23" s="5" t="str">
        <f t="shared" si="1"/>
        <v/>
      </c>
      <c r="I23" s="18"/>
      <c r="J23" s="6" t="s">
        <v>11</v>
      </c>
      <c r="K23" s="16" t="str">
        <f t="shared" si="2"/>
        <v/>
      </c>
      <c r="L23" s="6" t="s">
        <v>6</v>
      </c>
      <c r="M23" s="27"/>
      <c r="N23" s="27"/>
    </row>
    <row r="24" spans="1:14" ht="18.75" customHeight="1" x14ac:dyDescent="0.15">
      <c r="A24" s="11">
        <v>21</v>
      </c>
      <c r="B24" s="2"/>
      <c r="C24" s="3"/>
      <c r="D24" s="68"/>
      <c r="E24" s="3"/>
      <c r="F24" s="4" t="str">
        <f t="shared" si="0"/>
        <v/>
      </c>
      <c r="G24" s="5"/>
      <c r="H24" s="5" t="str">
        <f t="shared" si="1"/>
        <v/>
      </c>
      <c r="I24" s="18"/>
      <c r="J24" s="8" t="s">
        <v>11</v>
      </c>
      <c r="K24" s="16" t="str">
        <f t="shared" si="2"/>
        <v/>
      </c>
      <c r="L24" s="6" t="s">
        <v>6</v>
      </c>
      <c r="M24" s="27"/>
      <c r="N24" s="27"/>
    </row>
    <row r="25" spans="1:14" ht="18.75" customHeight="1" x14ac:dyDescent="0.15">
      <c r="A25" s="11">
        <v>22</v>
      </c>
      <c r="B25" s="2"/>
      <c r="C25" s="3"/>
      <c r="D25" s="68"/>
      <c r="E25" s="3"/>
      <c r="F25" s="4" t="str">
        <f t="shared" si="0"/>
        <v/>
      </c>
      <c r="G25" s="5"/>
      <c r="H25" s="5" t="str">
        <f t="shared" si="1"/>
        <v/>
      </c>
      <c r="I25" s="18"/>
      <c r="J25" s="6" t="s">
        <v>11</v>
      </c>
      <c r="K25" s="16" t="str">
        <f t="shared" si="2"/>
        <v/>
      </c>
      <c r="L25" s="6" t="s">
        <v>6</v>
      </c>
      <c r="M25" s="27"/>
      <c r="N25" s="27"/>
    </row>
    <row r="26" spans="1:14" ht="18.75" customHeight="1" x14ac:dyDescent="0.15">
      <c r="A26" s="11">
        <v>23</v>
      </c>
      <c r="B26" s="2"/>
      <c r="C26" s="3"/>
      <c r="D26" s="68"/>
      <c r="E26" s="3"/>
      <c r="F26" s="4" t="str">
        <f t="shared" si="0"/>
        <v/>
      </c>
      <c r="G26" s="5"/>
      <c r="H26" s="5" t="str">
        <f t="shared" si="1"/>
        <v/>
      </c>
      <c r="I26" s="18"/>
      <c r="J26" s="6" t="s">
        <v>16</v>
      </c>
      <c r="K26" s="16" t="str">
        <f t="shared" si="2"/>
        <v/>
      </c>
      <c r="L26" s="6" t="s">
        <v>6</v>
      </c>
      <c r="M26" s="27"/>
      <c r="N26" s="27"/>
    </row>
    <row r="27" spans="1:14" ht="18.75" customHeight="1" x14ac:dyDescent="0.15">
      <c r="A27" s="11">
        <v>24</v>
      </c>
      <c r="B27" s="2"/>
      <c r="C27" s="3"/>
      <c r="D27" s="68"/>
      <c r="E27" s="3"/>
      <c r="F27" s="4" t="str">
        <f t="shared" si="0"/>
        <v/>
      </c>
      <c r="G27" s="5"/>
      <c r="H27" s="5" t="str">
        <f t="shared" si="1"/>
        <v/>
      </c>
      <c r="I27" s="18"/>
      <c r="J27" s="8" t="s">
        <v>16</v>
      </c>
      <c r="K27" s="16" t="str">
        <f t="shared" si="2"/>
        <v/>
      </c>
      <c r="L27" s="6" t="s">
        <v>6</v>
      </c>
      <c r="M27" s="27"/>
      <c r="N27" s="27"/>
    </row>
    <row r="28" spans="1:14" ht="18.75" customHeight="1" x14ac:dyDescent="0.15">
      <c r="A28" s="11">
        <v>25</v>
      </c>
      <c r="B28" s="2"/>
      <c r="C28" s="3"/>
      <c r="D28" s="68"/>
      <c r="E28" s="3"/>
      <c r="F28" s="4" t="str">
        <f t="shared" si="0"/>
        <v/>
      </c>
      <c r="G28" s="5"/>
      <c r="H28" s="5" t="str">
        <f t="shared" si="1"/>
        <v/>
      </c>
      <c r="I28" s="18"/>
      <c r="J28" s="6" t="s">
        <v>16</v>
      </c>
      <c r="K28" s="16" t="str">
        <f t="shared" si="2"/>
        <v/>
      </c>
      <c r="L28" s="6" t="s">
        <v>6</v>
      </c>
      <c r="M28" s="27"/>
      <c r="N28" s="27"/>
    </row>
    <row r="29" spans="1:14" ht="18.75" customHeight="1" x14ac:dyDescent="0.15">
      <c r="A29" s="11">
        <v>26</v>
      </c>
      <c r="B29" s="2"/>
      <c r="C29" s="3"/>
      <c r="D29" s="68"/>
      <c r="E29" s="3"/>
      <c r="F29" s="4" t="str">
        <f t="shared" si="0"/>
        <v/>
      </c>
      <c r="G29" s="5"/>
      <c r="H29" s="5" t="str">
        <f t="shared" si="1"/>
        <v/>
      </c>
      <c r="I29" s="18"/>
      <c r="J29" s="6" t="s">
        <v>16</v>
      </c>
      <c r="K29" s="16" t="str">
        <f t="shared" si="2"/>
        <v/>
      </c>
      <c r="L29" s="6" t="s">
        <v>6</v>
      </c>
      <c r="M29" s="27"/>
      <c r="N29" s="27"/>
    </row>
    <row r="30" spans="1:14" ht="18.75" customHeight="1" x14ac:dyDescent="0.15">
      <c r="A30" s="11">
        <v>27</v>
      </c>
      <c r="B30" s="2"/>
      <c r="C30" s="3"/>
      <c r="D30" s="68"/>
      <c r="E30" s="3"/>
      <c r="F30" s="4" t="str">
        <f t="shared" si="0"/>
        <v/>
      </c>
      <c r="G30" s="5"/>
      <c r="H30" s="5" t="str">
        <f t="shared" si="1"/>
        <v/>
      </c>
      <c r="I30" s="18"/>
      <c r="J30" s="8" t="s">
        <v>16</v>
      </c>
      <c r="K30" s="16" t="str">
        <f t="shared" si="2"/>
        <v/>
      </c>
      <c r="L30" s="6" t="s">
        <v>6</v>
      </c>
      <c r="M30" s="27"/>
      <c r="N30" s="27"/>
    </row>
    <row r="31" spans="1:14" ht="18.75" customHeight="1" x14ac:dyDescent="0.15">
      <c r="A31" s="11">
        <v>28</v>
      </c>
      <c r="B31" s="2"/>
      <c r="C31" s="3"/>
      <c r="D31" s="68"/>
      <c r="E31" s="7"/>
      <c r="F31" s="4" t="str">
        <f t="shared" si="0"/>
        <v/>
      </c>
      <c r="G31" s="5"/>
      <c r="H31" s="5" t="str">
        <f t="shared" si="1"/>
        <v/>
      </c>
      <c r="I31" s="18"/>
      <c r="J31" s="6" t="s">
        <v>16</v>
      </c>
      <c r="K31" s="16" t="str">
        <f t="shared" si="2"/>
        <v/>
      </c>
      <c r="L31" s="6" t="s">
        <v>6</v>
      </c>
      <c r="M31" s="27"/>
      <c r="N31" s="27"/>
    </row>
    <row r="32" spans="1:14" ht="18.75" customHeight="1" x14ac:dyDescent="0.15">
      <c r="A32" s="11">
        <v>29</v>
      </c>
      <c r="B32" s="2"/>
      <c r="C32" s="3"/>
      <c r="D32" s="68"/>
      <c r="E32" s="3"/>
      <c r="F32" s="4" t="str">
        <f t="shared" si="0"/>
        <v/>
      </c>
      <c r="G32" s="5"/>
      <c r="H32" s="5" t="str">
        <f t="shared" si="1"/>
        <v/>
      </c>
      <c r="I32" s="18"/>
      <c r="J32" s="6" t="s">
        <v>16</v>
      </c>
      <c r="K32" s="16" t="str">
        <f t="shared" si="2"/>
        <v/>
      </c>
      <c r="L32" s="6" t="s">
        <v>6</v>
      </c>
      <c r="M32" s="27"/>
      <c r="N32" s="27"/>
    </row>
    <row r="33" spans="1:14" ht="18.75" customHeight="1" x14ac:dyDescent="0.15">
      <c r="A33" s="11">
        <v>30</v>
      </c>
      <c r="B33" s="2"/>
      <c r="C33" s="3"/>
      <c r="D33" s="68"/>
      <c r="E33" s="3"/>
      <c r="F33" s="4" t="str">
        <f t="shared" si="0"/>
        <v/>
      </c>
      <c r="G33" s="5"/>
      <c r="H33" s="5" t="str">
        <f t="shared" si="1"/>
        <v/>
      </c>
      <c r="I33" s="18"/>
      <c r="J33" s="6" t="s">
        <v>16</v>
      </c>
      <c r="K33" s="16" t="str">
        <f t="shared" si="2"/>
        <v/>
      </c>
      <c r="L33" s="6" t="s">
        <v>6</v>
      </c>
      <c r="M33" s="27"/>
      <c r="N33" s="27"/>
    </row>
    <row r="34" spans="1:14" ht="18.75" customHeight="1" x14ac:dyDescent="0.15">
      <c r="A34" s="11">
        <v>31</v>
      </c>
      <c r="B34" s="2"/>
      <c r="C34" s="3"/>
      <c r="D34" s="68"/>
      <c r="E34" s="3"/>
      <c r="F34" s="4" t="str">
        <f t="shared" si="0"/>
        <v/>
      </c>
      <c r="G34" s="5"/>
      <c r="H34" s="5" t="str">
        <f t="shared" si="1"/>
        <v/>
      </c>
      <c r="I34" s="21"/>
      <c r="J34" s="6" t="s">
        <v>16</v>
      </c>
      <c r="K34" s="16" t="str">
        <f t="shared" si="2"/>
        <v/>
      </c>
      <c r="L34" s="6" t="s">
        <v>6</v>
      </c>
      <c r="M34" s="27"/>
      <c r="N34" s="27"/>
    </row>
    <row r="35" spans="1:14" ht="18.75" customHeight="1" x14ac:dyDescent="0.15">
      <c r="A35" s="11">
        <v>32</v>
      </c>
      <c r="B35" s="2"/>
      <c r="C35" s="3"/>
      <c r="D35" s="68"/>
      <c r="E35" s="3"/>
      <c r="F35" s="4" t="str">
        <f t="shared" si="0"/>
        <v/>
      </c>
      <c r="G35" s="5"/>
      <c r="H35" s="5" t="str">
        <f t="shared" si="1"/>
        <v/>
      </c>
      <c r="I35" s="18"/>
      <c r="J35" s="6" t="s">
        <v>16</v>
      </c>
      <c r="K35" s="16" t="str">
        <f t="shared" si="2"/>
        <v/>
      </c>
      <c r="L35" s="6" t="s">
        <v>6</v>
      </c>
      <c r="M35" s="27"/>
      <c r="N35" s="27"/>
    </row>
    <row r="36" spans="1:14" ht="18.75" customHeight="1" x14ac:dyDescent="0.15">
      <c r="A36" s="11">
        <v>33</v>
      </c>
      <c r="B36" s="2"/>
      <c r="C36" s="3"/>
      <c r="D36" s="68"/>
      <c r="E36" s="7"/>
      <c r="F36" s="4" t="str">
        <f t="shared" si="0"/>
        <v/>
      </c>
      <c r="G36" s="5"/>
      <c r="H36" s="5" t="str">
        <f t="shared" si="1"/>
        <v/>
      </c>
      <c r="I36" s="17"/>
      <c r="J36" s="6" t="s">
        <v>16</v>
      </c>
      <c r="K36" s="16" t="str">
        <f t="shared" si="2"/>
        <v/>
      </c>
      <c r="L36" s="6" t="s">
        <v>6</v>
      </c>
      <c r="M36" s="27"/>
      <c r="N36" s="27"/>
    </row>
    <row r="37" spans="1:14" ht="18.75" customHeight="1" x14ac:dyDescent="0.15">
      <c r="A37" s="11">
        <v>34</v>
      </c>
      <c r="B37" s="2"/>
      <c r="C37" s="3"/>
      <c r="D37" s="68"/>
      <c r="E37" s="3"/>
      <c r="F37" s="4" t="str">
        <f t="shared" si="0"/>
        <v/>
      </c>
      <c r="G37" s="5"/>
      <c r="H37" s="5" t="str">
        <f t="shared" si="1"/>
        <v/>
      </c>
      <c r="I37" s="18"/>
      <c r="J37" s="6" t="s">
        <v>16</v>
      </c>
      <c r="K37" s="16" t="str">
        <f t="shared" si="2"/>
        <v/>
      </c>
      <c r="L37" s="6" t="s">
        <v>6</v>
      </c>
      <c r="M37" s="27"/>
      <c r="N37" s="27"/>
    </row>
    <row r="38" spans="1:14" ht="18.75" customHeight="1" x14ac:dyDescent="0.15">
      <c r="A38" s="11">
        <v>35</v>
      </c>
      <c r="B38" s="2"/>
      <c r="C38" s="3"/>
      <c r="D38" s="68"/>
      <c r="E38" s="3"/>
      <c r="F38" s="4"/>
      <c r="G38" s="5"/>
      <c r="H38" s="5"/>
      <c r="I38" s="18"/>
      <c r="J38" s="6" t="s">
        <v>16</v>
      </c>
      <c r="K38" s="16"/>
      <c r="L38" s="6" t="s">
        <v>6</v>
      </c>
      <c r="M38" s="27"/>
      <c r="N38" s="27"/>
    </row>
    <row r="39" spans="1:14" ht="18.75" customHeight="1" x14ac:dyDescent="0.15">
      <c r="A39" s="11">
        <v>36</v>
      </c>
      <c r="B39" s="2"/>
      <c r="C39" s="3"/>
      <c r="D39" s="68"/>
      <c r="E39" s="3"/>
      <c r="F39" s="4"/>
      <c r="G39" s="5"/>
      <c r="H39" s="5"/>
      <c r="I39" s="18"/>
      <c r="J39" s="6" t="s">
        <v>16</v>
      </c>
      <c r="K39" s="16"/>
      <c r="L39" s="6" t="s">
        <v>6</v>
      </c>
      <c r="M39" s="27"/>
      <c r="N39" s="27"/>
    </row>
    <row r="40" spans="1:14" ht="18.75" customHeight="1" x14ac:dyDescent="0.15">
      <c r="A40" s="11">
        <v>37</v>
      </c>
      <c r="B40" s="2"/>
      <c r="C40" s="3"/>
      <c r="D40" s="68"/>
      <c r="E40" s="3"/>
      <c r="F40" s="4"/>
      <c r="G40" s="5"/>
      <c r="H40" s="5"/>
      <c r="I40" s="18"/>
      <c r="J40" s="6" t="s">
        <v>16</v>
      </c>
      <c r="K40" s="16"/>
      <c r="L40" s="6" t="s">
        <v>6</v>
      </c>
      <c r="M40" s="27"/>
      <c r="N40" s="27"/>
    </row>
    <row r="41" spans="1:14" ht="18.75" customHeight="1" x14ac:dyDescent="0.15">
      <c r="A41" s="11">
        <v>38</v>
      </c>
      <c r="B41" s="2"/>
      <c r="C41" s="3"/>
      <c r="D41" s="68"/>
      <c r="E41" s="3"/>
      <c r="F41" s="4"/>
      <c r="G41" s="5"/>
      <c r="H41" s="5"/>
      <c r="I41" s="18"/>
      <c r="J41" s="6" t="s">
        <v>16</v>
      </c>
      <c r="K41" s="16"/>
      <c r="L41" s="6" t="s">
        <v>6</v>
      </c>
      <c r="M41" s="27"/>
      <c r="N41" s="27"/>
    </row>
    <row r="42" spans="1:14" ht="18.75" customHeight="1" x14ac:dyDescent="0.15">
      <c r="A42" s="11">
        <v>39</v>
      </c>
      <c r="B42" s="2"/>
      <c r="C42" s="3"/>
      <c r="D42" s="68"/>
      <c r="E42" s="3"/>
      <c r="F42" s="4" t="str">
        <f>IF(E42="","",E42-7*INT(E42/7))</f>
        <v/>
      </c>
      <c r="G42" s="5"/>
      <c r="H42" s="5" t="str">
        <f>IF(G42="","",G42)</f>
        <v/>
      </c>
      <c r="I42" s="18"/>
      <c r="J42" s="6" t="s">
        <v>16</v>
      </c>
      <c r="K42" s="16" t="str">
        <f>IF(I42&gt;0,I42,"")</f>
        <v/>
      </c>
      <c r="L42" s="6" t="s">
        <v>6</v>
      </c>
      <c r="M42" s="27"/>
      <c r="N42" s="27"/>
    </row>
    <row r="43" spans="1:14" ht="18.75" customHeight="1" thickBot="1" x14ac:dyDescent="0.2">
      <c r="A43" s="50">
        <v>40</v>
      </c>
      <c r="B43" s="51"/>
      <c r="C43" s="52"/>
      <c r="D43" s="69"/>
      <c r="E43" s="52"/>
      <c r="F43" s="53" t="str">
        <f>IF(E43="","",E43-7*INT(E43/7))</f>
        <v/>
      </c>
      <c r="G43" s="54"/>
      <c r="H43" s="54" t="str">
        <f>IF(G43="","",G43)</f>
        <v/>
      </c>
      <c r="I43" s="64"/>
      <c r="J43" s="56" t="s">
        <v>16</v>
      </c>
      <c r="K43" s="65" t="str">
        <f>IF(I43&gt;0,I43,"")</f>
        <v/>
      </c>
      <c r="L43" s="56" t="s">
        <v>6</v>
      </c>
      <c r="M43" s="58"/>
      <c r="N43" s="58"/>
    </row>
    <row r="44" spans="1:14" ht="18.75" customHeight="1" thickTop="1" x14ac:dyDescent="0.15">
      <c r="I44" s="62">
        <f>SUM(I4:I43)</f>
        <v>0</v>
      </c>
      <c r="J44" s="10" t="s">
        <v>17</v>
      </c>
      <c r="K44" s="24">
        <f>SUM(K4:K43)</f>
        <v>0</v>
      </c>
      <c r="L44" s="10" t="s">
        <v>6</v>
      </c>
    </row>
    <row r="45" spans="1:14" ht="20.25" customHeight="1" x14ac:dyDescent="0.15">
      <c r="B45" s="95" t="s">
        <v>13</v>
      </c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10"/>
    </row>
    <row r="46" spans="1:14" ht="21" customHeight="1" x14ac:dyDescent="0.15">
      <c r="B46" s="96" t="s">
        <v>0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10"/>
    </row>
    <row r="47" spans="1:14" ht="26.25" customHeight="1" x14ac:dyDescent="0.15">
      <c r="A47" s="11"/>
      <c r="B47" s="2" t="s">
        <v>1</v>
      </c>
      <c r="C47" s="97" t="s">
        <v>2</v>
      </c>
      <c r="D47" s="98"/>
      <c r="E47" s="99" t="s">
        <v>3</v>
      </c>
      <c r="F47" s="100"/>
      <c r="G47" s="25" t="s">
        <v>4</v>
      </c>
      <c r="H47" s="25" t="s">
        <v>7</v>
      </c>
      <c r="I47" s="101" t="s">
        <v>8</v>
      </c>
      <c r="J47" s="99"/>
      <c r="K47" s="101" t="s">
        <v>5</v>
      </c>
      <c r="L47" s="101"/>
      <c r="M47" s="26" t="s">
        <v>14</v>
      </c>
      <c r="N47" s="1" t="s">
        <v>10</v>
      </c>
    </row>
    <row r="48" spans="1:14" ht="18.75" customHeight="1" x14ac:dyDescent="0.15">
      <c r="A48" s="11">
        <v>41</v>
      </c>
      <c r="B48" s="2"/>
      <c r="C48" s="3"/>
      <c r="D48" s="14"/>
      <c r="E48" s="3"/>
      <c r="F48" s="4" t="str">
        <f t="shared" ref="F48:F81" si="3">IF(E48="","",E48-7*INT(E48/7))</f>
        <v/>
      </c>
      <c r="G48" s="5"/>
      <c r="H48" s="5" t="str">
        <f t="shared" ref="H48:H81" si="4">IF(G48="","",G48)</f>
        <v/>
      </c>
      <c r="I48" s="15"/>
      <c r="J48" s="6" t="s">
        <v>15</v>
      </c>
      <c r="K48" s="16" t="str">
        <f t="shared" ref="K48:K81" si="5">IF(I48&gt;0,I48,"")</f>
        <v/>
      </c>
      <c r="L48" s="6" t="s">
        <v>6</v>
      </c>
      <c r="M48" s="27"/>
      <c r="N48" s="27"/>
    </row>
    <row r="49" spans="1:14" ht="18.75" customHeight="1" x14ac:dyDescent="0.15">
      <c r="A49" s="11">
        <v>42</v>
      </c>
      <c r="B49" s="2"/>
      <c r="C49" s="3"/>
      <c r="D49" s="14"/>
      <c r="E49" s="7"/>
      <c r="F49" s="4" t="str">
        <f t="shared" si="3"/>
        <v/>
      </c>
      <c r="G49" s="5"/>
      <c r="H49" s="5" t="str">
        <f t="shared" si="4"/>
        <v/>
      </c>
      <c r="I49" s="17"/>
      <c r="J49" s="8" t="s">
        <v>16</v>
      </c>
      <c r="K49" s="16" t="str">
        <f t="shared" si="5"/>
        <v/>
      </c>
      <c r="L49" s="9" t="s">
        <v>6</v>
      </c>
      <c r="M49" s="27"/>
      <c r="N49" s="27"/>
    </row>
    <row r="50" spans="1:14" ht="18.75" customHeight="1" x14ac:dyDescent="0.15">
      <c r="A50" s="11">
        <v>43</v>
      </c>
      <c r="B50" s="2"/>
      <c r="C50" s="3"/>
      <c r="D50" s="14"/>
      <c r="E50" s="3"/>
      <c r="F50" s="4" t="str">
        <f t="shared" si="3"/>
        <v/>
      </c>
      <c r="G50" s="5"/>
      <c r="H50" s="5" t="str">
        <f t="shared" si="4"/>
        <v/>
      </c>
      <c r="I50" s="18"/>
      <c r="J50" s="6" t="s">
        <v>16</v>
      </c>
      <c r="K50" s="16" t="str">
        <f t="shared" si="5"/>
        <v/>
      </c>
      <c r="L50" s="6" t="s">
        <v>6</v>
      </c>
      <c r="M50" s="27"/>
      <c r="N50" s="27"/>
    </row>
    <row r="51" spans="1:14" ht="18.75" customHeight="1" x14ac:dyDescent="0.15">
      <c r="A51" s="11">
        <v>44</v>
      </c>
      <c r="B51" s="2"/>
      <c r="C51" s="3"/>
      <c r="D51" s="14"/>
      <c r="E51" s="3"/>
      <c r="F51" s="4" t="str">
        <f t="shared" si="3"/>
        <v/>
      </c>
      <c r="G51" s="5"/>
      <c r="H51" s="5" t="str">
        <f t="shared" si="4"/>
        <v/>
      </c>
      <c r="I51" s="17"/>
      <c r="J51" s="8" t="s">
        <v>16</v>
      </c>
      <c r="K51" s="16" t="str">
        <f t="shared" si="5"/>
        <v/>
      </c>
      <c r="L51" s="9" t="s">
        <v>6</v>
      </c>
      <c r="M51" s="27"/>
      <c r="N51" s="27"/>
    </row>
    <row r="52" spans="1:14" ht="18.75" customHeight="1" x14ac:dyDescent="0.15">
      <c r="A52" s="11">
        <v>45</v>
      </c>
      <c r="B52" s="2"/>
      <c r="C52" s="3"/>
      <c r="D52" s="14"/>
      <c r="E52" s="7"/>
      <c r="F52" s="4" t="str">
        <f t="shared" si="3"/>
        <v/>
      </c>
      <c r="G52" s="5"/>
      <c r="H52" s="5" t="str">
        <f t="shared" si="4"/>
        <v/>
      </c>
      <c r="I52" s="18"/>
      <c r="J52" s="6" t="s">
        <v>16</v>
      </c>
      <c r="K52" s="16" t="str">
        <f t="shared" si="5"/>
        <v/>
      </c>
      <c r="L52" s="6" t="s">
        <v>6</v>
      </c>
      <c r="M52" s="27"/>
      <c r="N52" s="27"/>
    </row>
    <row r="53" spans="1:14" ht="18.75" customHeight="1" x14ac:dyDescent="0.15">
      <c r="A53" s="11">
        <v>46</v>
      </c>
      <c r="B53" s="2"/>
      <c r="C53" s="3"/>
      <c r="D53" s="14"/>
      <c r="E53" s="3"/>
      <c r="F53" s="4" t="str">
        <f t="shared" si="3"/>
        <v/>
      </c>
      <c r="G53" s="5"/>
      <c r="H53" s="5" t="str">
        <f t="shared" si="4"/>
        <v/>
      </c>
      <c r="I53" s="18"/>
      <c r="J53" s="6" t="s">
        <v>16</v>
      </c>
      <c r="K53" s="16" t="str">
        <f t="shared" si="5"/>
        <v/>
      </c>
      <c r="L53" s="6" t="s">
        <v>6</v>
      </c>
      <c r="M53" s="27"/>
      <c r="N53" s="27"/>
    </row>
    <row r="54" spans="1:14" ht="18.75" customHeight="1" x14ac:dyDescent="0.15">
      <c r="A54" s="11">
        <v>47</v>
      </c>
      <c r="B54" s="2"/>
      <c r="C54" s="3"/>
      <c r="D54" s="14"/>
      <c r="E54" s="3"/>
      <c r="F54" s="4" t="str">
        <f t="shared" si="3"/>
        <v/>
      </c>
      <c r="G54" s="5"/>
      <c r="H54" s="5" t="str">
        <f t="shared" si="4"/>
        <v/>
      </c>
      <c r="I54" s="17"/>
      <c r="J54" s="28" t="s">
        <v>16</v>
      </c>
      <c r="K54" s="16" t="str">
        <f t="shared" si="5"/>
        <v/>
      </c>
      <c r="L54" s="28" t="s">
        <v>6</v>
      </c>
      <c r="M54" s="27"/>
      <c r="N54" s="27"/>
    </row>
    <row r="55" spans="1:14" ht="18.75" customHeight="1" x14ac:dyDescent="0.15">
      <c r="A55" s="11">
        <v>48</v>
      </c>
      <c r="B55" s="2"/>
      <c r="C55" s="3"/>
      <c r="D55" s="14"/>
      <c r="E55" s="7"/>
      <c r="F55" s="4" t="str">
        <f t="shared" si="3"/>
        <v/>
      </c>
      <c r="G55" s="5"/>
      <c r="H55" s="5" t="str">
        <f t="shared" si="4"/>
        <v/>
      </c>
      <c r="I55" s="18"/>
      <c r="J55" s="8" t="s">
        <v>16</v>
      </c>
      <c r="K55" s="16" t="str">
        <f t="shared" si="5"/>
        <v/>
      </c>
      <c r="L55" s="9" t="s">
        <v>6</v>
      </c>
      <c r="M55" s="27"/>
      <c r="N55" s="27"/>
    </row>
    <row r="56" spans="1:14" ht="18.75" customHeight="1" x14ac:dyDescent="0.15">
      <c r="A56" s="11">
        <v>49</v>
      </c>
      <c r="B56" s="2"/>
      <c r="C56" s="3"/>
      <c r="D56" s="14"/>
      <c r="E56" s="3"/>
      <c r="F56" s="4" t="str">
        <f t="shared" si="3"/>
        <v/>
      </c>
      <c r="G56" s="5"/>
      <c r="H56" s="5" t="str">
        <f t="shared" si="4"/>
        <v/>
      </c>
      <c r="I56" s="18"/>
      <c r="J56" s="6" t="s">
        <v>16</v>
      </c>
      <c r="K56" s="16" t="str">
        <f t="shared" si="5"/>
        <v/>
      </c>
      <c r="L56" s="6" t="s">
        <v>6</v>
      </c>
      <c r="M56" s="27"/>
      <c r="N56" s="27"/>
    </row>
    <row r="57" spans="1:14" ht="18.75" customHeight="1" x14ac:dyDescent="0.15">
      <c r="A57" s="11">
        <v>50</v>
      </c>
      <c r="B57" s="2"/>
      <c r="C57" s="3"/>
      <c r="D57" s="14"/>
      <c r="E57" s="7"/>
      <c r="F57" s="4" t="str">
        <f t="shared" si="3"/>
        <v/>
      </c>
      <c r="G57" s="5"/>
      <c r="H57" s="5" t="str">
        <f t="shared" si="4"/>
        <v/>
      </c>
      <c r="I57" s="18"/>
      <c r="J57" s="8" t="s">
        <v>16</v>
      </c>
      <c r="K57" s="16" t="str">
        <f t="shared" si="5"/>
        <v/>
      </c>
      <c r="L57" s="9" t="s">
        <v>6</v>
      </c>
      <c r="M57" s="27"/>
      <c r="N57" s="27"/>
    </row>
    <row r="58" spans="1:14" ht="18.75" customHeight="1" x14ac:dyDescent="0.15">
      <c r="A58" s="11">
        <v>51</v>
      </c>
      <c r="B58" s="2"/>
      <c r="C58" s="3"/>
      <c r="D58" s="14"/>
      <c r="E58" s="3"/>
      <c r="F58" s="4" t="str">
        <f t="shared" si="3"/>
        <v/>
      </c>
      <c r="G58" s="5"/>
      <c r="H58" s="5" t="str">
        <f t="shared" si="4"/>
        <v/>
      </c>
      <c r="I58" s="18"/>
      <c r="J58" s="6" t="s">
        <v>16</v>
      </c>
      <c r="K58" s="16" t="str">
        <f t="shared" si="5"/>
        <v/>
      </c>
      <c r="L58" s="6" t="s">
        <v>6</v>
      </c>
      <c r="M58" s="27"/>
      <c r="N58" s="27"/>
    </row>
    <row r="59" spans="1:14" ht="18.75" customHeight="1" x14ac:dyDescent="0.15">
      <c r="A59" s="11">
        <v>52</v>
      </c>
      <c r="B59" s="2"/>
      <c r="C59" s="3"/>
      <c r="D59" s="14"/>
      <c r="E59" s="3"/>
      <c r="F59" s="4" t="str">
        <f t="shared" si="3"/>
        <v/>
      </c>
      <c r="G59" s="5"/>
      <c r="H59" s="5" t="str">
        <f t="shared" si="4"/>
        <v/>
      </c>
      <c r="I59" s="17"/>
      <c r="J59" s="8" t="s">
        <v>16</v>
      </c>
      <c r="K59" s="16" t="str">
        <f t="shared" si="5"/>
        <v/>
      </c>
      <c r="L59" s="6" t="s">
        <v>6</v>
      </c>
      <c r="M59" s="27"/>
      <c r="N59" s="27"/>
    </row>
    <row r="60" spans="1:14" ht="18.75" customHeight="1" x14ac:dyDescent="0.15">
      <c r="A60" s="11">
        <v>53</v>
      </c>
      <c r="B60" s="2"/>
      <c r="C60" s="3"/>
      <c r="D60" s="19"/>
      <c r="E60" s="3"/>
      <c r="F60" s="4" t="str">
        <f t="shared" si="3"/>
        <v/>
      </c>
      <c r="G60" s="5"/>
      <c r="H60" s="5" t="str">
        <f t="shared" si="4"/>
        <v/>
      </c>
      <c r="I60" s="18"/>
      <c r="J60" s="6" t="s">
        <v>16</v>
      </c>
      <c r="K60" s="16" t="str">
        <f t="shared" si="5"/>
        <v/>
      </c>
      <c r="L60" s="6" t="s">
        <v>6</v>
      </c>
      <c r="M60" s="27"/>
      <c r="N60" s="27"/>
    </row>
    <row r="61" spans="1:14" ht="18.75" customHeight="1" x14ac:dyDescent="0.15">
      <c r="A61" s="11">
        <v>54</v>
      </c>
      <c r="B61" s="2"/>
      <c r="C61" s="3"/>
      <c r="D61" s="19"/>
      <c r="E61" s="3"/>
      <c r="F61" s="4" t="str">
        <f t="shared" si="3"/>
        <v/>
      </c>
      <c r="G61" s="5"/>
      <c r="H61" s="5" t="str">
        <f t="shared" si="4"/>
        <v/>
      </c>
      <c r="I61" s="18"/>
      <c r="J61" s="6" t="s">
        <v>16</v>
      </c>
      <c r="K61" s="16" t="str">
        <f t="shared" si="5"/>
        <v/>
      </c>
      <c r="L61" s="6" t="s">
        <v>6</v>
      </c>
      <c r="M61" s="27"/>
      <c r="N61" s="27"/>
    </row>
    <row r="62" spans="1:14" ht="18.75" customHeight="1" x14ac:dyDescent="0.15">
      <c r="A62" s="11">
        <v>55</v>
      </c>
      <c r="B62" s="2"/>
      <c r="C62" s="3"/>
      <c r="D62" s="19"/>
      <c r="E62" s="3"/>
      <c r="F62" s="4" t="str">
        <f t="shared" si="3"/>
        <v/>
      </c>
      <c r="G62" s="5"/>
      <c r="H62" s="5" t="str">
        <f t="shared" si="4"/>
        <v/>
      </c>
      <c r="I62" s="18"/>
      <c r="J62" s="6" t="s">
        <v>16</v>
      </c>
      <c r="K62" s="16" t="str">
        <f t="shared" si="5"/>
        <v/>
      </c>
      <c r="L62" s="9" t="s">
        <v>6</v>
      </c>
      <c r="M62" s="27"/>
      <c r="N62" s="27"/>
    </row>
    <row r="63" spans="1:14" ht="18.75" customHeight="1" x14ac:dyDescent="0.15">
      <c r="A63" s="11">
        <v>56</v>
      </c>
      <c r="B63" s="2"/>
      <c r="C63" s="3"/>
      <c r="D63" s="19"/>
      <c r="E63" s="7"/>
      <c r="F63" s="4" t="str">
        <f t="shared" si="3"/>
        <v/>
      </c>
      <c r="G63" s="5"/>
      <c r="H63" s="5" t="str">
        <f t="shared" si="4"/>
        <v/>
      </c>
      <c r="I63" s="17"/>
      <c r="J63" s="8" t="s">
        <v>16</v>
      </c>
      <c r="K63" s="16" t="str">
        <f t="shared" si="5"/>
        <v/>
      </c>
      <c r="L63" s="6" t="s">
        <v>6</v>
      </c>
      <c r="M63" s="27"/>
      <c r="N63" s="27"/>
    </row>
    <row r="64" spans="1:14" ht="18.75" customHeight="1" x14ac:dyDescent="0.15">
      <c r="A64" s="11">
        <v>57</v>
      </c>
      <c r="B64" s="2"/>
      <c r="C64" s="3"/>
      <c r="D64" s="19"/>
      <c r="E64" s="3"/>
      <c r="F64" s="4" t="str">
        <f t="shared" si="3"/>
        <v/>
      </c>
      <c r="G64" s="5"/>
      <c r="H64" s="5" t="str">
        <f t="shared" si="4"/>
        <v/>
      </c>
      <c r="I64" s="18"/>
      <c r="J64" s="6" t="s">
        <v>16</v>
      </c>
      <c r="K64" s="16" t="str">
        <f t="shared" si="5"/>
        <v/>
      </c>
      <c r="L64" s="6" t="s">
        <v>6</v>
      </c>
      <c r="M64" s="27"/>
      <c r="N64" s="27"/>
    </row>
    <row r="65" spans="1:14" ht="18.75" customHeight="1" x14ac:dyDescent="0.15">
      <c r="A65" s="11">
        <v>58</v>
      </c>
      <c r="B65" s="2"/>
      <c r="C65" s="3"/>
      <c r="D65" s="19"/>
      <c r="E65" s="3"/>
      <c r="F65" s="4" t="str">
        <f t="shared" si="3"/>
        <v/>
      </c>
      <c r="G65" s="5"/>
      <c r="H65" s="5" t="str">
        <f t="shared" si="4"/>
        <v/>
      </c>
      <c r="I65" s="18"/>
      <c r="J65" s="6" t="s">
        <v>16</v>
      </c>
      <c r="K65" s="16" t="str">
        <f t="shared" si="5"/>
        <v/>
      </c>
      <c r="L65" s="6" t="s">
        <v>6</v>
      </c>
      <c r="M65" s="27"/>
      <c r="N65" s="27"/>
    </row>
    <row r="66" spans="1:14" ht="18.75" customHeight="1" x14ac:dyDescent="0.15">
      <c r="A66" s="11">
        <v>59</v>
      </c>
      <c r="B66" s="2"/>
      <c r="C66" s="3"/>
      <c r="D66" s="19"/>
      <c r="E66" s="3"/>
      <c r="F66" s="4" t="str">
        <f t="shared" si="3"/>
        <v/>
      </c>
      <c r="G66" s="5"/>
      <c r="H66" s="5" t="str">
        <f t="shared" si="4"/>
        <v/>
      </c>
      <c r="I66" s="18"/>
      <c r="J66" s="6" t="s">
        <v>16</v>
      </c>
      <c r="K66" s="16" t="str">
        <f t="shared" si="5"/>
        <v/>
      </c>
      <c r="L66" s="6" t="s">
        <v>6</v>
      </c>
      <c r="M66" s="27"/>
      <c r="N66" s="27"/>
    </row>
    <row r="67" spans="1:14" ht="18.75" customHeight="1" x14ac:dyDescent="0.15">
      <c r="A67" s="11">
        <v>60</v>
      </c>
      <c r="B67" s="2"/>
      <c r="C67" s="3"/>
      <c r="D67" s="20"/>
      <c r="E67" s="3"/>
      <c r="F67" s="4" t="str">
        <f t="shared" si="3"/>
        <v/>
      </c>
      <c r="G67" s="5"/>
      <c r="H67" s="5" t="str">
        <f t="shared" si="4"/>
        <v/>
      </c>
      <c r="I67" s="18"/>
      <c r="J67" s="6" t="s">
        <v>11</v>
      </c>
      <c r="K67" s="16" t="str">
        <f t="shared" si="5"/>
        <v/>
      </c>
      <c r="L67" s="6" t="s">
        <v>6</v>
      </c>
      <c r="M67" s="27"/>
      <c r="N67" s="27"/>
    </row>
    <row r="68" spans="1:14" ht="18.75" customHeight="1" x14ac:dyDescent="0.15">
      <c r="A68" s="11">
        <v>61</v>
      </c>
      <c r="B68" s="2"/>
      <c r="C68" s="3"/>
      <c r="D68" s="20"/>
      <c r="E68" s="3"/>
      <c r="F68" s="4" t="str">
        <f t="shared" si="3"/>
        <v/>
      </c>
      <c r="G68" s="5"/>
      <c r="H68" s="5" t="str">
        <f t="shared" si="4"/>
        <v/>
      </c>
      <c r="I68" s="18"/>
      <c r="J68" s="8" t="s">
        <v>11</v>
      </c>
      <c r="K68" s="16" t="str">
        <f t="shared" si="5"/>
        <v/>
      </c>
      <c r="L68" s="6" t="s">
        <v>6</v>
      </c>
      <c r="M68" s="27"/>
      <c r="N68" s="27"/>
    </row>
    <row r="69" spans="1:14" ht="18.75" customHeight="1" x14ac:dyDescent="0.15">
      <c r="A69" s="11">
        <v>62</v>
      </c>
      <c r="B69" s="2"/>
      <c r="C69" s="3"/>
      <c r="D69" s="20"/>
      <c r="E69" s="3"/>
      <c r="F69" s="4" t="str">
        <f t="shared" si="3"/>
        <v/>
      </c>
      <c r="G69" s="5"/>
      <c r="H69" s="5" t="str">
        <f t="shared" si="4"/>
        <v/>
      </c>
      <c r="I69" s="18"/>
      <c r="J69" s="6" t="s">
        <v>11</v>
      </c>
      <c r="K69" s="16" t="str">
        <f t="shared" si="5"/>
        <v/>
      </c>
      <c r="L69" s="6" t="s">
        <v>6</v>
      </c>
      <c r="M69" s="27"/>
      <c r="N69" s="27"/>
    </row>
    <row r="70" spans="1:14" ht="18.75" customHeight="1" x14ac:dyDescent="0.15">
      <c r="A70" s="11">
        <v>63</v>
      </c>
      <c r="B70" s="2"/>
      <c r="C70" s="3"/>
      <c r="D70" s="20"/>
      <c r="E70" s="3"/>
      <c r="F70" s="4" t="str">
        <f t="shared" si="3"/>
        <v/>
      </c>
      <c r="G70" s="5"/>
      <c r="H70" s="5" t="str">
        <f t="shared" si="4"/>
        <v/>
      </c>
      <c r="I70" s="18"/>
      <c r="J70" s="6" t="s">
        <v>16</v>
      </c>
      <c r="K70" s="16" t="str">
        <f t="shared" si="5"/>
        <v/>
      </c>
      <c r="L70" s="6" t="s">
        <v>6</v>
      </c>
      <c r="M70" s="27"/>
      <c r="N70" s="27"/>
    </row>
    <row r="71" spans="1:14" ht="18.75" customHeight="1" x14ac:dyDescent="0.15">
      <c r="A71" s="11">
        <v>64</v>
      </c>
      <c r="B71" s="2"/>
      <c r="C71" s="3"/>
      <c r="D71" s="20"/>
      <c r="E71" s="3"/>
      <c r="F71" s="4" t="str">
        <f t="shared" si="3"/>
        <v/>
      </c>
      <c r="G71" s="5"/>
      <c r="H71" s="5" t="str">
        <f t="shared" si="4"/>
        <v/>
      </c>
      <c r="I71" s="18"/>
      <c r="J71" s="8" t="s">
        <v>16</v>
      </c>
      <c r="K71" s="16" t="str">
        <f t="shared" si="5"/>
        <v/>
      </c>
      <c r="L71" s="6" t="s">
        <v>6</v>
      </c>
      <c r="M71" s="27"/>
      <c r="N71" s="27"/>
    </row>
    <row r="72" spans="1:14" ht="18.75" customHeight="1" x14ac:dyDescent="0.15">
      <c r="A72" s="11">
        <v>65</v>
      </c>
      <c r="B72" s="2"/>
      <c r="C72" s="3"/>
      <c r="D72" s="20"/>
      <c r="E72" s="3"/>
      <c r="F72" s="4" t="str">
        <f t="shared" si="3"/>
        <v/>
      </c>
      <c r="G72" s="5"/>
      <c r="H72" s="5" t="str">
        <f t="shared" si="4"/>
        <v/>
      </c>
      <c r="I72" s="18"/>
      <c r="J72" s="6" t="s">
        <v>16</v>
      </c>
      <c r="K72" s="16" t="str">
        <f t="shared" si="5"/>
        <v/>
      </c>
      <c r="L72" s="6" t="s">
        <v>6</v>
      </c>
      <c r="M72" s="27"/>
      <c r="N72" s="27"/>
    </row>
    <row r="73" spans="1:14" ht="18.75" customHeight="1" x14ac:dyDescent="0.15">
      <c r="A73" s="11">
        <v>66</v>
      </c>
      <c r="B73" s="2"/>
      <c r="C73" s="3"/>
      <c r="D73" s="20"/>
      <c r="E73" s="3"/>
      <c r="F73" s="4" t="str">
        <f t="shared" si="3"/>
        <v/>
      </c>
      <c r="G73" s="5"/>
      <c r="H73" s="5" t="str">
        <f t="shared" si="4"/>
        <v/>
      </c>
      <c r="I73" s="18"/>
      <c r="J73" s="6" t="s">
        <v>16</v>
      </c>
      <c r="K73" s="16" t="str">
        <f t="shared" si="5"/>
        <v/>
      </c>
      <c r="L73" s="6" t="s">
        <v>6</v>
      </c>
      <c r="M73" s="27"/>
      <c r="N73" s="27"/>
    </row>
    <row r="74" spans="1:14" ht="18.75" customHeight="1" x14ac:dyDescent="0.15">
      <c r="A74" s="11">
        <v>67</v>
      </c>
      <c r="B74" s="2"/>
      <c r="C74" s="3"/>
      <c r="D74" s="20"/>
      <c r="E74" s="3"/>
      <c r="F74" s="4" t="str">
        <f t="shared" si="3"/>
        <v/>
      </c>
      <c r="G74" s="5"/>
      <c r="H74" s="5" t="str">
        <f t="shared" si="4"/>
        <v/>
      </c>
      <c r="I74" s="18"/>
      <c r="J74" s="8" t="s">
        <v>16</v>
      </c>
      <c r="K74" s="16" t="str">
        <f t="shared" si="5"/>
        <v/>
      </c>
      <c r="L74" s="6" t="s">
        <v>6</v>
      </c>
      <c r="M74" s="27"/>
      <c r="N74" s="27"/>
    </row>
    <row r="75" spans="1:14" ht="18.75" customHeight="1" x14ac:dyDescent="0.15">
      <c r="A75" s="11">
        <v>68</v>
      </c>
      <c r="B75" s="2"/>
      <c r="C75" s="3"/>
      <c r="D75" s="20"/>
      <c r="E75" s="7"/>
      <c r="F75" s="4" t="str">
        <f t="shared" si="3"/>
        <v/>
      </c>
      <c r="G75" s="5"/>
      <c r="H75" s="5" t="str">
        <f t="shared" si="4"/>
        <v/>
      </c>
      <c r="I75" s="18"/>
      <c r="J75" s="6" t="s">
        <v>16</v>
      </c>
      <c r="K75" s="16" t="str">
        <f t="shared" si="5"/>
        <v/>
      </c>
      <c r="L75" s="6" t="s">
        <v>6</v>
      </c>
      <c r="M75" s="27"/>
      <c r="N75" s="27"/>
    </row>
    <row r="76" spans="1:14" ht="18.75" customHeight="1" x14ac:dyDescent="0.15">
      <c r="A76" s="11">
        <v>69</v>
      </c>
      <c r="B76" s="2"/>
      <c r="C76" s="3"/>
      <c r="D76" s="20"/>
      <c r="E76" s="3"/>
      <c r="F76" s="4" t="str">
        <f t="shared" si="3"/>
        <v/>
      </c>
      <c r="G76" s="5"/>
      <c r="H76" s="5" t="str">
        <f t="shared" si="4"/>
        <v/>
      </c>
      <c r="I76" s="18"/>
      <c r="J76" s="6" t="s">
        <v>16</v>
      </c>
      <c r="K76" s="16" t="str">
        <f t="shared" si="5"/>
        <v/>
      </c>
      <c r="L76" s="6" t="s">
        <v>6</v>
      </c>
      <c r="M76" s="27"/>
      <c r="N76" s="27"/>
    </row>
    <row r="77" spans="1:14" ht="18.75" customHeight="1" x14ac:dyDescent="0.15">
      <c r="A77" s="11">
        <v>70</v>
      </c>
      <c r="B77" s="2"/>
      <c r="C77" s="3"/>
      <c r="D77" s="20"/>
      <c r="E77" s="3"/>
      <c r="F77" s="4" t="str">
        <f t="shared" si="3"/>
        <v/>
      </c>
      <c r="G77" s="5"/>
      <c r="H77" s="5" t="str">
        <f t="shared" si="4"/>
        <v/>
      </c>
      <c r="I77" s="18"/>
      <c r="J77" s="6" t="s">
        <v>16</v>
      </c>
      <c r="K77" s="16" t="str">
        <f t="shared" si="5"/>
        <v/>
      </c>
      <c r="L77" s="6" t="s">
        <v>6</v>
      </c>
      <c r="M77" s="27"/>
      <c r="N77" s="27"/>
    </row>
    <row r="78" spans="1:14" ht="18.75" customHeight="1" x14ac:dyDescent="0.15">
      <c r="A78" s="11">
        <v>71</v>
      </c>
      <c r="B78" s="2"/>
      <c r="C78" s="3"/>
      <c r="D78" s="20"/>
      <c r="E78" s="3"/>
      <c r="F78" s="4" t="str">
        <f t="shared" si="3"/>
        <v/>
      </c>
      <c r="G78" s="5"/>
      <c r="H78" s="5" t="str">
        <f t="shared" si="4"/>
        <v/>
      </c>
      <c r="I78" s="21"/>
      <c r="J78" s="6" t="s">
        <v>16</v>
      </c>
      <c r="K78" s="16" t="str">
        <f t="shared" si="5"/>
        <v/>
      </c>
      <c r="L78" s="6" t="s">
        <v>6</v>
      </c>
      <c r="M78" s="27"/>
      <c r="N78" s="27"/>
    </row>
    <row r="79" spans="1:14" ht="18.75" customHeight="1" x14ac:dyDescent="0.15">
      <c r="A79" s="11">
        <v>72</v>
      </c>
      <c r="B79" s="2"/>
      <c r="C79" s="3"/>
      <c r="D79" s="20"/>
      <c r="E79" s="3"/>
      <c r="F79" s="4" t="str">
        <f t="shared" si="3"/>
        <v/>
      </c>
      <c r="G79" s="5"/>
      <c r="H79" s="5" t="str">
        <f t="shared" si="4"/>
        <v/>
      </c>
      <c r="I79" s="18"/>
      <c r="J79" s="6" t="s">
        <v>16</v>
      </c>
      <c r="K79" s="16" t="str">
        <f t="shared" si="5"/>
        <v/>
      </c>
      <c r="L79" s="6" t="s">
        <v>6</v>
      </c>
      <c r="M79" s="27"/>
      <c r="N79" s="27"/>
    </row>
    <row r="80" spans="1:14" ht="18.75" customHeight="1" x14ac:dyDescent="0.15">
      <c r="A80" s="11">
        <v>73</v>
      </c>
      <c r="B80" s="2"/>
      <c r="C80" s="3"/>
      <c r="D80" s="20"/>
      <c r="E80" s="7"/>
      <c r="F80" s="4" t="str">
        <f t="shared" si="3"/>
        <v/>
      </c>
      <c r="G80" s="5"/>
      <c r="H80" s="5" t="str">
        <f t="shared" si="4"/>
        <v/>
      </c>
      <c r="I80" s="17"/>
      <c r="J80" s="6" t="s">
        <v>16</v>
      </c>
      <c r="K80" s="16" t="str">
        <f t="shared" si="5"/>
        <v/>
      </c>
      <c r="L80" s="6" t="s">
        <v>6</v>
      </c>
      <c r="M80" s="27"/>
      <c r="N80" s="27"/>
    </row>
    <row r="81" spans="1:14" ht="18.75" customHeight="1" x14ac:dyDescent="0.15">
      <c r="A81" s="11">
        <v>74</v>
      </c>
      <c r="B81" s="2"/>
      <c r="C81" s="3"/>
      <c r="D81" s="20"/>
      <c r="E81" s="3"/>
      <c r="F81" s="4" t="str">
        <f t="shared" si="3"/>
        <v/>
      </c>
      <c r="G81" s="5"/>
      <c r="H81" s="5" t="str">
        <f t="shared" si="4"/>
        <v/>
      </c>
      <c r="I81" s="18"/>
      <c r="J81" s="6" t="s">
        <v>16</v>
      </c>
      <c r="K81" s="16" t="str">
        <f t="shared" si="5"/>
        <v/>
      </c>
      <c r="L81" s="6" t="s">
        <v>6</v>
      </c>
      <c r="M81" s="27"/>
      <c r="N81" s="27"/>
    </row>
    <row r="82" spans="1:14" ht="18.75" customHeight="1" x14ac:dyDescent="0.15">
      <c r="A82" s="11">
        <v>75</v>
      </c>
      <c r="B82" s="2"/>
      <c r="C82" s="3"/>
      <c r="D82" s="20"/>
      <c r="E82" s="3"/>
      <c r="F82" s="4"/>
      <c r="G82" s="5"/>
      <c r="H82" s="5"/>
      <c r="I82" s="18"/>
      <c r="J82" s="6" t="s">
        <v>16</v>
      </c>
      <c r="K82" s="16"/>
      <c r="L82" s="6" t="s">
        <v>6</v>
      </c>
      <c r="M82" s="27"/>
      <c r="N82" s="27"/>
    </row>
    <row r="83" spans="1:14" ht="18.75" customHeight="1" x14ac:dyDescent="0.15">
      <c r="A83" s="11">
        <v>76</v>
      </c>
      <c r="B83" s="2"/>
      <c r="C83" s="3"/>
      <c r="D83" s="20"/>
      <c r="E83" s="3"/>
      <c r="F83" s="4"/>
      <c r="G83" s="5"/>
      <c r="H83" s="5"/>
      <c r="I83" s="18"/>
      <c r="J83" s="6" t="s">
        <v>16</v>
      </c>
      <c r="K83" s="16"/>
      <c r="L83" s="6" t="s">
        <v>6</v>
      </c>
      <c r="M83" s="27"/>
      <c r="N83" s="27"/>
    </row>
    <row r="84" spans="1:14" ht="18.75" customHeight="1" x14ac:dyDescent="0.15">
      <c r="A84" s="11">
        <v>77</v>
      </c>
      <c r="B84" s="2"/>
      <c r="C84" s="3"/>
      <c r="D84" s="20"/>
      <c r="E84" s="3"/>
      <c r="F84" s="4"/>
      <c r="G84" s="5"/>
      <c r="H84" s="5"/>
      <c r="I84" s="18"/>
      <c r="J84" s="6" t="s">
        <v>16</v>
      </c>
      <c r="K84" s="16"/>
      <c r="L84" s="6" t="s">
        <v>6</v>
      </c>
      <c r="M84" s="27"/>
      <c r="N84" s="27"/>
    </row>
    <row r="85" spans="1:14" ht="18.75" customHeight="1" x14ac:dyDescent="0.15">
      <c r="A85" s="11">
        <v>78</v>
      </c>
      <c r="B85" s="2"/>
      <c r="C85" s="3"/>
      <c r="D85" s="20"/>
      <c r="E85" s="3"/>
      <c r="F85" s="4"/>
      <c r="G85" s="5"/>
      <c r="H85" s="5"/>
      <c r="I85" s="18"/>
      <c r="J85" s="6" t="s">
        <v>16</v>
      </c>
      <c r="K85" s="16"/>
      <c r="L85" s="6" t="s">
        <v>6</v>
      </c>
      <c r="M85" s="27"/>
      <c r="N85" s="27"/>
    </row>
    <row r="86" spans="1:14" ht="18.75" customHeight="1" x14ac:dyDescent="0.15">
      <c r="A86" s="11">
        <v>79</v>
      </c>
      <c r="B86" s="2"/>
      <c r="C86" s="3"/>
      <c r="D86" s="20"/>
      <c r="E86" s="3"/>
      <c r="F86" s="4" t="str">
        <f>IF(E86="","",E86-7*INT(E86/7))</f>
        <v/>
      </c>
      <c r="G86" s="5"/>
      <c r="H86" s="5" t="str">
        <f>IF(G86="","",G86)</f>
        <v/>
      </c>
      <c r="I86" s="18"/>
      <c r="J86" s="6" t="s">
        <v>16</v>
      </c>
      <c r="K86" s="16" t="str">
        <f>IF(I86&gt;0,I86,"")</f>
        <v/>
      </c>
      <c r="L86" s="6" t="s">
        <v>6</v>
      </c>
      <c r="M86" s="27"/>
      <c r="N86" s="27"/>
    </row>
    <row r="87" spans="1:14" ht="18.75" customHeight="1" x14ac:dyDescent="0.15">
      <c r="A87" s="11">
        <v>80</v>
      </c>
      <c r="B87" s="2"/>
      <c r="C87" s="3"/>
      <c r="D87" s="20"/>
      <c r="E87" s="3"/>
      <c r="F87" s="4" t="str">
        <f>IF(E87="","",E87-7*INT(E87/7))</f>
        <v/>
      </c>
      <c r="G87" s="5"/>
      <c r="H87" s="5" t="str">
        <f>IF(G87="","",G87)</f>
        <v/>
      </c>
      <c r="I87" s="18"/>
      <c r="J87" s="6" t="s">
        <v>16</v>
      </c>
      <c r="K87" s="22" t="str">
        <f>IF(I87&gt;0,I87,"")</f>
        <v/>
      </c>
      <c r="L87" s="6" t="s">
        <v>6</v>
      </c>
      <c r="M87" s="27"/>
      <c r="N87" s="27"/>
    </row>
    <row r="88" spans="1:14" ht="18.75" customHeight="1" x14ac:dyDescent="0.15">
      <c r="I88" s="23">
        <f>SUM(I48:I87)+I44</f>
        <v>0</v>
      </c>
      <c r="J88" s="10" t="s">
        <v>17</v>
      </c>
      <c r="K88" s="24">
        <f>SUM(K48:K87)+K44</f>
        <v>0</v>
      </c>
      <c r="L88" s="10" t="s">
        <v>6</v>
      </c>
    </row>
  </sheetData>
  <mergeCells count="12">
    <mergeCell ref="B1:M1"/>
    <mergeCell ref="B2:M2"/>
    <mergeCell ref="C3:D3"/>
    <mergeCell ref="E3:F3"/>
    <mergeCell ref="I3:J3"/>
    <mergeCell ref="K3:L3"/>
    <mergeCell ref="B46:M46"/>
    <mergeCell ref="B45:M45"/>
    <mergeCell ref="C47:D47"/>
    <mergeCell ref="E47:F47"/>
    <mergeCell ref="I47:J47"/>
    <mergeCell ref="K47:L47"/>
  </mergeCells>
  <phoneticPr fontId="2"/>
  <dataValidations count="3">
    <dataValidation imeMode="on" allowBlank="1" showInputMessage="1" showErrorMessage="1" sqref="B48:C87 B4:C43" xr:uid="{178900F4-2B4F-454C-B351-40D34F007D8E}"/>
    <dataValidation imeMode="disabled" allowBlank="1" showInputMessage="1" showErrorMessage="1" sqref="E48:E87 G48:N87 E4:E43 G4:N43" xr:uid="{E3971724-CB3E-43FA-9F6B-7B9FB3595420}"/>
    <dataValidation type="list" imeMode="on" allowBlank="1" showInputMessage="1" showErrorMessage="1" promptTitle="こんにちは" sqref="D48:D87 D4:D43" xr:uid="{358259BE-EE59-49CD-84A6-9515EE50F199}">
      <formula1>"鴛泊下水浄化センター,沓形浄化センター"</formula1>
    </dataValidation>
  </dataValidations>
  <printOptions horizontalCentered="1" verticalCentered="1"/>
  <pageMargins left="0.59055118110236227" right="0.59055118110236227" top="0.59055118110236227" bottom="0.59055118110236227" header="0.51181102362204722" footer="0.51181102362204722"/>
  <pageSetup paperSize="9"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A951-E435-47CB-B36F-26A422F572CC}">
  <dimension ref="A1:N88"/>
  <sheetViews>
    <sheetView topLeftCell="A22" workbookViewId="0">
      <selection activeCell="P20" sqref="P20"/>
    </sheetView>
  </sheetViews>
  <sheetFormatPr defaultRowHeight="13.5" x14ac:dyDescent="0.15"/>
  <cols>
    <col min="1" max="1" width="3.375" style="12" customWidth="1"/>
    <col min="2" max="2" width="11" style="10" customWidth="1"/>
    <col min="3" max="3" width="1" style="10" customWidth="1"/>
    <col min="4" max="4" width="15.625" style="10" customWidth="1"/>
    <col min="5" max="5" width="10.125" style="10" customWidth="1"/>
    <col min="6" max="6" width="2.25" style="10" customWidth="1"/>
    <col min="7" max="8" width="8.625" style="10" customWidth="1"/>
    <col min="9" max="9" width="6" style="13" customWidth="1"/>
    <col min="10" max="10" width="2.375" style="10" customWidth="1"/>
    <col min="11" max="11" width="6.125" style="10" customWidth="1"/>
    <col min="12" max="12" width="2.25" style="10" customWidth="1"/>
    <col min="13" max="14" width="6.25" style="12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4" ht="20.25" customHeight="1" x14ac:dyDescent="0.15">
      <c r="B1" s="95" t="s">
        <v>13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10"/>
    </row>
    <row r="2" spans="1:14" ht="21" customHeight="1" x14ac:dyDescent="0.15"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10"/>
    </row>
    <row r="3" spans="1:14" ht="26.25" customHeight="1" x14ac:dyDescent="0.15">
      <c r="A3" s="11"/>
      <c r="B3" s="2" t="s">
        <v>1</v>
      </c>
      <c r="C3" s="97" t="s">
        <v>2</v>
      </c>
      <c r="D3" s="98"/>
      <c r="E3" s="99" t="s">
        <v>3</v>
      </c>
      <c r="F3" s="100"/>
      <c r="G3" s="25" t="s">
        <v>4</v>
      </c>
      <c r="H3" s="25" t="s">
        <v>7</v>
      </c>
      <c r="I3" s="101" t="s">
        <v>8</v>
      </c>
      <c r="J3" s="99"/>
      <c r="K3" s="101" t="s">
        <v>5</v>
      </c>
      <c r="L3" s="101"/>
      <c r="M3" s="26" t="s">
        <v>14</v>
      </c>
      <c r="N3" s="1" t="s">
        <v>10</v>
      </c>
    </row>
    <row r="4" spans="1:14" ht="18.75" customHeight="1" x14ac:dyDescent="0.15">
      <c r="A4" s="11">
        <v>1</v>
      </c>
      <c r="B4" s="2" t="s">
        <v>12</v>
      </c>
      <c r="C4" s="3"/>
      <c r="D4" s="66"/>
      <c r="E4" s="3"/>
      <c r="F4" s="4" t="str">
        <f t="shared" ref="F4:F37" si="0">IF(E4="","",E4-7*INT(E4/7))</f>
        <v/>
      </c>
      <c r="G4" s="5"/>
      <c r="H4" s="5" t="str">
        <f t="shared" ref="H4:H37" si="1">IF(G4="","",G4)</f>
        <v/>
      </c>
      <c r="I4" s="15"/>
      <c r="J4" s="6" t="s">
        <v>15</v>
      </c>
      <c r="K4" s="16" t="str">
        <f t="shared" ref="K4:K37" si="2">IF(I4&gt;0,I4,"")</f>
        <v/>
      </c>
      <c r="L4" s="6" t="s">
        <v>6</v>
      </c>
      <c r="M4" s="27"/>
      <c r="N4" s="27"/>
    </row>
    <row r="5" spans="1:14" ht="18.75" customHeight="1" x14ac:dyDescent="0.15">
      <c r="A5" s="11">
        <v>2</v>
      </c>
      <c r="B5" s="2" t="s">
        <v>12</v>
      </c>
      <c r="C5" s="3"/>
      <c r="D5" s="66"/>
      <c r="E5" s="7"/>
      <c r="F5" s="4" t="str">
        <f t="shared" si="0"/>
        <v/>
      </c>
      <c r="G5" s="5"/>
      <c r="H5" s="5" t="str">
        <f t="shared" si="1"/>
        <v/>
      </c>
      <c r="I5" s="17"/>
      <c r="J5" s="8" t="s">
        <v>16</v>
      </c>
      <c r="K5" s="16" t="str">
        <f t="shared" si="2"/>
        <v/>
      </c>
      <c r="L5" s="9" t="s">
        <v>6</v>
      </c>
      <c r="M5" s="27"/>
      <c r="N5" s="27"/>
    </row>
    <row r="6" spans="1:14" ht="18.75" customHeight="1" x14ac:dyDescent="0.15">
      <c r="A6" s="11">
        <v>3</v>
      </c>
      <c r="B6" s="2" t="s">
        <v>12</v>
      </c>
      <c r="C6" s="3"/>
      <c r="D6" s="66"/>
      <c r="E6" s="3"/>
      <c r="F6" s="4" t="str">
        <f t="shared" si="0"/>
        <v/>
      </c>
      <c r="G6" s="5"/>
      <c r="H6" s="5" t="str">
        <f t="shared" si="1"/>
        <v/>
      </c>
      <c r="I6" s="18"/>
      <c r="J6" s="6" t="s">
        <v>16</v>
      </c>
      <c r="K6" s="16" t="str">
        <f t="shared" si="2"/>
        <v/>
      </c>
      <c r="L6" s="6" t="s">
        <v>6</v>
      </c>
      <c r="M6" s="27"/>
      <c r="N6" s="27"/>
    </row>
    <row r="7" spans="1:14" ht="18.75" customHeight="1" x14ac:dyDescent="0.15">
      <c r="A7" s="11">
        <v>4</v>
      </c>
      <c r="B7" s="2" t="s">
        <v>12</v>
      </c>
      <c r="C7" s="3"/>
      <c r="D7" s="66"/>
      <c r="E7" s="3"/>
      <c r="F7" s="4" t="str">
        <f t="shared" si="0"/>
        <v/>
      </c>
      <c r="G7" s="5"/>
      <c r="H7" s="5" t="str">
        <f t="shared" si="1"/>
        <v/>
      </c>
      <c r="I7" s="17"/>
      <c r="J7" s="8" t="s">
        <v>16</v>
      </c>
      <c r="K7" s="16" t="str">
        <f t="shared" si="2"/>
        <v/>
      </c>
      <c r="L7" s="9" t="s">
        <v>6</v>
      </c>
      <c r="M7" s="27"/>
      <c r="N7" s="27"/>
    </row>
    <row r="8" spans="1:14" ht="18.75" customHeight="1" x14ac:dyDescent="0.15">
      <c r="A8" s="11">
        <v>5</v>
      </c>
      <c r="B8" s="2" t="s">
        <v>12</v>
      </c>
      <c r="C8" s="3"/>
      <c r="D8" s="66"/>
      <c r="E8" s="3"/>
      <c r="F8" s="4" t="str">
        <f t="shared" si="0"/>
        <v/>
      </c>
      <c r="G8" s="5"/>
      <c r="H8" s="5" t="str">
        <f t="shared" si="1"/>
        <v/>
      </c>
      <c r="I8" s="18"/>
      <c r="J8" s="6" t="s">
        <v>16</v>
      </c>
      <c r="K8" s="16" t="str">
        <f t="shared" si="2"/>
        <v/>
      </c>
      <c r="L8" s="6" t="s">
        <v>6</v>
      </c>
      <c r="M8" s="27"/>
      <c r="N8" s="27"/>
    </row>
    <row r="9" spans="1:14" ht="18.75" customHeight="1" x14ac:dyDescent="0.15">
      <c r="A9" s="11">
        <v>6</v>
      </c>
      <c r="B9" s="2" t="s">
        <v>12</v>
      </c>
      <c r="C9" s="3"/>
      <c r="D9" s="66"/>
      <c r="E9" s="3"/>
      <c r="F9" s="4" t="str">
        <f t="shared" si="0"/>
        <v/>
      </c>
      <c r="G9" s="5"/>
      <c r="H9" s="5" t="str">
        <f t="shared" si="1"/>
        <v/>
      </c>
      <c r="I9" s="18"/>
      <c r="J9" s="6" t="s">
        <v>16</v>
      </c>
      <c r="K9" s="16" t="str">
        <f t="shared" si="2"/>
        <v/>
      </c>
      <c r="L9" s="6" t="s">
        <v>6</v>
      </c>
      <c r="M9" s="27"/>
      <c r="N9" s="27"/>
    </row>
    <row r="10" spans="1:14" ht="18.75" customHeight="1" x14ac:dyDescent="0.15">
      <c r="A10" s="11">
        <v>7</v>
      </c>
      <c r="B10" s="2" t="s">
        <v>12</v>
      </c>
      <c r="C10" s="3"/>
      <c r="D10" s="66"/>
      <c r="E10" s="3"/>
      <c r="F10" s="4" t="str">
        <f t="shared" si="0"/>
        <v/>
      </c>
      <c r="G10" s="5"/>
      <c r="H10" s="5" t="str">
        <f t="shared" si="1"/>
        <v/>
      </c>
      <c r="I10" s="17"/>
      <c r="J10" s="28" t="s">
        <v>16</v>
      </c>
      <c r="K10" s="16" t="str">
        <f t="shared" si="2"/>
        <v/>
      </c>
      <c r="L10" s="28" t="s">
        <v>6</v>
      </c>
      <c r="M10" s="27"/>
      <c r="N10" s="27"/>
    </row>
    <row r="11" spans="1:14" ht="18.75" customHeight="1" x14ac:dyDescent="0.15">
      <c r="A11" s="11">
        <v>8</v>
      </c>
      <c r="B11" s="2" t="s">
        <v>12</v>
      </c>
      <c r="C11" s="3"/>
      <c r="D11" s="66"/>
      <c r="E11" s="7"/>
      <c r="F11" s="4" t="str">
        <f t="shared" si="0"/>
        <v/>
      </c>
      <c r="G11" s="5"/>
      <c r="H11" s="5" t="str">
        <f t="shared" si="1"/>
        <v/>
      </c>
      <c r="I11" s="18"/>
      <c r="J11" s="8" t="s">
        <v>16</v>
      </c>
      <c r="K11" s="16" t="str">
        <f t="shared" si="2"/>
        <v/>
      </c>
      <c r="L11" s="9" t="s">
        <v>6</v>
      </c>
      <c r="M11" s="27"/>
      <c r="N11" s="27"/>
    </row>
    <row r="12" spans="1:14" ht="18.75" customHeight="1" x14ac:dyDescent="0.15">
      <c r="A12" s="11">
        <v>9</v>
      </c>
      <c r="B12" s="2" t="s">
        <v>12</v>
      </c>
      <c r="C12" s="3"/>
      <c r="D12" s="66"/>
      <c r="E12" s="3"/>
      <c r="F12" s="4" t="str">
        <f t="shared" si="0"/>
        <v/>
      </c>
      <c r="G12" s="5"/>
      <c r="H12" s="5" t="str">
        <f t="shared" si="1"/>
        <v/>
      </c>
      <c r="I12" s="18"/>
      <c r="J12" s="6" t="s">
        <v>16</v>
      </c>
      <c r="K12" s="16" t="str">
        <f t="shared" si="2"/>
        <v/>
      </c>
      <c r="L12" s="6" t="s">
        <v>6</v>
      </c>
      <c r="M12" s="27"/>
      <c r="N12" s="27"/>
    </row>
    <row r="13" spans="1:14" ht="18.75" customHeight="1" x14ac:dyDescent="0.15">
      <c r="A13" s="11">
        <v>10</v>
      </c>
      <c r="B13" s="2" t="s">
        <v>12</v>
      </c>
      <c r="C13" s="3"/>
      <c r="D13" s="66"/>
      <c r="E13" s="7"/>
      <c r="F13" s="4" t="str">
        <f t="shared" si="0"/>
        <v/>
      </c>
      <c r="G13" s="5"/>
      <c r="H13" s="5" t="str">
        <f t="shared" si="1"/>
        <v/>
      </c>
      <c r="I13" s="18"/>
      <c r="J13" s="8" t="s">
        <v>16</v>
      </c>
      <c r="K13" s="16" t="str">
        <f t="shared" si="2"/>
        <v/>
      </c>
      <c r="L13" s="9" t="s">
        <v>6</v>
      </c>
      <c r="M13" s="27"/>
      <c r="N13" s="27"/>
    </row>
    <row r="14" spans="1:14" ht="18.75" customHeight="1" x14ac:dyDescent="0.15">
      <c r="A14" s="11">
        <v>11</v>
      </c>
      <c r="B14" s="2" t="s">
        <v>12</v>
      </c>
      <c r="C14" s="3"/>
      <c r="D14" s="66"/>
      <c r="E14" s="3"/>
      <c r="F14" s="4" t="str">
        <f t="shared" si="0"/>
        <v/>
      </c>
      <c r="G14" s="5"/>
      <c r="H14" s="5" t="str">
        <f t="shared" si="1"/>
        <v/>
      </c>
      <c r="I14" s="18"/>
      <c r="J14" s="6" t="s">
        <v>16</v>
      </c>
      <c r="K14" s="16" t="str">
        <f t="shared" si="2"/>
        <v/>
      </c>
      <c r="L14" s="6" t="s">
        <v>6</v>
      </c>
      <c r="M14" s="27"/>
      <c r="N14" s="27"/>
    </row>
    <row r="15" spans="1:14" ht="18.75" customHeight="1" x14ac:dyDescent="0.15">
      <c r="A15" s="11">
        <v>12</v>
      </c>
      <c r="B15" s="2"/>
      <c r="C15" s="3"/>
      <c r="D15" s="14"/>
      <c r="E15" s="3"/>
      <c r="F15" s="4" t="str">
        <f t="shared" si="0"/>
        <v/>
      </c>
      <c r="G15" s="5"/>
      <c r="H15" s="5" t="str">
        <f t="shared" si="1"/>
        <v/>
      </c>
      <c r="I15" s="17"/>
      <c r="J15" s="8" t="s">
        <v>16</v>
      </c>
      <c r="K15" s="16" t="str">
        <f t="shared" si="2"/>
        <v/>
      </c>
      <c r="L15" s="6" t="s">
        <v>6</v>
      </c>
      <c r="M15" s="27"/>
      <c r="N15" s="27"/>
    </row>
    <row r="16" spans="1:14" ht="18.75" customHeight="1" x14ac:dyDescent="0.15">
      <c r="A16" s="11">
        <v>13</v>
      </c>
      <c r="B16" s="2"/>
      <c r="C16" s="3"/>
      <c r="D16" s="19"/>
      <c r="E16" s="3"/>
      <c r="F16" s="4" t="str">
        <f t="shared" si="0"/>
        <v/>
      </c>
      <c r="G16" s="5"/>
      <c r="H16" s="5" t="str">
        <f t="shared" si="1"/>
        <v/>
      </c>
      <c r="I16" s="18"/>
      <c r="J16" s="6" t="s">
        <v>16</v>
      </c>
      <c r="K16" s="16" t="str">
        <f t="shared" si="2"/>
        <v/>
      </c>
      <c r="L16" s="6" t="s">
        <v>6</v>
      </c>
      <c r="M16" s="27"/>
      <c r="N16" s="27"/>
    </row>
    <row r="17" spans="1:14" ht="18.75" customHeight="1" x14ac:dyDescent="0.15">
      <c r="A17" s="11">
        <v>14</v>
      </c>
      <c r="B17" s="2"/>
      <c r="C17" s="3"/>
      <c r="D17" s="19"/>
      <c r="E17" s="3"/>
      <c r="F17" s="4" t="str">
        <f t="shared" si="0"/>
        <v/>
      </c>
      <c r="G17" s="5"/>
      <c r="H17" s="5" t="str">
        <f t="shared" si="1"/>
        <v/>
      </c>
      <c r="I17" s="18"/>
      <c r="J17" s="6" t="s">
        <v>16</v>
      </c>
      <c r="K17" s="16" t="str">
        <f t="shared" si="2"/>
        <v/>
      </c>
      <c r="L17" s="6" t="s">
        <v>6</v>
      </c>
      <c r="M17" s="27"/>
      <c r="N17" s="27"/>
    </row>
    <row r="18" spans="1:14" ht="18.75" customHeight="1" x14ac:dyDescent="0.15">
      <c r="A18" s="11">
        <v>15</v>
      </c>
      <c r="B18" s="2"/>
      <c r="C18" s="3"/>
      <c r="D18" s="19"/>
      <c r="E18" s="3"/>
      <c r="F18" s="4" t="str">
        <f t="shared" si="0"/>
        <v/>
      </c>
      <c r="G18" s="5"/>
      <c r="H18" s="5" t="str">
        <f t="shared" si="1"/>
        <v/>
      </c>
      <c r="I18" s="18"/>
      <c r="J18" s="6" t="s">
        <v>16</v>
      </c>
      <c r="K18" s="16" t="str">
        <f t="shared" si="2"/>
        <v/>
      </c>
      <c r="L18" s="9" t="s">
        <v>6</v>
      </c>
      <c r="M18" s="27"/>
      <c r="N18" s="27"/>
    </row>
    <row r="19" spans="1:14" ht="18.75" customHeight="1" x14ac:dyDescent="0.15">
      <c r="A19" s="11">
        <v>16</v>
      </c>
      <c r="B19" s="2"/>
      <c r="C19" s="3"/>
      <c r="D19" s="19"/>
      <c r="E19" s="7"/>
      <c r="F19" s="4" t="str">
        <f t="shared" si="0"/>
        <v/>
      </c>
      <c r="G19" s="5"/>
      <c r="H19" s="5" t="str">
        <f t="shared" si="1"/>
        <v/>
      </c>
      <c r="I19" s="17"/>
      <c r="J19" s="8" t="s">
        <v>16</v>
      </c>
      <c r="K19" s="16" t="str">
        <f t="shared" si="2"/>
        <v/>
      </c>
      <c r="L19" s="6" t="s">
        <v>6</v>
      </c>
      <c r="M19" s="27"/>
      <c r="N19" s="27"/>
    </row>
    <row r="20" spans="1:14" ht="18.75" customHeight="1" x14ac:dyDescent="0.15">
      <c r="A20" s="11">
        <v>17</v>
      </c>
      <c r="B20" s="2"/>
      <c r="C20" s="3"/>
      <c r="D20" s="19"/>
      <c r="E20" s="3"/>
      <c r="F20" s="4" t="str">
        <f t="shared" si="0"/>
        <v/>
      </c>
      <c r="G20" s="5"/>
      <c r="H20" s="5" t="str">
        <f t="shared" si="1"/>
        <v/>
      </c>
      <c r="I20" s="18"/>
      <c r="J20" s="6" t="s">
        <v>16</v>
      </c>
      <c r="K20" s="16" t="str">
        <f t="shared" si="2"/>
        <v/>
      </c>
      <c r="L20" s="6" t="s">
        <v>6</v>
      </c>
      <c r="M20" s="27"/>
      <c r="N20" s="27"/>
    </row>
    <row r="21" spans="1:14" ht="18.75" customHeight="1" x14ac:dyDescent="0.15">
      <c r="A21" s="11">
        <v>18</v>
      </c>
      <c r="B21" s="2"/>
      <c r="C21" s="3"/>
      <c r="D21" s="19"/>
      <c r="E21" s="3"/>
      <c r="F21" s="4" t="str">
        <f t="shared" si="0"/>
        <v/>
      </c>
      <c r="G21" s="5"/>
      <c r="H21" s="5" t="str">
        <f t="shared" si="1"/>
        <v/>
      </c>
      <c r="I21" s="18"/>
      <c r="J21" s="6" t="s">
        <v>16</v>
      </c>
      <c r="K21" s="16" t="str">
        <f t="shared" si="2"/>
        <v/>
      </c>
      <c r="L21" s="6" t="s">
        <v>6</v>
      </c>
      <c r="M21" s="27"/>
      <c r="N21" s="27"/>
    </row>
    <row r="22" spans="1:14" ht="18.75" customHeight="1" x14ac:dyDescent="0.15">
      <c r="A22" s="11">
        <v>19</v>
      </c>
      <c r="B22" s="2"/>
      <c r="C22" s="3"/>
      <c r="D22" s="19"/>
      <c r="E22" s="3"/>
      <c r="F22" s="4" t="str">
        <f t="shared" si="0"/>
        <v/>
      </c>
      <c r="G22" s="5"/>
      <c r="H22" s="5" t="str">
        <f t="shared" si="1"/>
        <v/>
      </c>
      <c r="I22" s="18"/>
      <c r="J22" s="6" t="s">
        <v>16</v>
      </c>
      <c r="K22" s="16" t="str">
        <f t="shared" si="2"/>
        <v/>
      </c>
      <c r="L22" s="6" t="s">
        <v>6</v>
      </c>
      <c r="M22" s="27"/>
      <c r="N22" s="27"/>
    </row>
    <row r="23" spans="1:14" ht="18.75" customHeight="1" x14ac:dyDescent="0.15">
      <c r="A23" s="11">
        <v>20</v>
      </c>
      <c r="B23" s="2"/>
      <c r="C23" s="3"/>
      <c r="D23" s="20"/>
      <c r="E23" s="3"/>
      <c r="F23" s="4" t="str">
        <f t="shared" si="0"/>
        <v/>
      </c>
      <c r="G23" s="5"/>
      <c r="H23" s="5" t="str">
        <f t="shared" si="1"/>
        <v/>
      </c>
      <c r="I23" s="18"/>
      <c r="J23" s="6" t="s">
        <v>11</v>
      </c>
      <c r="K23" s="16" t="str">
        <f t="shared" si="2"/>
        <v/>
      </c>
      <c r="L23" s="6" t="s">
        <v>6</v>
      </c>
      <c r="M23" s="27"/>
      <c r="N23" s="27"/>
    </row>
    <row r="24" spans="1:14" ht="18.75" customHeight="1" x14ac:dyDescent="0.15">
      <c r="A24" s="11">
        <v>21</v>
      </c>
      <c r="B24" s="2"/>
      <c r="C24" s="3"/>
      <c r="D24" s="20"/>
      <c r="E24" s="3"/>
      <c r="F24" s="4" t="str">
        <f t="shared" si="0"/>
        <v/>
      </c>
      <c r="G24" s="5"/>
      <c r="H24" s="5" t="str">
        <f t="shared" si="1"/>
        <v/>
      </c>
      <c r="I24" s="18"/>
      <c r="J24" s="8" t="s">
        <v>11</v>
      </c>
      <c r="K24" s="16" t="str">
        <f t="shared" si="2"/>
        <v/>
      </c>
      <c r="L24" s="6" t="s">
        <v>6</v>
      </c>
      <c r="M24" s="27"/>
      <c r="N24" s="27"/>
    </row>
    <row r="25" spans="1:14" ht="18.75" customHeight="1" x14ac:dyDescent="0.15">
      <c r="A25" s="11">
        <v>22</v>
      </c>
      <c r="B25" s="2"/>
      <c r="C25" s="3"/>
      <c r="D25" s="20"/>
      <c r="E25" s="3"/>
      <c r="F25" s="4" t="str">
        <f t="shared" si="0"/>
        <v/>
      </c>
      <c r="G25" s="5"/>
      <c r="H25" s="5" t="str">
        <f t="shared" si="1"/>
        <v/>
      </c>
      <c r="I25" s="18"/>
      <c r="J25" s="6" t="s">
        <v>11</v>
      </c>
      <c r="K25" s="16" t="str">
        <f t="shared" si="2"/>
        <v/>
      </c>
      <c r="L25" s="6" t="s">
        <v>6</v>
      </c>
      <c r="M25" s="27"/>
      <c r="N25" s="27"/>
    </row>
    <row r="26" spans="1:14" ht="18.75" customHeight="1" x14ac:dyDescent="0.15">
      <c r="A26" s="11">
        <v>23</v>
      </c>
      <c r="B26" s="2"/>
      <c r="C26" s="3"/>
      <c r="D26" s="20"/>
      <c r="E26" s="3"/>
      <c r="F26" s="4" t="str">
        <f t="shared" si="0"/>
        <v/>
      </c>
      <c r="G26" s="5"/>
      <c r="H26" s="5" t="str">
        <f t="shared" si="1"/>
        <v/>
      </c>
      <c r="I26" s="18"/>
      <c r="J26" s="6" t="s">
        <v>16</v>
      </c>
      <c r="K26" s="16" t="str">
        <f t="shared" si="2"/>
        <v/>
      </c>
      <c r="L26" s="6" t="s">
        <v>6</v>
      </c>
      <c r="M26" s="27"/>
      <c r="N26" s="27"/>
    </row>
    <row r="27" spans="1:14" ht="18.75" customHeight="1" x14ac:dyDescent="0.15">
      <c r="A27" s="11">
        <v>24</v>
      </c>
      <c r="B27" s="2"/>
      <c r="C27" s="3"/>
      <c r="D27" s="20"/>
      <c r="E27" s="3"/>
      <c r="F27" s="4" t="str">
        <f t="shared" si="0"/>
        <v/>
      </c>
      <c r="G27" s="5"/>
      <c r="H27" s="5" t="str">
        <f t="shared" si="1"/>
        <v/>
      </c>
      <c r="I27" s="18"/>
      <c r="J27" s="8" t="s">
        <v>16</v>
      </c>
      <c r="K27" s="16" t="str">
        <f t="shared" si="2"/>
        <v/>
      </c>
      <c r="L27" s="6" t="s">
        <v>6</v>
      </c>
      <c r="M27" s="27"/>
      <c r="N27" s="27"/>
    </row>
    <row r="28" spans="1:14" ht="18.75" customHeight="1" x14ac:dyDescent="0.15">
      <c r="A28" s="11">
        <v>25</v>
      </c>
      <c r="B28" s="2"/>
      <c r="C28" s="3"/>
      <c r="D28" s="20"/>
      <c r="E28" s="3"/>
      <c r="F28" s="4" t="str">
        <f t="shared" si="0"/>
        <v/>
      </c>
      <c r="G28" s="5"/>
      <c r="H28" s="5" t="str">
        <f t="shared" si="1"/>
        <v/>
      </c>
      <c r="I28" s="18"/>
      <c r="J28" s="6" t="s">
        <v>16</v>
      </c>
      <c r="K28" s="16" t="str">
        <f t="shared" si="2"/>
        <v/>
      </c>
      <c r="L28" s="6" t="s">
        <v>6</v>
      </c>
      <c r="M28" s="27"/>
      <c r="N28" s="27"/>
    </row>
    <row r="29" spans="1:14" ht="18.75" customHeight="1" x14ac:dyDescent="0.15">
      <c r="A29" s="11">
        <v>26</v>
      </c>
      <c r="B29" s="2"/>
      <c r="C29" s="3"/>
      <c r="D29" s="20"/>
      <c r="E29" s="3"/>
      <c r="F29" s="4" t="str">
        <f t="shared" si="0"/>
        <v/>
      </c>
      <c r="G29" s="5"/>
      <c r="H29" s="5" t="str">
        <f t="shared" si="1"/>
        <v/>
      </c>
      <c r="I29" s="18"/>
      <c r="J29" s="6" t="s">
        <v>16</v>
      </c>
      <c r="K29" s="16" t="str">
        <f t="shared" si="2"/>
        <v/>
      </c>
      <c r="L29" s="6" t="s">
        <v>6</v>
      </c>
      <c r="M29" s="27"/>
      <c r="N29" s="27"/>
    </row>
    <row r="30" spans="1:14" ht="18.75" customHeight="1" x14ac:dyDescent="0.15">
      <c r="A30" s="11">
        <v>27</v>
      </c>
      <c r="B30" s="2"/>
      <c r="C30" s="3"/>
      <c r="D30" s="20"/>
      <c r="E30" s="3"/>
      <c r="F30" s="4" t="str">
        <f t="shared" si="0"/>
        <v/>
      </c>
      <c r="G30" s="5"/>
      <c r="H30" s="5" t="str">
        <f t="shared" si="1"/>
        <v/>
      </c>
      <c r="I30" s="18"/>
      <c r="J30" s="8" t="s">
        <v>16</v>
      </c>
      <c r="K30" s="16" t="str">
        <f t="shared" si="2"/>
        <v/>
      </c>
      <c r="L30" s="6" t="s">
        <v>6</v>
      </c>
      <c r="M30" s="27"/>
      <c r="N30" s="27"/>
    </row>
    <row r="31" spans="1:14" ht="18.75" customHeight="1" x14ac:dyDescent="0.15">
      <c r="A31" s="11">
        <v>28</v>
      </c>
      <c r="B31" s="2"/>
      <c r="C31" s="3"/>
      <c r="D31" s="20"/>
      <c r="E31" s="7"/>
      <c r="F31" s="4" t="str">
        <f t="shared" si="0"/>
        <v/>
      </c>
      <c r="G31" s="5"/>
      <c r="H31" s="5" t="str">
        <f t="shared" si="1"/>
        <v/>
      </c>
      <c r="I31" s="18"/>
      <c r="J31" s="6" t="s">
        <v>16</v>
      </c>
      <c r="K31" s="16" t="str">
        <f t="shared" si="2"/>
        <v/>
      </c>
      <c r="L31" s="6" t="s">
        <v>6</v>
      </c>
      <c r="M31" s="27"/>
      <c r="N31" s="27"/>
    </row>
    <row r="32" spans="1:14" ht="18.75" customHeight="1" x14ac:dyDescent="0.15">
      <c r="A32" s="11">
        <v>29</v>
      </c>
      <c r="B32" s="2"/>
      <c r="C32" s="3"/>
      <c r="D32" s="20"/>
      <c r="E32" s="3"/>
      <c r="F32" s="4" t="str">
        <f t="shared" si="0"/>
        <v/>
      </c>
      <c r="G32" s="5"/>
      <c r="H32" s="5" t="str">
        <f t="shared" si="1"/>
        <v/>
      </c>
      <c r="I32" s="18"/>
      <c r="J32" s="6" t="s">
        <v>16</v>
      </c>
      <c r="K32" s="16" t="str">
        <f t="shared" si="2"/>
        <v/>
      </c>
      <c r="L32" s="6" t="s">
        <v>6</v>
      </c>
      <c r="M32" s="27"/>
      <c r="N32" s="27"/>
    </row>
    <row r="33" spans="1:14" ht="18.75" customHeight="1" x14ac:dyDescent="0.15">
      <c r="A33" s="11">
        <v>30</v>
      </c>
      <c r="B33" s="2"/>
      <c r="C33" s="3"/>
      <c r="D33" s="20"/>
      <c r="E33" s="3"/>
      <c r="F33" s="4" t="str">
        <f t="shared" si="0"/>
        <v/>
      </c>
      <c r="G33" s="5"/>
      <c r="H33" s="5" t="str">
        <f t="shared" si="1"/>
        <v/>
      </c>
      <c r="I33" s="18"/>
      <c r="J33" s="6" t="s">
        <v>16</v>
      </c>
      <c r="K33" s="16" t="str">
        <f t="shared" si="2"/>
        <v/>
      </c>
      <c r="L33" s="6" t="s">
        <v>6</v>
      </c>
      <c r="M33" s="27"/>
      <c r="N33" s="27"/>
    </row>
    <row r="34" spans="1:14" ht="18.75" customHeight="1" x14ac:dyDescent="0.15">
      <c r="A34" s="11">
        <v>31</v>
      </c>
      <c r="B34" s="2"/>
      <c r="C34" s="3"/>
      <c r="D34" s="20"/>
      <c r="E34" s="3"/>
      <c r="F34" s="4" t="str">
        <f t="shared" si="0"/>
        <v/>
      </c>
      <c r="G34" s="5"/>
      <c r="H34" s="5" t="str">
        <f t="shared" si="1"/>
        <v/>
      </c>
      <c r="I34" s="21"/>
      <c r="J34" s="6" t="s">
        <v>16</v>
      </c>
      <c r="K34" s="16" t="str">
        <f t="shared" si="2"/>
        <v/>
      </c>
      <c r="L34" s="6" t="s">
        <v>6</v>
      </c>
      <c r="M34" s="27"/>
      <c r="N34" s="27"/>
    </row>
    <row r="35" spans="1:14" ht="18.75" customHeight="1" x14ac:dyDescent="0.15">
      <c r="A35" s="11">
        <v>32</v>
      </c>
      <c r="B35" s="2"/>
      <c r="C35" s="3"/>
      <c r="D35" s="20"/>
      <c r="E35" s="3"/>
      <c r="F35" s="4" t="str">
        <f t="shared" si="0"/>
        <v/>
      </c>
      <c r="G35" s="5"/>
      <c r="H35" s="5" t="str">
        <f t="shared" si="1"/>
        <v/>
      </c>
      <c r="I35" s="18"/>
      <c r="J35" s="6" t="s">
        <v>16</v>
      </c>
      <c r="K35" s="16" t="str">
        <f t="shared" si="2"/>
        <v/>
      </c>
      <c r="L35" s="6" t="s">
        <v>6</v>
      </c>
      <c r="M35" s="27"/>
      <c r="N35" s="27"/>
    </row>
    <row r="36" spans="1:14" ht="18.75" customHeight="1" x14ac:dyDescent="0.15">
      <c r="A36" s="11">
        <v>33</v>
      </c>
      <c r="B36" s="2"/>
      <c r="C36" s="3"/>
      <c r="D36" s="20"/>
      <c r="E36" s="7"/>
      <c r="F36" s="4" t="str">
        <f t="shared" si="0"/>
        <v/>
      </c>
      <c r="G36" s="5"/>
      <c r="H36" s="5" t="str">
        <f t="shared" si="1"/>
        <v/>
      </c>
      <c r="I36" s="17"/>
      <c r="J36" s="6" t="s">
        <v>16</v>
      </c>
      <c r="K36" s="16" t="str">
        <f t="shared" si="2"/>
        <v/>
      </c>
      <c r="L36" s="6" t="s">
        <v>6</v>
      </c>
      <c r="M36" s="27"/>
      <c r="N36" s="27"/>
    </row>
    <row r="37" spans="1:14" ht="18.75" customHeight="1" x14ac:dyDescent="0.15">
      <c r="A37" s="11">
        <v>34</v>
      </c>
      <c r="B37" s="2"/>
      <c r="C37" s="3"/>
      <c r="D37" s="20"/>
      <c r="E37" s="3"/>
      <c r="F37" s="4" t="str">
        <f t="shared" si="0"/>
        <v/>
      </c>
      <c r="G37" s="5"/>
      <c r="H37" s="5" t="str">
        <f t="shared" si="1"/>
        <v/>
      </c>
      <c r="I37" s="18"/>
      <c r="J37" s="6" t="s">
        <v>16</v>
      </c>
      <c r="K37" s="16" t="str">
        <f t="shared" si="2"/>
        <v/>
      </c>
      <c r="L37" s="6" t="s">
        <v>6</v>
      </c>
      <c r="M37" s="27"/>
      <c r="N37" s="27"/>
    </row>
    <row r="38" spans="1:14" ht="18.75" customHeight="1" x14ac:dyDescent="0.15">
      <c r="A38" s="11">
        <v>35</v>
      </c>
      <c r="B38" s="2"/>
      <c r="C38" s="3"/>
      <c r="D38" s="20"/>
      <c r="E38" s="3"/>
      <c r="F38" s="4"/>
      <c r="G38" s="5"/>
      <c r="H38" s="5"/>
      <c r="I38" s="18"/>
      <c r="J38" s="6" t="s">
        <v>16</v>
      </c>
      <c r="K38" s="16"/>
      <c r="L38" s="6" t="s">
        <v>6</v>
      </c>
      <c r="M38" s="27"/>
      <c r="N38" s="27"/>
    </row>
    <row r="39" spans="1:14" ht="18.75" customHeight="1" x14ac:dyDescent="0.15">
      <c r="A39" s="11">
        <v>36</v>
      </c>
      <c r="B39" s="2"/>
      <c r="C39" s="3"/>
      <c r="D39" s="20"/>
      <c r="E39" s="3"/>
      <c r="F39" s="4"/>
      <c r="G39" s="5"/>
      <c r="H39" s="5"/>
      <c r="I39" s="18"/>
      <c r="J39" s="6" t="s">
        <v>16</v>
      </c>
      <c r="K39" s="16"/>
      <c r="L39" s="6" t="s">
        <v>6</v>
      </c>
      <c r="M39" s="27"/>
      <c r="N39" s="27"/>
    </row>
    <row r="40" spans="1:14" ht="18.75" customHeight="1" x14ac:dyDescent="0.15">
      <c r="A40" s="11">
        <v>37</v>
      </c>
      <c r="B40" s="2"/>
      <c r="C40" s="3"/>
      <c r="D40" s="20"/>
      <c r="E40" s="3"/>
      <c r="F40" s="4"/>
      <c r="G40" s="5"/>
      <c r="H40" s="5"/>
      <c r="I40" s="18"/>
      <c r="J40" s="6" t="s">
        <v>16</v>
      </c>
      <c r="K40" s="16"/>
      <c r="L40" s="6" t="s">
        <v>6</v>
      </c>
      <c r="M40" s="27"/>
      <c r="N40" s="27"/>
    </row>
    <row r="41" spans="1:14" ht="18.75" customHeight="1" x14ac:dyDescent="0.15">
      <c r="A41" s="11">
        <v>38</v>
      </c>
      <c r="B41" s="2"/>
      <c r="C41" s="3"/>
      <c r="D41" s="20"/>
      <c r="E41" s="3"/>
      <c r="F41" s="4"/>
      <c r="G41" s="5"/>
      <c r="H41" s="5"/>
      <c r="I41" s="18"/>
      <c r="J41" s="6" t="s">
        <v>16</v>
      </c>
      <c r="K41" s="16"/>
      <c r="L41" s="6" t="s">
        <v>6</v>
      </c>
      <c r="M41" s="27"/>
      <c r="N41" s="27"/>
    </row>
    <row r="42" spans="1:14" ht="18.75" customHeight="1" x14ac:dyDescent="0.15">
      <c r="A42" s="11">
        <v>39</v>
      </c>
      <c r="B42" s="2"/>
      <c r="C42" s="3"/>
      <c r="D42" s="20"/>
      <c r="E42" s="3"/>
      <c r="F42" s="4" t="str">
        <f>IF(E42="","",E42-7*INT(E42/7))</f>
        <v/>
      </c>
      <c r="G42" s="5"/>
      <c r="H42" s="5" t="str">
        <f>IF(G42="","",G42)</f>
        <v/>
      </c>
      <c r="I42" s="18"/>
      <c r="J42" s="6" t="s">
        <v>16</v>
      </c>
      <c r="K42" s="16" t="str">
        <f>IF(I42&gt;0,I42,"")</f>
        <v/>
      </c>
      <c r="L42" s="6" t="s">
        <v>6</v>
      </c>
      <c r="M42" s="27"/>
      <c r="N42" s="27"/>
    </row>
    <row r="43" spans="1:14" ht="18.75" customHeight="1" thickBot="1" x14ac:dyDescent="0.2">
      <c r="A43" s="50">
        <v>40</v>
      </c>
      <c r="B43" s="51"/>
      <c r="C43" s="52"/>
      <c r="D43" s="63"/>
      <c r="E43" s="52"/>
      <c r="F43" s="53" t="str">
        <f>IF(E43="","",E43-7*INT(E43/7))</f>
        <v/>
      </c>
      <c r="G43" s="54"/>
      <c r="H43" s="54" t="str">
        <f>IF(G43="","",G43)</f>
        <v/>
      </c>
      <c r="I43" s="64"/>
      <c r="J43" s="56" t="s">
        <v>16</v>
      </c>
      <c r="K43" s="65" t="str">
        <f>IF(I43&gt;0,I43,"")</f>
        <v/>
      </c>
      <c r="L43" s="56" t="s">
        <v>6</v>
      </c>
      <c r="M43" s="58"/>
      <c r="N43" s="58"/>
    </row>
    <row r="44" spans="1:14" ht="18.75" customHeight="1" thickTop="1" x14ac:dyDescent="0.15">
      <c r="I44" s="62">
        <f>SUM(I4:I43)</f>
        <v>0</v>
      </c>
      <c r="J44" s="10" t="s">
        <v>17</v>
      </c>
      <c r="K44" s="24">
        <f>SUM(K4:K43)</f>
        <v>0</v>
      </c>
      <c r="L44" s="10" t="s">
        <v>6</v>
      </c>
    </row>
    <row r="45" spans="1:14" ht="20.25" customHeight="1" x14ac:dyDescent="0.15">
      <c r="B45" s="95" t="s">
        <v>13</v>
      </c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10"/>
    </row>
    <row r="46" spans="1:14" ht="21" customHeight="1" x14ac:dyDescent="0.15">
      <c r="B46" s="96" t="s">
        <v>0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10"/>
    </row>
    <row r="47" spans="1:14" ht="26.25" customHeight="1" x14ac:dyDescent="0.15">
      <c r="A47" s="11"/>
      <c r="B47" s="2" t="s">
        <v>1</v>
      </c>
      <c r="C47" s="97" t="s">
        <v>2</v>
      </c>
      <c r="D47" s="98"/>
      <c r="E47" s="99" t="s">
        <v>3</v>
      </c>
      <c r="F47" s="100"/>
      <c r="G47" s="25" t="s">
        <v>4</v>
      </c>
      <c r="H47" s="25" t="s">
        <v>7</v>
      </c>
      <c r="I47" s="101" t="s">
        <v>8</v>
      </c>
      <c r="J47" s="99"/>
      <c r="K47" s="101" t="s">
        <v>5</v>
      </c>
      <c r="L47" s="101"/>
      <c r="M47" s="26" t="s">
        <v>14</v>
      </c>
      <c r="N47" s="1" t="s">
        <v>10</v>
      </c>
    </row>
    <row r="48" spans="1:14" ht="18.75" customHeight="1" x14ac:dyDescent="0.15">
      <c r="A48" s="11">
        <v>41</v>
      </c>
      <c r="B48" s="2"/>
      <c r="C48" s="3"/>
      <c r="D48" s="14"/>
      <c r="E48" s="3"/>
      <c r="F48" s="4" t="str">
        <f t="shared" ref="F48:F81" si="3">IF(E48="","",E48-7*INT(E48/7))</f>
        <v/>
      </c>
      <c r="G48" s="5"/>
      <c r="H48" s="5" t="str">
        <f t="shared" ref="H48:H81" si="4">IF(G48="","",G48)</f>
        <v/>
      </c>
      <c r="I48" s="15"/>
      <c r="J48" s="6" t="s">
        <v>15</v>
      </c>
      <c r="K48" s="16" t="str">
        <f t="shared" ref="K48:K81" si="5">IF(I48&gt;0,I48,"")</f>
        <v/>
      </c>
      <c r="L48" s="6" t="s">
        <v>6</v>
      </c>
      <c r="M48" s="27"/>
      <c r="N48" s="27"/>
    </row>
    <row r="49" spans="1:14" ht="18.75" customHeight="1" x14ac:dyDescent="0.15">
      <c r="A49" s="11">
        <v>42</v>
      </c>
      <c r="B49" s="2"/>
      <c r="C49" s="3"/>
      <c r="D49" s="14"/>
      <c r="E49" s="7"/>
      <c r="F49" s="4" t="str">
        <f t="shared" si="3"/>
        <v/>
      </c>
      <c r="G49" s="5"/>
      <c r="H49" s="5" t="str">
        <f t="shared" si="4"/>
        <v/>
      </c>
      <c r="I49" s="17"/>
      <c r="J49" s="8" t="s">
        <v>16</v>
      </c>
      <c r="K49" s="16" t="str">
        <f t="shared" si="5"/>
        <v/>
      </c>
      <c r="L49" s="9" t="s">
        <v>6</v>
      </c>
      <c r="M49" s="27"/>
      <c r="N49" s="27"/>
    </row>
    <row r="50" spans="1:14" ht="18.75" customHeight="1" x14ac:dyDescent="0.15">
      <c r="A50" s="11">
        <v>43</v>
      </c>
      <c r="B50" s="2"/>
      <c r="C50" s="3"/>
      <c r="D50" s="14"/>
      <c r="E50" s="3"/>
      <c r="F50" s="4" t="str">
        <f t="shared" si="3"/>
        <v/>
      </c>
      <c r="G50" s="5"/>
      <c r="H50" s="5" t="str">
        <f t="shared" si="4"/>
        <v/>
      </c>
      <c r="I50" s="18"/>
      <c r="J50" s="6" t="s">
        <v>16</v>
      </c>
      <c r="K50" s="16" t="str">
        <f t="shared" si="5"/>
        <v/>
      </c>
      <c r="L50" s="6" t="s">
        <v>6</v>
      </c>
      <c r="M50" s="27"/>
      <c r="N50" s="27"/>
    </row>
    <row r="51" spans="1:14" ht="18.75" customHeight="1" x14ac:dyDescent="0.15">
      <c r="A51" s="11">
        <v>44</v>
      </c>
      <c r="B51" s="2"/>
      <c r="C51" s="3"/>
      <c r="D51" s="14"/>
      <c r="E51" s="3"/>
      <c r="F51" s="4" t="str">
        <f t="shared" si="3"/>
        <v/>
      </c>
      <c r="G51" s="5"/>
      <c r="H51" s="5" t="str">
        <f t="shared" si="4"/>
        <v/>
      </c>
      <c r="I51" s="17"/>
      <c r="J51" s="8" t="s">
        <v>16</v>
      </c>
      <c r="K51" s="16" t="str">
        <f t="shared" si="5"/>
        <v/>
      </c>
      <c r="L51" s="9" t="s">
        <v>6</v>
      </c>
      <c r="M51" s="27"/>
      <c r="N51" s="27"/>
    </row>
    <row r="52" spans="1:14" ht="18.75" customHeight="1" x14ac:dyDescent="0.15">
      <c r="A52" s="11">
        <v>45</v>
      </c>
      <c r="B52" s="2"/>
      <c r="C52" s="3"/>
      <c r="D52" s="14"/>
      <c r="E52" s="7"/>
      <c r="F52" s="4" t="str">
        <f t="shared" si="3"/>
        <v/>
      </c>
      <c r="G52" s="5"/>
      <c r="H52" s="5" t="str">
        <f t="shared" si="4"/>
        <v/>
      </c>
      <c r="I52" s="18"/>
      <c r="J52" s="6" t="s">
        <v>16</v>
      </c>
      <c r="K52" s="16" t="str">
        <f t="shared" si="5"/>
        <v/>
      </c>
      <c r="L52" s="6" t="s">
        <v>6</v>
      </c>
      <c r="M52" s="27"/>
      <c r="N52" s="27"/>
    </row>
    <row r="53" spans="1:14" ht="18.75" customHeight="1" x14ac:dyDescent="0.15">
      <c r="A53" s="11">
        <v>46</v>
      </c>
      <c r="B53" s="2"/>
      <c r="C53" s="3"/>
      <c r="D53" s="14"/>
      <c r="E53" s="3"/>
      <c r="F53" s="4" t="str">
        <f t="shared" si="3"/>
        <v/>
      </c>
      <c r="G53" s="5"/>
      <c r="H53" s="5" t="str">
        <f t="shared" si="4"/>
        <v/>
      </c>
      <c r="I53" s="18"/>
      <c r="J53" s="6" t="s">
        <v>16</v>
      </c>
      <c r="K53" s="16" t="str">
        <f t="shared" si="5"/>
        <v/>
      </c>
      <c r="L53" s="6" t="s">
        <v>6</v>
      </c>
      <c r="M53" s="27"/>
      <c r="N53" s="27"/>
    </row>
    <row r="54" spans="1:14" ht="18.75" customHeight="1" x14ac:dyDescent="0.15">
      <c r="A54" s="11">
        <v>47</v>
      </c>
      <c r="B54" s="2"/>
      <c r="C54" s="3"/>
      <c r="D54" s="14"/>
      <c r="E54" s="3"/>
      <c r="F54" s="4" t="str">
        <f t="shared" si="3"/>
        <v/>
      </c>
      <c r="G54" s="5"/>
      <c r="H54" s="5" t="str">
        <f t="shared" si="4"/>
        <v/>
      </c>
      <c r="I54" s="17"/>
      <c r="J54" s="28" t="s">
        <v>16</v>
      </c>
      <c r="K54" s="16" t="str">
        <f t="shared" si="5"/>
        <v/>
      </c>
      <c r="L54" s="28" t="s">
        <v>6</v>
      </c>
      <c r="M54" s="27"/>
      <c r="N54" s="27"/>
    </row>
    <row r="55" spans="1:14" ht="18.75" customHeight="1" x14ac:dyDescent="0.15">
      <c r="A55" s="11">
        <v>48</v>
      </c>
      <c r="B55" s="2"/>
      <c r="C55" s="3"/>
      <c r="D55" s="14"/>
      <c r="E55" s="7"/>
      <c r="F55" s="4" t="str">
        <f t="shared" si="3"/>
        <v/>
      </c>
      <c r="G55" s="5"/>
      <c r="H55" s="5" t="str">
        <f t="shared" si="4"/>
        <v/>
      </c>
      <c r="I55" s="18"/>
      <c r="J55" s="8" t="s">
        <v>16</v>
      </c>
      <c r="K55" s="16" t="str">
        <f t="shared" si="5"/>
        <v/>
      </c>
      <c r="L55" s="9" t="s">
        <v>6</v>
      </c>
      <c r="M55" s="27"/>
      <c r="N55" s="27"/>
    </row>
    <row r="56" spans="1:14" ht="18.75" customHeight="1" x14ac:dyDescent="0.15">
      <c r="A56" s="11">
        <v>49</v>
      </c>
      <c r="B56" s="2"/>
      <c r="C56" s="3"/>
      <c r="D56" s="14"/>
      <c r="E56" s="3"/>
      <c r="F56" s="4" t="str">
        <f t="shared" si="3"/>
        <v/>
      </c>
      <c r="G56" s="5"/>
      <c r="H56" s="5" t="str">
        <f t="shared" si="4"/>
        <v/>
      </c>
      <c r="I56" s="18"/>
      <c r="J56" s="6" t="s">
        <v>16</v>
      </c>
      <c r="K56" s="16" t="str">
        <f t="shared" si="5"/>
        <v/>
      </c>
      <c r="L56" s="6" t="s">
        <v>6</v>
      </c>
      <c r="M56" s="27"/>
      <c r="N56" s="27"/>
    </row>
    <row r="57" spans="1:14" ht="18.75" customHeight="1" x14ac:dyDescent="0.15">
      <c r="A57" s="11">
        <v>50</v>
      </c>
      <c r="B57" s="2"/>
      <c r="C57" s="3"/>
      <c r="D57" s="14"/>
      <c r="E57" s="7"/>
      <c r="F57" s="4" t="str">
        <f t="shared" si="3"/>
        <v/>
      </c>
      <c r="G57" s="5"/>
      <c r="H57" s="5" t="str">
        <f t="shared" si="4"/>
        <v/>
      </c>
      <c r="I57" s="18"/>
      <c r="J57" s="8" t="s">
        <v>16</v>
      </c>
      <c r="K57" s="16" t="str">
        <f t="shared" si="5"/>
        <v/>
      </c>
      <c r="L57" s="9" t="s">
        <v>6</v>
      </c>
      <c r="M57" s="27"/>
      <c r="N57" s="27"/>
    </row>
    <row r="58" spans="1:14" ht="18.75" customHeight="1" x14ac:dyDescent="0.15">
      <c r="A58" s="11">
        <v>51</v>
      </c>
      <c r="B58" s="2"/>
      <c r="C58" s="3"/>
      <c r="D58" s="14"/>
      <c r="E58" s="3"/>
      <c r="F58" s="4" t="str">
        <f t="shared" si="3"/>
        <v/>
      </c>
      <c r="G58" s="5"/>
      <c r="H58" s="5" t="str">
        <f t="shared" si="4"/>
        <v/>
      </c>
      <c r="I58" s="18"/>
      <c r="J58" s="6" t="s">
        <v>16</v>
      </c>
      <c r="K58" s="16" t="str">
        <f t="shared" si="5"/>
        <v/>
      </c>
      <c r="L58" s="6" t="s">
        <v>6</v>
      </c>
      <c r="M58" s="27"/>
      <c r="N58" s="27"/>
    </row>
    <row r="59" spans="1:14" ht="18.75" customHeight="1" x14ac:dyDescent="0.15">
      <c r="A59" s="11">
        <v>52</v>
      </c>
      <c r="B59" s="2"/>
      <c r="C59" s="3"/>
      <c r="D59" s="14"/>
      <c r="E59" s="3"/>
      <c r="F59" s="4" t="str">
        <f t="shared" si="3"/>
        <v/>
      </c>
      <c r="G59" s="5"/>
      <c r="H59" s="5" t="str">
        <f t="shared" si="4"/>
        <v/>
      </c>
      <c r="I59" s="17"/>
      <c r="J59" s="8" t="s">
        <v>16</v>
      </c>
      <c r="K59" s="16" t="str">
        <f t="shared" si="5"/>
        <v/>
      </c>
      <c r="L59" s="6" t="s">
        <v>6</v>
      </c>
      <c r="M59" s="27"/>
      <c r="N59" s="27"/>
    </row>
    <row r="60" spans="1:14" ht="18.75" customHeight="1" x14ac:dyDescent="0.15">
      <c r="A60" s="11">
        <v>53</v>
      </c>
      <c r="B60" s="2"/>
      <c r="C60" s="3"/>
      <c r="D60" s="19"/>
      <c r="E60" s="3"/>
      <c r="F60" s="4" t="str">
        <f t="shared" si="3"/>
        <v/>
      </c>
      <c r="G60" s="5"/>
      <c r="H60" s="5" t="str">
        <f t="shared" si="4"/>
        <v/>
      </c>
      <c r="I60" s="18"/>
      <c r="J60" s="6" t="s">
        <v>16</v>
      </c>
      <c r="K60" s="16" t="str">
        <f t="shared" si="5"/>
        <v/>
      </c>
      <c r="L60" s="6" t="s">
        <v>6</v>
      </c>
      <c r="M60" s="27"/>
      <c r="N60" s="27"/>
    </row>
    <row r="61" spans="1:14" ht="18.75" customHeight="1" x14ac:dyDescent="0.15">
      <c r="A61" s="11">
        <v>54</v>
      </c>
      <c r="B61" s="2"/>
      <c r="C61" s="3"/>
      <c r="D61" s="19"/>
      <c r="E61" s="3"/>
      <c r="F61" s="4" t="str">
        <f t="shared" si="3"/>
        <v/>
      </c>
      <c r="G61" s="5"/>
      <c r="H61" s="5" t="str">
        <f t="shared" si="4"/>
        <v/>
      </c>
      <c r="I61" s="18"/>
      <c r="J61" s="6" t="s">
        <v>16</v>
      </c>
      <c r="K61" s="16" t="str">
        <f t="shared" si="5"/>
        <v/>
      </c>
      <c r="L61" s="6" t="s">
        <v>6</v>
      </c>
      <c r="M61" s="27"/>
      <c r="N61" s="27"/>
    </row>
    <row r="62" spans="1:14" ht="18.75" customHeight="1" x14ac:dyDescent="0.15">
      <c r="A62" s="11">
        <v>55</v>
      </c>
      <c r="B62" s="2"/>
      <c r="C62" s="3"/>
      <c r="D62" s="19"/>
      <c r="E62" s="3"/>
      <c r="F62" s="4" t="str">
        <f t="shared" si="3"/>
        <v/>
      </c>
      <c r="G62" s="5"/>
      <c r="H62" s="5" t="str">
        <f t="shared" si="4"/>
        <v/>
      </c>
      <c r="I62" s="18"/>
      <c r="J62" s="6" t="s">
        <v>16</v>
      </c>
      <c r="K62" s="16" t="str">
        <f t="shared" si="5"/>
        <v/>
      </c>
      <c r="L62" s="9" t="s">
        <v>6</v>
      </c>
      <c r="M62" s="27"/>
      <c r="N62" s="27"/>
    </row>
    <row r="63" spans="1:14" ht="18.75" customHeight="1" x14ac:dyDescent="0.15">
      <c r="A63" s="11">
        <v>56</v>
      </c>
      <c r="B63" s="2"/>
      <c r="C63" s="3"/>
      <c r="D63" s="19"/>
      <c r="E63" s="7"/>
      <c r="F63" s="4" t="str">
        <f t="shared" si="3"/>
        <v/>
      </c>
      <c r="G63" s="5"/>
      <c r="H63" s="5" t="str">
        <f t="shared" si="4"/>
        <v/>
      </c>
      <c r="I63" s="17"/>
      <c r="J63" s="8" t="s">
        <v>16</v>
      </c>
      <c r="K63" s="16" t="str">
        <f t="shared" si="5"/>
        <v/>
      </c>
      <c r="L63" s="6" t="s">
        <v>6</v>
      </c>
      <c r="M63" s="27"/>
      <c r="N63" s="27"/>
    </row>
    <row r="64" spans="1:14" ht="18.75" customHeight="1" x14ac:dyDescent="0.15">
      <c r="A64" s="11">
        <v>57</v>
      </c>
      <c r="B64" s="2"/>
      <c r="C64" s="3"/>
      <c r="D64" s="19"/>
      <c r="E64" s="3"/>
      <c r="F64" s="4" t="str">
        <f t="shared" si="3"/>
        <v/>
      </c>
      <c r="G64" s="5"/>
      <c r="H64" s="5" t="str">
        <f t="shared" si="4"/>
        <v/>
      </c>
      <c r="I64" s="18"/>
      <c r="J64" s="6" t="s">
        <v>16</v>
      </c>
      <c r="K64" s="16" t="str">
        <f t="shared" si="5"/>
        <v/>
      </c>
      <c r="L64" s="6" t="s">
        <v>6</v>
      </c>
      <c r="M64" s="27"/>
      <c r="N64" s="27"/>
    </row>
    <row r="65" spans="1:14" ht="18.75" customHeight="1" x14ac:dyDescent="0.15">
      <c r="A65" s="11">
        <v>58</v>
      </c>
      <c r="B65" s="2"/>
      <c r="C65" s="3"/>
      <c r="D65" s="19"/>
      <c r="E65" s="3"/>
      <c r="F65" s="4" t="str">
        <f t="shared" si="3"/>
        <v/>
      </c>
      <c r="G65" s="5"/>
      <c r="H65" s="5" t="str">
        <f t="shared" si="4"/>
        <v/>
      </c>
      <c r="I65" s="18"/>
      <c r="J65" s="6" t="s">
        <v>16</v>
      </c>
      <c r="K65" s="16" t="str">
        <f t="shared" si="5"/>
        <v/>
      </c>
      <c r="L65" s="6" t="s">
        <v>6</v>
      </c>
      <c r="M65" s="27"/>
      <c r="N65" s="27"/>
    </row>
    <row r="66" spans="1:14" ht="18.75" customHeight="1" x14ac:dyDescent="0.15">
      <c r="A66" s="11">
        <v>59</v>
      </c>
      <c r="B66" s="2"/>
      <c r="C66" s="3"/>
      <c r="D66" s="19"/>
      <c r="E66" s="3"/>
      <c r="F66" s="4" t="str">
        <f t="shared" si="3"/>
        <v/>
      </c>
      <c r="G66" s="5"/>
      <c r="H66" s="5" t="str">
        <f t="shared" si="4"/>
        <v/>
      </c>
      <c r="I66" s="18"/>
      <c r="J66" s="6" t="s">
        <v>16</v>
      </c>
      <c r="K66" s="16" t="str">
        <f t="shared" si="5"/>
        <v/>
      </c>
      <c r="L66" s="6" t="s">
        <v>6</v>
      </c>
      <c r="M66" s="27"/>
      <c r="N66" s="27"/>
    </row>
    <row r="67" spans="1:14" ht="18.75" customHeight="1" x14ac:dyDescent="0.15">
      <c r="A67" s="11">
        <v>60</v>
      </c>
      <c r="B67" s="2"/>
      <c r="C67" s="3"/>
      <c r="D67" s="20"/>
      <c r="E67" s="3"/>
      <c r="F67" s="4" t="str">
        <f t="shared" si="3"/>
        <v/>
      </c>
      <c r="G67" s="5"/>
      <c r="H67" s="5" t="str">
        <f t="shared" si="4"/>
        <v/>
      </c>
      <c r="I67" s="18"/>
      <c r="J67" s="6" t="s">
        <v>11</v>
      </c>
      <c r="K67" s="16" t="str">
        <f t="shared" si="5"/>
        <v/>
      </c>
      <c r="L67" s="6" t="s">
        <v>6</v>
      </c>
      <c r="M67" s="27"/>
      <c r="N67" s="27"/>
    </row>
    <row r="68" spans="1:14" ht="18.75" customHeight="1" x14ac:dyDescent="0.15">
      <c r="A68" s="11">
        <v>61</v>
      </c>
      <c r="B68" s="2"/>
      <c r="C68" s="3"/>
      <c r="D68" s="20"/>
      <c r="E68" s="3"/>
      <c r="F68" s="4" t="str">
        <f t="shared" si="3"/>
        <v/>
      </c>
      <c r="G68" s="5"/>
      <c r="H68" s="5" t="str">
        <f t="shared" si="4"/>
        <v/>
      </c>
      <c r="I68" s="18"/>
      <c r="J68" s="8" t="s">
        <v>11</v>
      </c>
      <c r="K68" s="16" t="str">
        <f t="shared" si="5"/>
        <v/>
      </c>
      <c r="L68" s="6" t="s">
        <v>6</v>
      </c>
      <c r="M68" s="27"/>
      <c r="N68" s="27"/>
    </row>
    <row r="69" spans="1:14" ht="18.75" customHeight="1" x14ac:dyDescent="0.15">
      <c r="A69" s="11">
        <v>62</v>
      </c>
      <c r="B69" s="2"/>
      <c r="C69" s="3"/>
      <c r="D69" s="20"/>
      <c r="E69" s="3"/>
      <c r="F69" s="4" t="str">
        <f t="shared" si="3"/>
        <v/>
      </c>
      <c r="G69" s="5"/>
      <c r="H69" s="5" t="str">
        <f t="shared" si="4"/>
        <v/>
      </c>
      <c r="I69" s="18"/>
      <c r="J69" s="6" t="s">
        <v>11</v>
      </c>
      <c r="K69" s="16" t="str">
        <f t="shared" si="5"/>
        <v/>
      </c>
      <c r="L69" s="6" t="s">
        <v>6</v>
      </c>
      <c r="M69" s="27"/>
      <c r="N69" s="27"/>
    </row>
    <row r="70" spans="1:14" ht="18.75" customHeight="1" x14ac:dyDescent="0.15">
      <c r="A70" s="11">
        <v>63</v>
      </c>
      <c r="B70" s="2"/>
      <c r="C70" s="3"/>
      <c r="D70" s="20"/>
      <c r="E70" s="3"/>
      <c r="F70" s="4" t="str">
        <f t="shared" si="3"/>
        <v/>
      </c>
      <c r="G70" s="5"/>
      <c r="H70" s="5" t="str">
        <f t="shared" si="4"/>
        <v/>
      </c>
      <c r="I70" s="18"/>
      <c r="J70" s="6" t="s">
        <v>16</v>
      </c>
      <c r="K70" s="16" t="str">
        <f t="shared" si="5"/>
        <v/>
      </c>
      <c r="L70" s="6" t="s">
        <v>6</v>
      </c>
      <c r="M70" s="27"/>
      <c r="N70" s="27"/>
    </row>
    <row r="71" spans="1:14" ht="18.75" customHeight="1" x14ac:dyDescent="0.15">
      <c r="A71" s="11">
        <v>64</v>
      </c>
      <c r="B71" s="2"/>
      <c r="C71" s="3"/>
      <c r="D71" s="20"/>
      <c r="E71" s="3"/>
      <c r="F71" s="4" t="str">
        <f t="shared" si="3"/>
        <v/>
      </c>
      <c r="G71" s="5"/>
      <c r="H71" s="5" t="str">
        <f t="shared" si="4"/>
        <v/>
      </c>
      <c r="I71" s="18"/>
      <c r="J71" s="8" t="s">
        <v>16</v>
      </c>
      <c r="K71" s="16" t="str">
        <f t="shared" si="5"/>
        <v/>
      </c>
      <c r="L71" s="6" t="s">
        <v>6</v>
      </c>
      <c r="M71" s="27"/>
      <c r="N71" s="27"/>
    </row>
    <row r="72" spans="1:14" ht="18.75" customHeight="1" x14ac:dyDescent="0.15">
      <c r="A72" s="11">
        <v>65</v>
      </c>
      <c r="B72" s="2"/>
      <c r="C72" s="3"/>
      <c r="D72" s="20"/>
      <c r="E72" s="3"/>
      <c r="F72" s="4" t="str">
        <f t="shared" si="3"/>
        <v/>
      </c>
      <c r="G72" s="5"/>
      <c r="H72" s="5" t="str">
        <f t="shared" si="4"/>
        <v/>
      </c>
      <c r="I72" s="18"/>
      <c r="J72" s="6" t="s">
        <v>16</v>
      </c>
      <c r="K72" s="16" t="str">
        <f t="shared" si="5"/>
        <v/>
      </c>
      <c r="L72" s="6" t="s">
        <v>6</v>
      </c>
      <c r="M72" s="27"/>
      <c r="N72" s="27"/>
    </row>
    <row r="73" spans="1:14" ht="18.75" customHeight="1" x14ac:dyDescent="0.15">
      <c r="A73" s="11">
        <v>66</v>
      </c>
      <c r="B73" s="2"/>
      <c r="C73" s="3"/>
      <c r="D73" s="20"/>
      <c r="E73" s="3"/>
      <c r="F73" s="4" t="str">
        <f t="shared" si="3"/>
        <v/>
      </c>
      <c r="G73" s="5"/>
      <c r="H73" s="5" t="str">
        <f t="shared" si="4"/>
        <v/>
      </c>
      <c r="I73" s="18"/>
      <c r="J73" s="6" t="s">
        <v>16</v>
      </c>
      <c r="K73" s="16" t="str">
        <f t="shared" si="5"/>
        <v/>
      </c>
      <c r="L73" s="6" t="s">
        <v>6</v>
      </c>
      <c r="M73" s="27"/>
      <c r="N73" s="27"/>
    </row>
    <row r="74" spans="1:14" ht="18.75" customHeight="1" x14ac:dyDescent="0.15">
      <c r="A74" s="11">
        <v>67</v>
      </c>
      <c r="B74" s="2"/>
      <c r="C74" s="3"/>
      <c r="D74" s="20"/>
      <c r="E74" s="3"/>
      <c r="F74" s="4" t="str">
        <f t="shared" si="3"/>
        <v/>
      </c>
      <c r="G74" s="5"/>
      <c r="H74" s="5" t="str">
        <f t="shared" si="4"/>
        <v/>
      </c>
      <c r="I74" s="18"/>
      <c r="J74" s="8" t="s">
        <v>16</v>
      </c>
      <c r="K74" s="16" t="str">
        <f t="shared" si="5"/>
        <v/>
      </c>
      <c r="L74" s="6" t="s">
        <v>6</v>
      </c>
      <c r="M74" s="27"/>
      <c r="N74" s="27"/>
    </row>
    <row r="75" spans="1:14" ht="18.75" customHeight="1" x14ac:dyDescent="0.15">
      <c r="A75" s="11">
        <v>68</v>
      </c>
      <c r="B75" s="2"/>
      <c r="C75" s="3"/>
      <c r="D75" s="20"/>
      <c r="E75" s="7"/>
      <c r="F75" s="4" t="str">
        <f t="shared" si="3"/>
        <v/>
      </c>
      <c r="G75" s="5"/>
      <c r="H75" s="5" t="str">
        <f t="shared" si="4"/>
        <v/>
      </c>
      <c r="I75" s="18"/>
      <c r="J75" s="6" t="s">
        <v>16</v>
      </c>
      <c r="K75" s="16" t="str">
        <f t="shared" si="5"/>
        <v/>
      </c>
      <c r="L75" s="6" t="s">
        <v>6</v>
      </c>
      <c r="M75" s="27"/>
      <c r="N75" s="27"/>
    </row>
    <row r="76" spans="1:14" ht="18.75" customHeight="1" x14ac:dyDescent="0.15">
      <c r="A76" s="11">
        <v>69</v>
      </c>
      <c r="B76" s="2"/>
      <c r="C76" s="3"/>
      <c r="D76" s="20"/>
      <c r="E76" s="3"/>
      <c r="F76" s="4" t="str">
        <f t="shared" si="3"/>
        <v/>
      </c>
      <c r="G76" s="5"/>
      <c r="H76" s="5" t="str">
        <f t="shared" si="4"/>
        <v/>
      </c>
      <c r="I76" s="18"/>
      <c r="J76" s="6" t="s">
        <v>16</v>
      </c>
      <c r="K76" s="16" t="str">
        <f t="shared" si="5"/>
        <v/>
      </c>
      <c r="L76" s="6" t="s">
        <v>6</v>
      </c>
      <c r="M76" s="27"/>
      <c r="N76" s="27"/>
    </row>
    <row r="77" spans="1:14" ht="18.75" customHeight="1" x14ac:dyDescent="0.15">
      <c r="A77" s="11">
        <v>70</v>
      </c>
      <c r="B77" s="2"/>
      <c r="C77" s="3"/>
      <c r="D77" s="20"/>
      <c r="E77" s="3"/>
      <c r="F77" s="4" t="str">
        <f t="shared" si="3"/>
        <v/>
      </c>
      <c r="G77" s="5"/>
      <c r="H77" s="5" t="str">
        <f t="shared" si="4"/>
        <v/>
      </c>
      <c r="I77" s="18"/>
      <c r="J77" s="6" t="s">
        <v>16</v>
      </c>
      <c r="K77" s="16" t="str">
        <f t="shared" si="5"/>
        <v/>
      </c>
      <c r="L77" s="6" t="s">
        <v>6</v>
      </c>
      <c r="M77" s="27"/>
      <c r="N77" s="27"/>
    </row>
    <row r="78" spans="1:14" ht="18.75" customHeight="1" x14ac:dyDescent="0.15">
      <c r="A78" s="11">
        <v>71</v>
      </c>
      <c r="B78" s="2"/>
      <c r="C78" s="3"/>
      <c r="D78" s="20"/>
      <c r="E78" s="3"/>
      <c r="F78" s="4" t="str">
        <f t="shared" si="3"/>
        <v/>
      </c>
      <c r="G78" s="5"/>
      <c r="H78" s="5" t="str">
        <f t="shared" si="4"/>
        <v/>
      </c>
      <c r="I78" s="21"/>
      <c r="J78" s="6" t="s">
        <v>16</v>
      </c>
      <c r="K78" s="16" t="str">
        <f t="shared" si="5"/>
        <v/>
      </c>
      <c r="L78" s="6" t="s">
        <v>6</v>
      </c>
      <c r="M78" s="27"/>
      <c r="N78" s="27"/>
    </row>
    <row r="79" spans="1:14" ht="18.75" customHeight="1" x14ac:dyDescent="0.15">
      <c r="A79" s="11">
        <v>72</v>
      </c>
      <c r="B79" s="2"/>
      <c r="C79" s="3"/>
      <c r="D79" s="20"/>
      <c r="E79" s="3"/>
      <c r="F79" s="4" t="str">
        <f t="shared" si="3"/>
        <v/>
      </c>
      <c r="G79" s="5"/>
      <c r="H79" s="5" t="str">
        <f t="shared" si="4"/>
        <v/>
      </c>
      <c r="I79" s="18"/>
      <c r="J79" s="6" t="s">
        <v>16</v>
      </c>
      <c r="K79" s="16" t="str">
        <f t="shared" si="5"/>
        <v/>
      </c>
      <c r="L79" s="6" t="s">
        <v>6</v>
      </c>
      <c r="M79" s="27"/>
      <c r="N79" s="27"/>
    </row>
    <row r="80" spans="1:14" ht="18.75" customHeight="1" x14ac:dyDescent="0.15">
      <c r="A80" s="11">
        <v>73</v>
      </c>
      <c r="B80" s="2"/>
      <c r="C80" s="3"/>
      <c r="D80" s="20"/>
      <c r="E80" s="7"/>
      <c r="F80" s="4" t="str">
        <f t="shared" si="3"/>
        <v/>
      </c>
      <c r="G80" s="5"/>
      <c r="H80" s="5" t="str">
        <f t="shared" si="4"/>
        <v/>
      </c>
      <c r="I80" s="17"/>
      <c r="J80" s="6" t="s">
        <v>16</v>
      </c>
      <c r="K80" s="16" t="str">
        <f t="shared" si="5"/>
        <v/>
      </c>
      <c r="L80" s="6" t="s">
        <v>6</v>
      </c>
      <c r="M80" s="27"/>
      <c r="N80" s="27"/>
    </row>
    <row r="81" spans="1:14" ht="18.75" customHeight="1" x14ac:dyDescent="0.15">
      <c r="A81" s="11">
        <v>74</v>
      </c>
      <c r="B81" s="2"/>
      <c r="C81" s="3"/>
      <c r="D81" s="20"/>
      <c r="E81" s="3"/>
      <c r="F81" s="4" t="str">
        <f t="shared" si="3"/>
        <v/>
      </c>
      <c r="G81" s="5"/>
      <c r="H81" s="5" t="str">
        <f t="shared" si="4"/>
        <v/>
      </c>
      <c r="I81" s="18"/>
      <c r="J81" s="6" t="s">
        <v>16</v>
      </c>
      <c r="K81" s="16" t="str">
        <f t="shared" si="5"/>
        <v/>
      </c>
      <c r="L81" s="6" t="s">
        <v>6</v>
      </c>
      <c r="M81" s="27"/>
      <c r="N81" s="27"/>
    </row>
    <row r="82" spans="1:14" ht="18.75" customHeight="1" x14ac:dyDescent="0.15">
      <c r="A82" s="11">
        <v>75</v>
      </c>
      <c r="B82" s="2"/>
      <c r="C82" s="3"/>
      <c r="D82" s="20"/>
      <c r="E82" s="3"/>
      <c r="F82" s="4"/>
      <c r="G82" s="5"/>
      <c r="H82" s="5"/>
      <c r="I82" s="18"/>
      <c r="J82" s="6" t="s">
        <v>16</v>
      </c>
      <c r="K82" s="16"/>
      <c r="L82" s="6" t="s">
        <v>6</v>
      </c>
      <c r="M82" s="27"/>
      <c r="N82" s="27"/>
    </row>
    <row r="83" spans="1:14" ht="18.75" customHeight="1" x14ac:dyDescent="0.15">
      <c r="A83" s="11">
        <v>76</v>
      </c>
      <c r="B83" s="2"/>
      <c r="C83" s="3"/>
      <c r="D83" s="20"/>
      <c r="E83" s="3"/>
      <c r="F83" s="4"/>
      <c r="G83" s="5"/>
      <c r="H83" s="5"/>
      <c r="I83" s="18"/>
      <c r="J83" s="6" t="s">
        <v>16</v>
      </c>
      <c r="K83" s="16"/>
      <c r="L83" s="6" t="s">
        <v>6</v>
      </c>
      <c r="M83" s="27"/>
      <c r="N83" s="27"/>
    </row>
    <row r="84" spans="1:14" ht="18.75" customHeight="1" x14ac:dyDescent="0.15">
      <c r="A84" s="11">
        <v>77</v>
      </c>
      <c r="B84" s="2"/>
      <c r="C84" s="3"/>
      <c r="D84" s="20"/>
      <c r="E84" s="3"/>
      <c r="F84" s="4"/>
      <c r="G84" s="5"/>
      <c r="H84" s="5"/>
      <c r="I84" s="18"/>
      <c r="J84" s="6" t="s">
        <v>16</v>
      </c>
      <c r="K84" s="16"/>
      <c r="L84" s="6" t="s">
        <v>6</v>
      </c>
      <c r="M84" s="27"/>
      <c r="N84" s="27"/>
    </row>
    <row r="85" spans="1:14" ht="18.75" customHeight="1" x14ac:dyDescent="0.15">
      <c r="A85" s="11">
        <v>78</v>
      </c>
      <c r="B85" s="2"/>
      <c r="C85" s="3"/>
      <c r="D85" s="20"/>
      <c r="E85" s="3"/>
      <c r="F85" s="4"/>
      <c r="G85" s="5"/>
      <c r="H85" s="5"/>
      <c r="I85" s="18"/>
      <c r="J85" s="6" t="s">
        <v>16</v>
      </c>
      <c r="K85" s="16"/>
      <c r="L85" s="6" t="s">
        <v>6</v>
      </c>
      <c r="M85" s="27"/>
      <c r="N85" s="27"/>
    </row>
    <row r="86" spans="1:14" ht="18.75" customHeight="1" x14ac:dyDescent="0.15">
      <c r="A86" s="11">
        <v>79</v>
      </c>
      <c r="B86" s="2"/>
      <c r="C86" s="3"/>
      <c r="D86" s="20"/>
      <c r="E86" s="3"/>
      <c r="F86" s="4" t="str">
        <f>IF(E86="","",E86-7*INT(E86/7))</f>
        <v/>
      </c>
      <c r="G86" s="5"/>
      <c r="H86" s="5" t="str">
        <f>IF(G86="","",G86)</f>
        <v/>
      </c>
      <c r="I86" s="18"/>
      <c r="J86" s="6" t="s">
        <v>16</v>
      </c>
      <c r="K86" s="16" t="str">
        <f>IF(I86&gt;0,I86,"")</f>
        <v/>
      </c>
      <c r="L86" s="6" t="s">
        <v>6</v>
      </c>
      <c r="M86" s="27"/>
      <c r="N86" s="27"/>
    </row>
    <row r="87" spans="1:14" ht="18.75" customHeight="1" x14ac:dyDescent="0.15">
      <c r="A87" s="11">
        <v>80</v>
      </c>
      <c r="B87" s="2"/>
      <c r="C87" s="3"/>
      <c r="D87" s="20"/>
      <c r="E87" s="3"/>
      <c r="F87" s="4" t="str">
        <f>IF(E87="","",E87-7*INT(E87/7))</f>
        <v/>
      </c>
      <c r="G87" s="5"/>
      <c r="H87" s="5" t="str">
        <f>IF(G87="","",G87)</f>
        <v/>
      </c>
      <c r="I87" s="18"/>
      <c r="J87" s="6" t="s">
        <v>16</v>
      </c>
      <c r="K87" s="22" t="str">
        <f>IF(I87&gt;0,I87,"")</f>
        <v/>
      </c>
      <c r="L87" s="6" t="s">
        <v>6</v>
      </c>
      <c r="M87" s="27"/>
      <c r="N87" s="27"/>
    </row>
    <row r="88" spans="1:14" ht="18.75" customHeight="1" x14ac:dyDescent="0.15">
      <c r="I88" s="23">
        <f>SUM(I48:I87)+I44</f>
        <v>0</v>
      </c>
      <c r="J88" s="10" t="s">
        <v>17</v>
      </c>
      <c r="K88" s="24">
        <f>SUM(K48:K87)+K44</f>
        <v>0</v>
      </c>
      <c r="L88" s="10" t="s">
        <v>6</v>
      </c>
    </row>
  </sheetData>
  <mergeCells count="12">
    <mergeCell ref="B1:M1"/>
    <mergeCell ref="B2:M2"/>
    <mergeCell ref="C3:D3"/>
    <mergeCell ref="E3:F3"/>
    <mergeCell ref="I3:J3"/>
    <mergeCell ref="K3:L3"/>
    <mergeCell ref="B46:M46"/>
    <mergeCell ref="B45:M45"/>
    <mergeCell ref="C47:D47"/>
    <mergeCell ref="E47:F47"/>
    <mergeCell ref="I47:J47"/>
    <mergeCell ref="K47:L47"/>
  </mergeCells>
  <phoneticPr fontId="2"/>
  <dataValidations count="3">
    <dataValidation imeMode="on" allowBlank="1" showInputMessage="1" showErrorMessage="1" sqref="B48:C87 B4:C43" xr:uid="{D7B3A55B-3A24-46C4-82C0-CD299A697691}"/>
    <dataValidation imeMode="disabled" allowBlank="1" showInputMessage="1" showErrorMessage="1" sqref="E48:E87 G48:N87 G4:N43 E4:E43" xr:uid="{891930C1-0612-424F-BC72-463D038E966D}"/>
    <dataValidation type="list" imeMode="on" allowBlank="1" showInputMessage="1" showErrorMessage="1" promptTitle="こんにちは" sqref="D48:D87 D4:D43" xr:uid="{0C2F5413-A0CF-4A7D-9AF9-793AC6836087}">
      <formula1>"鴛泊下水浄化センター,沓形浄化センター"</formula1>
    </dataValidation>
  </dataValidations>
  <printOptions horizontalCentered="1" verticalCentered="1"/>
  <pageMargins left="0.59055118110236227" right="0.59055118110236227" top="0.59055118110236227" bottom="0.59055118110236227" header="0.51181102362204722" footer="0.51181102362204722"/>
  <pageSetup paperSize="9" orientation="portrait" horizontalDpi="4294967293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5C35E-4A2A-4F75-B4AC-E070A798337B}">
  <dimension ref="A1:O88"/>
  <sheetViews>
    <sheetView topLeftCell="A25" workbookViewId="0">
      <selection activeCell="P20" sqref="P20"/>
    </sheetView>
  </sheetViews>
  <sheetFormatPr defaultRowHeight="13.5" x14ac:dyDescent="0.15"/>
  <cols>
    <col min="1" max="1" width="3.375" style="12" customWidth="1"/>
    <col min="2" max="2" width="11" style="10" customWidth="1"/>
    <col min="3" max="3" width="1" style="10" customWidth="1"/>
    <col min="4" max="4" width="15.625" style="10" customWidth="1"/>
    <col min="5" max="5" width="10.125" style="10" customWidth="1"/>
    <col min="6" max="6" width="2.25" style="10" customWidth="1"/>
    <col min="7" max="8" width="8.625" style="10" customWidth="1"/>
    <col min="9" max="9" width="6" style="13" customWidth="1"/>
    <col min="10" max="10" width="2.375" style="10" customWidth="1"/>
    <col min="11" max="11" width="6.125" style="10" customWidth="1"/>
    <col min="12" max="12" width="2.25" style="10" customWidth="1"/>
    <col min="13" max="14" width="6.25" style="12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 x14ac:dyDescent="0.15">
      <c r="B1" s="95" t="s">
        <v>13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10"/>
    </row>
    <row r="2" spans="1:15" ht="21" customHeight="1" x14ac:dyDescent="0.15"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10"/>
    </row>
    <row r="3" spans="1:15" ht="26.25" customHeight="1" x14ac:dyDescent="0.15">
      <c r="A3" s="11"/>
      <c r="B3" s="2" t="s">
        <v>1</v>
      </c>
      <c r="C3" s="97" t="s">
        <v>2</v>
      </c>
      <c r="D3" s="98"/>
      <c r="E3" s="99" t="s">
        <v>3</v>
      </c>
      <c r="F3" s="100"/>
      <c r="G3" s="25" t="s">
        <v>4</v>
      </c>
      <c r="H3" s="25" t="s">
        <v>7</v>
      </c>
      <c r="I3" s="101" t="s">
        <v>8</v>
      </c>
      <c r="J3" s="99"/>
      <c r="K3" s="101" t="s">
        <v>5</v>
      </c>
      <c r="L3" s="101"/>
      <c r="M3" s="26" t="s">
        <v>14</v>
      </c>
      <c r="N3" s="1" t="s">
        <v>10</v>
      </c>
    </row>
    <row r="4" spans="1:15" ht="18.75" customHeight="1" x14ac:dyDescent="0.15">
      <c r="A4" s="11">
        <v>1</v>
      </c>
      <c r="B4" s="2" t="s">
        <v>12</v>
      </c>
      <c r="C4" s="3"/>
      <c r="D4" s="14"/>
      <c r="E4" s="3"/>
      <c r="F4" s="4" t="str">
        <f t="shared" ref="F4:F37" si="0">IF(E4="","",E4-7*INT(E4/7))</f>
        <v/>
      </c>
      <c r="G4" s="5"/>
      <c r="H4" s="5" t="str">
        <f t="shared" ref="H4:H37" si="1">IF(G4="","",G4)</f>
        <v/>
      </c>
      <c r="I4" s="15"/>
      <c r="J4" s="6" t="s">
        <v>15</v>
      </c>
      <c r="K4" s="16" t="str">
        <f t="shared" ref="K4:K37" si="2">IF(I4&gt;0,I4,"")</f>
        <v/>
      </c>
      <c r="L4" s="6" t="s">
        <v>6</v>
      </c>
      <c r="M4" s="27"/>
      <c r="N4" s="27"/>
    </row>
    <row r="5" spans="1:15" ht="18.75" customHeight="1" x14ac:dyDescent="0.15">
      <c r="A5" s="11">
        <v>2</v>
      </c>
      <c r="B5" s="2" t="s">
        <v>12</v>
      </c>
      <c r="C5" s="3"/>
      <c r="D5" s="14"/>
      <c r="E5" s="7"/>
      <c r="F5" s="4" t="str">
        <f t="shared" si="0"/>
        <v/>
      </c>
      <c r="G5" s="5"/>
      <c r="H5" s="5" t="str">
        <f t="shared" si="1"/>
        <v/>
      </c>
      <c r="I5" s="17"/>
      <c r="J5" s="8" t="s">
        <v>16</v>
      </c>
      <c r="K5" s="16" t="str">
        <f t="shared" si="2"/>
        <v/>
      </c>
      <c r="L5" s="9" t="s">
        <v>6</v>
      </c>
      <c r="M5" s="27"/>
      <c r="N5" s="27"/>
    </row>
    <row r="6" spans="1:15" ht="18.75" customHeight="1" x14ac:dyDescent="0.15">
      <c r="A6" s="11">
        <v>3</v>
      </c>
      <c r="B6" s="2" t="s">
        <v>12</v>
      </c>
      <c r="C6" s="3"/>
      <c r="D6" s="14"/>
      <c r="E6" s="3"/>
      <c r="F6" s="4" t="str">
        <f t="shared" si="0"/>
        <v/>
      </c>
      <c r="G6" s="5"/>
      <c r="H6" s="5" t="str">
        <f t="shared" si="1"/>
        <v/>
      </c>
      <c r="I6" s="18"/>
      <c r="J6" s="6" t="s">
        <v>16</v>
      </c>
      <c r="K6" s="16" t="str">
        <f t="shared" si="2"/>
        <v/>
      </c>
      <c r="L6" s="6" t="s">
        <v>6</v>
      </c>
      <c r="M6" s="27"/>
      <c r="N6" s="27"/>
    </row>
    <row r="7" spans="1:15" ht="18.75" customHeight="1" x14ac:dyDescent="0.15">
      <c r="A7" s="11">
        <v>4</v>
      </c>
      <c r="B7" s="2" t="s">
        <v>12</v>
      </c>
      <c r="C7" s="3"/>
      <c r="D7" s="14"/>
      <c r="E7" s="3"/>
      <c r="F7" s="4" t="str">
        <f t="shared" si="0"/>
        <v/>
      </c>
      <c r="G7" s="5"/>
      <c r="H7" s="5" t="str">
        <f t="shared" si="1"/>
        <v/>
      </c>
      <c r="I7" s="17"/>
      <c r="J7" s="8" t="s">
        <v>16</v>
      </c>
      <c r="K7" s="16" t="str">
        <f t="shared" si="2"/>
        <v/>
      </c>
      <c r="L7" s="9" t="s">
        <v>6</v>
      </c>
      <c r="M7" s="27"/>
      <c r="N7" s="27"/>
    </row>
    <row r="8" spans="1:15" ht="18.75" customHeight="1" x14ac:dyDescent="0.15">
      <c r="A8" s="11">
        <v>5</v>
      </c>
      <c r="B8" s="2" t="s">
        <v>12</v>
      </c>
      <c r="C8" s="3"/>
      <c r="D8" s="14"/>
      <c r="E8" s="7"/>
      <c r="F8" s="4" t="str">
        <f t="shared" si="0"/>
        <v/>
      </c>
      <c r="G8" s="5"/>
      <c r="H8" s="5" t="str">
        <f t="shared" si="1"/>
        <v/>
      </c>
      <c r="I8" s="18"/>
      <c r="J8" s="6" t="s">
        <v>16</v>
      </c>
      <c r="K8" s="16" t="str">
        <f t="shared" si="2"/>
        <v/>
      </c>
      <c r="L8" s="6" t="s">
        <v>6</v>
      </c>
      <c r="M8" s="27"/>
      <c r="N8" s="27"/>
      <c r="O8" s="59"/>
    </row>
    <row r="9" spans="1:15" ht="18.75" customHeight="1" x14ac:dyDescent="0.15">
      <c r="A9" s="11">
        <v>6</v>
      </c>
      <c r="B9" s="2" t="s">
        <v>12</v>
      </c>
      <c r="C9" s="3"/>
      <c r="D9" s="14"/>
      <c r="E9" s="3"/>
      <c r="F9" s="4" t="str">
        <f t="shared" si="0"/>
        <v/>
      </c>
      <c r="G9" s="5"/>
      <c r="H9" s="5" t="str">
        <f t="shared" si="1"/>
        <v/>
      </c>
      <c r="I9" s="18"/>
      <c r="J9" s="6" t="s">
        <v>16</v>
      </c>
      <c r="K9" s="16" t="str">
        <f t="shared" si="2"/>
        <v/>
      </c>
      <c r="L9" s="6" t="s">
        <v>6</v>
      </c>
      <c r="M9" s="27"/>
      <c r="N9" s="27"/>
    </row>
    <row r="10" spans="1:15" ht="18.75" customHeight="1" x14ac:dyDescent="0.15">
      <c r="A10" s="11">
        <v>7</v>
      </c>
      <c r="B10" s="2" t="s">
        <v>12</v>
      </c>
      <c r="C10" s="3"/>
      <c r="D10" s="14"/>
      <c r="E10" s="3"/>
      <c r="F10" s="4" t="str">
        <f t="shared" si="0"/>
        <v/>
      </c>
      <c r="G10" s="5"/>
      <c r="H10" s="5" t="str">
        <f t="shared" si="1"/>
        <v/>
      </c>
      <c r="I10" s="17"/>
      <c r="J10" s="28" t="s">
        <v>16</v>
      </c>
      <c r="K10" s="16" t="str">
        <f t="shared" si="2"/>
        <v/>
      </c>
      <c r="L10" s="28" t="s">
        <v>6</v>
      </c>
      <c r="M10" s="27"/>
      <c r="N10" s="27"/>
    </row>
    <row r="11" spans="1:15" ht="18.75" customHeight="1" x14ac:dyDescent="0.15">
      <c r="A11" s="11">
        <v>8</v>
      </c>
      <c r="B11" s="2" t="s">
        <v>12</v>
      </c>
      <c r="C11" s="3"/>
      <c r="D11" s="14"/>
      <c r="E11" s="7"/>
      <c r="F11" s="4" t="str">
        <f t="shared" si="0"/>
        <v/>
      </c>
      <c r="G11" s="5"/>
      <c r="H11" s="5" t="str">
        <f t="shared" si="1"/>
        <v/>
      </c>
      <c r="I11" s="18"/>
      <c r="J11" s="8" t="s">
        <v>16</v>
      </c>
      <c r="K11" s="16" t="str">
        <f t="shared" si="2"/>
        <v/>
      </c>
      <c r="L11" s="9" t="s">
        <v>6</v>
      </c>
      <c r="M11" s="27"/>
      <c r="N11" s="27"/>
    </row>
    <row r="12" spans="1:15" ht="18.75" customHeight="1" x14ac:dyDescent="0.15">
      <c r="A12" s="11">
        <v>9</v>
      </c>
      <c r="B12" s="2" t="s">
        <v>12</v>
      </c>
      <c r="C12" s="3"/>
      <c r="D12" s="14"/>
      <c r="E12" s="3"/>
      <c r="F12" s="4" t="str">
        <f t="shared" si="0"/>
        <v/>
      </c>
      <c r="G12" s="5"/>
      <c r="H12" s="5" t="str">
        <f t="shared" si="1"/>
        <v/>
      </c>
      <c r="I12" s="18"/>
      <c r="J12" s="6" t="s">
        <v>16</v>
      </c>
      <c r="K12" s="16" t="str">
        <f t="shared" si="2"/>
        <v/>
      </c>
      <c r="L12" s="6" t="s">
        <v>6</v>
      </c>
      <c r="M12" s="27"/>
      <c r="N12" s="27"/>
    </row>
    <row r="13" spans="1:15" ht="18.75" customHeight="1" x14ac:dyDescent="0.15">
      <c r="A13" s="11">
        <v>10</v>
      </c>
      <c r="B13" s="2"/>
      <c r="C13" s="3"/>
      <c r="D13" s="14"/>
      <c r="E13" s="7"/>
      <c r="F13" s="4" t="str">
        <f t="shared" si="0"/>
        <v/>
      </c>
      <c r="G13" s="5"/>
      <c r="H13" s="5" t="str">
        <f t="shared" si="1"/>
        <v/>
      </c>
      <c r="I13" s="18"/>
      <c r="J13" s="8" t="s">
        <v>16</v>
      </c>
      <c r="K13" s="16" t="str">
        <f t="shared" si="2"/>
        <v/>
      </c>
      <c r="L13" s="9" t="s">
        <v>6</v>
      </c>
      <c r="M13" s="27"/>
      <c r="N13" s="27"/>
    </row>
    <row r="14" spans="1:15" ht="18.75" customHeight="1" x14ac:dyDescent="0.15">
      <c r="A14" s="11">
        <v>11</v>
      </c>
      <c r="B14" s="2"/>
      <c r="C14" s="3"/>
      <c r="D14" s="14"/>
      <c r="E14" s="3"/>
      <c r="F14" s="4" t="str">
        <f t="shared" si="0"/>
        <v/>
      </c>
      <c r="G14" s="5"/>
      <c r="H14" s="5" t="str">
        <f t="shared" si="1"/>
        <v/>
      </c>
      <c r="I14" s="18"/>
      <c r="J14" s="6" t="s">
        <v>16</v>
      </c>
      <c r="K14" s="16" t="str">
        <f t="shared" si="2"/>
        <v/>
      </c>
      <c r="L14" s="6" t="s">
        <v>6</v>
      </c>
      <c r="M14" s="27"/>
      <c r="N14" s="27"/>
    </row>
    <row r="15" spans="1:15" ht="18.75" customHeight="1" x14ac:dyDescent="0.15">
      <c r="A15" s="11">
        <v>12</v>
      </c>
      <c r="B15" s="2"/>
      <c r="C15" s="3"/>
      <c r="D15" s="14"/>
      <c r="E15" s="3"/>
      <c r="F15" s="4" t="str">
        <f t="shared" si="0"/>
        <v/>
      </c>
      <c r="G15" s="5"/>
      <c r="H15" s="5" t="str">
        <f t="shared" si="1"/>
        <v/>
      </c>
      <c r="I15" s="17"/>
      <c r="J15" s="8" t="s">
        <v>16</v>
      </c>
      <c r="K15" s="16" t="str">
        <f t="shared" si="2"/>
        <v/>
      </c>
      <c r="L15" s="6" t="s">
        <v>6</v>
      </c>
      <c r="M15" s="27"/>
      <c r="N15" s="27"/>
    </row>
    <row r="16" spans="1:15" ht="18.75" customHeight="1" x14ac:dyDescent="0.15">
      <c r="A16" s="11">
        <v>13</v>
      </c>
      <c r="B16" s="2"/>
      <c r="C16" s="3"/>
      <c r="D16" s="19"/>
      <c r="E16" s="3"/>
      <c r="F16" s="4" t="str">
        <f t="shared" si="0"/>
        <v/>
      </c>
      <c r="G16" s="5"/>
      <c r="H16" s="5" t="str">
        <f t="shared" si="1"/>
        <v/>
      </c>
      <c r="I16" s="18"/>
      <c r="J16" s="6" t="s">
        <v>16</v>
      </c>
      <c r="K16" s="16" t="str">
        <f t="shared" si="2"/>
        <v/>
      </c>
      <c r="L16" s="6" t="s">
        <v>6</v>
      </c>
      <c r="M16" s="27"/>
      <c r="N16" s="27"/>
    </row>
    <row r="17" spans="1:14" ht="18.75" customHeight="1" x14ac:dyDescent="0.15">
      <c r="A17" s="11">
        <v>14</v>
      </c>
      <c r="B17" s="2"/>
      <c r="C17" s="3"/>
      <c r="D17" s="19"/>
      <c r="E17" s="3"/>
      <c r="F17" s="4" t="str">
        <f t="shared" si="0"/>
        <v/>
      </c>
      <c r="G17" s="5"/>
      <c r="H17" s="5" t="str">
        <f t="shared" si="1"/>
        <v/>
      </c>
      <c r="I17" s="18"/>
      <c r="J17" s="6" t="s">
        <v>16</v>
      </c>
      <c r="K17" s="16" t="str">
        <f t="shared" si="2"/>
        <v/>
      </c>
      <c r="L17" s="6" t="s">
        <v>6</v>
      </c>
      <c r="M17" s="27"/>
      <c r="N17" s="27"/>
    </row>
    <row r="18" spans="1:14" ht="18.75" customHeight="1" x14ac:dyDescent="0.15">
      <c r="A18" s="11">
        <v>15</v>
      </c>
      <c r="B18" s="2"/>
      <c r="C18" s="3"/>
      <c r="D18" s="19"/>
      <c r="E18" s="3"/>
      <c r="F18" s="4" t="str">
        <f t="shared" si="0"/>
        <v/>
      </c>
      <c r="G18" s="5"/>
      <c r="H18" s="5" t="str">
        <f t="shared" si="1"/>
        <v/>
      </c>
      <c r="I18" s="18"/>
      <c r="J18" s="6" t="s">
        <v>16</v>
      </c>
      <c r="K18" s="16" t="str">
        <f t="shared" si="2"/>
        <v/>
      </c>
      <c r="L18" s="9" t="s">
        <v>6</v>
      </c>
      <c r="M18" s="27"/>
      <c r="N18" s="27"/>
    </row>
    <row r="19" spans="1:14" ht="18.75" customHeight="1" x14ac:dyDescent="0.15">
      <c r="A19" s="11">
        <v>16</v>
      </c>
      <c r="B19" s="2"/>
      <c r="C19" s="3"/>
      <c r="D19" s="19"/>
      <c r="E19" s="7"/>
      <c r="F19" s="4" t="str">
        <f t="shared" si="0"/>
        <v/>
      </c>
      <c r="G19" s="5"/>
      <c r="H19" s="5" t="str">
        <f t="shared" si="1"/>
        <v/>
      </c>
      <c r="I19" s="17"/>
      <c r="J19" s="8" t="s">
        <v>16</v>
      </c>
      <c r="K19" s="16" t="str">
        <f t="shared" si="2"/>
        <v/>
      </c>
      <c r="L19" s="6" t="s">
        <v>6</v>
      </c>
      <c r="M19" s="27"/>
      <c r="N19" s="27"/>
    </row>
    <row r="20" spans="1:14" ht="18.75" customHeight="1" x14ac:dyDescent="0.15">
      <c r="A20" s="11">
        <v>17</v>
      </c>
      <c r="B20" s="2"/>
      <c r="C20" s="3"/>
      <c r="D20" s="19"/>
      <c r="E20" s="3"/>
      <c r="F20" s="4" t="str">
        <f t="shared" si="0"/>
        <v/>
      </c>
      <c r="G20" s="5"/>
      <c r="H20" s="5" t="str">
        <f t="shared" si="1"/>
        <v/>
      </c>
      <c r="I20" s="18"/>
      <c r="J20" s="6" t="s">
        <v>16</v>
      </c>
      <c r="K20" s="16" t="str">
        <f t="shared" si="2"/>
        <v/>
      </c>
      <c r="L20" s="6" t="s">
        <v>6</v>
      </c>
      <c r="M20" s="27"/>
      <c r="N20" s="27"/>
    </row>
    <row r="21" spans="1:14" ht="18.75" customHeight="1" x14ac:dyDescent="0.15">
      <c r="A21" s="11">
        <v>18</v>
      </c>
      <c r="B21" s="2"/>
      <c r="C21" s="3"/>
      <c r="D21" s="19"/>
      <c r="E21" s="3"/>
      <c r="F21" s="4" t="str">
        <f t="shared" si="0"/>
        <v/>
      </c>
      <c r="G21" s="5"/>
      <c r="H21" s="5" t="str">
        <f t="shared" si="1"/>
        <v/>
      </c>
      <c r="I21" s="18"/>
      <c r="J21" s="6" t="s">
        <v>16</v>
      </c>
      <c r="K21" s="16" t="str">
        <f t="shared" si="2"/>
        <v/>
      </c>
      <c r="L21" s="6" t="s">
        <v>6</v>
      </c>
      <c r="M21" s="27"/>
      <c r="N21" s="27"/>
    </row>
    <row r="22" spans="1:14" ht="18.75" customHeight="1" x14ac:dyDescent="0.15">
      <c r="A22" s="11">
        <v>19</v>
      </c>
      <c r="B22" s="2"/>
      <c r="C22" s="3"/>
      <c r="D22" s="19"/>
      <c r="E22" s="3"/>
      <c r="F22" s="4" t="str">
        <f t="shared" si="0"/>
        <v/>
      </c>
      <c r="G22" s="5"/>
      <c r="H22" s="5" t="str">
        <f t="shared" si="1"/>
        <v/>
      </c>
      <c r="I22" s="18"/>
      <c r="J22" s="6" t="s">
        <v>16</v>
      </c>
      <c r="K22" s="16" t="str">
        <f t="shared" si="2"/>
        <v/>
      </c>
      <c r="L22" s="6" t="s">
        <v>6</v>
      </c>
      <c r="M22" s="27"/>
      <c r="N22" s="27"/>
    </row>
    <row r="23" spans="1:14" ht="18.75" customHeight="1" x14ac:dyDescent="0.15">
      <c r="A23" s="11">
        <v>20</v>
      </c>
      <c r="B23" s="2"/>
      <c r="C23" s="3"/>
      <c r="D23" s="20"/>
      <c r="E23" s="3"/>
      <c r="F23" s="4" t="str">
        <f t="shared" si="0"/>
        <v/>
      </c>
      <c r="G23" s="5"/>
      <c r="H23" s="5" t="str">
        <f t="shared" si="1"/>
        <v/>
      </c>
      <c r="I23" s="18"/>
      <c r="J23" s="6" t="s">
        <v>11</v>
      </c>
      <c r="K23" s="16" t="str">
        <f t="shared" si="2"/>
        <v/>
      </c>
      <c r="L23" s="6" t="s">
        <v>6</v>
      </c>
      <c r="M23" s="27"/>
      <c r="N23" s="27"/>
    </row>
    <row r="24" spans="1:14" ht="18.75" customHeight="1" x14ac:dyDescent="0.15">
      <c r="A24" s="11">
        <v>21</v>
      </c>
      <c r="B24" s="2"/>
      <c r="C24" s="3"/>
      <c r="D24" s="20"/>
      <c r="E24" s="3"/>
      <c r="F24" s="4" t="str">
        <f t="shared" si="0"/>
        <v/>
      </c>
      <c r="G24" s="5"/>
      <c r="H24" s="5" t="str">
        <f t="shared" si="1"/>
        <v/>
      </c>
      <c r="I24" s="18"/>
      <c r="J24" s="8" t="s">
        <v>11</v>
      </c>
      <c r="K24" s="16" t="str">
        <f t="shared" si="2"/>
        <v/>
      </c>
      <c r="L24" s="6" t="s">
        <v>6</v>
      </c>
      <c r="M24" s="27"/>
      <c r="N24" s="27"/>
    </row>
    <row r="25" spans="1:14" ht="18.75" customHeight="1" x14ac:dyDescent="0.15">
      <c r="A25" s="11">
        <v>22</v>
      </c>
      <c r="B25" s="2"/>
      <c r="C25" s="3"/>
      <c r="D25" s="20"/>
      <c r="E25" s="3"/>
      <c r="F25" s="4" t="str">
        <f t="shared" si="0"/>
        <v/>
      </c>
      <c r="G25" s="5"/>
      <c r="H25" s="5" t="str">
        <f t="shared" si="1"/>
        <v/>
      </c>
      <c r="I25" s="18"/>
      <c r="J25" s="6" t="s">
        <v>11</v>
      </c>
      <c r="K25" s="16" t="str">
        <f t="shared" si="2"/>
        <v/>
      </c>
      <c r="L25" s="6" t="s">
        <v>6</v>
      </c>
      <c r="M25" s="27"/>
      <c r="N25" s="27"/>
    </row>
    <row r="26" spans="1:14" ht="18.75" customHeight="1" x14ac:dyDescent="0.15">
      <c r="A26" s="11">
        <v>23</v>
      </c>
      <c r="B26" s="2"/>
      <c r="C26" s="3"/>
      <c r="D26" s="20"/>
      <c r="E26" s="3"/>
      <c r="F26" s="4" t="str">
        <f t="shared" si="0"/>
        <v/>
      </c>
      <c r="G26" s="5"/>
      <c r="H26" s="5" t="str">
        <f t="shared" si="1"/>
        <v/>
      </c>
      <c r="I26" s="18"/>
      <c r="J26" s="6" t="s">
        <v>16</v>
      </c>
      <c r="K26" s="16" t="str">
        <f t="shared" si="2"/>
        <v/>
      </c>
      <c r="L26" s="6" t="s">
        <v>6</v>
      </c>
      <c r="M26" s="27"/>
      <c r="N26" s="27"/>
    </row>
    <row r="27" spans="1:14" ht="18.75" customHeight="1" x14ac:dyDescent="0.15">
      <c r="A27" s="11">
        <v>24</v>
      </c>
      <c r="B27" s="2"/>
      <c r="C27" s="3"/>
      <c r="D27" s="20"/>
      <c r="E27" s="3"/>
      <c r="F27" s="4" t="str">
        <f t="shared" si="0"/>
        <v/>
      </c>
      <c r="G27" s="5"/>
      <c r="H27" s="5" t="str">
        <f t="shared" si="1"/>
        <v/>
      </c>
      <c r="I27" s="18"/>
      <c r="J27" s="8" t="s">
        <v>16</v>
      </c>
      <c r="K27" s="16" t="str">
        <f t="shared" si="2"/>
        <v/>
      </c>
      <c r="L27" s="6" t="s">
        <v>6</v>
      </c>
      <c r="M27" s="27"/>
      <c r="N27" s="27"/>
    </row>
    <row r="28" spans="1:14" ht="18.75" customHeight="1" x14ac:dyDescent="0.15">
      <c r="A28" s="11">
        <v>25</v>
      </c>
      <c r="B28" s="2"/>
      <c r="C28" s="3"/>
      <c r="D28" s="20"/>
      <c r="E28" s="3"/>
      <c r="F28" s="4" t="str">
        <f t="shared" si="0"/>
        <v/>
      </c>
      <c r="G28" s="5"/>
      <c r="H28" s="5" t="str">
        <f t="shared" si="1"/>
        <v/>
      </c>
      <c r="I28" s="18"/>
      <c r="J28" s="6" t="s">
        <v>16</v>
      </c>
      <c r="K28" s="16" t="str">
        <f t="shared" si="2"/>
        <v/>
      </c>
      <c r="L28" s="6" t="s">
        <v>6</v>
      </c>
      <c r="M28" s="27"/>
      <c r="N28" s="27"/>
    </row>
    <row r="29" spans="1:14" ht="18.75" customHeight="1" x14ac:dyDescent="0.15">
      <c r="A29" s="11">
        <v>26</v>
      </c>
      <c r="B29" s="2"/>
      <c r="C29" s="3"/>
      <c r="D29" s="20"/>
      <c r="E29" s="3"/>
      <c r="F29" s="4" t="str">
        <f t="shared" si="0"/>
        <v/>
      </c>
      <c r="G29" s="5"/>
      <c r="H29" s="5" t="str">
        <f t="shared" si="1"/>
        <v/>
      </c>
      <c r="I29" s="18"/>
      <c r="J29" s="6" t="s">
        <v>16</v>
      </c>
      <c r="K29" s="16" t="str">
        <f t="shared" si="2"/>
        <v/>
      </c>
      <c r="L29" s="6" t="s">
        <v>6</v>
      </c>
      <c r="M29" s="27"/>
      <c r="N29" s="27"/>
    </row>
    <row r="30" spans="1:14" ht="18.75" customHeight="1" x14ac:dyDescent="0.15">
      <c r="A30" s="11">
        <v>27</v>
      </c>
      <c r="B30" s="2"/>
      <c r="C30" s="3"/>
      <c r="D30" s="20"/>
      <c r="E30" s="3"/>
      <c r="F30" s="4" t="str">
        <f t="shared" si="0"/>
        <v/>
      </c>
      <c r="G30" s="5"/>
      <c r="H30" s="5" t="str">
        <f t="shared" si="1"/>
        <v/>
      </c>
      <c r="I30" s="18"/>
      <c r="J30" s="8" t="s">
        <v>16</v>
      </c>
      <c r="K30" s="16" t="str">
        <f t="shared" si="2"/>
        <v/>
      </c>
      <c r="L30" s="6" t="s">
        <v>6</v>
      </c>
      <c r="M30" s="27"/>
      <c r="N30" s="27"/>
    </row>
    <row r="31" spans="1:14" ht="18.75" customHeight="1" x14ac:dyDescent="0.15">
      <c r="A31" s="11">
        <v>28</v>
      </c>
      <c r="B31" s="2"/>
      <c r="C31" s="3"/>
      <c r="D31" s="20"/>
      <c r="E31" s="7"/>
      <c r="F31" s="4" t="str">
        <f t="shared" si="0"/>
        <v/>
      </c>
      <c r="G31" s="5"/>
      <c r="H31" s="5" t="str">
        <f t="shared" si="1"/>
        <v/>
      </c>
      <c r="I31" s="18"/>
      <c r="J31" s="6" t="s">
        <v>16</v>
      </c>
      <c r="K31" s="16" t="str">
        <f t="shared" si="2"/>
        <v/>
      </c>
      <c r="L31" s="6" t="s">
        <v>6</v>
      </c>
      <c r="M31" s="27"/>
      <c r="N31" s="27"/>
    </row>
    <row r="32" spans="1:14" ht="18.75" customHeight="1" x14ac:dyDescent="0.15">
      <c r="A32" s="11">
        <v>29</v>
      </c>
      <c r="B32" s="2"/>
      <c r="C32" s="3"/>
      <c r="D32" s="20"/>
      <c r="E32" s="3"/>
      <c r="F32" s="4" t="str">
        <f t="shared" si="0"/>
        <v/>
      </c>
      <c r="G32" s="5"/>
      <c r="H32" s="5" t="str">
        <f t="shared" si="1"/>
        <v/>
      </c>
      <c r="I32" s="18"/>
      <c r="J32" s="6" t="s">
        <v>16</v>
      </c>
      <c r="K32" s="16" t="str">
        <f t="shared" si="2"/>
        <v/>
      </c>
      <c r="L32" s="6" t="s">
        <v>6</v>
      </c>
      <c r="M32" s="27"/>
      <c r="N32" s="27"/>
    </row>
    <row r="33" spans="1:14" ht="18.75" customHeight="1" x14ac:dyDescent="0.15">
      <c r="A33" s="11">
        <v>30</v>
      </c>
      <c r="B33" s="2"/>
      <c r="C33" s="3"/>
      <c r="D33" s="20"/>
      <c r="E33" s="3"/>
      <c r="F33" s="4" t="str">
        <f t="shared" si="0"/>
        <v/>
      </c>
      <c r="G33" s="5"/>
      <c r="H33" s="5" t="str">
        <f t="shared" si="1"/>
        <v/>
      </c>
      <c r="I33" s="18"/>
      <c r="J33" s="6" t="s">
        <v>16</v>
      </c>
      <c r="K33" s="16" t="str">
        <f t="shared" si="2"/>
        <v/>
      </c>
      <c r="L33" s="6" t="s">
        <v>6</v>
      </c>
      <c r="M33" s="27"/>
      <c r="N33" s="27"/>
    </row>
    <row r="34" spans="1:14" ht="18.75" customHeight="1" x14ac:dyDescent="0.15">
      <c r="A34" s="11">
        <v>31</v>
      </c>
      <c r="B34" s="2"/>
      <c r="C34" s="3"/>
      <c r="D34" s="20"/>
      <c r="E34" s="3"/>
      <c r="F34" s="4" t="str">
        <f t="shared" si="0"/>
        <v/>
      </c>
      <c r="G34" s="5"/>
      <c r="H34" s="5" t="str">
        <f t="shared" si="1"/>
        <v/>
      </c>
      <c r="I34" s="21"/>
      <c r="J34" s="6" t="s">
        <v>16</v>
      </c>
      <c r="K34" s="16" t="str">
        <f t="shared" si="2"/>
        <v/>
      </c>
      <c r="L34" s="6" t="s">
        <v>6</v>
      </c>
      <c r="M34" s="27"/>
      <c r="N34" s="27"/>
    </row>
    <row r="35" spans="1:14" ht="18.75" customHeight="1" x14ac:dyDescent="0.15">
      <c r="A35" s="11">
        <v>32</v>
      </c>
      <c r="B35" s="2"/>
      <c r="C35" s="3"/>
      <c r="D35" s="20"/>
      <c r="E35" s="3"/>
      <c r="F35" s="4" t="str">
        <f t="shared" si="0"/>
        <v/>
      </c>
      <c r="G35" s="5"/>
      <c r="H35" s="5" t="str">
        <f t="shared" si="1"/>
        <v/>
      </c>
      <c r="I35" s="18"/>
      <c r="J35" s="6" t="s">
        <v>16</v>
      </c>
      <c r="K35" s="16" t="str">
        <f t="shared" si="2"/>
        <v/>
      </c>
      <c r="L35" s="6" t="s">
        <v>6</v>
      </c>
      <c r="M35" s="27"/>
      <c r="N35" s="27"/>
    </row>
    <row r="36" spans="1:14" ht="18.75" customHeight="1" x14ac:dyDescent="0.15">
      <c r="A36" s="11">
        <v>33</v>
      </c>
      <c r="B36" s="2"/>
      <c r="C36" s="3"/>
      <c r="D36" s="20"/>
      <c r="E36" s="7"/>
      <c r="F36" s="4" t="str">
        <f t="shared" si="0"/>
        <v/>
      </c>
      <c r="G36" s="5"/>
      <c r="H36" s="5" t="str">
        <f t="shared" si="1"/>
        <v/>
      </c>
      <c r="I36" s="17"/>
      <c r="J36" s="6" t="s">
        <v>16</v>
      </c>
      <c r="K36" s="16" t="str">
        <f t="shared" si="2"/>
        <v/>
      </c>
      <c r="L36" s="6" t="s">
        <v>6</v>
      </c>
      <c r="M36" s="27"/>
      <c r="N36" s="27"/>
    </row>
    <row r="37" spans="1:14" ht="18.75" customHeight="1" x14ac:dyDescent="0.15">
      <c r="A37" s="11">
        <v>34</v>
      </c>
      <c r="B37" s="2"/>
      <c r="C37" s="3"/>
      <c r="D37" s="20"/>
      <c r="E37" s="3"/>
      <c r="F37" s="4" t="str">
        <f t="shared" si="0"/>
        <v/>
      </c>
      <c r="G37" s="5"/>
      <c r="H37" s="5" t="str">
        <f t="shared" si="1"/>
        <v/>
      </c>
      <c r="I37" s="18"/>
      <c r="J37" s="6" t="s">
        <v>16</v>
      </c>
      <c r="K37" s="16" t="str">
        <f t="shared" si="2"/>
        <v/>
      </c>
      <c r="L37" s="6" t="s">
        <v>6</v>
      </c>
      <c r="M37" s="27"/>
      <c r="N37" s="27"/>
    </row>
    <row r="38" spans="1:14" ht="18.75" customHeight="1" x14ac:dyDescent="0.15">
      <c r="A38" s="11">
        <v>35</v>
      </c>
      <c r="B38" s="2"/>
      <c r="C38" s="3"/>
      <c r="D38" s="20"/>
      <c r="E38" s="3"/>
      <c r="F38" s="4"/>
      <c r="G38" s="5"/>
      <c r="H38" s="5"/>
      <c r="I38" s="18"/>
      <c r="J38" s="6" t="s">
        <v>16</v>
      </c>
      <c r="K38" s="16"/>
      <c r="L38" s="6" t="s">
        <v>6</v>
      </c>
      <c r="M38" s="27"/>
      <c r="N38" s="27"/>
    </row>
    <row r="39" spans="1:14" ht="18.75" customHeight="1" x14ac:dyDescent="0.15">
      <c r="A39" s="11">
        <v>36</v>
      </c>
      <c r="B39" s="2"/>
      <c r="C39" s="3"/>
      <c r="D39" s="20"/>
      <c r="E39" s="3"/>
      <c r="F39" s="4"/>
      <c r="G39" s="5"/>
      <c r="H39" s="5"/>
      <c r="I39" s="18"/>
      <c r="J39" s="6" t="s">
        <v>16</v>
      </c>
      <c r="K39" s="16"/>
      <c r="L39" s="6" t="s">
        <v>6</v>
      </c>
      <c r="M39" s="27"/>
      <c r="N39" s="27"/>
    </row>
    <row r="40" spans="1:14" ht="18.75" customHeight="1" x14ac:dyDescent="0.15">
      <c r="A40" s="11">
        <v>37</v>
      </c>
      <c r="B40" s="2"/>
      <c r="C40" s="3"/>
      <c r="D40" s="20"/>
      <c r="E40" s="3"/>
      <c r="F40" s="4"/>
      <c r="G40" s="5"/>
      <c r="H40" s="5"/>
      <c r="I40" s="18"/>
      <c r="J40" s="6" t="s">
        <v>16</v>
      </c>
      <c r="K40" s="16"/>
      <c r="L40" s="6" t="s">
        <v>6</v>
      </c>
      <c r="M40" s="27"/>
      <c r="N40" s="27"/>
    </row>
    <row r="41" spans="1:14" ht="18.75" customHeight="1" x14ac:dyDescent="0.15">
      <c r="A41" s="11">
        <v>38</v>
      </c>
      <c r="B41" s="2"/>
      <c r="C41" s="3"/>
      <c r="D41" s="20"/>
      <c r="E41" s="3"/>
      <c r="F41" s="4"/>
      <c r="G41" s="5"/>
      <c r="H41" s="5"/>
      <c r="I41" s="18"/>
      <c r="J41" s="6" t="s">
        <v>16</v>
      </c>
      <c r="K41" s="16"/>
      <c r="L41" s="6" t="s">
        <v>6</v>
      </c>
      <c r="M41" s="27"/>
      <c r="N41" s="27"/>
    </row>
    <row r="42" spans="1:14" ht="18.75" customHeight="1" x14ac:dyDescent="0.15">
      <c r="A42" s="11">
        <v>39</v>
      </c>
      <c r="B42" s="2"/>
      <c r="C42" s="3"/>
      <c r="D42" s="20"/>
      <c r="E42" s="3"/>
      <c r="F42" s="4" t="str">
        <f>IF(E42="","",E42-7*INT(E42/7))</f>
        <v/>
      </c>
      <c r="G42" s="5"/>
      <c r="H42" s="5" t="str">
        <f>IF(G42="","",G42)</f>
        <v/>
      </c>
      <c r="I42" s="18"/>
      <c r="J42" s="6" t="s">
        <v>16</v>
      </c>
      <c r="K42" s="16" t="str">
        <f>IF(I42&gt;0,I42,"")</f>
        <v/>
      </c>
      <c r="L42" s="6" t="s">
        <v>6</v>
      </c>
      <c r="M42" s="27"/>
      <c r="N42" s="27"/>
    </row>
    <row r="43" spans="1:14" ht="18.75" customHeight="1" thickBot="1" x14ac:dyDescent="0.2">
      <c r="A43" s="50">
        <v>40</v>
      </c>
      <c r="B43" s="51"/>
      <c r="C43" s="52"/>
      <c r="D43" s="63"/>
      <c r="E43" s="52"/>
      <c r="F43" s="53" t="str">
        <f>IF(E43="","",E43-7*INT(E43/7))</f>
        <v/>
      </c>
      <c r="G43" s="54"/>
      <c r="H43" s="54" t="str">
        <f>IF(G43="","",G43)</f>
        <v/>
      </c>
      <c r="I43" s="64"/>
      <c r="J43" s="56" t="s">
        <v>16</v>
      </c>
      <c r="K43" s="65" t="str">
        <f>IF(I43&gt;0,I43,"")</f>
        <v/>
      </c>
      <c r="L43" s="56" t="s">
        <v>6</v>
      </c>
      <c r="M43" s="58"/>
      <c r="N43" s="58"/>
    </row>
    <row r="44" spans="1:14" ht="18.75" customHeight="1" thickTop="1" x14ac:dyDescent="0.15">
      <c r="I44" s="62">
        <f>SUM(I4:I43)</f>
        <v>0</v>
      </c>
      <c r="J44" s="10" t="s">
        <v>17</v>
      </c>
      <c r="K44" s="24">
        <f>SUM(K4:K43)</f>
        <v>0</v>
      </c>
      <c r="L44" s="10" t="s">
        <v>6</v>
      </c>
    </row>
    <row r="45" spans="1:14" ht="20.25" customHeight="1" x14ac:dyDescent="0.15">
      <c r="B45" s="95" t="s">
        <v>13</v>
      </c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10"/>
    </row>
    <row r="46" spans="1:14" ht="21" customHeight="1" x14ac:dyDescent="0.15">
      <c r="B46" s="96" t="s">
        <v>0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10"/>
    </row>
    <row r="47" spans="1:14" ht="26.25" customHeight="1" x14ac:dyDescent="0.15">
      <c r="A47" s="11"/>
      <c r="B47" s="2" t="s">
        <v>1</v>
      </c>
      <c r="C47" s="97" t="s">
        <v>2</v>
      </c>
      <c r="D47" s="98"/>
      <c r="E47" s="99" t="s">
        <v>3</v>
      </c>
      <c r="F47" s="100"/>
      <c r="G47" s="25" t="s">
        <v>4</v>
      </c>
      <c r="H47" s="25" t="s">
        <v>7</v>
      </c>
      <c r="I47" s="101" t="s">
        <v>8</v>
      </c>
      <c r="J47" s="99"/>
      <c r="K47" s="101" t="s">
        <v>5</v>
      </c>
      <c r="L47" s="101"/>
      <c r="M47" s="26" t="s">
        <v>14</v>
      </c>
      <c r="N47" s="1" t="s">
        <v>10</v>
      </c>
    </row>
    <row r="48" spans="1:14" ht="18.75" customHeight="1" x14ac:dyDescent="0.15">
      <c r="A48" s="11">
        <v>41</v>
      </c>
      <c r="B48" s="2"/>
      <c r="C48" s="3"/>
      <c r="D48" s="14"/>
      <c r="E48" s="3"/>
      <c r="F48" s="4" t="str">
        <f t="shared" ref="F48:F81" si="3">IF(E48="","",E48-7*INT(E48/7))</f>
        <v/>
      </c>
      <c r="G48" s="5"/>
      <c r="H48" s="5" t="str">
        <f t="shared" ref="H48:H81" si="4">IF(G48="","",G48)</f>
        <v/>
      </c>
      <c r="I48" s="15"/>
      <c r="J48" s="6" t="s">
        <v>15</v>
      </c>
      <c r="K48" s="16" t="str">
        <f t="shared" ref="K48:K81" si="5">IF(I48&gt;0,I48,"")</f>
        <v/>
      </c>
      <c r="L48" s="6" t="s">
        <v>6</v>
      </c>
      <c r="M48" s="27"/>
      <c r="N48" s="27"/>
    </row>
    <row r="49" spans="1:14" ht="18.75" customHeight="1" x14ac:dyDescent="0.15">
      <c r="A49" s="11">
        <v>42</v>
      </c>
      <c r="B49" s="2"/>
      <c r="C49" s="3"/>
      <c r="D49" s="14"/>
      <c r="E49" s="7"/>
      <c r="F49" s="4" t="str">
        <f t="shared" si="3"/>
        <v/>
      </c>
      <c r="G49" s="5"/>
      <c r="H49" s="5" t="str">
        <f t="shared" si="4"/>
        <v/>
      </c>
      <c r="I49" s="17"/>
      <c r="J49" s="8" t="s">
        <v>16</v>
      </c>
      <c r="K49" s="16" t="str">
        <f t="shared" si="5"/>
        <v/>
      </c>
      <c r="L49" s="9" t="s">
        <v>6</v>
      </c>
      <c r="M49" s="27"/>
      <c r="N49" s="27"/>
    </row>
    <row r="50" spans="1:14" ht="18.75" customHeight="1" x14ac:dyDescent="0.15">
      <c r="A50" s="11">
        <v>43</v>
      </c>
      <c r="B50" s="2"/>
      <c r="C50" s="3"/>
      <c r="D50" s="14"/>
      <c r="E50" s="3"/>
      <c r="F50" s="4" t="str">
        <f t="shared" si="3"/>
        <v/>
      </c>
      <c r="G50" s="5"/>
      <c r="H50" s="5" t="str">
        <f t="shared" si="4"/>
        <v/>
      </c>
      <c r="I50" s="18"/>
      <c r="J50" s="6" t="s">
        <v>16</v>
      </c>
      <c r="K50" s="16" t="str">
        <f t="shared" si="5"/>
        <v/>
      </c>
      <c r="L50" s="6" t="s">
        <v>6</v>
      </c>
      <c r="M50" s="27"/>
      <c r="N50" s="27"/>
    </row>
    <row r="51" spans="1:14" ht="18.75" customHeight="1" x14ac:dyDescent="0.15">
      <c r="A51" s="11">
        <v>44</v>
      </c>
      <c r="B51" s="2"/>
      <c r="C51" s="3"/>
      <c r="D51" s="14"/>
      <c r="E51" s="3"/>
      <c r="F51" s="4" t="str">
        <f t="shared" si="3"/>
        <v/>
      </c>
      <c r="G51" s="5"/>
      <c r="H51" s="5" t="str">
        <f t="shared" si="4"/>
        <v/>
      </c>
      <c r="I51" s="17"/>
      <c r="J51" s="8" t="s">
        <v>16</v>
      </c>
      <c r="K51" s="16" t="str">
        <f t="shared" si="5"/>
        <v/>
      </c>
      <c r="L51" s="9" t="s">
        <v>6</v>
      </c>
      <c r="M51" s="27"/>
      <c r="N51" s="27"/>
    </row>
    <row r="52" spans="1:14" ht="18.75" customHeight="1" x14ac:dyDescent="0.15">
      <c r="A52" s="11">
        <v>45</v>
      </c>
      <c r="B52" s="2"/>
      <c r="C52" s="3"/>
      <c r="D52" s="14"/>
      <c r="E52" s="7"/>
      <c r="F52" s="4" t="str">
        <f t="shared" si="3"/>
        <v/>
      </c>
      <c r="G52" s="5"/>
      <c r="H52" s="5" t="str">
        <f t="shared" si="4"/>
        <v/>
      </c>
      <c r="I52" s="18"/>
      <c r="J52" s="6" t="s">
        <v>16</v>
      </c>
      <c r="K52" s="16" t="str">
        <f t="shared" si="5"/>
        <v/>
      </c>
      <c r="L52" s="6" t="s">
        <v>6</v>
      </c>
      <c r="M52" s="27"/>
      <c r="N52" s="27"/>
    </row>
    <row r="53" spans="1:14" ht="18.75" customHeight="1" x14ac:dyDescent="0.15">
      <c r="A53" s="11">
        <v>46</v>
      </c>
      <c r="B53" s="2"/>
      <c r="C53" s="3"/>
      <c r="D53" s="14"/>
      <c r="E53" s="3"/>
      <c r="F53" s="4" t="str">
        <f t="shared" si="3"/>
        <v/>
      </c>
      <c r="G53" s="5"/>
      <c r="H53" s="5" t="str">
        <f t="shared" si="4"/>
        <v/>
      </c>
      <c r="I53" s="18"/>
      <c r="J53" s="6" t="s">
        <v>16</v>
      </c>
      <c r="K53" s="16" t="str">
        <f t="shared" si="5"/>
        <v/>
      </c>
      <c r="L53" s="6" t="s">
        <v>6</v>
      </c>
      <c r="M53" s="27"/>
      <c r="N53" s="27"/>
    </row>
    <row r="54" spans="1:14" ht="18.75" customHeight="1" x14ac:dyDescent="0.15">
      <c r="A54" s="11">
        <v>47</v>
      </c>
      <c r="B54" s="2"/>
      <c r="C54" s="3"/>
      <c r="D54" s="14"/>
      <c r="E54" s="3"/>
      <c r="F54" s="4" t="str">
        <f t="shared" si="3"/>
        <v/>
      </c>
      <c r="G54" s="5"/>
      <c r="H54" s="5" t="str">
        <f t="shared" si="4"/>
        <v/>
      </c>
      <c r="I54" s="17"/>
      <c r="J54" s="28" t="s">
        <v>16</v>
      </c>
      <c r="K54" s="16" t="str">
        <f t="shared" si="5"/>
        <v/>
      </c>
      <c r="L54" s="28" t="s">
        <v>6</v>
      </c>
      <c r="M54" s="27"/>
      <c r="N54" s="27"/>
    </row>
    <row r="55" spans="1:14" ht="18.75" customHeight="1" x14ac:dyDescent="0.15">
      <c r="A55" s="11">
        <v>48</v>
      </c>
      <c r="B55" s="2"/>
      <c r="C55" s="3"/>
      <c r="D55" s="14"/>
      <c r="E55" s="7"/>
      <c r="F55" s="4" t="str">
        <f t="shared" si="3"/>
        <v/>
      </c>
      <c r="G55" s="5"/>
      <c r="H55" s="5" t="str">
        <f t="shared" si="4"/>
        <v/>
      </c>
      <c r="I55" s="18"/>
      <c r="J55" s="8" t="s">
        <v>16</v>
      </c>
      <c r="K55" s="16" t="str">
        <f t="shared" si="5"/>
        <v/>
      </c>
      <c r="L55" s="9" t="s">
        <v>6</v>
      </c>
      <c r="M55" s="27"/>
      <c r="N55" s="27"/>
    </row>
    <row r="56" spans="1:14" ht="18.75" customHeight="1" x14ac:dyDescent="0.15">
      <c r="A56" s="11">
        <v>49</v>
      </c>
      <c r="B56" s="2"/>
      <c r="C56" s="3"/>
      <c r="D56" s="14"/>
      <c r="E56" s="3"/>
      <c r="F56" s="4" t="str">
        <f t="shared" si="3"/>
        <v/>
      </c>
      <c r="G56" s="5"/>
      <c r="H56" s="5" t="str">
        <f t="shared" si="4"/>
        <v/>
      </c>
      <c r="I56" s="18"/>
      <c r="J56" s="6" t="s">
        <v>16</v>
      </c>
      <c r="K56" s="16" t="str">
        <f t="shared" si="5"/>
        <v/>
      </c>
      <c r="L56" s="6" t="s">
        <v>6</v>
      </c>
      <c r="M56" s="27"/>
      <c r="N56" s="27"/>
    </row>
    <row r="57" spans="1:14" ht="18.75" customHeight="1" x14ac:dyDescent="0.15">
      <c r="A57" s="11">
        <v>50</v>
      </c>
      <c r="B57" s="2"/>
      <c r="C57" s="3"/>
      <c r="D57" s="14"/>
      <c r="E57" s="7"/>
      <c r="F57" s="4" t="str">
        <f t="shared" si="3"/>
        <v/>
      </c>
      <c r="G57" s="5"/>
      <c r="H57" s="5" t="str">
        <f t="shared" si="4"/>
        <v/>
      </c>
      <c r="I57" s="18"/>
      <c r="J57" s="8" t="s">
        <v>16</v>
      </c>
      <c r="K57" s="16" t="str">
        <f t="shared" si="5"/>
        <v/>
      </c>
      <c r="L57" s="9" t="s">
        <v>6</v>
      </c>
      <c r="M57" s="27"/>
      <c r="N57" s="27"/>
    </row>
    <row r="58" spans="1:14" ht="18.75" customHeight="1" x14ac:dyDescent="0.15">
      <c r="A58" s="11">
        <v>51</v>
      </c>
      <c r="B58" s="2"/>
      <c r="C58" s="3"/>
      <c r="D58" s="14"/>
      <c r="E58" s="3"/>
      <c r="F58" s="4" t="str">
        <f t="shared" si="3"/>
        <v/>
      </c>
      <c r="G58" s="5"/>
      <c r="H58" s="5" t="str">
        <f t="shared" si="4"/>
        <v/>
      </c>
      <c r="I58" s="18"/>
      <c r="J58" s="6" t="s">
        <v>16</v>
      </c>
      <c r="K58" s="16" t="str">
        <f t="shared" si="5"/>
        <v/>
      </c>
      <c r="L58" s="6" t="s">
        <v>6</v>
      </c>
      <c r="M58" s="27"/>
      <c r="N58" s="27"/>
    </row>
    <row r="59" spans="1:14" ht="18.75" customHeight="1" x14ac:dyDescent="0.15">
      <c r="A59" s="11">
        <v>52</v>
      </c>
      <c r="B59" s="2"/>
      <c r="C59" s="3"/>
      <c r="D59" s="14"/>
      <c r="E59" s="3"/>
      <c r="F59" s="4" t="str">
        <f t="shared" si="3"/>
        <v/>
      </c>
      <c r="G59" s="5"/>
      <c r="H59" s="5" t="str">
        <f t="shared" si="4"/>
        <v/>
      </c>
      <c r="I59" s="17"/>
      <c r="J59" s="8" t="s">
        <v>16</v>
      </c>
      <c r="K59" s="16" t="str">
        <f t="shared" si="5"/>
        <v/>
      </c>
      <c r="L59" s="6" t="s">
        <v>6</v>
      </c>
      <c r="M59" s="27"/>
      <c r="N59" s="27"/>
    </row>
    <row r="60" spans="1:14" ht="18.75" customHeight="1" x14ac:dyDescent="0.15">
      <c r="A60" s="11">
        <v>53</v>
      </c>
      <c r="B60" s="2"/>
      <c r="C60" s="3"/>
      <c r="D60" s="19"/>
      <c r="E60" s="3"/>
      <c r="F60" s="4" t="str">
        <f t="shared" si="3"/>
        <v/>
      </c>
      <c r="G60" s="5"/>
      <c r="H60" s="5" t="str">
        <f t="shared" si="4"/>
        <v/>
      </c>
      <c r="I60" s="18"/>
      <c r="J60" s="6" t="s">
        <v>16</v>
      </c>
      <c r="K60" s="16" t="str">
        <f t="shared" si="5"/>
        <v/>
      </c>
      <c r="L60" s="6" t="s">
        <v>6</v>
      </c>
      <c r="M60" s="27"/>
      <c r="N60" s="27"/>
    </row>
    <row r="61" spans="1:14" ht="18.75" customHeight="1" x14ac:dyDescent="0.15">
      <c r="A61" s="11">
        <v>54</v>
      </c>
      <c r="B61" s="2"/>
      <c r="C61" s="3"/>
      <c r="D61" s="19"/>
      <c r="E61" s="3"/>
      <c r="F61" s="4" t="str">
        <f t="shared" si="3"/>
        <v/>
      </c>
      <c r="G61" s="5"/>
      <c r="H61" s="5" t="str">
        <f t="shared" si="4"/>
        <v/>
      </c>
      <c r="I61" s="18"/>
      <c r="J61" s="6" t="s">
        <v>16</v>
      </c>
      <c r="K61" s="16" t="str">
        <f t="shared" si="5"/>
        <v/>
      </c>
      <c r="L61" s="6" t="s">
        <v>6</v>
      </c>
      <c r="M61" s="27"/>
      <c r="N61" s="27"/>
    </row>
    <row r="62" spans="1:14" ht="18.75" customHeight="1" x14ac:dyDescent="0.15">
      <c r="A62" s="11">
        <v>55</v>
      </c>
      <c r="B62" s="2"/>
      <c r="C62" s="3"/>
      <c r="D62" s="19"/>
      <c r="E62" s="3"/>
      <c r="F62" s="4" t="str">
        <f t="shared" si="3"/>
        <v/>
      </c>
      <c r="G62" s="5"/>
      <c r="H62" s="5" t="str">
        <f t="shared" si="4"/>
        <v/>
      </c>
      <c r="I62" s="18"/>
      <c r="J62" s="6" t="s">
        <v>16</v>
      </c>
      <c r="K62" s="16" t="str">
        <f t="shared" si="5"/>
        <v/>
      </c>
      <c r="L62" s="9" t="s">
        <v>6</v>
      </c>
      <c r="M62" s="27"/>
      <c r="N62" s="27"/>
    </row>
    <row r="63" spans="1:14" ht="18.75" customHeight="1" x14ac:dyDescent="0.15">
      <c r="A63" s="11">
        <v>56</v>
      </c>
      <c r="B63" s="2"/>
      <c r="C63" s="3"/>
      <c r="D63" s="19"/>
      <c r="E63" s="7"/>
      <c r="F63" s="4" t="str">
        <f t="shared" si="3"/>
        <v/>
      </c>
      <c r="G63" s="5"/>
      <c r="H63" s="5" t="str">
        <f t="shared" si="4"/>
        <v/>
      </c>
      <c r="I63" s="17"/>
      <c r="J63" s="8" t="s">
        <v>16</v>
      </c>
      <c r="K63" s="16" t="str">
        <f t="shared" si="5"/>
        <v/>
      </c>
      <c r="L63" s="6" t="s">
        <v>6</v>
      </c>
      <c r="M63" s="27"/>
      <c r="N63" s="27"/>
    </row>
    <row r="64" spans="1:14" ht="18.75" customHeight="1" x14ac:dyDescent="0.15">
      <c r="A64" s="11">
        <v>57</v>
      </c>
      <c r="B64" s="2"/>
      <c r="C64" s="3"/>
      <c r="D64" s="19"/>
      <c r="E64" s="3"/>
      <c r="F64" s="4" t="str">
        <f t="shared" si="3"/>
        <v/>
      </c>
      <c r="G64" s="5"/>
      <c r="H64" s="5" t="str">
        <f t="shared" si="4"/>
        <v/>
      </c>
      <c r="I64" s="18"/>
      <c r="J64" s="6" t="s">
        <v>16</v>
      </c>
      <c r="K64" s="16" t="str">
        <f t="shared" si="5"/>
        <v/>
      </c>
      <c r="L64" s="6" t="s">
        <v>6</v>
      </c>
      <c r="M64" s="27"/>
      <c r="N64" s="27"/>
    </row>
    <row r="65" spans="1:14" ht="18.75" customHeight="1" x14ac:dyDescent="0.15">
      <c r="A65" s="11">
        <v>58</v>
      </c>
      <c r="B65" s="2"/>
      <c r="C65" s="3"/>
      <c r="D65" s="19"/>
      <c r="E65" s="3"/>
      <c r="F65" s="4" t="str">
        <f t="shared" si="3"/>
        <v/>
      </c>
      <c r="G65" s="5"/>
      <c r="H65" s="5" t="str">
        <f t="shared" si="4"/>
        <v/>
      </c>
      <c r="I65" s="18"/>
      <c r="J65" s="6" t="s">
        <v>16</v>
      </c>
      <c r="K65" s="16" t="str">
        <f t="shared" si="5"/>
        <v/>
      </c>
      <c r="L65" s="6" t="s">
        <v>6</v>
      </c>
      <c r="M65" s="27"/>
      <c r="N65" s="27"/>
    </row>
    <row r="66" spans="1:14" ht="18.75" customHeight="1" x14ac:dyDescent="0.15">
      <c r="A66" s="11">
        <v>59</v>
      </c>
      <c r="B66" s="2"/>
      <c r="C66" s="3"/>
      <c r="D66" s="19"/>
      <c r="E66" s="3"/>
      <c r="F66" s="4" t="str">
        <f t="shared" si="3"/>
        <v/>
      </c>
      <c r="G66" s="5"/>
      <c r="H66" s="5" t="str">
        <f t="shared" si="4"/>
        <v/>
      </c>
      <c r="I66" s="18"/>
      <c r="J66" s="6" t="s">
        <v>16</v>
      </c>
      <c r="K66" s="16" t="str">
        <f t="shared" si="5"/>
        <v/>
      </c>
      <c r="L66" s="6" t="s">
        <v>6</v>
      </c>
      <c r="M66" s="27"/>
      <c r="N66" s="27"/>
    </row>
    <row r="67" spans="1:14" ht="18.75" customHeight="1" x14ac:dyDescent="0.15">
      <c r="A67" s="11">
        <v>60</v>
      </c>
      <c r="B67" s="2"/>
      <c r="C67" s="3"/>
      <c r="D67" s="20"/>
      <c r="E67" s="3"/>
      <c r="F67" s="4" t="str">
        <f t="shared" si="3"/>
        <v/>
      </c>
      <c r="G67" s="5"/>
      <c r="H67" s="5" t="str">
        <f t="shared" si="4"/>
        <v/>
      </c>
      <c r="I67" s="18"/>
      <c r="J67" s="6" t="s">
        <v>11</v>
      </c>
      <c r="K67" s="16" t="str">
        <f t="shared" si="5"/>
        <v/>
      </c>
      <c r="L67" s="6" t="s">
        <v>6</v>
      </c>
      <c r="M67" s="27"/>
      <c r="N67" s="27"/>
    </row>
    <row r="68" spans="1:14" ht="18.75" customHeight="1" x14ac:dyDescent="0.15">
      <c r="A68" s="11">
        <v>61</v>
      </c>
      <c r="B68" s="2"/>
      <c r="C68" s="3"/>
      <c r="D68" s="20"/>
      <c r="E68" s="3"/>
      <c r="F68" s="4" t="str">
        <f t="shared" si="3"/>
        <v/>
      </c>
      <c r="G68" s="5"/>
      <c r="H68" s="5" t="str">
        <f t="shared" si="4"/>
        <v/>
      </c>
      <c r="I68" s="18"/>
      <c r="J68" s="8" t="s">
        <v>11</v>
      </c>
      <c r="K68" s="16" t="str">
        <f t="shared" si="5"/>
        <v/>
      </c>
      <c r="L68" s="6" t="s">
        <v>6</v>
      </c>
      <c r="M68" s="27"/>
      <c r="N68" s="27"/>
    </row>
    <row r="69" spans="1:14" ht="18.75" customHeight="1" x14ac:dyDescent="0.15">
      <c r="A69" s="11">
        <v>62</v>
      </c>
      <c r="B69" s="2"/>
      <c r="C69" s="3"/>
      <c r="D69" s="20"/>
      <c r="E69" s="3"/>
      <c r="F69" s="4" t="str">
        <f t="shared" si="3"/>
        <v/>
      </c>
      <c r="G69" s="5"/>
      <c r="H69" s="5" t="str">
        <f t="shared" si="4"/>
        <v/>
      </c>
      <c r="I69" s="18"/>
      <c r="J69" s="6" t="s">
        <v>11</v>
      </c>
      <c r="K69" s="16" t="str">
        <f t="shared" si="5"/>
        <v/>
      </c>
      <c r="L69" s="6" t="s">
        <v>6</v>
      </c>
      <c r="M69" s="27"/>
      <c r="N69" s="27"/>
    </row>
    <row r="70" spans="1:14" ht="18.75" customHeight="1" x14ac:dyDescent="0.15">
      <c r="A70" s="11">
        <v>63</v>
      </c>
      <c r="B70" s="2"/>
      <c r="C70" s="3"/>
      <c r="D70" s="20"/>
      <c r="E70" s="3"/>
      <c r="F70" s="4" t="str">
        <f t="shared" si="3"/>
        <v/>
      </c>
      <c r="G70" s="5"/>
      <c r="H70" s="5" t="str">
        <f t="shared" si="4"/>
        <v/>
      </c>
      <c r="I70" s="18"/>
      <c r="J70" s="6" t="s">
        <v>16</v>
      </c>
      <c r="K70" s="16" t="str">
        <f t="shared" si="5"/>
        <v/>
      </c>
      <c r="L70" s="6" t="s">
        <v>6</v>
      </c>
      <c r="M70" s="27"/>
      <c r="N70" s="27"/>
    </row>
    <row r="71" spans="1:14" ht="18.75" customHeight="1" x14ac:dyDescent="0.15">
      <c r="A71" s="11">
        <v>64</v>
      </c>
      <c r="B71" s="2"/>
      <c r="C71" s="3"/>
      <c r="D71" s="20"/>
      <c r="E71" s="3"/>
      <c r="F71" s="4" t="str">
        <f t="shared" si="3"/>
        <v/>
      </c>
      <c r="G71" s="5"/>
      <c r="H71" s="5" t="str">
        <f t="shared" si="4"/>
        <v/>
      </c>
      <c r="I71" s="18"/>
      <c r="J71" s="8" t="s">
        <v>16</v>
      </c>
      <c r="K71" s="16" t="str">
        <f t="shared" si="5"/>
        <v/>
      </c>
      <c r="L71" s="6" t="s">
        <v>6</v>
      </c>
      <c r="M71" s="27"/>
      <c r="N71" s="27"/>
    </row>
    <row r="72" spans="1:14" ht="18.75" customHeight="1" x14ac:dyDescent="0.15">
      <c r="A72" s="11">
        <v>65</v>
      </c>
      <c r="B72" s="2"/>
      <c r="C72" s="3"/>
      <c r="D72" s="20"/>
      <c r="E72" s="3"/>
      <c r="F72" s="4" t="str">
        <f t="shared" si="3"/>
        <v/>
      </c>
      <c r="G72" s="5"/>
      <c r="H72" s="5" t="str">
        <f t="shared" si="4"/>
        <v/>
      </c>
      <c r="I72" s="18"/>
      <c r="J72" s="6" t="s">
        <v>16</v>
      </c>
      <c r="K72" s="16" t="str">
        <f t="shared" si="5"/>
        <v/>
      </c>
      <c r="L72" s="6" t="s">
        <v>6</v>
      </c>
      <c r="M72" s="27"/>
      <c r="N72" s="27"/>
    </row>
    <row r="73" spans="1:14" ht="18.75" customHeight="1" x14ac:dyDescent="0.15">
      <c r="A73" s="11">
        <v>66</v>
      </c>
      <c r="B73" s="2"/>
      <c r="C73" s="3"/>
      <c r="D73" s="20"/>
      <c r="E73" s="3"/>
      <c r="F73" s="4" t="str">
        <f t="shared" si="3"/>
        <v/>
      </c>
      <c r="G73" s="5"/>
      <c r="H73" s="5" t="str">
        <f t="shared" si="4"/>
        <v/>
      </c>
      <c r="I73" s="18"/>
      <c r="J73" s="6" t="s">
        <v>16</v>
      </c>
      <c r="K73" s="16" t="str">
        <f t="shared" si="5"/>
        <v/>
      </c>
      <c r="L73" s="6" t="s">
        <v>6</v>
      </c>
      <c r="M73" s="27"/>
      <c r="N73" s="27"/>
    </row>
    <row r="74" spans="1:14" ht="18.75" customHeight="1" x14ac:dyDescent="0.15">
      <c r="A74" s="11">
        <v>67</v>
      </c>
      <c r="B74" s="2"/>
      <c r="C74" s="3"/>
      <c r="D74" s="20"/>
      <c r="E74" s="3"/>
      <c r="F74" s="4" t="str">
        <f t="shared" si="3"/>
        <v/>
      </c>
      <c r="G74" s="5"/>
      <c r="H74" s="5" t="str">
        <f t="shared" si="4"/>
        <v/>
      </c>
      <c r="I74" s="18"/>
      <c r="J74" s="8" t="s">
        <v>16</v>
      </c>
      <c r="K74" s="16" t="str">
        <f t="shared" si="5"/>
        <v/>
      </c>
      <c r="L74" s="6" t="s">
        <v>6</v>
      </c>
      <c r="M74" s="27"/>
      <c r="N74" s="27"/>
    </row>
    <row r="75" spans="1:14" ht="18.75" customHeight="1" x14ac:dyDescent="0.15">
      <c r="A75" s="11">
        <v>68</v>
      </c>
      <c r="B75" s="2"/>
      <c r="C75" s="3"/>
      <c r="D75" s="20"/>
      <c r="E75" s="7"/>
      <c r="F75" s="4" t="str">
        <f t="shared" si="3"/>
        <v/>
      </c>
      <c r="G75" s="5"/>
      <c r="H75" s="5" t="str">
        <f t="shared" si="4"/>
        <v/>
      </c>
      <c r="I75" s="18"/>
      <c r="J75" s="6" t="s">
        <v>16</v>
      </c>
      <c r="K75" s="16" t="str">
        <f t="shared" si="5"/>
        <v/>
      </c>
      <c r="L75" s="6" t="s">
        <v>6</v>
      </c>
      <c r="M75" s="27"/>
      <c r="N75" s="27"/>
    </row>
    <row r="76" spans="1:14" ht="18.75" customHeight="1" x14ac:dyDescent="0.15">
      <c r="A76" s="11">
        <v>69</v>
      </c>
      <c r="B76" s="2"/>
      <c r="C76" s="3"/>
      <c r="D76" s="20"/>
      <c r="E76" s="3"/>
      <c r="F76" s="4" t="str">
        <f t="shared" si="3"/>
        <v/>
      </c>
      <c r="G76" s="5"/>
      <c r="H76" s="5" t="str">
        <f t="shared" si="4"/>
        <v/>
      </c>
      <c r="I76" s="18"/>
      <c r="J76" s="6" t="s">
        <v>16</v>
      </c>
      <c r="K76" s="16" t="str">
        <f t="shared" si="5"/>
        <v/>
      </c>
      <c r="L76" s="6" t="s">
        <v>6</v>
      </c>
      <c r="M76" s="27"/>
      <c r="N76" s="27"/>
    </row>
    <row r="77" spans="1:14" ht="18.75" customHeight="1" x14ac:dyDescent="0.15">
      <c r="A77" s="11">
        <v>70</v>
      </c>
      <c r="B77" s="2"/>
      <c r="C77" s="3"/>
      <c r="D77" s="20"/>
      <c r="E77" s="3"/>
      <c r="F77" s="4" t="str">
        <f t="shared" si="3"/>
        <v/>
      </c>
      <c r="G77" s="5"/>
      <c r="H77" s="5" t="str">
        <f t="shared" si="4"/>
        <v/>
      </c>
      <c r="I77" s="18"/>
      <c r="J77" s="6" t="s">
        <v>16</v>
      </c>
      <c r="K77" s="16" t="str">
        <f t="shared" si="5"/>
        <v/>
      </c>
      <c r="L77" s="6" t="s">
        <v>6</v>
      </c>
      <c r="M77" s="27"/>
      <c r="N77" s="27"/>
    </row>
    <row r="78" spans="1:14" ht="18.75" customHeight="1" x14ac:dyDescent="0.15">
      <c r="A78" s="11">
        <v>71</v>
      </c>
      <c r="B78" s="2"/>
      <c r="C78" s="3"/>
      <c r="D78" s="20"/>
      <c r="E78" s="3"/>
      <c r="F78" s="4" t="str">
        <f t="shared" si="3"/>
        <v/>
      </c>
      <c r="G78" s="5"/>
      <c r="H78" s="5" t="str">
        <f t="shared" si="4"/>
        <v/>
      </c>
      <c r="I78" s="21"/>
      <c r="J78" s="6" t="s">
        <v>16</v>
      </c>
      <c r="K78" s="16" t="str">
        <f t="shared" si="5"/>
        <v/>
      </c>
      <c r="L78" s="6" t="s">
        <v>6</v>
      </c>
      <c r="M78" s="27"/>
      <c r="N78" s="27"/>
    </row>
    <row r="79" spans="1:14" ht="18.75" customHeight="1" x14ac:dyDescent="0.15">
      <c r="A79" s="11">
        <v>72</v>
      </c>
      <c r="B79" s="2"/>
      <c r="C79" s="3"/>
      <c r="D79" s="20"/>
      <c r="E79" s="3"/>
      <c r="F79" s="4" t="str">
        <f t="shared" si="3"/>
        <v/>
      </c>
      <c r="G79" s="5"/>
      <c r="H79" s="5" t="str">
        <f t="shared" si="4"/>
        <v/>
      </c>
      <c r="I79" s="18"/>
      <c r="J79" s="6" t="s">
        <v>16</v>
      </c>
      <c r="K79" s="16" t="str">
        <f t="shared" si="5"/>
        <v/>
      </c>
      <c r="L79" s="6" t="s">
        <v>6</v>
      </c>
      <c r="M79" s="27"/>
      <c r="N79" s="27"/>
    </row>
    <row r="80" spans="1:14" ht="18.75" customHeight="1" x14ac:dyDescent="0.15">
      <c r="A80" s="11">
        <v>73</v>
      </c>
      <c r="B80" s="2"/>
      <c r="C80" s="3"/>
      <c r="D80" s="20"/>
      <c r="E80" s="7"/>
      <c r="F80" s="4" t="str">
        <f t="shared" si="3"/>
        <v/>
      </c>
      <c r="G80" s="5"/>
      <c r="H80" s="5" t="str">
        <f t="shared" si="4"/>
        <v/>
      </c>
      <c r="I80" s="17"/>
      <c r="J80" s="6" t="s">
        <v>16</v>
      </c>
      <c r="K80" s="16" t="str">
        <f t="shared" si="5"/>
        <v/>
      </c>
      <c r="L80" s="6" t="s">
        <v>6</v>
      </c>
      <c r="M80" s="27"/>
      <c r="N80" s="27"/>
    </row>
    <row r="81" spans="1:14" ht="18.75" customHeight="1" x14ac:dyDescent="0.15">
      <c r="A81" s="11">
        <v>74</v>
      </c>
      <c r="B81" s="2"/>
      <c r="C81" s="3"/>
      <c r="D81" s="20"/>
      <c r="E81" s="3"/>
      <c r="F81" s="4" t="str">
        <f t="shared" si="3"/>
        <v/>
      </c>
      <c r="G81" s="5"/>
      <c r="H81" s="5" t="str">
        <f t="shared" si="4"/>
        <v/>
      </c>
      <c r="I81" s="18"/>
      <c r="J81" s="6" t="s">
        <v>16</v>
      </c>
      <c r="K81" s="16" t="str">
        <f t="shared" si="5"/>
        <v/>
      </c>
      <c r="L81" s="6" t="s">
        <v>6</v>
      </c>
      <c r="M81" s="27"/>
      <c r="N81" s="27"/>
    </row>
    <row r="82" spans="1:14" ht="18.75" customHeight="1" x14ac:dyDescent="0.15">
      <c r="A82" s="11">
        <v>75</v>
      </c>
      <c r="B82" s="2"/>
      <c r="C82" s="3"/>
      <c r="D82" s="20"/>
      <c r="E82" s="3"/>
      <c r="F82" s="4"/>
      <c r="G82" s="5"/>
      <c r="H82" s="5"/>
      <c r="I82" s="18"/>
      <c r="J82" s="6" t="s">
        <v>16</v>
      </c>
      <c r="K82" s="16"/>
      <c r="L82" s="6" t="s">
        <v>6</v>
      </c>
      <c r="M82" s="27"/>
      <c r="N82" s="27"/>
    </row>
    <row r="83" spans="1:14" ht="18.75" customHeight="1" x14ac:dyDescent="0.15">
      <c r="A83" s="11">
        <v>76</v>
      </c>
      <c r="B83" s="2"/>
      <c r="C83" s="3"/>
      <c r="D83" s="20"/>
      <c r="E83" s="3"/>
      <c r="F83" s="4"/>
      <c r="G83" s="5"/>
      <c r="H83" s="5"/>
      <c r="I83" s="18"/>
      <c r="J83" s="6" t="s">
        <v>16</v>
      </c>
      <c r="K83" s="16"/>
      <c r="L83" s="6" t="s">
        <v>6</v>
      </c>
      <c r="M83" s="27"/>
      <c r="N83" s="27"/>
    </row>
    <row r="84" spans="1:14" ht="18.75" customHeight="1" x14ac:dyDescent="0.15">
      <c r="A84" s="11">
        <v>77</v>
      </c>
      <c r="B84" s="2"/>
      <c r="C84" s="3"/>
      <c r="D84" s="20"/>
      <c r="E84" s="3"/>
      <c r="F84" s="4"/>
      <c r="G84" s="5"/>
      <c r="H84" s="5"/>
      <c r="I84" s="18"/>
      <c r="J84" s="6" t="s">
        <v>16</v>
      </c>
      <c r="K84" s="16"/>
      <c r="L84" s="6" t="s">
        <v>6</v>
      </c>
      <c r="M84" s="27"/>
      <c r="N84" s="27"/>
    </row>
    <row r="85" spans="1:14" ht="18.75" customHeight="1" x14ac:dyDescent="0.15">
      <c r="A85" s="11">
        <v>78</v>
      </c>
      <c r="B85" s="2"/>
      <c r="C85" s="3"/>
      <c r="D85" s="20"/>
      <c r="E85" s="3"/>
      <c r="F85" s="4"/>
      <c r="G85" s="5"/>
      <c r="H85" s="5"/>
      <c r="I85" s="18"/>
      <c r="J85" s="6" t="s">
        <v>16</v>
      </c>
      <c r="K85" s="16"/>
      <c r="L85" s="6" t="s">
        <v>6</v>
      </c>
      <c r="M85" s="27"/>
      <c r="N85" s="27"/>
    </row>
    <row r="86" spans="1:14" ht="18.75" customHeight="1" x14ac:dyDescent="0.15">
      <c r="A86" s="11">
        <v>79</v>
      </c>
      <c r="B86" s="2"/>
      <c r="C86" s="3"/>
      <c r="D86" s="20"/>
      <c r="E86" s="3"/>
      <c r="F86" s="4" t="str">
        <f>IF(E86="","",E86-7*INT(E86/7))</f>
        <v/>
      </c>
      <c r="G86" s="5"/>
      <c r="H86" s="5" t="str">
        <f>IF(G86="","",G86)</f>
        <v/>
      </c>
      <c r="I86" s="18"/>
      <c r="J86" s="6" t="s">
        <v>16</v>
      </c>
      <c r="K86" s="16" t="str">
        <f>IF(I86&gt;0,I86,"")</f>
        <v/>
      </c>
      <c r="L86" s="6" t="s">
        <v>6</v>
      </c>
      <c r="M86" s="27"/>
      <c r="N86" s="27"/>
    </row>
    <row r="87" spans="1:14" ht="18.75" customHeight="1" x14ac:dyDescent="0.15">
      <c r="A87" s="11">
        <v>80</v>
      </c>
      <c r="B87" s="2"/>
      <c r="C87" s="3"/>
      <c r="D87" s="20"/>
      <c r="E87" s="3"/>
      <c r="F87" s="4" t="str">
        <f>IF(E87="","",E87-7*INT(E87/7))</f>
        <v/>
      </c>
      <c r="G87" s="5"/>
      <c r="H87" s="5" t="str">
        <f>IF(G87="","",G87)</f>
        <v/>
      </c>
      <c r="I87" s="18"/>
      <c r="J87" s="6" t="s">
        <v>16</v>
      </c>
      <c r="K87" s="22" t="str">
        <f>IF(I87&gt;0,I87,"")</f>
        <v/>
      </c>
      <c r="L87" s="6" t="s">
        <v>6</v>
      </c>
      <c r="M87" s="27"/>
      <c r="N87" s="27"/>
    </row>
    <row r="88" spans="1:14" ht="18.75" customHeight="1" x14ac:dyDescent="0.15">
      <c r="I88" s="23">
        <f>SUM(I48:I87)+I44</f>
        <v>0</v>
      </c>
      <c r="J88" s="10" t="s">
        <v>17</v>
      </c>
      <c r="K88" s="24">
        <f>SUM(K48:K87)+K44</f>
        <v>0</v>
      </c>
      <c r="L88" s="10" t="s">
        <v>6</v>
      </c>
    </row>
  </sheetData>
  <mergeCells count="12">
    <mergeCell ref="B1:M1"/>
    <mergeCell ref="B2:M2"/>
    <mergeCell ref="C3:D3"/>
    <mergeCell ref="E3:F3"/>
    <mergeCell ref="I3:J3"/>
    <mergeCell ref="K3:L3"/>
    <mergeCell ref="B46:M46"/>
    <mergeCell ref="B45:M45"/>
    <mergeCell ref="C47:D47"/>
    <mergeCell ref="E47:F47"/>
    <mergeCell ref="I47:J47"/>
    <mergeCell ref="K47:L47"/>
  </mergeCells>
  <phoneticPr fontId="2"/>
  <dataValidations count="3">
    <dataValidation imeMode="on" allowBlank="1" showInputMessage="1" showErrorMessage="1" sqref="B48:C87 B4:C43" xr:uid="{8AD0863D-5BE1-4B8B-B85D-178BB7F062FE}"/>
    <dataValidation imeMode="disabled" allowBlank="1" showInputMessage="1" showErrorMessage="1" sqref="E48:E87 E4:E43 G4:N43 G48:N87" xr:uid="{A2F47C30-B9F9-47BB-8795-450C9D416431}"/>
    <dataValidation type="list" imeMode="on" allowBlank="1" showInputMessage="1" showErrorMessage="1" promptTitle="こんにちは" sqref="D48:D87 D4:D43" xr:uid="{8ECE86A5-77FE-4A24-B649-A5D354C21F72}">
      <formula1>"鴛泊下水浄化センター,沓形浄化センター"</formula1>
    </dataValidation>
  </dataValidations>
  <printOptions horizontalCentered="1" verticalCentered="1"/>
  <pageMargins left="0.59055118110236227" right="0.59055118110236227" top="0.59055118110236227" bottom="0.59055118110236227" header="0.51181102362204722" footer="0.51181102362204722"/>
  <pageSetup paperSize="9" orientation="portrait" horizontalDpi="4294967293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4241D-E214-4B5E-80D3-0268EC2C7FB7}">
  <dimension ref="A1:N88"/>
  <sheetViews>
    <sheetView workbookViewId="0">
      <selection activeCell="O19" sqref="O19"/>
    </sheetView>
  </sheetViews>
  <sheetFormatPr defaultRowHeight="13.5" x14ac:dyDescent="0.15"/>
  <cols>
    <col min="1" max="1" width="3.375" style="12" customWidth="1"/>
    <col min="2" max="2" width="11" style="10" customWidth="1"/>
    <col min="3" max="3" width="1" style="10" customWidth="1"/>
    <col min="4" max="4" width="15.625" style="10" customWidth="1"/>
    <col min="5" max="5" width="10.125" style="10" customWidth="1"/>
    <col min="6" max="6" width="2.25" style="10" customWidth="1"/>
    <col min="7" max="8" width="8.625" style="10" customWidth="1"/>
    <col min="9" max="9" width="6" style="13" customWidth="1"/>
    <col min="10" max="10" width="2.375" style="10" customWidth="1"/>
    <col min="11" max="11" width="6.125" style="10" customWidth="1"/>
    <col min="12" max="12" width="2.25" style="10" customWidth="1"/>
    <col min="13" max="14" width="6.25" style="12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4" ht="20.25" customHeight="1" x14ac:dyDescent="0.15">
      <c r="B1" s="95" t="s">
        <v>13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10"/>
    </row>
    <row r="2" spans="1:14" ht="21" customHeight="1" x14ac:dyDescent="0.15"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10"/>
    </row>
    <row r="3" spans="1:14" ht="26.25" customHeight="1" x14ac:dyDescent="0.15">
      <c r="A3" s="11"/>
      <c r="B3" s="2" t="s">
        <v>1</v>
      </c>
      <c r="C3" s="97" t="s">
        <v>2</v>
      </c>
      <c r="D3" s="98"/>
      <c r="E3" s="99" t="s">
        <v>3</v>
      </c>
      <c r="F3" s="100"/>
      <c r="G3" s="25" t="s">
        <v>4</v>
      </c>
      <c r="H3" s="25" t="s">
        <v>7</v>
      </c>
      <c r="I3" s="101" t="s">
        <v>8</v>
      </c>
      <c r="J3" s="99"/>
      <c r="K3" s="101" t="s">
        <v>5</v>
      </c>
      <c r="L3" s="101"/>
      <c r="M3" s="26" t="s">
        <v>14</v>
      </c>
      <c r="N3" s="1" t="s">
        <v>10</v>
      </c>
    </row>
    <row r="4" spans="1:14" ht="18.75" customHeight="1" x14ac:dyDescent="0.15">
      <c r="A4" s="11">
        <v>1</v>
      </c>
      <c r="B4" s="2" t="s">
        <v>12</v>
      </c>
      <c r="C4" s="3"/>
      <c r="D4" s="71"/>
      <c r="E4" s="3"/>
      <c r="F4" s="4" t="str">
        <f t="shared" ref="F4:F37" si="0">IF(E4="","",E4-7*INT(E4/7))</f>
        <v/>
      </c>
      <c r="G4" s="5"/>
      <c r="H4" s="5" t="str">
        <f t="shared" ref="H4:H37" si="1">IF(G4="","",G4)</f>
        <v/>
      </c>
      <c r="I4" s="15"/>
      <c r="J4" s="6" t="s">
        <v>15</v>
      </c>
      <c r="K4" s="16" t="str">
        <f t="shared" ref="K4:K37" si="2">IF(I4&gt;0,I4,"")</f>
        <v/>
      </c>
      <c r="L4" s="6" t="s">
        <v>6</v>
      </c>
      <c r="M4" s="27"/>
      <c r="N4" s="27"/>
    </row>
    <row r="5" spans="1:14" ht="18.75" customHeight="1" x14ac:dyDescent="0.15">
      <c r="A5" s="11">
        <v>2</v>
      </c>
      <c r="B5" s="2" t="s">
        <v>12</v>
      </c>
      <c r="C5" s="3"/>
      <c r="D5" s="71"/>
      <c r="E5" s="7"/>
      <c r="F5" s="4" t="str">
        <f t="shared" si="0"/>
        <v/>
      </c>
      <c r="G5" s="5"/>
      <c r="H5" s="5" t="str">
        <f t="shared" si="1"/>
        <v/>
      </c>
      <c r="I5" s="17"/>
      <c r="J5" s="8" t="s">
        <v>16</v>
      </c>
      <c r="K5" s="16" t="str">
        <f t="shared" si="2"/>
        <v/>
      </c>
      <c r="L5" s="9" t="s">
        <v>6</v>
      </c>
      <c r="M5" s="27"/>
      <c r="N5" s="27"/>
    </row>
    <row r="6" spans="1:14" ht="18.75" customHeight="1" x14ac:dyDescent="0.15">
      <c r="A6" s="11">
        <v>3</v>
      </c>
      <c r="B6" s="2" t="s">
        <v>12</v>
      </c>
      <c r="C6" s="3"/>
      <c r="D6" s="71"/>
      <c r="E6" s="3"/>
      <c r="F6" s="4" t="str">
        <f t="shared" si="0"/>
        <v/>
      </c>
      <c r="G6" s="5"/>
      <c r="H6" s="5" t="str">
        <f t="shared" si="1"/>
        <v/>
      </c>
      <c r="I6" s="18"/>
      <c r="J6" s="6" t="s">
        <v>16</v>
      </c>
      <c r="K6" s="16" t="str">
        <f t="shared" si="2"/>
        <v/>
      </c>
      <c r="L6" s="6" t="s">
        <v>6</v>
      </c>
      <c r="M6" s="27"/>
      <c r="N6" s="27"/>
    </row>
    <row r="7" spans="1:14" ht="18.75" customHeight="1" x14ac:dyDescent="0.15">
      <c r="A7" s="11">
        <v>4</v>
      </c>
      <c r="B7" s="2" t="s">
        <v>12</v>
      </c>
      <c r="C7" s="3"/>
      <c r="D7" s="71"/>
      <c r="E7" s="3"/>
      <c r="F7" s="4" t="str">
        <f t="shared" si="0"/>
        <v/>
      </c>
      <c r="G7" s="5"/>
      <c r="H7" s="5" t="str">
        <f t="shared" si="1"/>
        <v/>
      </c>
      <c r="I7" s="17"/>
      <c r="J7" s="8" t="s">
        <v>16</v>
      </c>
      <c r="K7" s="16" t="str">
        <f t="shared" si="2"/>
        <v/>
      </c>
      <c r="L7" s="9" t="s">
        <v>6</v>
      </c>
      <c r="M7" s="27"/>
      <c r="N7" s="27"/>
    </row>
    <row r="8" spans="1:14" ht="18.75" customHeight="1" x14ac:dyDescent="0.15">
      <c r="A8" s="11">
        <v>5</v>
      </c>
      <c r="B8" s="2" t="s">
        <v>12</v>
      </c>
      <c r="C8" s="3"/>
      <c r="D8" s="71"/>
      <c r="E8" s="7"/>
      <c r="F8" s="4" t="str">
        <f t="shared" si="0"/>
        <v/>
      </c>
      <c r="G8" s="5"/>
      <c r="H8" s="5" t="str">
        <f t="shared" si="1"/>
        <v/>
      </c>
      <c r="I8" s="18"/>
      <c r="J8" s="6" t="s">
        <v>16</v>
      </c>
      <c r="K8" s="16" t="str">
        <f t="shared" si="2"/>
        <v/>
      </c>
      <c r="L8" s="6" t="s">
        <v>6</v>
      </c>
      <c r="M8" s="27"/>
      <c r="N8" s="27"/>
    </row>
    <row r="9" spans="1:14" ht="18.75" customHeight="1" x14ac:dyDescent="0.15">
      <c r="A9" s="11">
        <v>6</v>
      </c>
      <c r="B9" s="2" t="s">
        <v>12</v>
      </c>
      <c r="C9" s="3"/>
      <c r="D9" s="71"/>
      <c r="E9" s="3"/>
      <c r="F9" s="4" t="str">
        <f t="shared" si="0"/>
        <v/>
      </c>
      <c r="G9" s="5"/>
      <c r="H9" s="5" t="str">
        <f t="shared" si="1"/>
        <v/>
      </c>
      <c r="I9" s="18"/>
      <c r="J9" s="6" t="s">
        <v>16</v>
      </c>
      <c r="K9" s="16" t="str">
        <f t="shared" si="2"/>
        <v/>
      </c>
      <c r="L9" s="6" t="s">
        <v>6</v>
      </c>
      <c r="M9" s="27"/>
      <c r="N9" s="27"/>
    </row>
    <row r="10" spans="1:14" ht="18.75" customHeight="1" x14ac:dyDescent="0.15">
      <c r="A10" s="11">
        <v>7</v>
      </c>
      <c r="B10" s="2" t="s">
        <v>12</v>
      </c>
      <c r="C10" s="3"/>
      <c r="D10" s="71"/>
      <c r="E10" s="3"/>
      <c r="F10" s="4" t="str">
        <f t="shared" si="0"/>
        <v/>
      </c>
      <c r="G10" s="5"/>
      <c r="H10" s="5" t="str">
        <f t="shared" si="1"/>
        <v/>
      </c>
      <c r="I10" s="17"/>
      <c r="J10" s="28" t="s">
        <v>16</v>
      </c>
      <c r="K10" s="16" t="str">
        <f t="shared" si="2"/>
        <v/>
      </c>
      <c r="L10" s="28" t="s">
        <v>6</v>
      </c>
      <c r="M10" s="27"/>
      <c r="N10" s="27"/>
    </row>
    <row r="11" spans="1:14" ht="18.75" customHeight="1" x14ac:dyDescent="0.15">
      <c r="A11" s="11">
        <v>8</v>
      </c>
      <c r="B11" s="2" t="s">
        <v>12</v>
      </c>
      <c r="C11" s="3"/>
      <c r="D11" s="71"/>
      <c r="E11" s="7"/>
      <c r="F11" s="4" t="str">
        <f t="shared" si="0"/>
        <v/>
      </c>
      <c r="G11" s="5"/>
      <c r="H11" s="5" t="str">
        <f t="shared" si="1"/>
        <v/>
      </c>
      <c r="I11" s="18"/>
      <c r="J11" s="8" t="s">
        <v>16</v>
      </c>
      <c r="K11" s="16" t="str">
        <f t="shared" si="2"/>
        <v/>
      </c>
      <c r="L11" s="9" t="s">
        <v>6</v>
      </c>
      <c r="M11" s="27"/>
      <c r="N11" s="27"/>
    </row>
    <row r="12" spans="1:14" ht="18.75" customHeight="1" x14ac:dyDescent="0.15">
      <c r="A12" s="11">
        <v>9</v>
      </c>
      <c r="B12" s="2"/>
      <c r="C12" s="3"/>
      <c r="D12" s="71"/>
      <c r="E12" s="3"/>
      <c r="F12" s="4" t="str">
        <f t="shared" si="0"/>
        <v/>
      </c>
      <c r="G12" s="5"/>
      <c r="H12" s="5" t="str">
        <f t="shared" si="1"/>
        <v/>
      </c>
      <c r="I12" s="18"/>
      <c r="J12" s="6" t="s">
        <v>16</v>
      </c>
      <c r="K12" s="16" t="str">
        <f t="shared" si="2"/>
        <v/>
      </c>
      <c r="L12" s="6" t="s">
        <v>6</v>
      </c>
      <c r="M12" s="27"/>
      <c r="N12" s="27"/>
    </row>
    <row r="13" spans="1:14" ht="18.75" customHeight="1" x14ac:dyDescent="0.15">
      <c r="A13" s="11">
        <v>10</v>
      </c>
      <c r="B13" s="2"/>
      <c r="C13" s="3"/>
      <c r="D13" s="71"/>
      <c r="E13" s="7"/>
      <c r="F13" s="4" t="str">
        <f t="shared" si="0"/>
        <v/>
      </c>
      <c r="G13" s="5"/>
      <c r="H13" s="5" t="str">
        <f t="shared" si="1"/>
        <v/>
      </c>
      <c r="I13" s="18"/>
      <c r="J13" s="8" t="s">
        <v>16</v>
      </c>
      <c r="K13" s="16" t="str">
        <f t="shared" si="2"/>
        <v/>
      </c>
      <c r="L13" s="9" t="s">
        <v>6</v>
      </c>
      <c r="M13" s="27"/>
      <c r="N13" s="27"/>
    </row>
    <row r="14" spans="1:14" ht="18.75" customHeight="1" x14ac:dyDescent="0.15">
      <c r="A14" s="11">
        <v>11</v>
      </c>
      <c r="B14" s="2"/>
      <c r="C14" s="3"/>
      <c r="D14" s="71"/>
      <c r="E14" s="3"/>
      <c r="F14" s="4" t="str">
        <f t="shared" si="0"/>
        <v/>
      </c>
      <c r="G14" s="5"/>
      <c r="H14" s="5" t="str">
        <f t="shared" si="1"/>
        <v/>
      </c>
      <c r="I14" s="18"/>
      <c r="J14" s="6" t="s">
        <v>16</v>
      </c>
      <c r="K14" s="16" t="str">
        <f t="shared" si="2"/>
        <v/>
      </c>
      <c r="L14" s="6" t="s">
        <v>6</v>
      </c>
      <c r="M14" s="27"/>
      <c r="N14" s="27"/>
    </row>
    <row r="15" spans="1:14" ht="18.75" customHeight="1" x14ac:dyDescent="0.15">
      <c r="A15" s="11">
        <v>12</v>
      </c>
      <c r="B15" s="2"/>
      <c r="C15" s="3"/>
      <c r="D15" s="71"/>
      <c r="E15" s="3"/>
      <c r="F15" s="4" t="str">
        <f t="shared" si="0"/>
        <v/>
      </c>
      <c r="G15" s="5"/>
      <c r="H15" s="5" t="str">
        <f t="shared" si="1"/>
        <v/>
      </c>
      <c r="I15" s="17"/>
      <c r="J15" s="8" t="s">
        <v>16</v>
      </c>
      <c r="K15" s="16" t="str">
        <f t="shared" si="2"/>
        <v/>
      </c>
      <c r="L15" s="6" t="s">
        <v>6</v>
      </c>
      <c r="M15" s="27"/>
      <c r="N15" s="27"/>
    </row>
    <row r="16" spans="1:14" ht="18.75" customHeight="1" x14ac:dyDescent="0.15">
      <c r="A16" s="11">
        <v>13</v>
      </c>
      <c r="B16" s="2"/>
      <c r="C16" s="3"/>
      <c r="D16" s="73"/>
      <c r="E16" s="3"/>
      <c r="F16" s="4" t="str">
        <f t="shared" si="0"/>
        <v/>
      </c>
      <c r="G16" s="5"/>
      <c r="H16" s="5" t="str">
        <f t="shared" si="1"/>
        <v/>
      </c>
      <c r="I16" s="18"/>
      <c r="J16" s="6" t="s">
        <v>16</v>
      </c>
      <c r="K16" s="16" t="str">
        <f t="shared" si="2"/>
        <v/>
      </c>
      <c r="L16" s="6" t="s">
        <v>6</v>
      </c>
      <c r="M16" s="27"/>
      <c r="N16" s="27"/>
    </row>
    <row r="17" spans="1:14" ht="18.75" customHeight="1" x14ac:dyDescent="0.15">
      <c r="A17" s="11">
        <v>14</v>
      </c>
      <c r="B17" s="2"/>
      <c r="C17" s="3"/>
      <c r="D17" s="73"/>
      <c r="E17" s="3"/>
      <c r="F17" s="4" t="str">
        <f t="shared" si="0"/>
        <v/>
      </c>
      <c r="G17" s="5"/>
      <c r="H17" s="5" t="str">
        <f t="shared" si="1"/>
        <v/>
      </c>
      <c r="I17" s="18"/>
      <c r="J17" s="6" t="s">
        <v>16</v>
      </c>
      <c r="K17" s="16" t="str">
        <f t="shared" si="2"/>
        <v/>
      </c>
      <c r="L17" s="6" t="s">
        <v>6</v>
      </c>
      <c r="M17" s="27"/>
      <c r="N17" s="27"/>
    </row>
    <row r="18" spans="1:14" ht="18.75" customHeight="1" x14ac:dyDescent="0.15">
      <c r="A18" s="11">
        <v>15</v>
      </c>
      <c r="B18" s="2"/>
      <c r="C18" s="3"/>
      <c r="D18" s="73"/>
      <c r="E18" s="3"/>
      <c r="F18" s="4" t="str">
        <f t="shared" si="0"/>
        <v/>
      </c>
      <c r="G18" s="5"/>
      <c r="H18" s="5" t="str">
        <f t="shared" si="1"/>
        <v/>
      </c>
      <c r="I18" s="18"/>
      <c r="J18" s="6" t="s">
        <v>16</v>
      </c>
      <c r="K18" s="16" t="str">
        <f t="shared" si="2"/>
        <v/>
      </c>
      <c r="L18" s="9" t="s">
        <v>6</v>
      </c>
      <c r="M18" s="27"/>
      <c r="N18" s="27"/>
    </row>
    <row r="19" spans="1:14" ht="18.75" customHeight="1" x14ac:dyDescent="0.15">
      <c r="A19" s="11">
        <v>16</v>
      </c>
      <c r="B19" s="2"/>
      <c r="C19" s="3"/>
      <c r="D19" s="73"/>
      <c r="E19" s="7"/>
      <c r="F19" s="4" t="str">
        <f t="shared" si="0"/>
        <v/>
      </c>
      <c r="G19" s="5"/>
      <c r="H19" s="5" t="str">
        <f t="shared" si="1"/>
        <v/>
      </c>
      <c r="I19" s="17"/>
      <c r="J19" s="8" t="s">
        <v>16</v>
      </c>
      <c r="K19" s="16" t="str">
        <f t="shared" si="2"/>
        <v/>
      </c>
      <c r="L19" s="6" t="s">
        <v>6</v>
      </c>
      <c r="M19" s="27"/>
      <c r="N19" s="27"/>
    </row>
    <row r="20" spans="1:14" ht="18.75" customHeight="1" x14ac:dyDescent="0.15">
      <c r="A20" s="11">
        <v>17</v>
      </c>
      <c r="B20" s="2"/>
      <c r="C20" s="3"/>
      <c r="D20" s="73"/>
      <c r="E20" s="3"/>
      <c r="F20" s="4" t="str">
        <f t="shared" si="0"/>
        <v/>
      </c>
      <c r="G20" s="5"/>
      <c r="H20" s="5" t="str">
        <f t="shared" si="1"/>
        <v/>
      </c>
      <c r="I20" s="18"/>
      <c r="J20" s="6" t="s">
        <v>16</v>
      </c>
      <c r="K20" s="16" t="str">
        <f t="shared" si="2"/>
        <v/>
      </c>
      <c r="L20" s="6" t="s">
        <v>6</v>
      </c>
      <c r="M20" s="27"/>
      <c r="N20" s="27"/>
    </row>
    <row r="21" spans="1:14" ht="18.75" customHeight="1" x14ac:dyDescent="0.15">
      <c r="A21" s="11">
        <v>18</v>
      </c>
      <c r="B21" s="2"/>
      <c r="C21" s="3"/>
      <c r="D21" s="73"/>
      <c r="E21" s="3"/>
      <c r="F21" s="4" t="str">
        <f t="shared" si="0"/>
        <v/>
      </c>
      <c r="G21" s="5"/>
      <c r="H21" s="5" t="str">
        <f t="shared" si="1"/>
        <v/>
      </c>
      <c r="I21" s="18"/>
      <c r="J21" s="6" t="s">
        <v>16</v>
      </c>
      <c r="K21" s="16" t="str">
        <f t="shared" si="2"/>
        <v/>
      </c>
      <c r="L21" s="6" t="s">
        <v>6</v>
      </c>
      <c r="M21" s="27"/>
      <c r="N21" s="27"/>
    </row>
    <row r="22" spans="1:14" ht="18.75" customHeight="1" x14ac:dyDescent="0.15">
      <c r="A22" s="11">
        <v>19</v>
      </c>
      <c r="B22" s="2"/>
      <c r="C22" s="3"/>
      <c r="D22" s="73"/>
      <c r="E22" s="3"/>
      <c r="F22" s="4" t="str">
        <f t="shared" si="0"/>
        <v/>
      </c>
      <c r="G22" s="5"/>
      <c r="H22" s="5" t="str">
        <f t="shared" si="1"/>
        <v/>
      </c>
      <c r="I22" s="18"/>
      <c r="J22" s="6" t="s">
        <v>16</v>
      </c>
      <c r="K22" s="16" t="str">
        <f t="shared" si="2"/>
        <v/>
      </c>
      <c r="L22" s="6" t="s">
        <v>6</v>
      </c>
      <c r="M22" s="27"/>
      <c r="N22" s="27"/>
    </row>
    <row r="23" spans="1:14" ht="18.75" customHeight="1" x14ac:dyDescent="0.15">
      <c r="A23" s="11">
        <v>20</v>
      </c>
      <c r="B23" s="2"/>
      <c r="C23" s="3"/>
      <c r="D23" s="74"/>
      <c r="E23" s="3"/>
      <c r="F23" s="4" t="str">
        <f t="shared" si="0"/>
        <v/>
      </c>
      <c r="G23" s="5"/>
      <c r="H23" s="5" t="str">
        <f t="shared" si="1"/>
        <v/>
      </c>
      <c r="I23" s="18"/>
      <c r="J23" s="6" t="s">
        <v>11</v>
      </c>
      <c r="K23" s="16" t="str">
        <f t="shared" si="2"/>
        <v/>
      </c>
      <c r="L23" s="6" t="s">
        <v>6</v>
      </c>
      <c r="M23" s="27"/>
      <c r="N23" s="27"/>
    </row>
    <row r="24" spans="1:14" ht="18.75" customHeight="1" x14ac:dyDescent="0.15">
      <c r="A24" s="11">
        <v>21</v>
      </c>
      <c r="B24" s="2"/>
      <c r="C24" s="3"/>
      <c r="D24" s="74"/>
      <c r="E24" s="3"/>
      <c r="F24" s="4" t="str">
        <f t="shared" si="0"/>
        <v/>
      </c>
      <c r="G24" s="5"/>
      <c r="H24" s="5" t="str">
        <f t="shared" si="1"/>
        <v/>
      </c>
      <c r="I24" s="18"/>
      <c r="J24" s="8" t="s">
        <v>11</v>
      </c>
      <c r="K24" s="16" t="str">
        <f t="shared" si="2"/>
        <v/>
      </c>
      <c r="L24" s="6" t="s">
        <v>6</v>
      </c>
      <c r="M24" s="27"/>
      <c r="N24" s="27"/>
    </row>
    <row r="25" spans="1:14" ht="18.75" customHeight="1" x14ac:dyDescent="0.15">
      <c r="A25" s="11">
        <v>22</v>
      </c>
      <c r="B25" s="2"/>
      <c r="C25" s="3"/>
      <c r="D25" s="74"/>
      <c r="E25" s="3"/>
      <c r="F25" s="4" t="str">
        <f t="shared" si="0"/>
        <v/>
      </c>
      <c r="G25" s="5"/>
      <c r="H25" s="5" t="str">
        <f t="shared" si="1"/>
        <v/>
      </c>
      <c r="I25" s="18"/>
      <c r="J25" s="6" t="s">
        <v>11</v>
      </c>
      <c r="K25" s="16" t="str">
        <f t="shared" si="2"/>
        <v/>
      </c>
      <c r="L25" s="6" t="s">
        <v>6</v>
      </c>
      <c r="M25" s="27"/>
      <c r="N25" s="27"/>
    </row>
    <row r="26" spans="1:14" ht="18.75" customHeight="1" x14ac:dyDescent="0.15">
      <c r="A26" s="11">
        <v>23</v>
      </c>
      <c r="B26" s="2"/>
      <c r="C26" s="3"/>
      <c r="D26" s="74"/>
      <c r="E26" s="3"/>
      <c r="F26" s="4" t="str">
        <f t="shared" si="0"/>
        <v/>
      </c>
      <c r="G26" s="5"/>
      <c r="H26" s="5" t="str">
        <f t="shared" si="1"/>
        <v/>
      </c>
      <c r="I26" s="18"/>
      <c r="J26" s="6" t="s">
        <v>16</v>
      </c>
      <c r="K26" s="16" t="str">
        <f t="shared" si="2"/>
        <v/>
      </c>
      <c r="L26" s="6" t="s">
        <v>6</v>
      </c>
      <c r="M26" s="27"/>
      <c r="N26" s="27"/>
    </row>
    <row r="27" spans="1:14" ht="18.75" customHeight="1" x14ac:dyDescent="0.15">
      <c r="A27" s="11">
        <v>24</v>
      </c>
      <c r="B27" s="2"/>
      <c r="C27" s="3"/>
      <c r="D27" s="74"/>
      <c r="E27" s="3"/>
      <c r="F27" s="4" t="str">
        <f t="shared" si="0"/>
        <v/>
      </c>
      <c r="G27" s="5"/>
      <c r="H27" s="5" t="str">
        <f t="shared" si="1"/>
        <v/>
      </c>
      <c r="I27" s="18"/>
      <c r="J27" s="8" t="s">
        <v>16</v>
      </c>
      <c r="K27" s="16" t="str">
        <f t="shared" si="2"/>
        <v/>
      </c>
      <c r="L27" s="6" t="s">
        <v>6</v>
      </c>
      <c r="M27" s="27"/>
      <c r="N27" s="27"/>
    </row>
    <row r="28" spans="1:14" ht="18.75" customHeight="1" x14ac:dyDescent="0.15">
      <c r="A28" s="11">
        <v>25</v>
      </c>
      <c r="B28" s="2"/>
      <c r="C28" s="3"/>
      <c r="D28" s="74"/>
      <c r="E28" s="3"/>
      <c r="F28" s="4" t="str">
        <f t="shared" si="0"/>
        <v/>
      </c>
      <c r="G28" s="5"/>
      <c r="H28" s="5" t="str">
        <f t="shared" si="1"/>
        <v/>
      </c>
      <c r="I28" s="18"/>
      <c r="J28" s="6" t="s">
        <v>16</v>
      </c>
      <c r="K28" s="16" t="str">
        <f t="shared" si="2"/>
        <v/>
      </c>
      <c r="L28" s="6" t="s">
        <v>6</v>
      </c>
      <c r="M28" s="27"/>
      <c r="N28" s="27"/>
    </row>
    <row r="29" spans="1:14" ht="18.75" customHeight="1" x14ac:dyDescent="0.15">
      <c r="A29" s="11">
        <v>26</v>
      </c>
      <c r="B29" s="2"/>
      <c r="C29" s="3"/>
      <c r="D29" s="74"/>
      <c r="E29" s="3"/>
      <c r="F29" s="4" t="str">
        <f t="shared" si="0"/>
        <v/>
      </c>
      <c r="G29" s="5"/>
      <c r="H29" s="5" t="str">
        <f t="shared" si="1"/>
        <v/>
      </c>
      <c r="I29" s="18"/>
      <c r="J29" s="6" t="s">
        <v>16</v>
      </c>
      <c r="K29" s="16" t="str">
        <f t="shared" si="2"/>
        <v/>
      </c>
      <c r="L29" s="6" t="s">
        <v>6</v>
      </c>
      <c r="M29" s="27"/>
      <c r="N29" s="27"/>
    </row>
    <row r="30" spans="1:14" ht="18.75" customHeight="1" x14ac:dyDescent="0.15">
      <c r="A30" s="11">
        <v>27</v>
      </c>
      <c r="B30" s="2"/>
      <c r="C30" s="3"/>
      <c r="D30" s="74"/>
      <c r="E30" s="3"/>
      <c r="F30" s="4" t="str">
        <f t="shared" si="0"/>
        <v/>
      </c>
      <c r="G30" s="5"/>
      <c r="H30" s="5" t="str">
        <f t="shared" si="1"/>
        <v/>
      </c>
      <c r="I30" s="18"/>
      <c r="J30" s="8" t="s">
        <v>16</v>
      </c>
      <c r="K30" s="16" t="str">
        <f t="shared" si="2"/>
        <v/>
      </c>
      <c r="L30" s="6" t="s">
        <v>6</v>
      </c>
      <c r="M30" s="27"/>
      <c r="N30" s="27"/>
    </row>
    <row r="31" spans="1:14" ht="18.75" customHeight="1" x14ac:dyDescent="0.15">
      <c r="A31" s="11">
        <v>28</v>
      </c>
      <c r="B31" s="2"/>
      <c r="C31" s="3"/>
      <c r="D31" s="74"/>
      <c r="E31" s="7"/>
      <c r="F31" s="4" t="str">
        <f t="shared" si="0"/>
        <v/>
      </c>
      <c r="G31" s="5"/>
      <c r="H31" s="5" t="str">
        <f t="shared" si="1"/>
        <v/>
      </c>
      <c r="I31" s="18"/>
      <c r="J31" s="6" t="s">
        <v>16</v>
      </c>
      <c r="K31" s="16" t="str">
        <f t="shared" si="2"/>
        <v/>
      </c>
      <c r="L31" s="6" t="s">
        <v>6</v>
      </c>
      <c r="M31" s="27"/>
      <c r="N31" s="27"/>
    </row>
    <row r="32" spans="1:14" ht="18.75" customHeight="1" x14ac:dyDescent="0.15">
      <c r="A32" s="11">
        <v>29</v>
      </c>
      <c r="B32" s="2"/>
      <c r="C32" s="3"/>
      <c r="D32" s="74"/>
      <c r="E32" s="3"/>
      <c r="F32" s="4" t="str">
        <f t="shared" si="0"/>
        <v/>
      </c>
      <c r="G32" s="5"/>
      <c r="H32" s="5" t="str">
        <f t="shared" si="1"/>
        <v/>
      </c>
      <c r="I32" s="18"/>
      <c r="J32" s="6" t="s">
        <v>16</v>
      </c>
      <c r="K32" s="16" t="str">
        <f t="shared" si="2"/>
        <v/>
      </c>
      <c r="L32" s="6" t="s">
        <v>6</v>
      </c>
      <c r="M32" s="27"/>
      <c r="N32" s="27"/>
    </row>
    <row r="33" spans="1:14" ht="18.75" customHeight="1" x14ac:dyDescent="0.15">
      <c r="A33" s="11">
        <v>30</v>
      </c>
      <c r="B33" s="2"/>
      <c r="C33" s="3"/>
      <c r="D33" s="74"/>
      <c r="E33" s="3"/>
      <c r="F33" s="4" t="str">
        <f t="shared" si="0"/>
        <v/>
      </c>
      <c r="G33" s="5"/>
      <c r="H33" s="5" t="str">
        <f t="shared" si="1"/>
        <v/>
      </c>
      <c r="I33" s="18"/>
      <c r="J33" s="6" t="s">
        <v>16</v>
      </c>
      <c r="K33" s="16" t="str">
        <f t="shared" si="2"/>
        <v/>
      </c>
      <c r="L33" s="6" t="s">
        <v>6</v>
      </c>
      <c r="M33" s="27"/>
      <c r="N33" s="27"/>
    </row>
    <row r="34" spans="1:14" ht="18.75" customHeight="1" x14ac:dyDescent="0.15">
      <c r="A34" s="11">
        <v>31</v>
      </c>
      <c r="B34" s="2"/>
      <c r="C34" s="3"/>
      <c r="D34" s="74"/>
      <c r="E34" s="3"/>
      <c r="F34" s="4" t="str">
        <f t="shared" si="0"/>
        <v/>
      </c>
      <c r="G34" s="5"/>
      <c r="H34" s="5" t="str">
        <f t="shared" si="1"/>
        <v/>
      </c>
      <c r="I34" s="21"/>
      <c r="J34" s="6" t="s">
        <v>16</v>
      </c>
      <c r="K34" s="16" t="str">
        <f t="shared" si="2"/>
        <v/>
      </c>
      <c r="L34" s="6" t="s">
        <v>6</v>
      </c>
      <c r="M34" s="27"/>
      <c r="N34" s="27"/>
    </row>
    <row r="35" spans="1:14" ht="18.75" customHeight="1" x14ac:dyDescent="0.15">
      <c r="A35" s="11">
        <v>32</v>
      </c>
      <c r="B35" s="2"/>
      <c r="C35" s="3"/>
      <c r="D35" s="74"/>
      <c r="E35" s="3"/>
      <c r="F35" s="4" t="str">
        <f t="shared" si="0"/>
        <v/>
      </c>
      <c r="G35" s="5"/>
      <c r="H35" s="5" t="str">
        <f t="shared" si="1"/>
        <v/>
      </c>
      <c r="I35" s="18"/>
      <c r="J35" s="6" t="s">
        <v>16</v>
      </c>
      <c r="K35" s="16" t="str">
        <f t="shared" si="2"/>
        <v/>
      </c>
      <c r="L35" s="6" t="s">
        <v>6</v>
      </c>
      <c r="M35" s="27"/>
      <c r="N35" s="27"/>
    </row>
    <row r="36" spans="1:14" ht="18.75" customHeight="1" x14ac:dyDescent="0.15">
      <c r="A36" s="11">
        <v>33</v>
      </c>
      <c r="B36" s="2"/>
      <c r="C36" s="3"/>
      <c r="D36" s="74"/>
      <c r="E36" s="7"/>
      <c r="F36" s="4" t="str">
        <f t="shared" si="0"/>
        <v/>
      </c>
      <c r="G36" s="5"/>
      <c r="H36" s="5" t="str">
        <f t="shared" si="1"/>
        <v/>
      </c>
      <c r="I36" s="17"/>
      <c r="J36" s="6" t="s">
        <v>16</v>
      </c>
      <c r="K36" s="16" t="str">
        <f t="shared" si="2"/>
        <v/>
      </c>
      <c r="L36" s="6" t="s">
        <v>6</v>
      </c>
      <c r="M36" s="27"/>
      <c r="N36" s="27"/>
    </row>
    <row r="37" spans="1:14" ht="18.75" customHeight="1" x14ac:dyDescent="0.15">
      <c r="A37" s="11">
        <v>34</v>
      </c>
      <c r="B37" s="2"/>
      <c r="C37" s="3"/>
      <c r="D37" s="74"/>
      <c r="E37" s="3"/>
      <c r="F37" s="4" t="str">
        <f t="shared" si="0"/>
        <v/>
      </c>
      <c r="G37" s="5"/>
      <c r="H37" s="5" t="str">
        <f t="shared" si="1"/>
        <v/>
      </c>
      <c r="I37" s="18"/>
      <c r="J37" s="6" t="s">
        <v>16</v>
      </c>
      <c r="K37" s="16" t="str">
        <f t="shared" si="2"/>
        <v/>
      </c>
      <c r="L37" s="6" t="s">
        <v>6</v>
      </c>
      <c r="M37" s="27"/>
      <c r="N37" s="27"/>
    </row>
    <row r="38" spans="1:14" ht="18.75" customHeight="1" x14ac:dyDescent="0.15">
      <c r="A38" s="11">
        <v>35</v>
      </c>
      <c r="B38" s="2"/>
      <c r="C38" s="3"/>
      <c r="D38" s="74"/>
      <c r="E38" s="3"/>
      <c r="F38" s="4"/>
      <c r="G38" s="5"/>
      <c r="H38" s="5"/>
      <c r="I38" s="18"/>
      <c r="J38" s="6" t="s">
        <v>16</v>
      </c>
      <c r="K38" s="16"/>
      <c r="L38" s="6" t="s">
        <v>6</v>
      </c>
      <c r="M38" s="27"/>
      <c r="N38" s="27"/>
    </row>
    <row r="39" spans="1:14" ht="18.75" customHeight="1" x14ac:dyDescent="0.15">
      <c r="A39" s="11">
        <v>36</v>
      </c>
      <c r="B39" s="2"/>
      <c r="C39" s="3"/>
      <c r="D39" s="74"/>
      <c r="E39" s="3"/>
      <c r="F39" s="4"/>
      <c r="G39" s="5"/>
      <c r="H39" s="5"/>
      <c r="I39" s="18"/>
      <c r="J39" s="6" t="s">
        <v>16</v>
      </c>
      <c r="K39" s="16"/>
      <c r="L39" s="6" t="s">
        <v>6</v>
      </c>
      <c r="M39" s="27"/>
      <c r="N39" s="27"/>
    </row>
    <row r="40" spans="1:14" ht="18.75" customHeight="1" x14ac:dyDescent="0.15">
      <c r="A40" s="11">
        <v>37</v>
      </c>
      <c r="B40" s="2"/>
      <c r="C40" s="3"/>
      <c r="D40" s="74"/>
      <c r="E40" s="3"/>
      <c r="F40" s="4"/>
      <c r="G40" s="5"/>
      <c r="H40" s="5"/>
      <c r="I40" s="18"/>
      <c r="J40" s="6" t="s">
        <v>16</v>
      </c>
      <c r="K40" s="16"/>
      <c r="L40" s="6" t="s">
        <v>6</v>
      </c>
      <c r="M40" s="27"/>
      <c r="N40" s="27"/>
    </row>
    <row r="41" spans="1:14" ht="18.75" customHeight="1" x14ac:dyDescent="0.15">
      <c r="A41" s="11">
        <v>38</v>
      </c>
      <c r="B41" s="2"/>
      <c r="C41" s="3"/>
      <c r="D41" s="74"/>
      <c r="E41" s="3"/>
      <c r="F41" s="4"/>
      <c r="G41" s="5"/>
      <c r="H41" s="5"/>
      <c r="I41" s="18"/>
      <c r="J41" s="6" t="s">
        <v>16</v>
      </c>
      <c r="K41" s="16"/>
      <c r="L41" s="6" t="s">
        <v>6</v>
      </c>
      <c r="M41" s="27"/>
      <c r="N41" s="27"/>
    </row>
    <row r="42" spans="1:14" ht="18.75" customHeight="1" x14ac:dyDescent="0.15">
      <c r="A42" s="11">
        <v>39</v>
      </c>
      <c r="B42" s="2"/>
      <c r="C42" s="3"/>
      <c r="D42" s="74"/>
      <c r="E42" s="3"/>
      <c r="F42" s="4" t="str">
        <f>IF(E42="","",E42-7*INT(E42/7))</f>
        <v/>
      </c>
      <c r="G42" s="5"/>
      <c r="H42" s="5" t="str">
        <f>IF(G42="","",G42)</f>
        <v/>
      </c>
      <c r="I42" s="18"/>
      <c r="J42" s="6" t="s">
        <v>16</v>
      </c>
      <c r="K42" s="16" t="str">
        <f>IF(I42&gt;0,I42,"")</f>
        <v/>
      </c>
      <c r="L42" s="6" t="s">
        <v>6</v>
      </c>
      <c r="M42" s="27"/>
      <c r="N42" s="27"/>
    </row>
    <row r="43" spans="1:14" ht="18.75" customHeight="1" thickBot="1" x14ac:dyDescent="0.2">
      <c r="A43" s="50">
        <v>40</v>
      </c>
      <c r="B43" s="51"/>
      <c r="C43" s="52"/>
      <c r="D43" s="75"/>
      <c r="E43" s="52"/>
      <c r="F43" s="53" t="str">
        <f>IF(E43="","",E43-7*INT(E43/7))</f>
        <v/>
      </c>
      <c r="G43" s="54"/>
      <c r="H43" s="54" t="str">
        <f>IF(G43="","",G43)</f>
        <v/>
      </c>
      <c r="I43" s="64"/>
      <c r="J43" s="56" t="s">
        <v>16</v>
      </c>
      <c r="K43" s="65" t="str">
        <f>IF(I43&gt;0,I43,"")</f>
        <v/>
      </c>
      <c r="L43" s="56" t="s">
        <v>6</v>
      </c>
      <c r="M43" s="58"/>
      <c r="N43" s="58"/>
    </row>
    <row r="44" spans="1:14" ht="18.75" customHeight="1" thickTop="1" x14ac:dyDescent="0.15">
      <c r="I44" s="62">
        <f>SUM(I4:I43)</f>
        <v>0</v>
      </c>
      <c r="J44" s="10" t="s">
        <v>17</v>
      </c>
      <c r="K44" s="24">
        <f>SUM(K4:K43)</f>
        <v>0</v>
      </c>
      <c r="L44" s="10" t="s">
        <v>6</v>
      </c>
    </row>
    <row r="45" spans="1:14" ht="20.25" customHeight="1" x14ac:dyDescent="0.15">
      <c r="B45" s="95" t="s">
        <v>13</v>
      </c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10"/>
    </row>
    <row r="46" spans="1:14" ht="21" customHeight="1" x14ac:dyDescent="0.15">
      <c r="B46" s="96" t="s">
        <v>0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10"/>
    </row>
    <row r="47" spans="1:14" ht="26.25" customHeight="1" x14ac:dyDescent="0.15">
      <c r="A47" s="11"/>
      <c r="B47" s="2" t="s">
        <v>1</v>
      </c>
      <c r="C47" s="97" t="s">
        <v>2</v>
      </c>
      <c r="D47" s="98"/>
      <c r="E47" s="99" t="s">
        <v>3</v>
      </c>
      <c r="F47" s="100"/>
      <c r="G47" s="25" t="s">
        <v>4</v>
      </c>
      <c r="H47" s="25" t="s">
        <v>7</v>
      </c>
      <c r="I47" s="101" t="s">
        <v>8</v>
      </c>
      <c r="J47" s="99"/>
      <c r="K47" s="101" t="s">
        <v>5</v>
      </c>
      <c r="L47" s="101"/>
      <c r="M47" s="26" t="s">
        <v>14</v>
      </c>
      <c r="N47" s="1" t="s">
        <v>10</v>
      </c>
    </row>
    <row r="48" spans="1:14" ht="18.75" customHeight="1" x14ac:dyDescent="0.15">
      <c r="A48" s="11">
        <v>41</v>
      </c>
      <c r="B48" s="2"/>
      <c r="C48" s="3"/>
      <c r="D48" s="14"/>
      <c r="E48" s="3"/>
      <c r="F48" s="4" t="str">
        <f t="shared" ref="F48:F81" si="3">IF(E48="","",E48-7*INT(E48/7))</f>
        <v/>
      </c>
      <c r="G48" s="5"/>
      <c r="H48" s="5" t="str">
        <f t="shared" ref="H48:H81" si="4">IF(G48="","",G48)</f>
        <v/>
      </c>
      <c r="I48" s="15"/>
      <c r="J48" s="6" t="s">
        <v>15</v>
      </c>
      <c r="K48" s="16" t="str">
        <f t="shared" ref="K48:K81" si="5">IF(I48&gt;0,I48,"")</f>
        <v/>
      </c>
      <c r="L48" s="6" t="s">
        <v>6</v>
      </c>
      <c r="M48" s="27"/>
      <c r="N48" s="27"/>
    </row>
    <row r="49" spans="1:14" ht="18.75" customHeight="1" x14ac:dyDescent="0.15">
      <c r="A49" s="11">
        <v>42</v>
      </c>
      <c r="B49" s="2"/>
      <c r="C49" s="3"/>
      <c r="D49" s="14"/>
      <c r="E49" s="7"/>
      <c r="F49" s="4" t="str">
        <f t="shared" si="3"/>
        <v/>
      </c>
      <c r="G49" s="5"/>
      <c r="H49" s="5" t="str">
        <f t="shared" si="4"/>
        <v/>
      </c>
      <c r="I49" s="17"/>
      <c r="J49" s="8" t="s">
        <v>16</v>
      </c>
      <c r="K49" s="16" t="str">
        <f t="shared" si="5"/>
        <v/>
      </c>
      <c r="L49" s="9" t="s">
        <v>6</v>
      </c>
      <c r="M49" s="27"/>
      <c r="N49" s="27"/>
    </row>
    <row r="50" spans="1:14" ht="18.75" customHeight="1" x14ac:dyDescent="0.15">
      <c r="A50" s="11">
        <v>43</v>
      </c>
      <c r="B50" s="2"/>
      <c r="C50" s="3"/>
      <c r="D50" s="14"/>
      <c r="E50" s="3"/>
      <c r="F50" s="4" t="str">
        <f t="shared" si="3"/>
        <v/>
      </c>
      <c r="G50" s="5"/>
      <c r="H50" s="5" t="str">
        <f t="shared" si="4"/>
        <v/>
      </c>
      <c r="I50" s="18"/>
      <c r="J50" s="6" t="s">
        <v>16</v>
      </c>
      <c r="K50" s="16" t="str">
        <f t="shared" si="5"/>
        <v/>
      </c>
      <c r="L50" s="6" t="s">
        <v>6</v>
      </c>
      <c r="M50" s="27"/>
      <c r="N50" s="27"/>
    </row>
    <row r="51" spans="1:14" ht="18.75" customHeight="1" x14ac:dyDescent="0.15">
      <c r="A51" s="11">
        <v>44</v>
      </c>
      <c r="B51" s="2"/>
      <c r="C51" s="3"/>
      <c r="D51" s="14"/>
      <c r="E51" s="3"/>
      <c r="F51" s="4" t="str">
        <f t="shared" si="3"/>
        <v/>
      </c>
      <c r="G51" s="5"/>
      <c r="H51" s="5" t="str">
        <f t="shared" si="4"/>
        <v/>
      </c>
      <c r="I51" s="17"/>
      <c r="J51" s="8" t="s">
        <v>16</v>
      </c>
      <c r="K51" s="16" t="str">
        <f t="shared" si="5"/>
        <v/>
      </c>
      <c r="L51" s="9" t="s">
        <v>6</v>
      </c>
      <c r="M51" s="27"/>
      <c r="N51" s="27"/>
    </row>
    <row r="52" spans="1:14" ht="18.75" customHeight="1" x14ac:dyDescent="0.15">
      <c r="A52" s="11">
        <v>45</v>
      </c>
      <c r="B52" s="2"/>
      <c r="C52" s="3"/>
      <c r="D52" s="14"/>
      <c r="E52" s="7"/>
      <c r="F52" s="4" t="str">
        <f t="shared" si="3"/>
        <v/>
      </c>
      <c r="G52" s="5"/>
      <c r="H52" s="5" t="str">
        <f t="shared" si="4"/>
        <v/>
      </c>
      <c r="I52" s="18"/>
      <c r="J52" s="6" t="s">
        <v>16</v>
      </c>
      <c r="K52" s="16" t="str">
        <f t="shared" si="5"/>
        <v/>
      </c>
      <c r="L52" s="6" t="s">
        <v>6</v>
      </c>
      <c r="M52" s="27"/>
      <c r="N52" s="27"/>
    </row>
    <row r="53" spans="1:14" ht="18.75" customHeight="1" x14ac:dyDescent="0.15">
      <c r="A53" s="11">
        <v>46</v>
      </c>
      <c r="B53" s="2"/>
      <c r="C53" s="3"/>
      <c r="D53" s="14"/>
      <c r="E53" s="3"/>
      <c r="F53" s="4" t="str">
        <f t="shared" si="3"/>
        <v/>
      </c>
      <c r="G53" s="5"/>
      <c r="H53" s="5" t="str">
        <f t="shared" si="4"/>
        <v/>
      </c>
      <c r="I53" s="18"/>
      <c r="J53" s="6" t="s">
        <v>16</v>
      </c>
      <c r="K53" s="16" t="str">
        <f t="shared" si="5"/>
        <v/>
      </c>
      <c r="L53" s="6" t="s">
        <v>6</v>
      </c>
      <c r="M53" s="27"/>
      <c r="N53" s="27"/>
    </row>
    <row r="54" spans="1:14" ht="18.75" customHeight="1" x14ac:dyDescent="0.15">
      <c r="A54" s="11">
        <v>47</v>
      </c>
      <c r="B54" s="2"/>
      <c r="C54" s="3"/>
      <c r="D54" s="14"/>
      <c r="E54" s="3"/>
      <c r="F54" s="4" t="str">
        <f t="shared" si="3"/>
        <v/>
      </c>
      <c r="G54" s="5"/>
      <c r="H54" s="5" t="str">
        <f t="shared" si="4"/>
        <v/>
      </c>
      <c r="I54" s="17"/>
      <c r="J54" s="28" t="s">
        <v>16</v>
      </c>
      <c r="K54" s="16" t="str">
        <f t="shared" si="5"/>
        <v/>
      </c>
      <c r="L54" s="28" t="s">
        <v>6</v>
      </c>
      <c r="M54" s="27"/>
      <c r="N54" s="27"/>
    </row>
    <row r="55" spans="1:14" ht="18.75" customHeight="1" x14ac:dyDescent="0.15">
      <c r="A55" s="11">
        <v>48</v>
      </c>
      <c r="B55" s="2"/>
      <c r="C55" s="3"/>
      <c r="D55" s="14"/>
      <c r="E55" s="7"/>
      <c r="F55" s="4" t="str">
        <f t="shared" si="3"/>
        <v/>
      </c>
      <c r="G55" s="5"/>
      <c r="H55" s="5" t="str">
        <f t="shared" si="4"/>
        <v/>
      </c>
      <c r="I55" s="18"/>
      <c r="J55" s="8" t="s">
        <v>16</v>
      </c>
      <c r="K55" s="16" t="str">
        <f t="shared" si="5"/>
        <v/>
      </c>
      <c r="L55" s="9" t="s">
        <v>6</v>
      </c>
      <c r="M55" s="27"/>
      <c r="N55" s="27"/>
    </row>
    <row r="56" spans="1:14" ht="18.75" customHeight="1" x14ac:dyDescent="0.15">
      <c r="A56" s="11">
        <v>49</v>
      </c>
      <c r="B56" s="2"/>
      <c r="C56" s="3"/>
      <c r="D56" s="14"/>
      <c r="E56" s="3"/>
      <c r="F56" s="4" t="str">
        <f t="shared" si="3"/>
        <v/>
      </c>
      <c r="G56" s="5"/>
      <c r="H56" s="5" t="str">
        <f t="shared" si="4"/>
        <v/>
      </c>
      <c r="I56" s="18"/>
      <c r="J56" s="6" t="s">
        <v>16</v>
      </c>
      <c r="K56" s="16" t="str">
        <f t="shared" si="5"/>
        <v/>
      </c>
      <c r="L56" s="6" t="s">
        <v>6</v>
      </c>
      <c r="M56" s="27"/>
      <c r="N56" s="27"/>
    </row>
    <row r="57" spans="1:14" ht="18.75" customHeight="1" x14ac:dyDescent="0.15">
      <c r="A57" s="11">
        <v>50</v>
      </c>
      <c r="B57" s="2"/>
      <c r="C57" s="3"/>
      <c r="D57" s="14"/>
      <c r="E57" s="7"/>
      <c r="F57" s="4" t="str">
        <f t="shared" si="3"/>
        <v/>
      </c>
      <c r="G57" s="5"/>
      <c r="H57" s="5" t="str">
        <f t="shared" si="4"/>
        <v/>
      </c>
      <c r="I57" s="18"/>
      <c r="J57" s="8" t="s">
        <v>16</v>
      </c>
      <c r="K57" s="16" t="str">
        <f t="shared" si="5"/>
        <v/>
      </c>
      <c r="L57" s="9" t="s">
        <v>6</v>
      </c>
      <c r="M57" s="27"/>
      <c r="N57" s="27"/>
    </row>
    <row r="58" spans="1:14" ht="18.75" customHeight="1" x14ac:dyDescent="0.15">
      <c r="A58" s="11">
        <v>51</v>
      </c>
      <c r="B58" s="2"/>
      <c r="C58" s="3"/>
      <c r="D58" s="14"/>
      <c r="E58" s="3"/>
      <c r="F58" s="4" t="str">
        <f t="shared" si="3"/>
        <v/>
      </c>
      <c r="G58" s="5"/>
      <c r="H58" s="5" t="str">
        <f t="shared" si="4"/>
        <v/>
      </c>
      <c r="I58" s="18"/>
      <c r="J58" s="6" t="s">
        <v>16</v>
      </c>
      <c r="K58" s="16" t="str">
        <f t="shared" si="5"/>
        <v/>
      </c>
      <c r="L58" s="6" t="s">
        <v>6</v>
      </c>
      <c r="M58" s="27"/>
      <c r="N58" s="27"/>
    </row>
    <row r="59" spans="1:14" ht="18.75" customHeight="1" x14ac:dyDescent="0.15">
      <c r="A59" s="11">
        <v>52</v>
      </c>
      <c r="B59" s="2"/>
      <c r="C59" s="3"/>
      <c r="D59" s="14"/>
      <c r="E59" s="3"/>
      <c r="F59" s="4" t="str">
        <f t="shared" si="3"/>
        <v/>
      </c>
      <c r="G59" s="5"/>
      <c r="H59" s="5" t="str">
        <f t="shared" si="4"/>
        <v/>
      </c>
      <c r="I59" s="17"/>
      <c r="J59" s="8" t="s">
        <v>16</v>
      </c>
      <c r="K59" s="16" t="str">
        <f t="shared" si="5"/>
        <v/>
      </c>
      <c r="L59" s="6" t="s">
        <v>6</v>
      </c>
      <c r="M59" s="27"/>
      <c r="N59" s="27"/>
    </row>
    <row r="60" spans="1:14" ht="18.75" customHeight="1" x14ac:dyDescent="0.15">
      <c r="A60" s="11">
        <v>53</v>
      </c>
      <c r="B60" s="2"/>
      <c r="C60" s="3"/>
      <c r="D60" s="19"/>
      <c r="E60" s="3"/>
      <c r="F60" s="4" t="str">
        <f t="shared" si="3"/>
        <v/>
      </c>
      <c r="G60" s="5"/>
      <c r="H60" s="5" t="str">
        <f t="shared" si="4"/>
        <v/>
      </c>
      <c r="I60" s="18"/>
      <c r="J60" s="6" t="s">
        <v>16</v>
      </c>
      <c r="K60" s="16" t="str">
        <f t="shared" si="5"/>
        <v/>
      </c>
      <c r="L60" s="6" t="s">
        <v>6</v>
      </c>
      <c r="M60" s="27"/>
      <c r="N60" s="27"/>
    </row>
    <row r="61" spans="1:14" ht="18.75" customHeight="1" x14ac:dyDescent="0.15">
      <c r="A61" s="11">
        <v>54</v>
      </c>
      <c r="B61" s="2"/>
      <c r="C61" s="3"/>
      <c r="D61" s="19"/>
      <c r="E61" s="3"/>
      <c r="F61" s="4" t="str">
        <f t="shared" si="3"/>
        <v/>
      </c>
      <c r="G61" s="5"/>
      <c r="H61" s="5" t="str">
        <f t="shared" si="4"/>
        <v/>
      </c>
      <c r="I61" s="18"/>
      <c r="J61" s="6" t="s">
        <v>16</v>
      </c>
      <c r="K61" s="16" t="str">
        <f t="shared" si="5"/>
        <v/>
      </c>
      <c r="L61" s="6" t="s">
        <v>6</v>
      </c>
      <c r="M61" s="27"/>
      <c r="N61" s="27"/>
    </row>
    <row r="62" spans="1:14" ht="18.75" customHeight="1" x14ac:dyDescent="0.15">
      <c r="A62" s="11">
        <v>55</v>
      </c>
      <c r="B62" s="2"/>
      <c r="C62" s="3"/>
      <c r="D62" s="19"/>
      <c r="E62" s="3"/>
      <c r="F62" s="4" t="str">
        <f t="shared" si="3"/>
        <v/>
      </c>
      <c r="G62" s="5"/>
      <c r="H62" s="5" t="str">
        <f t="shared" si="4"/>
        <v/>
      </c>
      <c r="I62" s="18"/>
      <c r="J62" s="6" t="s">
        <v>16</v>
      </c>
      <c r="K62" s="16" t="str">
        <f t="shared" si="5"/>
        <v/>
      </c>
      <c r="L62" s="9" t="s">
        <v>6</v>
      </c>
      <c r="M62" s="27"/>
      <c r="N62" s="27"/>
    </row>
    <row r="63" spans="1:14" ht="18.75" customHeight="1" x14ac:dyDescent="0.15">
      <c r="A63" s="11">
        <v>56</v>
      </c>
      <c r="B63" s="2"/>
      <c r="C63" s="3"/>
      <c r="D63" s="19"/>
      <c r="E63" s="7"/>
      <c r="F63" s="4" t="str">
        <f t="shared" si="3"/>
        <v/>
      </c>
      <c r="G63" s="5"/>
      <c r="H63" s="5" t="str">
        <f t="shared" si="4"/>
        <v/>
      </c>
      <c r="I63" s="17"/>
      <c r="J63" s="8" t="s">
        <v>16</v>
      </c>
      <c r="K63" s="16" t="str">
        <f t="shared" si="5"/>
        <v/>
      </c>
      <c r="L63" s="6" t="s">
        <v>6</v>
      </c>
      <c r="M63" s="27"/>
      <c r="N63" s="27"/>
    </row>
    <row r="64" spans="1:14" ht="18.75" customHeight="1" x14ac:dyDescent="0.15">
      <c r="A64" s="11">
        <v>57</v>
      </c>
      <c r="B64" s="2"/>
      <c r="C64" s="3"/>
      <c r="D64" s="19"/>
      <c r="E64" s="3"/>
      <c r="F64" s="4" t="str">
        <f t="shared" si="3"/>
        <v/>
      </c>
      <c r="G64" s="5"/>
      <c r="H64" s="5" t="str">
        <f t="shared" si="4"/>
        <v/>
      </c>
      <c r="I64" s="18"/>
      <c r="J64" s="6" t="s">
        <v>16</v>
      </c>
      <c r="K64" s="16" t="str">
        <f t="shared" si="5"/>
        <v/>
      </c>
      <c r="L64" s="6" t="s">
        <v>6</v>
      </c>
      <c r="M64" s="27"/>
      <c r="N64" s="27"/>
    </row>
    <row r="65" spans="1:14" ht="18.75" customHeight="1" x14ac:dyDescent="0.15">
      <c r="A65" s="11">
        <v>58</v>
      </c>
      <c r="B65" s="2"/>
      <c r="C65" s="3"/>
      <c r="D65" s="19"/>
      <c r="E65" s="3"/>
      <c r="F65" s="4" t="str">
        <f t="shared" si="3"/>
        <v/>
      </c>
      <c r="G65" s="5"/>
      <c r="H65" s="5" t="str">
        <f t="shared" si="4"/>
        <v/>
      </c>
      <c r="I65" s="18"/>
      <c r="J65" s="6" t="s">
        <v>16</v>
      </c>
      <c r="K65" s="16" t="str">
        <f t="shared" si="5"/>
        <v/>
      </c>
      <c r="L65" s="6" t="s">
        <v>6</v>
      </c>
      <c r="M65" s="27"/>
      <c r="N65" s="27"/>
    </row>
    <row r="66" spans="1:14" ht="18.75" customHeight="1" x14ac:dyDescent="0.15">
      <c r="A66" s="11">
        <v>59</v>
      </c>
      <c r="B66" s="2"/>
      <c r="C66" s="3"/>
      <c r="D66" s="19"/>
      <c r="E66" s="3"/>
      <c r="F66" s="4" t="str">
        <f t="shared" si="3"/>
        <v/>
      </c>
      <c r="G66" s="5"/>
      <c r="H66" s="5" t="str">
        <f t="shared" si="4"/>
        <v/>
      </c>
      <c r="I66" s="18"/>
      <c r="J66" s="6" t="s">
        <v>16</v>
      </c>
      <c r="K66" s="16" t="str">
        <f t="shared" si="5"/>
        <v/>
      </c>
      <c r="L66" s="6" t="s">
        <v>6</v>
      </c>
      <c r="M66" s="27"/>
      <c r="N66" s="27"/>
    </row>
    <row r="67" spans="1:14" ht="18.75" customHeight="1" x14ac:dyDescent="0.15">
      <c r="A67" s="11">
        <v>60</v>
      </c>
      <c r="B67" s="2"/>
      <c r="C67" s="3"/>
      <c r="D67" s="20"/>
      <c r="E67" s="3"/>
      <c r="F67" s="4" t="str">
        <f t="shared" si="3"/>
        <v/>
      </c>
      <c r="G67" s="5"/>
      <c r="H67" s="5" t="str">
        <f t="shared" si="4"/>
        <v/>
      </c>
      <c r="I67" s="18"/>
      <c r="J67" s="6" t="s">
        <v>11</v>
      </c>
      <c r="K67" s="16" t="str">
        <f t="shared" si="5"/>
        <v/>
      </c>
      <c r="L67" s="6" t="s">
        <v>6</v>
      </c>
      <c r="M67" s="27"/>
      <c r="N67" s="27"/>
    </row>
    <row r="68" spans="1:14" ht="18.75" customHeight="1" x14ac:dyDescent="0.15">
      <c r="A68" s="11">
        <v>61</v>
      </c>
      <c r="B68" s="2"/>
      <c r="C68" s="3"/>
      <c r="D68" s="20"/>
      <c r="E68" s="3"/>
      <c r="F68" s="4" t="str">
        <f t="shared" si="3"/>
        <v/>
      </c>
      <c r="G68" s="5"/>
      <c r="H68" s="5" t="str">
        <f t="shared" si="4"/>
        <v/>
      </c>
      <c r="I68" s="18"/>
      <c r="J68" s="8" t="s">
        <v>11</v>
      </c>
      <c r="K68" s="16" t="str">
        <f t="shared" si="5"/>
        <v/>
      </c>
      <c r="L68" s="6" t="s">
        <v>6</v>
      </c>
      <c r="M68" s="27"/>
      <c r="N68" s="27"/>
    </row>
    <row r="69" spans="1:14" ht="18.75" customHeight="1" x14ac:dyDescent="0.15">
      <c r="A69" s="11">
        <v>62</v>
      </c>
      <c r="B69" s="2"/>
      <c r="C69" s="3"/>
      <c r="D69" s="20"/>
      <c r="E69" s="3"/>
      <c r="F69" s="4" t="str">
        <f t="shared" si="3"/>
        <v/>
      </c>
      <c r="G69" s="5"/>
      <c r="H69" s="5" t="str">
        <f t="shared" si="4"/>
        <v/>
      </c>
      <c r="I69" s="18"/>
      <c r="J69" s="6" t="s">
        <v>11</v>
      </c>
      <c r="K69" s="16" t="str">
        <f t="shared" si="5"/>
        <v/>
      </c>
      <c r="L69" s="6" t="s">
        <v>6</v>
      </c>
      <c r="M69" s="27"/>
      <c r="N69" s="27"/>
    </row>
    <row r="70" spans="1:14" ht="18.75" customHeight="1" x14ac:dyDescent="0.15">
      <c r="A70" s="11">
        <v>63</v>
      </c>
      <c r="B70" s="2"/>
      <c r="C70" s="3"/>
      <c r="D70" s="20"/>
      <c r="E70" s="3"/>
      <c r="F70" s="4" t="str">
        <f t="shared" si="3"/>
        <v/>
      </c>
      <c r="G70" s="5"/>
      <c r="H70" s="5" t="str">
        <f t="shared" si="4"/>
        <v/>
      </c>
      <c r="I70" s="18"/>
      <c r="J70" s="6" t="s">
        <v>16</v>
      </c>
      <c r="K70" s="16" t="str">
        <f t="shared" si="5"/>
        <v/>
      </c>
      <c r="L70" s="6" t="s">
        <v>6</v>
      </c>
      <c r="M70" s="27"/>
      <c r="N70" s="27"/>
    </row>
    <row r="71" spans="1:14" ht="18.75" customHeight="1" x14ac:dyDescent="0.15">
      <c r="A71" s="11">
        <v>64</v>
      </c>
      <c r="B71" s="2"/>
      <c r="C71" s="3"/>
      <c r="D71" s="20"/>
      <c r="E71" s="3"/>
      <c r="F71" s="4" t="str">
        <f t="shared" si="3"/>
        <v/>
      </c>
      <c r="G71" s="5"/>
      <c r="H71" s="5" t="str">
        <f t="shared" si="4"/>
        <v/>
      </c>
      <c r="I71" s="18"/>
      <c r="J71" s="8" t="s">
        <v>16</v>
      </c>
      <c r="K71" s="16" t="str">
        <f t="shared" si="5"/>
        <v/>
      </c>
      <c r="L71" s="6" t="s">
        <v>6</v>
      </c>
      <c r="M71" s="27"/>
      <c r="N71" s="27"/>
    </row>
    <row r="72" spans="1:14" ht="18.75" customHeight="1" x14ac:dyDescent="0.15">
      <c r="A72" s="11">
        <v>65</v>
      </c>
      <c r="B72" s="2"/>
      <c r="C72" s="3"/>
      <c r="D72" s="20"/>
      <c r="E72" s="3"/>
      <c r="F72" s="4" t="str">
        <f t="shared" si="3"/>
        <v/>
      </c>
      <c r="G72" s="5"/>
      <c r="H72" s="5" t="str">
        <f t="shared" si="4"/>
        <v/>
      </c>
      <c r="I72" s="18"/>
      <c r="J72" s="6" t="s">
        <v>16</v>
      </c>
      <c r="K72" s="16" t="str">
        <f t="shared" si="5"/>
        <v/>
      </c>
      <c r="L72" s="6" t="s">
        <v>6</v>
      </c>
      <c r="M72" s="27"/>
      <c r="N72" s="27"/>
    </row>
    <row r="73" spans="1:14" ht="18.75" customHeight="1" x14ac:dyDescent="0.15">
      <c r="A73" s="11">
        <v>66</v>
      </c>
      <c r="B73" s="2"/>
      <c r="C73" s="3"/>
      <c r="D73" s="20"/>
      <c r="E73" s="3"/>
      <c r="F73" s="4" t="str">
        <f t="shared" si="3"/>
        <v/>
      </c>
      <c r="G73" s="5"/>
      <c r="H73" s="5" t="str">
        <f t="shared" si="4"/>
        <v/>
      </c>
      <c r="I73" s="18"/>
      <c r="J73" s="6" t="s">
        <v>16</v>
      </c>
      <c r="K73" s="16" t="str">
        <f t="shared" si="5"/>
        <v/>
      </c>
      <c r="L73" s="6" t="s">
        <v>6</v>
      </c>
      <c r="M73" s="27"/>
      <c r="N73" s="27"/>
    </row>
    <row r="74" spans="1:14" ht="18.75" customHeight="1" x14ac:dyDescent="0.15">
      <c r="A74" s="11">
        <v>67</v>
      </c>
      <c r="B74" s="2"/>
      <c r="C74" s="3"/>
      <c r="D74" s="20"/>
      <c r="E74" s="3"/>
      <c r="F74" s="4" t="str">
        <f t="shared" si="3"/>
        <v/>
      </c>
      <c r="G74" s="5"/>
      <c r="H74" s="5" t="str">
        <f t="shared" si="4"/>
        <v/>
      </c>
      <c r="I74" s="18"/>
      <c r="J74" s="8" t="s">
        <v>16</v>
      </c>
      <c r="K74" s="16" t="str">
        <f t="shared" si="5"/>
        <v/>
      </c>
      <c r="L74" s="6" t="s">
        <v>6</v>
      </c>
      <c r="M74" s="27"/>
      <c r="N74" s="27"/>
    </row>
    <row r="75" spans="1:14" ht="18.75" customHeight="1" x14ac:dyDescent="0.15">
      <c r="A75" s="11">
        <v>68</v>
      </c>
      <c r="B75" s="2"/>
      <c r="C75" s="3"/>
      <c r="D75" s="20"/>
      <c r="E75" s="7"/>
      <c r="F75" s="4" t="str">
        <f t="shared" si="3"/>
        <v/>
      </c>
      <c r="G75" s="5"/>
      <c r="H75" s="5" t="str">
        <f t="shared" si="4"/>
        <v/>
      </c>
      <c r="I75" s="18"/>
      <c r="J75" s="6" t="s">
        <v>16</v>
      </c>
      <c r="K75" s="16" t="str">
        <f t="shared" si="5"/>
        <v/>
      </c>
      <c r="L75" s="6" t="s">
        <v>6</v>
      </c>
      <c r="M75" s="27"/>
      <c r="N75" s="27"/>
    </row>
    <row r="76" spans="1:14" ht="18.75" customHeight="1" x14ac:dyDescent="0.15">
      <c r="A76" s="11">
        <v>69</v>
      </c>
      <c r="B76" s="2"/>
      <c r="C76" s="3"/>
      <c r="D76" s="20"/>
      <c r="E76" s="3"/>
      <c r="F76" s="4" t="str">
        <f t="shared" si="3"/>
        <v/>
      </c>
      <c r="G76" s="5"/>
      <c r="H76" s="5" t="str">
        <f t="shared" si="4"/>
        <v/>
      </c>
      <c r="I76" s="18"/>
      <c r="J76" s="6" t="s">
        <v>16</v>
      </c>
      <c r="K76" s="16" t="str">
        <f t="shared" si="5"/>
        <v/>
      </c>
      <c r="L76" s="6" t="s">
        <v>6</v>
      </c>
      <c r="M76" s="27"/>
      <c r="N76" s="27"/>
    </row>
    <row r="77" spans="1:14" ht="18.75" customHeight="1" x14ac:dyDescent="0.15">
      <c r="A77" s="11">
        <v>70</v>
      </c>
      <c r="B77" s="2"/>
      <c r="C77" s="3"/>
      <c r="D77" s="20"/>
      <c r="E77" s="3"/>
      <c r="F77" s="4" t="str">
        <f t="shared" si="3"/>
        <v/>
      </c>
      <c r="G77" s="5"/>
      <c r="H77" s="5" t="str">
        <f t="shared" si="4"/>
        <v/>
      </c>
      <c r="I77" s="18"/>
      <c r="J77" s="6" t="s">
        <v>16</v>
      </c>
      <c r="K77" s="16" t="str">
        <f t="shared" si="5"/>
        <v/>
      </c>
      <c r="L77" s="6" t="s">
        <v>6</v>
      </c>
      <c r="M77" s="27"/>
      <c r="N77" s="27"/>
    </row>
    <row r="78" spans="1:14" ht="18.75" customHeight="1" x14ac:dyDescent="0.15">
      <c r="A78" s="11">
        <v>71</v>
      </c>
      <c r="B78" s="2"/>
      <c r="C78" s="3"/>
      <c r="D78" s="20"/>
      <c r="E78" s="3"/>
      <c r="F78" s="4" t="str">
        <f t="shared" si="3"/>
        <v/>
      </c>
      <c r="G78" s="5"/>
      <c r="H78" s="5" t="str">
        <f t="shared" si="4"/>
        <v/>
      </c>
      <c r="I78" s="21"/>
      <c r="J78" s="6" t="s">
        <v>16</v>
      </c>
      <c r="K78" s="16" t="str">
        <f t="shared" si="5"/>
        <v/>
      </c>
      <c r="L78" s="6" t="s">
        <v>6</v>
      </c>
      <c r="M78" s="27"/>
      <c r="N78" s="27"/>
    </row>
    <row r="79" spans="1:14" ht="18.75" customHeight="1" x14ac:dyDescent="0.15">
      <c r="A79" s="11">
        <v>72</v>
      </c>
      <c r="B79" s="2"/>
      <c r="C79" s="3"/>
      <c r="D79" s="20"/>
      <c r="E79" s="3"/>
      <c r="F79" s="4" t="str">
        <f t="shared" si="3"/>
        <v/>
      </c>
      <c r="G79" s="5"/>
      <c r="H79" s="5" t="str">
        <f t="shared" si="4"/>
        <v/>
      </c>
      <c r="I79" s="18"/>
      <c r="J79" s="6" t="s">
        <v>16</v>
      </c>
      <c r="K79" s="16" t="str">
        <f t="shared" si="5"/>
        <v/>
      </c>
      <c r="L79" s="6" t="s">
        <v>6</v>
      </c>
      <c r="M79" s="27"/>
      <c r="N79" s="27"/>
    </row>
    <row r="80" spans="1:14" ht="18.75" customHeight="1" x14ac:dyDescent="0.15">
      <c r="A80" s="11">
        <v>73</v>
      </c>
      <c r="B80" s="2"/>
      <c r="C80" s="3"/>
      <c r="D80" s="20"/>
      <c r="E80" s="7"/>
      <c r="F80" s="4" t="str">
        <f t="shared" si="3"/>
        <v/>
      </c>
      <c r="G80" s="5"/>
      <c r="H80" s="5" t="str">
        <f t="shared" si="4"/>
        <v/>
      </c>
      <c r="I80" s="17"/>
      <c r="J80" s="6" t="s">
        <v>16</v>
      </c>
      <c r="K80" s="16" t="str">
        <f t="shared" si="5"/>
        <v/>
      </c>
      <c r="L80" s="6" t="s">
        <v>6</v>
      </c>
      <c r="M80" s="27"/>
      <c r="N80" s="27"/>
    </row>
    <row r="81" spans="1:14" ht="18.75" customHeight="1" x14ac:dyDescent="0.15">
      <c r="A81" s="11">
        <v>74</v>
      </c>
      <c r="B81" s="2"/>
      <c r="C81" s="3"/>
      <c r="D81" s="20"/>
      <c r="E81" s="3"/>
      <c r="F81" s="4" t="str">
        <f t="shared" si="3"/>
        <v/>
      </c>
      <c r="G81" s="5"/>
      <c r="H81" s="5" t="str">
        <f t="shared" si="4"/>
        <v/>
      </c>
      <c r="I81" s="18"/>
      <c r="J81" s="6" t="s">
        <v>16</v>
      </c>
      <c r="K81" s="16" t="str">
        <f t="shared" si="5"/>
        <v/>
      </c>
      <c r="L81" s="6" t="s">
        <v>6</v>
      </c>
      <c r="M81" s="27"/>
      <c r="N81" s="27"/>
    </row>
    <row r="82" spans="1:14" ht="18.75" customHeight="1" x14ac:dyDescent="0.15">
      <c r="A82" s="11">
        <v>75</v>
      </c>
      <c r="B82" s="2"/>
      <c r="C82" s="3"/>
      <c r="D82" s="20"/>
      <c r="E82" s="3"/>
      <c r="F82" s="4"/>
      <c r="G82" s="5"/>
      <c r="H82" s="5"/>
      <c r="I82" s="18"/>
      <c r="J82" s="6" t="s">
        <v>16</v>
      </c>
      <c r="K82" s="16"/>
      <c r="L82" s="6" t="s">
        <v>6</v>
      </c>
      <c r="M82" s="27"/>
      <c r="N82" s="27"/>
    </row>
    <row r="83" spans="1:14" ht="18.75" customHeight="1" x14ac:dyDescent="0.15">
      <c r="A83" s="11">
        <v>76</v>
      </c>
      <c r="B83" s="2"/>
      <c r="C83" s="3"/>
      <c r="D83" s="20"/>
      <c r="E83" s="3"/>
      <c r="F83" s="4"/>
      <c r="G83" s="5"/>
      <c r="H83" s="5"/>
      <c r="I83" s="18"/>
      <c r="J83" s="6" t="s">
        <v>16</v>
      </c>
      <c r="K83" s="16"/>
      <c r="L83" s="6" t="s">
        <v>6</v>
      </c>
      <c r="M83" s="27"/>
      <c r="N83" s="27"/>
    </row>
    <row r="84" spans="1:14" ht="18.75" customHeight="1" x14ac:dyDescent="0.15">
      <c r="A84" s="11">
        <v>77</v>
      </c>
      <c r="B84" s="2"/>
      <c r="C84" s="3"/>
      <c r="D84" s="20"/>
      <c r="E84" s="3"/>
      <c r="F84" s="4"/>
      <c r="G84" s="5"/>
      <c r="H84" s="5"/>
      <c r="I84" s="18"/>
      <c r="J84" s="6" t="s">
        <v>16</v>
      </c>
      <c r="K84" s="16"/>
      <c r="L84" s="6" t="s">
        <v>6</v>
      </c>
      <c r="M84" s="27"/>
      <c r="N84" s="27"/>
    </row>
    <row r="85" spans="1:14" ht="18.75" customHeight="1" x14ac:dyDescent="0.15">
      <c r="A85" s="11">
        <v>78</v>
      </c>
      <c r="B85" s="2"/>
      <c r="C85" s="3"/>
      <c r="D85" s="20"/>
      <c r="E85" s="3"/>
      <c r="F85" s="4"/>
      <c r="G85" s="5"/>
      <c r="H85" s="5"/>
      <c r="I85" s="18"/>
      <c r="J85" s="6" t="s">
        <v>16</v>
      </c>
      <c r="K85" s="16"/>
      <c r="L85" s="6" t="s">
        <v>6</v>
      </c>
      <c r="M85" s="27"/>
      <c r="N85" s="27"/>
    </row>
    <row r="86" spans="1:14" ht="18.75" customHeight="1" x14ac:dyDescent="0.15">
      <c r="A86" s="11">
        <v>79</v>
      </c>
      <c r="B86" s="2"/>
      <c r="C86" s="3"/>
      <c r="D86" s="20"/>
      <c r="E86" s="3"/>
      <c r="F86" s="4" t="str">
        <f>IF(E86="","",E86-7*INT(E86/7))</f>
        <v/>
      </c>
      <c r="G86" s="5"/>
      <c r="H86" s="5" t="str">
        <f>IF(G86="","",G86)</f>
        <v/>
      </c>
      <c r="I86" s="18"/>
      <c r="J86" s="6" t="s">
        <v>16</v>
      </c>
      <c r="K86" s="16" t="str">
        <f>IF(I86&gt;0,I86,"")</f>
        <v/>
      </c>
      <c r="L86" s="6" t="s">
        <v>6</v>
      </c>
      <c r="M86" s="27"/>
      <c r="N86" s="27"/>
    </row>
    <row r="87" spans="1:14" ht="18.75" customHeight="1" x14ac:dyDescent="0.15">
      <c r="A87" s="11">
        <v>80</v>
      </c>
      <c r="B87" s="2"/>
      <c r="C87" s="3"/>
      <c r="D87" s="20"/>
      <c r="E87" s="3"/>
      <c r="F87" s="4" t="str">
        <f>IF(E87="","",E87-7*INT(E87/7))</f>
        <v/>
      </c>
      <c r="G87" s="5"/>
      <c r="H87" s="5" t="str">
        <f>IF(G87="","",G87)</f>
        <v/>
      </c>
      <c r="I87" s="18"/>
      <c r="J87" s="6" t="s">
        <v>16</v>
      </c>
      <c r="K87" s="22" t="str">
        <f>IF(I87&gt;0,I87,"")</f>
        <v/>
      </c>
      <c r="L87" s="6" t="s">
        <v>6</v>
      </c>
      <c r="M87" s="27"/>
      <c r="N87" s="27"/>
    </row>
    <row r="88" spans="1:14" ht="18.75" customHeight="1" x14ac:dyDescent="0.15">
      <c r="I88" s="23">
        <f>SUM(I48:I87)+I44</f>
        <v>0</v>
      </c>
      <c r="J88" s="10" t="s">
        <v>17</v>
      </c>
      <c r="K88" s="24">
        <f>SUM(K48:K87)+K44</f>
        <v>0</v>
      </c>
      <c r="L88" s="10" t="s">
        <v>6</v>
      </c>
    </row>
  </sheetData>
  <mergeCells count="12">
    <mergeCell ref="B1:M1"/>
    <mergeCell ref="B2:M2"/>
    <mergeCell ref="C3:D3"/>
    <mergeCell ref="E3:F3"/>
    <mergeCell ref="I3:J3"/>
    <mergeCell ref="K3:L3"/>
    <mergeCell ref="B46:M46"/>
    <mergeCell ref="B45:M45"/>
    <mergeCell ref="C47:D47"/>
    <mergeCell ref="E47:F47"/>
    <mergeCell ref="I47:J47"/>
    <mergeCell ref="K47:L47"/>
  </mergeCells>
  <phoneticPr fontId="2"/>
  <dataValidations count="3">
    <dataValidation imeMode="on" allowBlank="1" showInputMessage="1" showErrorMessage="1" sqref="B48:C87 B4:C43" xr:uid="{A8F41E28-3D8C-44D0-8AC2-47E2EF0B518B}"/>
    <dataValidation imeMode="disabled" allowBlank="1" showInputMessage="1" showErrorMessage="1" sqref="E48:E87 E4:E43 G48:N87 G4:N43" xr:uid="{8DF32D90-0A59-4B9E-A63D-A1317EFFE3D0}"/>
    <dataValidation type="list" imeMode="on" allowBlank="1" showInputMessage="1" showErrorMessage="1" promptTitle="こんにちは" sqref="D48:D87 D4:D43" xr:uid="{4DF7DB7D-B60C-494A-9E98-34F647566749}">
      <formula1>"鴛泊下水浄化センター,沓形浄化センター"</formula1>
    </dataValidation>
  </dataValidations>
  <printOptions horizontalCentered="1" verticalCentered="1"/>
  <pageMargins left="0.59055118110236227" right="0.59055118110236227" top="0.59055118110236227" bottom="0.59055118110236227" header="0.51181102362204722" footer="0.51181102362204722"/>
  <pageSetup paperSize="9" orientation="portrait" horizontalDpi="4294967293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4A009-5BC2-4959-BF48-373D9505B09F}">
  <dimension ref="A1:O88"/>
  <sheetViews>
    <sheetView workbookViewId="0">
      <selection activeCell="O21" sqref="O21"/>
    </sheetView>
  </sheetViews>
  <sheetFormatPr defaultRowHeight="13.5" x14ac:dyDescent="0.15"/>
  <cols>
    <col min="1" max="1" width="3.375" style="12" customWidth="1"/>
    <col min="2" max="2" width="11" style="10" customWidth="1"/>
    <col min="3" max="3" width="1" style="10" customWidth="1"/>
    <col min="4" max="4" width="15.625" style="10" customWidth="1"/>
    <col min="5" max="5" width="10.125" style="10" customWidth="1"/>
    <col min="6" max="6" width="2.25" style="10" customWidth="1"/>
    <col min="7" max="8" width="8.625" style="10" customWidth="1"/>
    <col min="9" max="9" width="6" style="13" customWidth="1"/>
    <col min="10" max="10" width="2.375" style="10" customWidth="1"/>
    <col min="11" max="11" width="6.125" style="10" customWidth="1"/>
    <col min="12" max="12" width="2.25" style="10" customWidth="1"/>
    <col min="13" max="14" width="6.25" style="12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 x14ac:dyDescent="0.15">
      <c r="B1" s="95" t="s">
        <v>13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10"/>
    </row>
    <row r="2" spans="1:15" ht="21" customHeight="1" x14ac:dyDescent="0.15"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10"/>
    </row>
    <row r="3" spans="1:15" ht="26.25" customHeight="1" x14ac:dyDescent="0.15">
      <c r="A3" s="11"/>
      <c r="B3" s="2" t="s">
        <v>1</v>
      </c>
      <c r="C3" s="97" t="s">
        <v>2</v>
      </c>
      <c r="D3" s="98"/>
      <c r="E3" s="99" t="s">
        <v>3</v>
      </c>
      <c r="F3" s="100"/>
      <c r="G3" s="25" t="s">
        <v>4</v>
      </c>
      <c r="H3" s="25" t="s">
        <v>7</v>
      </c>
      <c r="I3" s="101" t="s">
        <v>8</v>
      </c>
      <c r="J3" s="99"/>
      <c r="K3" s="101" t="s">
        <v>5</v>
      </c>
      <c r="L3" s="101"/>
      <c r="M3" s="26" t="s">
        <v>14</v>
      </c>
      <c r="N3" s="1" t="s">
        <v>10</v>
      </c>
    </row>
    <row r="4" spans="1:15" ht="18.75" customHeight="1" x14ac:dyDescent="0.15">
      <c r="A4" s="11">
        <v>1</v>
      </c>
      <c r="B4" s="2" t="s">
        <v>12</v>
      </c>
      <c r="C4" s="3"/>
      <c r="D4" s="71"/>
      <c r="E4" s="3"/>
      <c r="F4" s="4" t="str">
        <f t="shared" ref="F4:F37" si="0">IF(E4="","",E4-7*INT(E4/7))</f>
        <v/>
      </c>
      <c r="G4" s="5"/>
      <c r="H4" s="5" t="str">
        <f t="shared" ref="H4:H37" si="1">IF(G4="","",G4)</f>
        <v/>
      </c>
      <c r="I4" s="15"/>
      <c r="J4" s="6" t="s">
        <v>15</v>
      </c>
      <c r="K4" s="16" t="str">
        <f t="shared" ref="K4:K37" si="2">IF(I4&gt;0,I4,"")</f>
        <v/>
      </c>
      <c r="L4" s="6" t="s">
        <v>6</v>
      </c>
      <c r="M4" s="27"/>
      <c r="N4" s="27"/>
    </row>
    <row r="5" spans="1:15" ht="18.75" customHeight="1" x14ac:dyDescent="0.15">
      <c r="A5" s="11">
        <v>2</v>
      </c>
      <c r="B5" s="2" t="s">
        <v>12</v>
      </c>
      <c r="C5" s="3"/>
      <c r="D5" s="71"/>
      <c r="E5" s="7"/>
      <c r="F5" s="4" t="str">
        <f t="shared" si="0"/>
        <v/>
      </c>
      <c r="G5" s="5"/>
      <c r="H5" s="5" t="str">
        <f t="shared" si="1"/>
        <v/>
      </c>
      <c r="I5" s="17"/>
      <c r="J5" s="8" t="s">
        <v>16</v>
      </c>
      <c r="K5" s="16" t="str">
        <f t="shared" si="2"/>
        <v/>
      </c>
      <c r="L5" s="9" t="s">
        <v>6</v>
      </c>
      <c r="M5" s="27"/>
      <c r="N5" s="27"/>
    </row>
    <row r="6" spans="1:15" ht="18.75" customHeight="1" x14ac:dyDescent="0.15">
      <c r="A6" s="11">
        <v>3</v>
      </c>
      <c r="B6" s="2" t="s">
        <v>12</v>
      </c>
      <c r="C6" s="3"/>
      <c r="D6" s="71"/>
      <c r="E6" s="3"/>
      <c r="F6" s="4" t="str">
        <f t="shared" si="0"/>
        <v/>
      </c>
      <c r="G6" s="5"/>
      <c r="H6" s="5" t="str">
        <f t="shared" si="1"/>
        <v/>
      </c>
      <c r="I6" s="18"/>
      <c r="J6" s="6" t="s">
        <v>16</v>
      </c>
      <c r="K6" s="16" t="str">
        <f t="shared" si="2"/>
        <v/>
      </c>
      <c r="L6" s="6" t="s">
        <v>6</v>
      </c>
      <c r="M6" s="27"/>
      <c r="N6" s="27"/>
    </row>
    <row r="7" spans="1:15" ht="18.75" customHeight="1" x14ac:dyDescent="0.15">
      <c r="A7" s="11">
        <v>4</v>
      </c>
      <c r="B7" s="2" t="s">
        <v>12</v>
      </c>
      <c r="C7" s="3"/>
      <c r="D7" s="71"/>
      <c r="E7" s="3"/>
      <c r="F7" s="4" t="str">
        <f t="shared" si="0"/>
        <v/>
      </c>
      <c r="G7" s="5"/>
      <c r="H7" s="5" t="str">
        <f t="shared" si="1"/>
        <v/>
      </c>
      <c r="I7" s="17"/>
      <c r="J7" s="8" t="s">
        <v>16</v>
      </c>
      <c r="K7" s="16" t="str">
        <f t="shared" si="2"/>
        <v/>
      </c>
      <c r="L7" s="9" t="s">
        <v>6</v>
      </c>
      <c r="M7" s="27"/>
      <c r="N7" s="27"/>
    </row>
    <row r="8" spans="1:15" ht="18.75" customHeight="1" x14ac:dyDescent="0.15">
      <c r="A8" s="11">
        <v>5</v>
      </c>
      <c r="B8" s="2" t="s">
        <v>12</v>
      </c>
      <c r="C8" s="3"/>
      <c r="D8" s="71"/>
      <c r="E8" s="7"/>
      <c r="F8" s="4" t="str">
        <f t="shared" si="0"/>
        <v/>
      </c>
      <c r="G8" s="5"/>
      <c r="H8" s="5" t="str">
        <f t="shared" si="1"/>
        <v/>
      </c>
      <c r="I8" s="18"/>
      <c r="J8" s="6" t="s">
        <v>16</v>
      </c>
      <c r="K8" s="16" t="str">
        <f t="shared" si="2"/>
        <v/>
      </c>
      <c r="L8" s="6" t="s">
        <v>6</v>
      </c>
      <c r="M8" s="27"/>
      <c r="N8" s="27"/>
    </row>
    <row r="9" spans="1:15" ht="18.75" customHeight="1" x14ac:dyDescent="0.15">
      <c r="A9" s="11">
        <v>6</v>
      </c>
      <c r="B9" s="2" t="s">
        <v>12</v>
      </c>
      <c r="C9" s="3"/>
      <c r="D9" s="71"/>
      <c r="E9" s="3"/>
      <c r="F9" s="4" t="str">
        <f t="shared" si="0"/>
        <v/>
      </c>
      <c r="G9" s="5"/>
      <c r="H9" s="5" t="str">
        <f t="shared" si="1"/>
        <v/>
      </c>
      <c r="I9" s="18"/>
      <c r="J9" s="6" t="s">
        <v>16</v>
      </c>
      <c r="K9" s="16" t="str">
        <f t="shared" si="2"/>
        <v/>
      </c>
      <c r="L9" s="6" t="s">
        <v>6</v>
      </c>
      <c r="M9" s="27"/>
      <c r="N9" s="27"/>
    </row>
    <row r="10" spans="1:15" ht="18.75" customHeight="1" x14ac:dyDescent="0.15">
      <c r="A10" s="11">
        <v>7</v>
      </c>
      <c r="B10" s="2" t="s">
        <v>12</v>
      </c>
      <c r="C10" s="3"/>
      <c r="D10" s="71"/>
      <c r="E10" s="3"/>
      <c r="F10" s="4" t="str">
        <f t="shared" si="0"/>
        <v/>
      </c>
      <c r="G10" s="5"/>
      <c r="H10" s="5" t="str">
        <f t="shared" si="1"/>
        <v/>
      </c>
      <c r="I10" s="17"/>
      <c r="J10" s="28" t="s">
        <v>16</v>
      </c>
      <c r="K10" s="16" t="str">
        <f t="shared" si="2"/>
        <v/>
      </c>
      <c r="L10" s="28" t="s">
        <v>6</v>
      </c>
      <c r="M10" s="27"/>
      <c r="N10" s="27"/>
      <c r="O10" s="59"/>
    </row>
    <row r="11" spans="1:15" ht="18.75" customHeight="1" x14ac:dyDescent="0.15">
      <c r="A11" s="11">
        <v>8</v>
      </c>
      <c r="B11" s="2" t="s">
        <v>12</v>
      </c>
      <c r="C11" s="3"/>
      <c r="D11" s="71"/>
      <c r="E11" s="7"/>
      <c r="F11" s="4" t="str">
        <f t="shared" si="0"/>
        <v/>
      </c>
      <c r="G11" s="5"/>
      <c r="H11" s="5" t="str">
        <f t="shared" si="1"/>
        <v/>
      </c>
      <c r="I11" s="18"/>
      <c r="J11" s="8" t="s">
        <v>16</v>
      </c>
      <c r="K11" s="16" t="str">
        <f t="shared" si="2"/>
        <v/>
      </c>
      <c r="L11" s="9" t="s">
        <v>6</v>
      </c>
      <c r="M11" s="27"/>
      <c r="N11" s="27"/>
    </row>
    <row r="12" spans="1:15" ht="18.75" customHeight="1" x14ac:dyDescent="0.15">
      <c r="A12" s="11">
        <v>9</v>
      </c>
      <c r="B12" s="2" t="s">
        <v>12</v>
      </c>
      <c r="C12" s="3"/>
      <c r="D12" s="71"/>
      <c r="E12" s="3"/>
      <c r="F12" s="4" t="str">
        <f t="shared" si="0"/>
        <v/>
      </c>
      <c r="G12" s="5"/>
      <c r="H12" s="5" t="str">
        <f t="shared" si="1"/>
        <v/>
      </c>
      <c r="I12" s="18"/>
      <c r="J12" s="6" t="s">
        <v>16</v>
      </c>
      <c r="K12" s="16" t="str">
        <f t="shared" si="2"/>
        <v/>
      </c>
      <c r="L12" s="6" t="s">
        <v>6</v>
      </c>
      <c r="M12" s="27"/>
      <c r="N12" s="27"/>
    </row>
    <row r="13" spans="1:15" ht="18.75" customHeight="1" x14ac:dyDescent="0.15">
      <c r="A13" s="11">
        <v>10</v>
      </c>
      <c r="B13" s="2"/>
      <c r="C13" s="3"/>
      <c r="D13" s="14"/>
      <c r="E13" s="7"/>
      <c r="F13" s="4" t="str">
        <f t="shared" si="0"/>
        <v/>
      </c>
      <c r="G13" s="5"/>
      <c r="H13" s="5" t="str">
        <f t="shared" si="1"/>
        <v/>
      </c>
      <c r="I13" s="18"/>
      <c r="J13" s="8" t="s">
        <v>16</v>
      </c>
      <c r="K13" s="16" t="str">
        <f t="shared" si="2"/>
        <v/>
      </c>
      <c r="L13" s="9" t="s">
        <v>6</v>
      </c>
      <c r="M13" s="27"/>
      <c r="N13" s="27"/>
    </row>
    <row r="14" spans="1:15" ht="18.75" customHeight="1" x14ac:dyDescent="0.15">
      <c r="A14" s="11">
        <v>11</v>
      </c>
      <c r="B14" s="2"/>
      <c r="C14" s="3"/>
      <c r="D14" s="14"/>
      <c r="E14" s="3"/>
      <c r="F14" s="4" t="str">
        <f t="shared" si="0"/>
        <v/>
      </c>
      <c r="G14" s="5"/>
      <c r="H14" s="5" t="str">
        <f t="shared" si="1"/>
        <v/>
      </c>
      <c r="I14" s="18"/>
      <c r="J14" s="6" t="s">
        <v>16</v>
      </c>
      <c r="K14" s="16" t="str">
        <f t="shared" si="2"/>
        <v/>
      </c>
      <c r="L14" s="6" t="s">
        <v>6</v>
      </c>
      <c r="M14" s="27"/>
      <c r="N14" s="27"/>
    </row>
    <row r="15" spans="1:15" ht="18.75" customHeight="1" x14ac:dyDescent="0.15">
      <c r="A15" s="11">
        <v>12</v>
      </c>
      <c r="B15" s="2"/>
      <c r="C15" s="3"/>
      <c r="D15" s="14"/>
      <c r="E15" s="3"/>
      <c r="F15" s="4" t="str">
        <f t="shared" si="0"/>
        <v/>
      </c>
      <c r="G15" s="5"/>
      <c r="H15" s="5" t="str">
        <f t="shared" si="1"/>
        <v/>
      </c>
      <c r="I15" s="17"/>
      <c r="J15" s="8" t="s">
        <v>16</v>
      </c>
      <c r="K15" s="16" t="str">
        <f t="shared" si="2"/>
        <v/>
      </c>
      <c r="L15" s="6" t="s">
        <v>6</v>
      </c>
      <c r="M15" s="27"/>
      <c r="N15" s="27"/>
    </row>
    <row r="16" spans="1:15" ht="18.75" customHeight="1" x14ac:dyDescent="0.15">
      <c r="A16" s="11">
        <v>13</v>
      </c>
      <c r="B16" s="2"/>
      <c r="C16" s="3"/>
      <c r="D16" s="19"/>
      <c r="E16" s="3"/>
      <c r="F16" s="4" t="str">
        <f t="shared" si="0"/>
        <v/>
      </c>
      <c r="G16" s="5"/>
      <c r="H16" s="5" t="str">
        <f t="shared" si="1"/>
        <v/>
      </c>
      <c r="I16" s="18"/>
      <c r="J16" s="6" t="s">
        <v>16</v>
      </c>
      <c r="K16" s="16" t="str">
        <f t="shared" si="2"/>
        <v/>
      </c>
      <c r="L16" s="6" t="s">
        <v>6</v>
      </c>
      <c r="M16" s="27"/>
      <c r="N16" s="27"/>
    </row>
    <row r="17" spans="1:14" ht="18.75" customHeight="1" x14ac:dyDescent="0.15">
      <c r="A17" s="11">
        <v>14</v>
      </c>
      <c r="B17" s="2"/>
      <c r="C17" s="3"/>
      <c r="D17" s="19"/>
      <c r="E17" s="3"/>
      <c r="F17" s="4" t="str">
        <f t="shared" si="0"/>
        <v/>
      </c>
      <c r="G17" s="5"/>
      <c r="H17" s="5" t="str">
        <f t="shared" si="1"/>
        <v/>
      </c>
      <c r="I17" s="18"/>
      <c r="J17" s="6" t="s">
        <v>16</v>
      </c>
      <c r="K17" s="16" t="str">
        <f t="shared" si="2"/>
        <v/>
      </c>
      <c r="L17" s="6" t="s">
        <v>6</v>
      </c>
      <c r="M17" s="27"/>
      <c r="N17" s="27"/>
    </row>
    <row r="18" spans="1:14" ht="18.75" customHeight="1" x14ac:dyDescent="0.15">
      <c r="A18" s="11">
        <v>15</v>
      </c>
      <c r="B18" s="2"/>
      <c r="C18" s="3"/>
      <c r="D18" s="19"/>
      <c r="E18" s="3"/>
      <c r="F18" s="4" t="str">
        <f t="shared" si="0"/>
        <v/>
      </c>
      <c r="G18" s="5"/>
      <c r="H18" s="5" t="str">
        <f t="shared" si="1"/>
        <v/>
      </c>
      <c r="I18" s="18"/>
      <c r="J18" s="6" t="s">
        <v>16</v>
      </c>
      <c r="K18" s="16" t="str">
        <f t="shared" si="2"/>
        <v/>
      </c>
      <c r="L18" s="9" t="s">
        <v>6</v>
      </c>
      <c r="M18" s="27"/>
      <c r="N18" s="27"/>
    </row>
    <row r="19" spans="1:14" ht="18.75" customHeight="1" x14ac:dyDescent="0.15">
      <c r="A19" s="11">
        <v>16</v>
      </c>
      <c r="B19" s="2"/>
      <c r="C19" s="3"/>
      <c r="D19" s="19"/>
      <c r="E19" s="7"/>
      <c r="F19" s="4" t="str">
        <f t="shared" si="0"/>
        <v/>
      </c>
      <c r="G19" s="5"/>
      <c r="H19" s="5" t="str">
        <f t="shared" si="1"/>
        <v/>
      </c>
      <c r="I19" s="17"/>
      <c r="J19" s="8" t="s">
        <v>16</v>
      </c>
      <c r="K19" s="16" t="str">
        <f t="shared" si="2"/>
        <v/>
      </c>
      <c r="L19" s="6" t="s">
        <v>6</v>
      </c>
      <c r="M19" s="27"/>
      <c r="N19" s="27"/>
    </row>
    <row r="20" spans="1:14" ht="18.75" customHeight="1" x14ac:dyDescent="0.15">
      <c r="A20" s="11">
        <v>17</v>
      </c>
      <c r="B20" s="2"/>
      <c r="C20" s="3"/>
      <c r="D20" s="19"/>
      <c r="E20" s="3"/>
      <c r="F20" s="4" t="str">
        <f t="shared" si="0"/>
        <v/>
      </c>
      <c r="G20" s="5"/>
      <c r="H20" s="5" t="str">
        <f t="shared" si="1"/>
        <v/>
      </c>
      <c r="I20" s="18"/>
      <c r="J20" s="6" t="s">
        <v>16</v>
      </c>
      <c r="K20" s="16" t="str">
        <f t="shared" si="2"/>
        <v/>
      </c>
      <c r="L20" s="6" t="s">
        <v>6</v>
      </c>
      <c r="M20" s="27"/>
      <c r="N20" s="27"/>
    </row>
    <row r="21" spans="1:14" ht="18.75" customHeight="1" x14ac:dyDescent="0.15">
      <c r="A21" s="11">
        <v>18</v>
      </c>
      <c r="B21" s="2"/>
      <c r="C21" s="3"/>
      <c r="D21" s="19"/>
      <c r="E21" s="3"/>
      <c r="F21" s="4" t="str">
        <f t="shared" si="0"/>
        <v/>
      </c>
      <c r="G21" s="5"/>
      <c r="H21" s="5" t="str">
        <f t="shared" si="1"/>
        <v/>
      </c>
      <c r="I21" s="18"/>
      <c r="J21" s="6" t="s">
        <v>16</v>
      </c>
      <c r="K21" s="16" t="str">
        <f t="shared" si="2"/>
        <v/>
      </c>
      <c r="L21" s="6" t="s">
        <v>6</v>
      </c>
      <c r="M21" s="27"/>
      <c r="N21" s="27"/>
    </row>
    <row r="22" spans="1:14" ht="18.75" customHeight="1" x14ac:dyDescent="0.15">
      <c r="A22" s="11">
        <v>19</v>
      </c>
      <c r="B22" s="2"/>
      <c r="C22" s="3"/>
      <c r="D22" s="19"/>
      <c r="E22" s="3"/>
      <c r="F22" s="4" t="str">
        <f t="shared" si="0"/>
        <v/>
      </c>
      <c r="G22" s="5"/>
      <c r="H22" s="5" t="str">
        <f t="shared" si="1"/>
        <v/>
      </c>
      <c r="I22" s="18"/>
      <c r="J22" s="6" t="s">
        <v>16</v>
      </c>
      <c r="K22" s="16" t="str">
        <f t="shared" si="2"/>
        <v/>
      </c>
      <c r="L22" s="6" t="s">
        <v>6</v>
      </c>
      <c r="M22" s="27"/>
      <c r="N22" s="27"/>
    </row>
    <row r="23" spans="1:14" ht="18.75" customHeight="1" x14ac:dyDescent="0.15">
      <c r="A23" s="11">
        <v>20</v>
      </c>
      <c r="B23" s="2"/>
      <c r="C23" s="3"/>
      <c r="D23" s="20"/>
      <c r="E23" s="3"/>
      <c r="F23" s="4" t="str">
        <f t="shared" si="0"/>
        <v/>
      </c>
      <c r="G23" s="5"/>
      <c r="H23" s="5" t="str">
        <f t="shared" si="1"/>
        <v/>
      </c>
      <c r="I23" s="18"/>
      <c r="J23" s="6" t="s">
        <v>11</v>
      </c>
      <c r="K23" s="16" t="str">
        <f t="shared" si="2"/>
        <v/>
      </c>
      <c r="L23" s="6" t="s">
        <v>6</v>
      </c>
      <c r="M23" s="27"/>
      <c r="N23" s="27"/>
    </row>
    <row r="24" spans="1:14" ht="18.75" customHeight="1" x14ac:dyDescent="0.15">
      <c r="A24" s="11">
        <v>21</v>
      </c>
      <c r="B24" s="2"/>
      <c r="C24" s="3"/>
      <c r="D24" s="20"/>
      <c r="E24" s="3"/>
      <c r="F24" s="4" t="str">
        <f t="shared" si="0"/>
        <v/>
      </c>
      <c r="G24" s="5"/>
      <c r="H24" s="5" t="str">
        <f t="shared" si="1"/>
        <v/>
      </c>
      <c r="I24" s="18"/>
      <c r="J24" s="8" t="s">
        <v>11</v>
      </c>
      <c r="K24" s="16" t="str">
        <f t="shared" si="2"/>
        <v/>
      </c>
      <c r="L24" s="6" t="s">
        <v>6</v>
      </c>
      <c r="M24" s="27"/>
      <c r="N24" s="27"/>
    </row>
    <row r="25" spans="1:14" ht="18.75" customHeight="1" x14ac:dyDescent="0.15">
      <c r="A25" s="11">
        <v>22</v>
      </c>
      <c r="B25" s="2"/>
      <c r="C25" s="3"/>
      <c r="D25" s="20"/>
      <c r="E25" s="3"/>
      <c r="F25" s="4" t="str">
        <f t="shared" si="0"/>
        <v/>
      </c>
      <c r="G25" s="5"/>
      <c r="H25" s="5" t="str">
        <f t="shared" si="1"/>
        <v/>
      </c>
      <c r="I25" s="18"/>
      <c r="J25" s="6" t="s">
        <v>11</v>
      </c>
      <c r="K25" s="16" t="str">
        <f t="shared" si="2"/>
        <v/>
      </c>
      <c r="L25" s="6" t="s">
        <v>6</v>
      </c>
      <c r="M25" s="27"/>
      <c r="N25" s="27"/>
    </row>
    <row r="26" spans="1:14" ht="18.75" customHeight="1" x14ac:dyDescent="0.15">
      <c r="A26" s="11">
        <v>23</v>
      </c>
      <c r="B26" s="2"/>
      <c r="C26" s="3"/>
      <c r="D26" s="20"/>
      <c r="E26" s="3"/>
      <c r="F26" s="4" t="str">
        <f t="shared" si="0"/>
        <v/>
      </c>
      <c r="G26" s="5"/>
      <c r="H26" s="5" t="str">
        <f t="shared" si="1"/>
        <v/>
      </c>
      <c r="I26" s="18"/>
      <c r="J26" s="6" t="s">
        <v>16</v>
      </c>
      <c r="K26" s="16" t="str">
        <f t="shared" si="2"/>
        <v/>
      </c>
      <c r="L26" s="6" t="s">
        <v>6</v>
      </c>
      <c r="M26" s="27"/>
      <c r="N26" s="27"/>
    </row>
    <row r="27" spans="1:14" ht="18.75" customHeight="1" x14ac:dyDescent="0.15">
      <c r="A27" s="11">
        <v>24</v>
      </c>
      <c r="B27" s="2"/>
      <c r="C27" s="3"/>
      <c r="D27" s="20"/>
      <c r="E27" s="3"/>
      <c r="F27" s="4" t="str">
        <f t="shared" si="0"/>
        <v/>
      </c>
      <c r="G27" s="5"/>
      <c r="H27" s="5" t="str">
        <f t="shared" si="1"/>
        <v/>
      </c>
      <c r="I27" s="18"/>
      <c r="J27" s="8" t="s">
        <v>16</v>
      </c>
      <c r="K27" s="16" t="str">
        <f t="shared" si="2"/>
        <v/>
      </c>
      <c r="L27" s="6" t="s">
        <v>6</v>
      </c>
      <c r="M27" s="27"/>
      <c r="N27" s="27"/>
    </row>
    <row r="28" spans="1:14" ht="18.75" customHeight="1" x14ac:dyDescent="0.15">
      <c r="A28" s="11">
        <v>25</v>
      </c>
      <c r="B28" s="2"/>
      <c r="C28" s="3"/>
      <c r="D28" s="20"/>
      <c r="E28" s="3"/>
      <c r="F28" s="4" t="str">
        <f t="shared" si="0"/>
        <v/>
      </c>
      <c r="G28" s="5"/>
      <c r="H28" s="5" t="str">
        <f t="shared" si="1"/>
        <v/>
      </c>
      <c r="I28" s="18"/>
      <c r="J28" s="6" t="s">
        <v>16</v>
      </c>
      <c r="K28" s="16" t="str">
        <f t="shared" si="2"/>
        <v/>
      </c>
      <c r="L28" s="6" t="s">
        <v>6</v>
      </c>
      <c r="M28" s="27"/>
      <c r="N28" s="27"/>
    </row>
    <row r="29" spans="1:14" ht="18.75" customHeight="1" x14ac:dyDescent="0.15">
      <c r="A29" s="11">
        <v>26</v>
      </c>
      <c r="B29" s="2"/>
      <c r="C29" s="3"/>
      <c r="D29" s="20"/>
      <c r="E29" s="3"/>
      <c r="F29" s="4" t="str">
        <f t="shared" si="0"/>
        <v/>
      </c>
      <c r="G29" s="5"/>
      <c r="H29" s="5" t="str">
        <f t="shared" si="1"/>
        <v/>
      </c>
      <c r="I29" s="18"/>
      <c r="J29" s="6" t="s">
        <v>16</v>
      </c>
      <c r="K29" s="16" t="str">
        <f t="shared" si="2"/>
        <v/>
      </c>
      <c r="L29" s="6" t="s">
        <v>6</v>
      </c>
      <c r="M29" s="27"/>
      <c r="N29" s="27"/>
    </row>
    <row r="30" spans="1:14" ht="18.75" customHeight="1" x14ac:dyDescent="0.15">
      <c r="A30" s="11">
        <v>27</v>
      </c>
      <c r="B30" s="2"/>
      <c r="C30" s="3"/>
      <c r="D30" s="20"/>
      <c r="E30" s="3"/>
      <c r="F30" s="4" t="str">
        <f t="shared" si="0"/>
        <v/>
      </c>
      <c r="G30" s="5"/>
      <c r="H30" s="5" t="str">
        <f t="shared" si="1"/>
        <v/>
      </c>
      <c r="I30" s="18"/>
      <c r="J30" s="8" t="s">
        <v>16</v>
      </c>
      <c r="K30" s="16" t="str">
        <f t="shared" si="2"/>
        <v/>
      </c>
      <c r="L30" s="6" t="s">
        <v>6</v>
      </c>
      <c r="M30" s="27"/>
      <c r="N30" s="27"/>
    </row>
    <row r="31" spans="1:14" ht="18.75" customHeight="1" x14ac:dyDescent="0.15">
      <c r="A31" s="11">
        <v>28</v>
      </c>
      <c r="B31" s="2"/>
      <c r="C31" s="3"/>
      <c r="D31" s="20"/>
      <c r="E31" s="7"/>
      <c r="F31" s="4" t="str">
        <f t="shared" si="0"/>
        <v/>
      </c>
      <c r="G31" s="5"/>
      <c r="H31" s="5" t="str">
        <f t="shared" si="1"/>
        <v/>
      </c>
      <c r="I31" s="18"/>
      <c r="J31" s="6" t="s">
        <v>16</v>
      </c>
      <c r="K31" s="16" t="str">
        <f t="shared" si="2"/>
        <v/>
      </c>
      <c r="L31" s="6" t="s">
        <v>6</v>
      </c>
      <c r="M31" s="27"/>
      <c r="N31" s="27"/>
    </row>
    <row r="32" spans="1:14" ht="18.75" customHeight="1" x14ac:dyDescent="0.15">
      <c r="A32" s="11">
        <v>29</v>
      </c>
      <c r="B32" s="2"/>
      <c r="C32" s="3"/>
      <c r="D32" s="20"/>
      <c r="E32" s="3"/>
      <c r="F32" s="4" t="str">
        <f t="shared" si="0"/>
        <v/>
      </c>
      <c r="G32" s="5"/>
      <c r="H32" s="5" t="str">
        <f t="shared" si="1"/>
        <v/>
      </c>
      <c r="I32" s="18"/>
      <c r="J32" s="6" t="s">
        <v>16</v>
      </c>
      <c r="K32" s="16" t="str">
        <f t="shared" si="2"/>
        <v/>
      </c>
      <c r="L32" s="6" t="s">
        <v>6</v>
      </c>
      <c r="M32" s="27"/>
      <c r="N32" s="27"/>
    </row>
    <row r="33" spans="1:14" ht="18.75" customHeight="1" x14ac:dyDescent="0.15">
      <c r="A33" s="11">
        <v>30</v>
      </c>
      <c r="B33" s="2"/>
      <c r="C33" s="3"/>
      <c r="D33" s="20"/>
      <c r="E33" s="3"/>
      <c r="F33" s="4" t="str">
        <f t="shared" si="0"/>
        <v/>
      </c>
      <c r="G33" s="5"/>
      <c r="H33" s="5" t="str">
        <f t="shared" si="1"/>
        <v/>
      </c>
      <c r="I33" s="18"/>
      <c r="J33" s="6" t="s">
        <v>16</v>
      </c>
      <c r="K33" s="16" t="str">
        <f t="shared" si="2"/>
        <v/>
      </c>
      <c r="L33" s="6" t="s">
        <v>6</v>
      </c>
      <c r="M33" s="27"/>
      <c r="N33" s="27"/>
    </row>
    <row r="34" spans="1:14" ht="18.75" customHeight="1" x14ac:dyDescent="0.15">
      <c r="A34" s="11">
        <v>31</v>
      </c>
      <c r="B34" s="2"/>
      <c r="C34" s="3"/>
      <c r="D34" s="20"/>
      <c r="E34" s="3"/>
      <c r="F34" s="4" t="str">
        <f t="shared" si="0"/>
        <v/>
      </c>
      <c r="G34" s="5"/>
      <c r="H34" s="5" t="str">
        <f t="shared" si="1"/>
        <v/>
      </c>
      <c r="I34" s="21"/>
      <c r="J34" s="6" t="s">
        <v>16</v>
      </c>
      <c r="K34" s="16" t="str">
        <f t="shared" si="2"/>
        <v/>
      </c>
      <c r="L34" s="6" t="s">
        <v>6</v>
      </c>
      <c r="M34" s="27"/>
      <c r="N34" s="27"/>
    </row>
    <row r="35" spans="1:14" ht="18.75" customHeight="1" x14ac:dyDescent="0.15">
      <c r="A35" s="11">
        <v>32</v>
      </c>
      <c r="B35" s="2"/>
      <c r="C35" s="3"/>
      <c r="D35" s="20"/>
      <c r="E35" s="3"/>
      <c r="F35" s="4" t="str">
        <f t="shared" si="0"/>
        <v/>
      </c>
      <c r="G35" s="5"/>
      <c r="H35" s="5" t="str">
        <f t="shared" si="1"/>
        <v/>
      </c>
      <c r="I35" s="18"/>
      <c r="J35" s="6" t="s">
        <v>16</v>
      </c>
      <c r="K35" s="16" t="str">
        <f t="shared" si="2"/>
        <v/>
      </c>
      <c r="L35" s="6" t="s">
        <v>6</v>
      </c>
      <c r="M35" s="27"/>
      <c r="N35" s="27"/>
    </row>
    <row r="36" spans="1:14" ht="18.75" customHeight="1" x14ac:dyDescent="0.15">
      <c r="A36" s="11">
        <v>33</v>
      </c>
      <c r="B36" s="2"/>
      <c r="C36" s="3"/>
      <c r="D36" s="20"/>
      <c r="E36" s="7"/>
      <c r="F36" s="4" t="str">
        <f t="shared" si="0"/>
        <v/>
      </c>
      <c r="G36" s="5"/>
      <c r="H36" s="5" t="str">
        <f t="shared" si="1"/>
        <v/>
      </c>
      <c r="I36" s="17"/>
      <c r="J36" s="6" t="s">
        <v>16</v>
      </c>
      <c r="K36" s="16" t="str">
        <f t="shared" si="2"/>
        <v/>
      </c>
      <c r="L36" s="6" t="s">
        <v>6</v>
      </c>
      <c r="M36" s="27"/>
      <c r="N36" s="27"/>
    </row>
    <row r="37" spans="1:14" ht="18.75" customHeight="1" x14ac:dyDescent="0.15">
      <c r="A37" s="11">
        <v>34</v>
      </c>
      <c r="B37" s="2"/>
      <c r="C37" s="3"/>
      <c r="D37" s="20"/>
      <c r="E37" s="3"/>
      <c r="F37" s="4" t="str">
        <f t="shared" si="0"/>
        <v/>
      </c>
      <c r="G37" s="5"/>
      <c r="H37" s="5" t="str">
        <f t="shared" si="1"/>
        <v/>
      </c>
      <c r="I37" s="18"/>
      <c r="J37" s="6" t="s">
        <v>16</v>
      </c>
      <c r="K37" s="16" t="str">
        <f t="shared" si="2"/>
        <v/>
      </c>
      <c r="L37" s="6" t="s">
        <v>6</v>
      </c>
      <c r="M37" s="27"/>
      <c r="N37" s="27"/>
    </row>
    <row r="38" spans="1:14" ht="18.75" customHeight="1" x14ac:dyDescent="0.15">
      <c r="A38" s="11">
        <v>35</v>
      </c>
      <c r="B38" s="2"/>
      <c r="C38" s="3"/>
      <c r="D38" s="20"/>
      <c r="E38" s="3"/>
      <c r="F38" s="4"/>
      <c r="G38" s="5"/>
      <c r="H38" s="5"/>
      <c r="I38" s="18"/>
      <c r="J38" s="6" t="s">
        <v>16</v>
      </c>
      <c r="K38" s="16"/>
      <c r="L38" s="6" t="s">
        <v>6</v>
      </c>
      <c r="M38" s="27"/>
      <c r="N38" s="27"/>
    </row>
    <row r="39" spans="1:14" ht="18.75" customHeight="1" x14ac:dyDescent="0.15">
      <c r="A39" s="11">
        <v>36</v>
      </c>
      <c r="B39" s="2"/>
      <c r="C39" s="3"/>
      <c r="D39" s="20"/>
      <c r="E39" s="3"/>
      <c r="F39" s="4"/>
      <c r="G39" s="5"/>
      <c r="H39" s="5"/>
      <c r="I39" s="18"/>
      <c r="J39" s="6" t="s">
        <v>16</v>
      </c>
      <c r="K39" s="16"/>
      <c r="L39" s="6" t="s">
        <v>6</v>
      </c>
      <c r="M39" s="27"/>
      <c r="N39" s="27"/>
    </row>
    <row r="40" spans="1:14" ht="18.75" customHeight="1" x14ac:dyDescent="0.15">
      <c r="A40" s="11">
        <v>37</v>
      </c>
      <c r="B40" s="2"/>
      <c r="C40" s="3"/>
      <c r="D40" s="20"/>
      <c r="E40" s="3"/>
      <c r="F40" s="4"/>
      <c r="G40" s="5"/>
      <c r="H40" s="5"/>
      <c r="I40" s="18"/>
      <c r="J40" s="6" t="s">
        <v>16</v>
      </c>
      <c r="K40" s="16"/>
      <c r="L40" s="6" t="s">
        <v>6</v>
      </c>
      <c r="M40" s="27"/>
      <c r="N40" s="27"/>
    </row>
    <row r="41" spans="1:14" ht="18.75" customHeight="1" x14ac:dyDescent="0.15">
      <c r="A41" s="11">
        <v>38</v>
      </c>
      <c r="B41" s="2"/>
      <c r="C41" s="3"/>
      <c r="D41" s="20"/>
      <c r="E41" s="3"/>
      <c r="F41" s="4"/>
      <c r="G41" s="5"/>
      <c r="H41" s="5"/>
      <c r="I41" s="18"/>
      <c r="J41" s="6" t="s">
        <v>16</v>
      </c>
      <c r="K41" s="16"/>
      <c r="L41" s="6" t="s">
        <v>6</v>
      </c>
      <c r="M41" s="27"/>
      <c r="N41" s="27"/>
    </row>
    <row r="42" spans="1:14" ht="18.75" customHeight="1" x14ac:dyDescent="0.15">
      <c r="A42" s="11">
        <v>39</v>
      </c>
      <c r="B42" s="2"/>
      <c r="C42" s="3"/>
      <c r="D42" s="20"/>
      <c r="E42" s="3"/>
      <c r="F42" s="4" t="str">
        <f>IF(E42="","",E42-7*INT(E42/7))</f>
        <v/>
      </c>
      <c r="G42" s="5"/>
      <c r="H42" s="5" t="str">
        <f>IF(G42="","",G42)</f>
        <v/>
      </c>
      <c r="I42" s="18"/>
      <c r="J42" s="6" t="s">
        <v>16</v>
      </c>
      <c r="K42" s="16" t="str">
        <f>IF(I42&gt;0,I42,"")</f>
        <v/>
      </c>
      <c r="L42" s="6" t="s">
        <v>6</v>
      </c>
      <c r="M42" s="27"/>
      <c r="N42" s="27"/>
    </row>
    <row r="43" spans="1:14" ht="18.75" customHeight="1" thickBot="1" x14ac:dyDescent="0.2">
      <c r="A43" s="50">
        <v>40</v>
      </c>
      <c r="B43" s="51"/>
      <c r="C43" s="52"/>
      <c r="D43" s="63"/>
      <c r="E43" s="52"/>
      <c r="F43" s="53" t="str">
        <f>IF(E43="","",E43-7*INT(E43/7))</f>
        <v/>
      </c>
      <c r="G43" s="54"/>
      <c r="H43" s="54" t="str">
        <f>IF(G43="","",G43)</f>
        <v/>
      </c>
      <c r="I43" s="64"/>
      <c r="J43" s="56" t="s">
        <v>16</v>
      </c>
      <c r="K43" s="65" t="str">
        <f>IF(I43&gt;0,I43,"")</f>
        <v/>
      </c>
      <c r="L43" s="56" t="s">
        <v>6</v>
      </c>
      <c r="M43" s="58"/>
      <c r="N43" s="58"/>
    </row>
    <row r="44" spans="1:14" ht="18.75" customHeight="1" thickTop="1" x14ac:dyDescent="0.15">
      <c r="I44" s="62">
        <f>SUM(I4:I43)</f>
        <v>0</v>
      </c>
      <c r="J44" s="10" t="s">
        <v>17</v>
      </c>
      <c r="K44" s="24">
        <f>SUM(K4:K43)</f>
        <v>0</v>
      </c>
      <c r="L44" s="10" t="s">
        <v>6</v>
      </c>
    </row>
    <row r="45" spans="1:14" ht="20.25" customHeight="1" x14ac:dyDescent="0.15">
      <c r="B45" s="95" t="s">
        <v>13</v>
      </c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10"/>
    </row>
    <row r="46" spans="1:14" ht="21" customHeight="1" x14ac:dyDescent="0.15">
      <c r="B46" s="96" t="s">
        <v>0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10"/>
    </row>
    <row r="47" spans="1:14" ht="26.25" customHeight="1" x14ac:dyDescent="0.15">
      <c r="A47" s="11"/>
      <c r="B47" s="2" t="s">
        <v>1</v>
      </c>
      <c r="C47" s="97" t="s">
        <v>2</v>
      </c>
      <c r="D47" s="98"/>
      <c r="E47" s="99" t="s">
        <v>3</v>
      </c>
      <c r="F47" s="100"/>
      <c r="G47" s="25" t="s">
        <v>4</v>
      </c>
      <c r="H47" s="25" t="s">
        <v>7</v>
      </c>
      <c r="I47" s="101" t="s">
        <v>8</v>
      </c>
      <c r="J47" s="99"/>
      <c r="K47" s="101" t="s">
        <v>5</v>
      </c>
      <c r="L47" s="101"/>
      <c r="M47" s="26" t="s">
        <v>14</v>
      </c>
      <c r="N47" s="1" t="s">
        <v>10</v>
      </c>
    </row>
    <row r="48" spans="1:14" ht="18.75" customHeight="1" x14ac:dyDescent="0.15">
      <c r="A48" s="11">
        <v>41</v>
      </c>
      <c r="B48" s="2"/>
      <c r="C48" s="3"/>
      <c r="D48" s="14"/>
      <c r="E48" s="3"/>
      <c r="F48" s="4" t="str">
        <f t="shared" ref="F48:F81" si="3">IF(E48="","",E48-7*INT(E48/7))</f>
        <v/>
      </c>
      <c r="G48" s="5"/>
      <c r="H48" s="5" t="str">
        <f t="shared" ref="H48:H81" si="4">IF(G48="","",G48)</f>
        <v/>
      </c>
      <c r="I48" s="15"/>
      <c r="J48" s="6" t="s">
        <v>15</v>
      </c>
      <c r="K48" s="16" t="str">
        <f t="shared" ref="K48:K81" si="5">IF(I48&gt;0,I48,"")</f>
        <v/>
      </c>
      <c r="L48" s="6" t="s">
        <v>6</v>
      </c>
      <c r="M48" s="27"/>
      <c r="N48" s="27"/>
    </row>
    <row r="49" spans="1:14" ht="18.75" customHeight="1" x14ac:dyDescent="0.15">
      <c r="A49" s="11">
        <v>42</v>
      </c>
      <c r="B49" s="2"/>
      <c r="C49" s="3"/>
      <c r="D49" s="14"/>
      <c r="E49" s="7"/>
      <c r="F49" s="4" t="str">
        <f t="shared" si="3"/>
        <v/>
      </c>
      <c r="G49" s="5"/>
      <c r="H49" s="5" t="str">
        <f t="shared" si="4"/>
        <v/>
      </c>
      <c r="I49" s="17"/>
      <c r="J49" s="8" t="s">
        <v>16</v>
      </c>
      <c r="K49" s="16" t="str">
        <f t="shared" si="5"/>
        <v/>
      </c>
      <c r="L49" s="9" t="s">
        <v>6</v>
      </c>
      <c r="M49" s="27"/>
      <c r="N49" s="27"/>
    </row>
    <row r="50" spans="1:14" ht="18.75" customHeight="1" x14ac:dyDescent="0.15">
      <c r="A50" s="11">
        <v>43</v>
      </c>
      <c r="B50" s="2"/>
      <c r="C50" s="3"/>
      <c r="D50" s="14"/>
      <c r="E50" s="3"/>
      <c r="F50" s="4" t="str">
        <f t="shared" si="3"/>
        <v/>
      </c>
      <c r="G50" s="5"/>
      <c r="H50" s="5" t="str">
        <f t="shared" si="4"/>
        <v/>
      </c>
      <c r="I50" s="18"/>
      <c r="J50" s="6" t="s">
        <v>16</v>
      </c>
      <c r="K50" s="16" t="str">
        <f t="shared" si="5"/>
        <v/>
      </c>
      <c r="L50" s="6" t="s">
        <v>6</v>
      </c>
      <c r="M50" s="27"/>
      <c r="N50" s="27"/>
    </row>
    <row r="51" spans="1:14" ht="18.75" customHeight="1" x14ac:dyDescent="0.15">
      <c r="A51" s="11">
        <v>44</v>
      </c>
      <c r="B51" s="2"/>
      <c r="C51" s="3"/>
      <c r="D51" s="14"/>
      <c r="E51" s="3"/>
      <c r="F51" s="4" t="str">
        <f t="shared" si="3"/>
        <v/>
      </c>
      <c r="G51" s="5"/>
      <c r="H51" s="5" t="str">
        <f t="shared" si="4"/>
        <v/>
      </c>
      <c r="I51" s="17"/>
      <c r="J51" s="8" t="s">
        <v>16</v>
      </c>
      <c r="K51" s="16" t="str">
        <f t="shared" si="5"/>
        <v/>
      </c>
      <c r="L51" s="9" t="s">
        <v>6</v>
      </c>
      <c r="M51" s="27"/>
      <c r="N51" s="27"/>
    </row>
    <row r="52" spans="1:14" ht="18.75" customHeight="1" x14ac:dyDescent="0.15">
      <c r="A52" s="11">
        <v>45</v>
      </c>
      <c r="B52" s="2"/>
      <c r="C52" s="3"/>
      <c r="D52" s="14"/>
      <c r="E52" s="7"/>
      <c r="F52" s="4" t="str">
        <f t="shared" si="3"/>
        <v/>
      </c>
      <c r="G52" s="5"/>
      <c r="H52" s="5" t="str">
        <f t="shared" si="4"/>
        <v/>
      </c>
      <c r="I52" s="18"/>
      <c r="J52" s="6" t="s">
        <v>16</v>
      </c>
      <c r="K52" s="16" t="str">
        <f t="shared" si="5"/>
        <v/>
      </c>
      <c r="L52" s="6" t="s">
        <v>6</v>
      </c>
      <c r="M52" s="27"/>
      <c r="N52" s="27"/>
    </row>
    <row r="53" spans="1:14" ht="18.75" customHeight="1" x14ac:dyDescent="0.15">
      <c r="A53" s="11">
        <v>46</v>
      </c>
      <c r="B53" s="2"/>
      <c r="C53" s="3"/>
      <c r="D53" s="14"/>
      <c r="E53" s="3"/>
      <c r="F53" s="4" t="str">
        <f t="shared" si="3"/>
        <v/>
      </c>
      <c r="G53" s="5"/>
      <c r="H53" s="5" t="str">
        <f t="shared" si="4"/>
        <v/>
      </c>
      <c r="I53" s="18"/>
      <c r="J53" s="6" t="s">
        <v>16</v>
      </c>
      <c r="K53" s="16" t="str">
        <f t="shared" si="5"/>
        <v/>
      </c>
      <c r="L53" s="6" t="s">
        <v>6</v>
      </c>
      <c r="M53" s="27"/>
      <c r="N53" s="27"/>
    </row>
    <row r="54" spans="1:14" ht="18.75" customHeight="1" x14ac:dyDescent="0.15">
      <c r="A54" s="11">
        <v>47</v>
      </c>
      <c r="B54" s="2"/>
      <c r="C54" s="3"/>
      <c r="D54" s="14"/>
      <c r="E54" s="3"/>
      <c r="F54" s="4" t="str">
        <f t="shared" si="3"/>
        <v/>
      </c>
      <c r="G54" s="5"/>
      <c r="H54" s="5" t="str">
        <f t="shared" si="4"/>
        <v/>
      </c>
      <c r="I54" s="17"/>
      <c r="J54" s="28" t="s">
        <v>16</v>
      </c>
      <c r="K54" s="16" t="str">
        <f t="shared" si="5"/>
        <v/>
      </c>
      <c r="L54" s="28" t="s">
        <v>6</v>
      </c>
      <c r="M54" s="27"/>
      <c r="N54" s="27"/>
    </row>
    <row r="55" spans="1:14" ht="18.75" customHeight="1" x14ac:dyDescent="0.15">
      <c r="A55" s="11">
        <v>48</v>
      </c>
      <c r="B55" s="2"/>
      <c r="C55" s="3"/>
      <c r="D55" s="14"/>
      <c r="E55" s="7"/>
      <c r="F55" s="4" t="str">
        <f t="shared" si="3"/>
        <v/>
      </c>
      <c r="G55" s="5"/>
      <c r="H55" s="5" t="str">
        <f t="shared" si="4"/>
        <v/>
      </c>
      <c r="I55" s="18"/>
      <c r="J55" s="8" t="s">
        <v>16</v>
      </c>
      <c r="K55" s="16" t="str">
        <f t="shared" si="5"/>
        <v/>
      </c>
      <c r="L55" s="9" t="s">
        <v>6</v>
      </c>
      <c r="M55" s="27"/>
      <c r="N55" s="27"/>
    </row>
    <row r="56" spans="1:14" ht="18.75" customHeight="1" x14ac:dyDescent="0.15">
      <c r="A56" s="11">
        <v>49</v>
      </c>
      <c r="B56" s="2"/>
      <c r="C56" s="3"/>
      <c r="D56" s="14"/>
      <c r="E56" s="3"/>
      <c r="F56" s="4" t="str">
        <f t="shared" si="3"/>
        <v/>
      </c>
      <c r="G56" s="5"/>
      <c r="H56" s="5" t="str">
        <f t="shared" si="4"/>
        <v/>
      </c>
      <c r="I56" s="18"/>
      <c r="J56" s="6" t="s">
        <v>16</v>
      </c>
      <c r="K56" s="16" t="str">
        <f t="shared" si="5"/>
        <v/>
      </c>
      <c r="L56" s="6" t="s">
        <v>6</v>
      </c>
      <c r="M56" s="27"/>
      <c r="N56" s="27"/>
    </row>
    <row r="57" spans="1:14" ht="18.75" customHeight="1" x14ac:dyDescent="0.15">
      <c r="A57" s="11">
        <v>50</v>
      </c>
      <c r="B57" s="2"/>
      <c r="C57" s="3"/>
      <c r="D57" s="14"/>
      <c r="E57" s="7"/>
      <c r="F57" s="4" t="str">
        <f t="shared" si="3"/>
        <v/>
      </c>
      <c r="G57" s="5"/>
      <c r="H57" s="5" t="str">
        <f t="shared" si="4"/>
        <v/>
      </c>
      <c r="I57" s="18"/>
      <c r="J57" s="8" t="s">
        <v>16</v>
      </c>
      <c r="K57" s="16" t="str">
        <f t="shared" si="5"/>
        <v/>
      </c>
      <c r="L57" s="9" t="s">
        <v>6</v>
      </c>
      <c r="M57" s="27"/>
      <c r="N57" s="27"/>
    </row>
    <row r="58" spans="1:14" ht="18.75" customHeight="1" x14ac:dyDescent="0.15">
      <c r="A58" s="11">
        <v>51</v>
      </c>
      <c r="B58" s="2"/>
      <c r="C58" s="3"/>
      <c r="D58" s="14"/>
      <c r="E58" s="3"/>
      <c r="F58" s="4" t="str">
        <f t="shared" si="3"/>
        <v/>
      </c>
      <c r="G58" s="5"/>
      <c r="H58" s="5" t="str">
        <f t="shared" si="4"/>
        <v/>
      </c>
      <c r="I58" s="18"/>
      <c r="J58" s="6" t="s">
        <v>16</v>
      </c>
      <c r="K58" s="16" t="str">
        <f t="shared" si="5"/>
        <v/>
      </c>
      <c r="L58" s="6" t="s">
        <v>6</v>
      </c>
      <c r="M58" s="27"/>
      <c r="N58" s="27"/>
    </row>
    <row r="59" spans="1:14" ht="18.75" customHeight="1" x14ac:dyDescent="0.15">
      <c r="A59" s="11">
        <v>52</v>
      </c>
      <c r="B59" s="2"/>
      <c r="C59" s="3"/>
      <c r="D59" s="14"/>
      <c r="E59" s="3"/>
      <c r="F59" s="4" t="str">
        <f t="shared" si="3"/>
        <v/>
      </c>
      <c r="G59" s="5"/>
      <c r="H59" s="5" t="str">
        <f t="shared" si="4"/>
        <v/>
      </c>
      <c r="I59" s="17"/>
      <c r="J59" s="8" t="s">
        <v>16</v>
      </c>
      <c r="K59" s="16" t="str">
        <f t="shared" si="5"/>
        <v/>
      </c>
      <c r="L59" s="6" t="s">
        <v>6</v>
      </c>
      <c r="M59" s="27"/>
      <c r="N59" s="27"/>
    </row>
    <row r="60" spans="1:14" ht="18.75" customHeight="1" x14ac:dyDescent="0.15">
      <c r="A60" s="11">
        <v>53</v>
      </c>
      <c r="B60" s="2"/>
      <c r="C60" s="3"/>
      <c r="D60" s="19"/>
      <c r="E60" s="3"/>
      <c r="F60" s="4" t="str">
        <f t="shared" si="3"/>
        <v/>
      </c>
      <c r="G60" s="5"/>
      <c r="H60" s="5" t="str">
        <f t="shared" si="4"/>
        <v/>
      </c>
      <c r="I60" s="18"/>
      <c r="J60" s="6" t="s">
        <v>16</v>
      </c>
      <c r="K60" s="16" t="str">
        <f t="shared" si="5"/>
        <v/>
      </c>
      <c r="L60" s="6" t="s">
        <v>6</v>
      </c>
      <c r="M60" s="27"/>
      <c r="N60" s="27"/>
    </row>
    <row r="61" spans="1:14" ht="18.75" customHeight="1" x14ac:dyDescent="0.15">
      <c r="A61" s="11">
        <v>54</v>
      </c>
      <c r="B61" s="2"/>
      <c r="C61" s="3"/>
      <c r="D61" s="19"/>
      <c r="E61" s="3"/>
      <c r="F61" s="4" t="str">
        <f t="shared" si="3"/>
        <v/>
      </c>
      <c r="G61" s="5"/>
      <c r="H61" s="5" t="str">
        <f t="shared" si="4"/>
        <v/>
      </c>
      <c r="I61" s="18"/>
      <c r="J61" s="6" t="s">
        <v>16</v>
      </c>
      <c r="K61" s="16" t="str">
        <f t="shared" si="5"/>
        <v/>
      </c>
      <c r="L61" s="6" t="s">
        <v>6</v>
      </c>
      <c r="M61" s="27"/>
      <c r="N61" s="27"/>
    </row>
    <row r="62" spans="1:14" ht="18.75" customHeight="1" x14ac:dyDescent="0.15">
      <c r="A62" s="11">
        <v>55</v>
      </c>
      <c r="B62" s="2"/>
      <c r="C62" s="3"/>
      <c r="D62" s="19"/>
      <c r="E62" s="3"/>
      <c r="F62" s="4" t="str">
        <f t="shared" si="3"/>
        <v/>
      </c>
      <c r="G62" s="5"/>
      <c r="H62" s="5" t="str">
        <f t="shared" si="4"/>
        <v/>
      </c>
      <c r="I62" s="18"/>
      <c r="J62" s="6" t="s">
        <v>16</v>
      </c>
      <c r="K62" s="16" t="str">
        <f t="shared" si="5"/>
        <v/>
      </c>
      <c r="L62" s="9" t="s">
        <v>6</v>
      </c>
      <c r="M62" s="27"/>
      <c r="N62" s="27"/>
    </row>
    <row r="63" spans="1:14" ht="18.75" customHeight="1" x14ac:dyDescent="0.15">
      <c r="A63" s="11">
        <v>56</v>
      </c>
      <c r="B63" s="2"/>
      <c r="C63" s="3"/>
      <c r="D63" s="19"/>
      <c r="E63" s="7"/>
      <c r="F63" s="4" t="str">
        <f t="shared" si="3"/>
        <v/>
      </c>
      <c r="G63" s="5"/>
      <c r="H63" s="5" t="str">
        <f t="shared" si="4"/>
        <v/>
      </c>
      <c r="I63" s="17"/>
      <c r="J63" s="8" t="s">
        <v>16</v>
      </c>
      <c r="K63" s="16" t="str">
        <f t="shared" si="5"/>
        <v/>
      </c>
      <c r="L63" s="6" t="s">
        <v>6</v>
      </c>
      <c r="M63" s="27"/>
      <c r="N63" s="27"/>
    </row>
    <row r="64" spans="1:14" ht="18.75" customHeight="1" x14ac:dyDescent="0.15">
      <c r="A64" s="11">
        <v>57</v>
      </c>
      <c r="B64" s="2"/>
      <c r="C64" s="3"/>
      <c r="D64" s="19"/>
      <c r="E64" s="3"/>
      <c r="F64" s="4" t="str">
        <f t="shared" si="3"/>
        <v/>
      </c>
      <c r="G64" s="5"/>
      <c r="H64" s="5" t="str">
        <f t="shared" si="4"/>
        <v/>
      </c>
      <c r="I64" s="18"/>
      <c r="J64" s="6" t="s">
        <v>16</v>
      </c>
      <c r="K64" s="16" t="str">
        <f t="shared" si="5"/>
        <v/>
      </c>
      <c r="L64" s="6" t="s">
        <v>6</v>
      </c>
      <c r="M64" s="27"/>
      <c r="N64" s="27"/>
    </row>
    <row r="65" spans="1:14" ht="18.75" customHeight="1" x14ac:dyDescent="0.15">
      <c r="A65" s="11">
        <v>58</v>
      </c>
      <c r="B65" s="2"/>
      <c r="C65" s="3"/>
      <c r="D65" s="19"/>
      <c r="E65" s="3"/>
      <c r="F65" s="4" t="str">
        <f t="shared" si="3"/>
        <v/>
      </c>
      <c r="G65" s="5"/>
      <c r="H65" s="5" t="str">
        <f t="shared" si="4"/>
        <v/>
      </c>
      <c r="I65" s="18"/>
      <c r="J65" s="6" t="s">
        <v>16</v>
      </c>
      <c r="K65" s="16" t="str">
        <f t="shared" si="5"/>
        <v/>
      </c>
      <c r="L65" s="6" t="s">
        <v>6</v>
      </c>
      <c r="M65" s="27"/>
      <c r="N65" s="27"/>
    </row>
    <row r="66" spans="1:14" ht="18.75" customHeight="1" x14ac:dyDescent="0.15">
      <c r="A66" s="11">
        <v>59</v>
      </c>
      <c r="B66" s="2"/>
      <c r="C66" s="3"/>
      <c r="D66" s="19"/>
      <c r="E66" s="3"/>
      <c r="F66" s="4" t="str">
        <f t="shared" si="3"/>
        <v/>
      </c>
      <c r="G66" s="5"/>
      <c r="H66" s="5" t="str">
        <f t="shared" si="4"/>
        <v/>
      </c>
      <c r="I66" s="18"/>
      <c r="J66" s="6" t="s">
        <v>16</v>
      </c>
      <c r="K66" s="16" t="str">
        <f t="shared" si="5"/>
        <v/>
      </c>
      <c r="L66" s="6" t="s">
        <v>6</v>
      </c>
      <c r="M66" s="27"/>
      <c r="N66" s="27"/>
    </row>
    <row r="67" spans="1:14" ht="18.75" customHeight="1" x14ac:dyDescent="0.15">
      <c r="A67" s="11">
        <v>60</v>
      </c>
      <c r="B67" s="2"/>
      <c r="C67" s="3"/>
      <c r="D67" s="20"/>
      <c r="E67" s="3"/>
      <c r="F67" s="4" t="str">
        <f t="shared" si="3"/>
        <v/>
      </c>
      <c r="G67" s="5"/>
      <c r="H67" s="5" t="str">
        <f t="shared" si="4"/>
        <v/>
      </c>
      <c r="I67" s="18"/>
      <c r="J67" s="6" t="s">
        <v>11</v>
      </c>
      <c r="K67" s="16" t="str">
        <f t="shared" si="5"/>
        <v/>
      </c>
      <c r="L67" s="6" t="s">
        <v>6</v>
      </c>
      <c r="M67" s="27"/>
      <c r="N67" s="27"/>
    </row>
    <row r="68" spans="1:14" ht="18.75" customHeight="1" x14ac:dyDescent="0.15">
      <c r="A68" s="11">
        <v>61</v>
      </c>
      <c r="B68" s="2"/>
      <c r="C68" s="3"/>
      <c r="D68" s="20"/>
      <c r="E68" s="3"/>
      <c r="F68" s="4" t="str">
        <f t="shared" si="3"/>
        <v/>
      </c>
      <c r="G68" s="5"/>
      <c r="H68" s="5" t="str">
        <f t="shared" si="4"/>
        <v/>
      </c>
      <c r="I68" s="18"/>
      <c r="J68" s="8" t="s">
        <v>11</v>
      </c>
      <c r="K68" s="16" t="str">
        <f t="shared" si="5"/>
        <v/>
      </c>
      <c r="L68" s="6" t="s">
        <v>6</v>
      </c>
      <c r="M68" s="27"/>
      <c r="N68" s="27"/>
    </row>
    <row r="69" spans="1:14" ht="18.75" customHeight="1" x14ac:dyDescent="0.15">
      <c r="A69" s="11">
        <v>62</v>
      </c>
      <c r="B69" s="2"/>
      <c r="C69" s="3"/>
      <c r="D69" s="20"/>
      <c r="E69" s="3"/>
      <c r="F69" s="4" t="str">
        <f t="shared" si="3"/>
        <v/>
      </c>
      <c r="G69" s="5"/>
      <c r="H69" s="5" t="str">
        <f t="shared" si="4"/>
        <v/>
      </c>
      <c r="I69" s="18"/>
      <c r="J69" s="6" t="s">
        <v>11</v>
      </c>
      <c r="K69" s="16" t="str">
        <f t="shared" si="5"/>
        <v/>
      </c>
      <c r="L69" s="6" t="s">
        <v>6</v>
      </c>
      <c r="M69" s="27"/>
      <c r="N69" s="27"/>
    </row>
    <row r="70" spans="1:14" ht="18.75" customHeight="1" x14ac:dyDescent="0.15">
      <c r="A70" s="11">
        <v>63</v>
      </c>
      <c r="B70" s="2"/>
      <c r="C70" s="3"/>
      <c r="D70" s="20"/>
      <c r="E70" s="3"/>
      <c r="F70" s="4" t="str">
        <f t="shared" si="3"/>
        <v/>
      </c>
      <c r="G70" s="5"/>
      <c r="H70" s="5" t="str">
        <f t="shared" si="4"/>
        <v/>
      </c>
      <c r="I70" s="18"/>
      <c r="J70" s="6" t="s">
        <v>16</v>
      </c>
      <c r="K70" s="16" t="str">
        <f t="shared" si="5"/>
        <v/>
      </c>
      <c r="L70" s="6" t="s">
        <v>6</v>
      </c>
      <c r="M70" s="27"/>
      <c r="N70" s="27"/>
    </row>
    <row r="71" spans="1:14" ht="18.75" customHeight="1" x14ac:dyDescent="0.15">
      <c r="A71" s="11">
        <v>64</v>
      </c>
      <c r="B71" s="2"/>
      <c r="C71" s="3"/>
      <c r="D71" s="20"/>
      <c r="E71" s="3"/>
      <c r="F71" s="4" t="str">
        <f t="shared" si="3"/>
        <v/>
      </c>
      <c r="G71" s="5"/>
      <c r="H71" s="5" t="str">
        <f t="shared" si="4"/>
        <v/>
      </c>
      <c r="I71" s="18"/>
      <c r="J71" s="8" t="s">
        <v>16</v>
      </c>
      <c r="K71" s="16" t="str">
        <f t="shared" si="5"/>
        <v/>
      </c>
      <c r="L71" s="6" t="s">
        <v>6</v>
      </c>
      <c r="M71" s="27"/>
      <c r="N71" s="27"/>
    </row>
    <row r="72" spans="1:14" ht="18.75" customHeight="1" x14ac:dyDescent="0.15">
      <c r="A72" s="11">
        <v>65</v>
      </c>
      <c r="B72" s="2"/>
      <c r="C72" s="3"/>
      <c r="D72" s="20"/>
      <c r="E72" s="3"/>
      <c r="F72" s="4" t="str">
        <f t="shared" si="3"/>
        <v/>
      </c>
      <c r="G72" s="5"/>
      <c r="H72" s="5" t="str">
        <f t="shared" si="4"/>
        <v/>
      </c>
      <c r="I72" s="18"/>
      <c r="J72" s="6" t="s">
        <v>16</v>
      </c>
      <c r="K72" s="16" t="str">
        <f t="shared" si="5"/>
        <v/>
      </c>
      <c r="L72" s="6" t="s">
        <v>6</v>
      </c>
      <c r="M72" s="27"/>
      <c r="N72" s="27"/>
    </row>
    <row r="73" spans="1:14" ht="18.75" customHeight="1" x14ac:dyDescent="0.15">
      <c r="A73" s="11">
        <v>66</v>
      </c>
      <c r="B73" s="2"/>
      <c r="C73" s="3"/>
      <c r="D73" s="20"/>
      <c r="E73" s="3"/>
      <c r="F73" s="4" t="str">
        <f t="shared" si="3"/>
        <v/>
      </c>
      <c r="G73" s="5"/>
      <c r="H73" s="5" t="str">
        <f t="shared" si="4"/>
        <v/>
      </c>
      <c r="I73" s="18"/>
      <c r="J73" s="6" t="s">
        <v>16</v>
      </c>
      <c r="K73" s="16" t="str">
        <f t="shared" si="5"/>
        <v/>
      </c>
      <c r="L73" s="6" t="s">
        <v>6</v>
      </c>
      <c r="M73" s="27"/>
      <c r="N73" s="27"/>
    </row>
    <row r="74" spans="1:14" ht="18.75" customHeight="1" x14ac:dyDescent="0.15">
      <c r="A74" s="11">
        <v>67</v>
      </c>
      <c r="B74" s="2"/>
      <c r="C74" s="3"/>
      <c r="D74" s="20"/>
      <c r="E74" s="3"/>
      <c r="F74" s="4" t="str">
        <f t="shared" si="3"/>
        <v/>
      </c>
      <c r="G74" s="5"/>
      <c r="H74" s="5" t="str">
        <f t="shared" si="4"/>
        <v/>
      </c>
      <c r="I74" s="18"/>
      <c r="J74" s="8" t="s">
        <v>16</v>
      </c>
      <c r="K74" s="16" t="str">
        <f t="shared" si="5"/>
        <v/>
      </c>
      <c r="L74" s="6" t="s">
        <v>6</v>
      </c>
      <c r="M74" s="27"/>
      <c r="N74" s="27"/>
    </row>
    <row r="75" spans="1:14" ht="18.75" customHeight="1" x14ac:dyDescent="0.15">
      <c r="A75" s="11">
        <v>68</v>
      </c>
      <c r="B75" s="2"/>
      <c r="C75" s="3"/>
      <c r="D75" s="20"/>
      <c r="E75" s="7"/>
      <c r="F75" s="4" t="str">
        <f t="shared" si="3"/>
        <v/>
      </c>
      <c r="G75" s="5"/>
      <c r="H75" s="5" t="str">
        <f t="shared" si="4"/>
        <v/>
      </c>
      <c r="I75" s="18"/>
      <c r="J75" s="6" t="s">
        <v>16</v>
      </c>
      <c r="K75" s="16" t="str">
        <f t="shared" si="5"/>
        <v/>
      </c>
      <c r="L75" s="6" t="s">
        <v>6</v>
      </c>
      <c r="M75" s="27"/>
      <c r="N75" s="27"/>
    </row>
    <row r="76" spans="1:14" ht="18.75" customHeight="1" x14ac:dyDescent="0.15">
      <c r="A76" s="11">
        <v>69</v>
      </c>
      <c r="B76" s="2"/>
      <c r="C76" s="3"/>
      <c r="D76" s="20"/>
      <c r="E76" s="3"/>
      <c r="F76" s="4" t="str">
        <f t="shared" si="3"/>
        <v/>
      </c>
      <c r="G76" s="5"/>
      <c r="H76" s="5" t="str">
        <f t="shared" si="4"/>
        <v/>
      </c>
      <c r="I76" s="18"/>
      <c r="J76" s="6" t="s">
        <v>16</v>
      </c>
      <c r="K76" s="16" t="str">
        <f t="shared" si="5"/>
        <v/>
      </c>
      <c r="L76" s="6" t="s">
        <v>6</v>
      </c>
      <c r="M76" s="27"/>
      <c r="N76" s="27"/>
    </row>
    <row r="77" spans="1:14" ht="18.75" customHeight="1" x14ac:dyDescent="0.15">
      <c r="A77" s="11">
        <v>70</v>
      </c>
      <c r="B77" s="2"/>
      <c r="C77" s="3"/>
      <c r="D77" s="20"/>
      <c r="E77" s="3"/>
      <c r="F77" s="4" t="str">
        <f t="shared" si="3"/>
        <v/>
      </c>
      <c r="G77" s="5"/>
      <c r="H77" s="5" t="str">
        <f t="shared" si="4"/>
        <v/>
      </c>
      <c r="I77" s="18"/>
      <c r="J77" s="6" t="s">
        <v>16</v>
      </c>
      <c r="K77" s="16" t="str">
        <f t="shared" si="5"/>
        <v/>
      </c>
      <c r="L77" s="6" t="s">
        <v>6</v>
      </c>
      <c r="M77" s="27"/>
      <c r="N77" s="27"/>
    </row>
    <row r="78" spans="1:14" ht="18.75" customHeight="1" x14ac:dyDescent="0.15">
      <c r="A78" s="11">
        <v>71</v>
      </c>
      <c r="B78" s="2"/>
      <c r="C78" s="3"/>
      <c r="D78" s="20"/>
      <c r="E78" s="3"/>
      <c r="F78" s="4" t="str">
        <f t="shared" si="3"/>
        <v/>
      </c>
      <c r="G78" s="5"/>
      <c r="H78" s="5" t="str">
        <f t="shared" si="4"/>
        <v/>
      </c>
      <c r="I78" s="21"/>
      <c r="J78" s="6" t="s">
        <v>16</v>
      </c>
      <c r="K78" s="16" t="str">
        <f t="shared" si="5"/>
        <v/>
      </c>
      <c r="L78" s="6" t="s">
        <v>6</v>
      </c>
      <c r="M78" s="27"/>
      <c r="N78" s="27"/>
    </row>
    <row r="79" spans="1:14" ht="18.75" customHeight="1" x14ac:dyDescent="0.15">
      <c r="A79" s="11">
        <v>72</v>
      </c>
      <c r="B79" s="2"/>
      <c r="C79" s="3"/>
      <c r="D79" s="20"/>
      <c r="E79" s="3"/>
      <c r="F79" s="4" t="str">
        <f t="shared" si="3"/>
        <v/>
      </c>
      <c r="G79" s="5"/>
      <c r="H79" s="5" t="str">
        <f t="shared" si="4"/>
        <v/>
      </c>
      <c r="I79" s="18"/>
      <c r="J79" s="6" t="s">
        <v>16</v>
      </c>
      <c r="K79" s="16" t="str">
        <f t="shared" si="5"/>
        <v/>
      </c>
      <c r="L79" s="6" t="s">
        <v>6</v>
      </c>
      <c r="M79" s="27"/>
      <c r="N79" s="27"/>
    </row>
    <row r="80" spans="1:14" ht="18.75" customHeight="1" x14ac:dyDescent="0.15">
      <c r="A80" s="11">
        <v>73</v>
      </c>
      <c r="B80" s="2"/>
      <c r="C80" s="3"/>
      <c r="D80" s="20"/>
      <c r="E80" s="7"/>
      <c r="F80" s="4" t="str">
        <f t="shared" si="3"/>
        <v/>
      </c>
      <c r="G80" s="5"/>
      <c r="H80" s="5" t="str">
        <f t="shared" si="4"/>
        <v/>
      </c>
      <c r="I80" s="17"/>
      <c r="J80" s="6" t="s">
        <v>16</v>
      </c>
      <c r="K80" s="16" t="str">
        <f t="shared" si="5"/>
        <v/>
      </c>
      <c r="L80" s="6" t="s">
        <v>6</v>
      </c>
      <c r="M80" s="27"/>
      <c r="N80" s="27"/>
    </row>
    <row r="81" spans="1:14" ht="18.75" customHeight="1" x14ac:dyDescent="0.15">
      <c r="A81" s="11">
        <v>74</v>
      </c>
      <c r="B81" s="2"/>
      <c r="C81" s="3"/>
      <c r="D81" s="20"/>
      <c r="E81" s="3"/>
      <c r="F81" s="4" t="str">
        <f t="shared" si="3"/>
        <v/>
      </c>
      <c r="G81" s="5"/>
      <c r="H81" s="5" t="str">
        <f t="shared" si="4"/>
        <v/>
      </c>
      <c r="I81" s="18"/>
      <c r="J81" s="6" t="s">
        <v>16</v>
      </c>
      <c r="K81" s="16" t="str">
        <f t="shared" si="5"/>
        <v/>
      </c>
      <c r="L81" s="6" t="s">
        <v>6</v>
      </c>
      <c r="M81" s="27"/>
      <c r="N81" s="27"/>
    </row>
    <row r="82" spans="1:14" ht="18.75" customHeight="1" x14ac:dyDescent="0.15">
      <c r="A82" s="11">
        <v>75</v>
      </c>
      <c r="B82" s="2"/>
      <c r="C82" s="3"/>
      <c r="D82" s="20"/>
      <c r="E82" s="3"/>
      <c r="F82" s="4"/>
      <c r="G82" s="5"/>
      <c r="H82" s="5"/>
      <c r="I82" s="18"/>
      <c r="J82" s="6" t="s">
        <v>16</v>
      </c>
      <c r="K82" s="16"/>
      <c r="L82" s="6" t="s">
        <v>6</v>
      </c>
      <c r="M82" s="27"/>
      <c r="N82" s="27"/>
    </row>
    <row r="83" spans="1:14" ht="18.75" customHeight="1" x14ac:dyDescent="0.15">
      <c r="A83" s="11">
        <v>76</v>
      </c>
      <c r="B83" s="2"/>
      <c r="C83" s="3"/>
      <c r="D83" s="20"/>
      <c r="E83" s="3"/>
      <c r="F83" s="4"/>
      <c r="G83" s="5"/>
      <c r="H83" s="5"/>
      <c r="I83" s="18"/>
      <c r="J83" s="6" t="s">
        <v>16</v>
      </c>
      <c r="K83" s="16"/>
      <c r="L83" s="6" t="s">
        <v>6</v>
      </c>
      <c r="M83" s="27"/>
      <c r="N83" s="27"/>
    </row>
    <row r="84" spans="1:14" ht="18.75" customHeight="1" x14ac:dyDescent="0.15">
      <c r="A84" s="11">
        <v>77</v>
      </c>
      <c r="B84" s="2"/>
      <c r="C84" s="3"/>
      <c r="D84" s="20"/>
      <c r="E84" s="3"/>
      <c r="F84" s="4"/>
      <c r="G84" s="5"/>
      <c r="H84" s="5"/>
      <c r="I84" s="18"/>
      <c r="J84" s="6" t="s">
        <v>16</v>
      </c>
      <c r="K84" s="16"/>
      <c r="L84" s="6" t="s">
        <v>6</v>
      </c>
      <c r="M84" s="27"/>
      <c r="N84" s="27"/>
    </row>
    <row r="85" spans="1:14" ht="18.75" customHeight="1" x14ac:dyDescent="0.15">
      <c r="A85" s="11">
        <v>78</v>
      </c>
      <c r="B85" s="2"/>
      <c r="C85" s="3"/>
      <c r="D85" s="20"/>
      <c r="E85" s="3"/>
      <c r="F85" s="4"/>
      <c r="G85" s="5"/>
      <c r="H85" s="5"/>
      <c r="I85" s="18"/>
      <c r="J85" s="6" t="s">
        <v>16</v>
      </c>
      <c r="K85" s="16"/>
      <c r="L85" s="6" t="s">
        <v>6</v>
      </c>
      <c r="M85" s="27"/>
      <c r="N85" s="27"/>
    </row>
    <row r="86" spans="1:14" ht="18.75" customHeight="1" x14ac:dyDescent="0.15">
      <c r="A86" s="11">
        <v>79</v>
      </c>
      <c r="B86" s="2"/>
      <c r="C86" s="3"/>
      <c r="D86" s="20"/>
      <c r="E86" s="3"/>
      <c r="F86" s="4" t="str">
        <f>IF(E86="","",E86-7*INT(E86/7))</f>
        <v/>
      </c>
      <c r="G86" s="5"/>
      <c r="H86" s="5" t="str">
        <f>IF(G86="","",G86)</f>
        <v/>
      </c>
      <c r="I86" s="18"/>
      <c r="J86" s="6" t="s">
        <v>16</v>
      </c>
      <c r="K86" s="16" t="str">
        <f>IF(I86&gt;0,I86,"")</f>
        <v/>
      </c>
      <c r="L86" s="6" t="s">
        <v>6</v>
      </c>
      <c r="M86" s="27"/>
      <c r="N86" s="27"/>
    </row>
    <row r="87" spans="1:14" ht="18.75" customHeight="1" x14ac:dyDescent="0.15">
      <c r="A87" s="11">
        <v>80</v>
      </c>
      <c r="B87" s="2"/>
      <c r="C87" s="3"/>
      <c r="D87" s="20"/>
      <c r="E87" s="3"/>
      <c r="F87" s="4" t="str">
        <f>IF(E87="","",E87-7*INT(E87/7))</f>
        <v/>
      </c>
      <c r="G87" s="5"/>
      <c r="H87" s="5" t="str">
        <f>IF(G87="","",G87)</f>
        <v/>
      </c>
      <c r="I87" s="18"/>
      <c r="J87" s="6" t="s">
        <v>16</v>
      </c>
      <c r="K87" s="22" t="str">
        <f>IF(I87&gt;0,I87,"")</f>
        <v/>
      </c>
      <c r="L87" s="6" t="s">
        <v>6</v>
      </c>
      <c r="M87" s="27"/>
      <c r="N87" s="27"/>
    </row>
    <row r="88" spans="1:14" ht="18.75" customHeight="1" x14ac:dyDescent="0.15">
      <c r="I88" s="23">
        <f>SUM(I48:I87)+I44</f>
        <v>0</v>
      </c>
      <c r="J88" s="10" t="s">
        <v>17</v>
      </c>
      <c r="K88" s="24">
        <f>SUM(K48:K87)+K44</f>
        <v>0</v>
      </c>
      <c r="L88" s="10" t="s">
        <v>6</v>
      </c>
    </row>
  </sheetData>
  <mergeCells count="12">
    <mergeCell ref="B1:M1"/>
    <mergeCell ref="B2:M2"/>
    <mergeCell ref="C3:D3"/>
    <mergeCell ref="E3:F3"/>
    <mergeCell ref="I3:J3"/>
    <mergeCell ref="K3:L3"/>
    <mergeCell ref="B46:M46"/>
    <mergeCell ref="B45:M45"/>
    <mergeCell ref="C47:D47"/>
    <mergeCell ref="E47:F47"/>
    <mergeCell ref="I47:J47"/>
    <mergeCell ref="K47:L47"/>
  </mergeCells>
  <phoneticPr fontId="2"/>
  <dataValidations count="3">
    <dataValidation imeMode="on" allowBlank="1" showInputMessage="1" showErrorMessage="1" sqref="B48:C87 B4:C43" xr:uid="{AE1091BF-958E-468E-8B70-8FA01F0FB02C}"/>
    <dataValidation imeMode="disabled" allowBlank="1" showInputMessage="1" showErrorMessage="1" sqref="E48:E87 E4:E43 G4:N43 G48:N87" xr:uid="{B6C7AC7E-5376-4F01-B9A9-613631760AC4}"/>
    <dataValidation type="list" imeMode="on" allowBlank="1" showInputMessage="1" showErrorMessage="1" promptTitle="こんにちは" sqref="D48:D87 D4:D43" xr:uid="{4F521FCA-69A4-4D08-AB1E-78C89F44758C}">
      <formula1>"鴛泊下水浄化センター,沓形浄化センター"</formula1>
    </dataValidation>
  </dataValidations>
  <printOptions horizontalCentered="1" verticalCentered="1"/>
  <pageMargins left="0.59055118110236227" right="0.59055118110236227" top="0.59055118110236227" bottom="0.59055118110236227" header="0.51181102362204722" footer="0.51181102362204722"/>
  <pageSetup paperSize="9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4A2C4-4952-4F45-BE21-BEBD342EC282}">
  <dimension ref="A1:N88"/>
  <sheetViews>
    <sheetView workbookViewId="0">
      <selection activeCell="P19" sqref="P19"/>
    </sheetView>
  </sheetViews>
  <sheetFormatPr defaultRowHeight="13.5" x14ac:dyDescent="0.15"/>
  <cols>
    <col min="1" max="1" width="3.375" style="12" customWidth="1"/>
    <col min="2" max="2" width="11" style="10" customWidth="1"/>
    <col min="3" max="3" width="1" style="10" customWidth="1"/>
    <col min="4" max="4" width="15.625" style="10" customWidth="1"/>
    <col min="5" max="5" width="10.125" style="10" customWidth="1"/>
    <col min="6" max="6" width="2.25" style="10" customWidth="1"/>
    <col min="7" max="8" width="8.625" style="10" customWidth="1"/>
    <col min="9" max="9" width="6" style="13" customWidth="1"/>
    <col min="10" max="10" width="2.375" style="10" customWidth="1"/>
    <col min="11" max="11" width="6.125" style="10" customWidth="1"/>
    <col min="12" max="12" width="2.25" style="10" customWidth="1"/>
    <col min="13" max="14" width="6.25" style="12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4" ht="20.25" customHeight="1" x14ac:dyDescent="0.15">
      <c r="B1" s="95" t="s">
        <v>13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10"/>
    </row>
    <row r="2" spans="1:14" ht="21" customHeight="1" x14ac:dyDescent="0.15"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10"/>
    </row>
    <row r="3" spans="1:14" ht="26.25" customHeight="1" x14ac:dyDescent="0.15">
      <c r="A3" s="11"/>
      <c r="B3" s="2" t="s">
        <v>1</v>
      </c>
      <c r="C3" s="97" t="s">
        <v>2</v>
      </c>
      <c r="D3" s="98"/>
      <c r="E3" s="99" t="s">
        <v>3</v>
      </c>
      <c r="F3" s="100"/>
      <c r="G3" s="25" t="s">
        <v>4</v>
      </c>
      <c r="H3" s="25" t="s">
        <v>7</v>
      </c>
      <c r="I3" s="101" t="s">
        <v>8</v>
      </c>
      <c r="J3" s="99"/>
      <c r="K3" s="101" t="s">
        <v>5</v>
      </c>
      <c r="L3" s="101"/>
      <c r="M3" s="26" t="s">
        <v>14</v>
      </c>
      <c r="N3" s="1" t="s">
        <v>10</v>
      </c>
    </row>
    <row r="4" spans="1:14" ht="18.75" customHeight="1" x14ac:dyDescent="0.15">
      <c r="A4" s="11">
        <v>1</v>
      </c>
      <c r="B4" s="2" t="s">
        <v>12</v>
      </c>
      <c r="C4" s="3"/>
      <c r="D4" s="71"/>
      <c r="E4" s="3"/>
      <c r="F4" s="4" t="str">
        <f t="shared" ref="F4:F37" si="0">IF(E4="","",E4-7*INT(E4/7))</f>
        <v/>
      </c>
      <c r="G4" s="5"/>
      <c r="H4" s="5" t="str">
        <f t="shared" ref="H4:H37" si="1">IF(G4="","",G4)</f>
        <v/>
      </c>
      <c r="I4" s="15"/>
      <c r="J4" s="6" t="s">
        <v>15</v>
      </c>
      <c r="K4" s="16" t="str">
        <f t="shared" ref="K4:K37" si="2">IF(I4&gt;0,I4,"")</f>
        <v/>
      </c>
      <c r="L4" s="6" t="s">
        <v>6</v>
      </c>
      <c r="M4" s="27"/>
      <c r="N4" s="27"/>
    </row>
    <row r="5" spans="1:14" ht="18.75" customHeight="1" x14ac:dyDescent="0.15">
      <c r="A5" s="11">
        <v>2</v>
      </c>
      <c r="B5" s="2" t="s">
        <v>12</v>
      </c>
      <c r="C5" s="3"/>
      <c r="D5" s="71"/>
      <c r="E5" s="7"/>
      <c r="F5" s="4" t="str">
        <f t="shared" si="0"/>
        <v/>
      </c>
      <c r="G5" s="5"/>
      <c r="H5" s="5" t="str">
        <f t="shared" si="1"/>
        <v/>
      </c>
      <c r="I5" s="17"/>
      <c r="J5" s="8" t="s">
        <v>16</v>
      </c>
      <c r="K5" s="16" t="str">
        <f t="shared" si="2"/>
        <v/>
      </c>
      <c r="L5" s="9" t="s">
        <v>6</v>
      </c>
      <c r="M5" s="27"/>
      <c r="N5" s="27"/>
    </row>
    <row r="6" spans="1:14" ht="18.75" customHeight="1" x14ac:dyDescent="0.15">
      <c r="A6" s="11">
        <v>3</v>
      </c>
      <c r="B6" s="2" t="s">
        <v>12</v>
      </c>
      <c r="C6" s="3"/>
      <c r="D6" s="71"/>
      <c r="E6" s="3"/>
      <c r="F6" s="4" t="str">
        <f t="shared" si="0"/>
        <v/>
      </c>
      <c r="G6" s="5"/>
      <c r="H6" s="5" t="str">
        <f t="shared" si="1"/>
        <v/>
      </c>
      <c r="I6" s="18"/>
      <c r="J6" s="6" t="s">
        <v>16</v>
      </c>
      <c r="K6" s="16" t="str">
        <f t="shared" si="2"/>
        <v/>
      </c>
      <c r="L6" s="6" t="s">
        <v>6</v>
      </c>
      <c r="M6" s="27"/>
      <c r="N6" s="27"/>
    </row>
    <row r="7" spans="1:14" ht="18.75" customHeight="1" x14ac:dyDescent="0.15">
      <c r="A7" s="11">
        <v>4</v>
      </c>
      <c r="B7" s="2" t="s">
        <v>12</v>
      </c>
      <c r="C7" s="3"/>
      <c r="D7" s="71"/>
      <c r="E7" s="3"/>
      <c r="F7" s="4" t="str">
        <f t="shared" si="0"/>
        <v/>
      </c>
      <c r="G7" s="5"/>
      <c r="H7" s="5" t="str">
        <f t="shared" si="1"/>
        <v/>
      </c>
      <c r="I7" s="17"/>
      <c r="J7" s="8" t="s">
        <v>16</v>
      </c>
      <c r="K7" s="16" t="str">
        <f t="shared" si="2"/>
        <v/>
      </c>
      <c r="L7" s="9" t="s">
        <v>6</v>
      </c>
      <c r="M7" s="27"/>
      <c r="N7" s="27"/>
    </row>
    <row r="8" spans="1:14" ht="18.75" customHeight="1" x14ac:dyDescent="0.15">
      <c r="A8" s="11">
        <v>5</v>
      </c>
      <c r="B8" s="2" t="s">
        <v>12</v>
      </c>
      <c r="C8" s="3"/>
      <c r="D8" s="71"/>
      <c r="E8" s="7"/>
      <c r="F8" s="4" t="str">
        <f t="shared" si="0"/>
        <v/>
      </c>
      <c r="G8" s="5"/>
      <c r="H8" s="5" t="str">
        <f t="shared" si="1"/>
        <v/>
      </c>
      <c r="I8" s="18"/>
      <c r="J8" s="6" t="s">
        <v>16</v>
      </c>
      <c r="K8" s="16" t="str">
        <f t="shared" si="2"/>
        <v/>
      </c>
      <c r="L8" s="6" t="s">
        <v>6</v>
      </c>
      <c r="M8" s="27"/>
      <c r="N8" s="27"/>
    </row>
    <row r="9" spans="1:14" ht="18.75" customHeight="1" x14ac:dyDescent="0.15">
      <c r="A9" s="11">
        <v>6</v>
      </c>
      <c r="B9" s="2" t="s">
        <v>12</v>
      </c>
      <c r="C9" s="3"/>
      <c r="D9" s="71"/>
      <c r="E9" s="3"/>
      <c r="F9" s="4" t="str">
        <f t="shared" si="0"/>
        <v/>
      </c>
      <c r="G9" s="5"/>
      <c r="H9" s="5" t="str">
        <f t="shared" si="1"/>
        <v/>
      </c>
      <c r="I9" s="18"/>
      <c r="J9" s="6" t="s">
        <v>16</v>
      </c>
      <c r="K9" s="16" t="str">
        <f t="shared" si="2"/>
        <v/>
      </c>
      <c r="L9" s="6" t="s">
        <v>6</v>
      </c>
      <c r="M9" s="27"/>
      <c r="N9" s="27"/>
    </row>
    <row r="10" spans="1:14" ht="18.75" customHeight="1" x14ac:dyDescent="0.15">
      <c r="A10" s="11">
        <v>7</v>
      </c>
      <c r="B10" s="2" t="s">
        <v>12</v>
      </c>
      <c r="C10" s="3"/>
      <c r="D10" s="71"/>
      <c r="E10" s="3"/>
      <c r="F10" s="4" t="str">
        <f t="shared" si="0"/>
        <v/>
      </c>
      <c r="G10" s="5"/>
      <c r="H10" s="5" t="str">
        <f t="shared" si="1"/>
        <v/>
      </c>
      <c r="I10" s="17"/>
      <c r="J10" s="28" t="s">
        <v>16</v>
      </c>
      <c r="K10" s="16" t="str">
        <f t="shared" si="2"/>
        <v/>
      </c>
      <c r="L10" s="28" t="s">
        <v>6</v>
      </c>
      <c r="M10" s="27"/>
      <c r="N10" s="27"/>
    </row>
    <row r="11" spans="1:14" ht="18.75" customHeight="1" x14ac:dyDescent="0.15">
      <c r="A11" s="11">
        <v>8</v>
      </c>
      <c r="B11" s="2" t="s">
        <v>12</v>
      </c>
      <c r="C11" s="3"/>
      <c r="D11" s="71"/>
      <c r="E11" s="7"/>
      <c r="F11" s="4" t="str">
        <f t="shared" si="0"/>
        <v/>
      </c>
      <c r="G11" s="5"/>
      <c r="H11" s="5" t="str">
        <f t="shared" si="1"/>
        <v/>
      </c>
      <c r="I11" s="18"/>
      <c r="J11" s="8" t="s">
        <v>16</v>
      </c>
      <c r="K11" s="16" t="str">
        <f t="shared" si="2"/>
        <v/>
      </c>
      <c r="L11" s="9" t="s">
        <v>6</v>
      </c>
      <c r="M11" s="27"/>
      <c r="N11" s="27"/>
    </row>
    <row r="12" spans="1:14" ht="18.75" customHeight="1" x14ac:dyDescent="0.15">
      <c r="A12" s="11">
        <v>9</v>
      </c>
      <c r="B12" s="2" t="s">
        <v>12</v>
      </c>
      <c r="C12" s="3"/>
      <c r="D12" s="71"/>
      <c r="E12" s="3"/>
      <c r="F12" s="4" t="str">
        <f t="shared" si="0"/>
        <v/>
      </c>
      <c r="G12" s="5"/>
      <c r="H12" s="5" t="str">
        <f t="shared" si="1"/>
        <v/>
      </c>
      <c r="I12" s="18"/>
      <c r="J12" s="6" t="s">
        <v>16</v>
      </c>
      <c r="K12" s="16" t="str">
        <f t="shared" si="2"/>
        <v/>
      </c>
      <c r="L12" s="6" t="s">
        <v>6</v>
      </c>
      <c r="M12" s="27"/>
      <c r="N12" s="27"/>
    </row>
    <row r="13" spans="1:14" ht="18.75" customHeight="1" x14ac:dyDescent="0.15">
      <c r="A13" s="11">
        <v>10</v>
      </c>
      <c r="B13" s="2"/>
      <c r="C13" s="3"/>
      <c r="D13" s="14"/>
      <c r="E13" s="7"/>
      <c r="F13" s="4" t="str">
        <f t="shared" si="0"/>
        <v/>
      </c>
      <c r="G13" s="5"/>
      <c r="H13" s="5" t="str">
        <f t="shared" si="1"/>
        <v/>
      </c>
      <c r="I13" s="18"/>
      <c r="J13" s="8" t="s">
        <v>16</v>
      </c>
      <c r="K13" s="16" t="str">
        <f t="shared" si="2"/>
        <v/>
      </c>
      <c r="L13" s="9" t="s">
        <v>6</v>
      </c>
      <c r="M13" s="27"/>
      <c r="N13" s="27"/>
    </row>
    <row r="14" spans="1:14" ht="18.75" customHeight="1" x14ac:dyDescent="0.15">
      <c r="A14" s="11">
        <v>11</v>
      </c>
      <c r="B14" s="2"/>
      <c r="C14" s="3"/>
      <c r="D14" s="14"/>
      <c r="E14" s="3"/>
      <c r="F14" s="4" t="str">
        <f t="shared" si="0"/>
        <v/>
      </c>
      <c r="G14" s="5"/>
      <c r="H14" s="5" t="str">
        <f t="shared" si="1"/>
        <v/>
      </c>
      <c r="I14" s="18"/>
      <c r="J14" s="6" t="s">
        <v>16</v>
      </c>
      <c r="K14" s="16" t="str">
        <f t="shared" si="2"/>
        <v/>
      </c>
      <c r="L14" s="6" t="s">
        <v>6</v>
      </c>
      <c r="M14" s="27"/>
      <c r="N14" s="27"/>
    </row>
    <row r="15" spans="1:14" ht="18.75" customHeight="1" x14ac:dyDescent="0.15">
      <c r="A15" s="11">
        <v>12</v>
      </c>
      <c r="B15" s="2"/>
      <c r="C15" s="3"/>
      <c r="D15" s="14"/>
      <c r="E15" s="3"/>
      <c r="F15" s="4" t="str">
        <f t="shared" si="0"/>
        <v/>
      </c>
      <c r="G15" s="5"/>
      <c r="H15" s="5" t="str">
        <f t="shared" si="1"/>
        <v/>
      </c>
      <c r="I15" s="17"/>
      <c r="J15" s="8" t="s">
        <v>16</v>
      </c>
      <c r="K15" s="16" t="str">
        <f t="shared" si="2"/>
        <v/>
      </c>
      <c r="L15" s="6" t="s">
        <v>6</v>
      </c>
      <c r="M15" s="27"/>
      <c r="N15" s="27"/>
    </row>
    <row r="16" spans="1:14" ht="18.75" customHeight="1" x14ac:dyDescent="0.15">
      <c r="A16" s="11">
        <v>13</v>
      </c>
      <c r="B16" s="2"/>
      <c r="C16" s="3"/>
      <c r="D16" s="19"/>
      <c r="E16" s="3"/>
      <c r="F16" s="4" t="str">
        <f t="shared" si="0"/>
        <v/>
      </c>
      <c r="G16" s="5"/>
      <c r="H16" s="5" t="str">
        <f t="shared" si="1"/>
        <v/>
      </c>
      <c r="I16" s="18"/>
      <c r="J16" s="6" t="s">
        <v>16</v>
      </c>
      <c r="K16" s="16" t="str">
        <f t="shared" si="2"/>
        <v/>
      </c>
      <c r="L16" s="6" t="s">
        <v>6</v>
      </c>
      <c r="M16" s="27"/>
      <c r="N16" s="27"/>
    </row>
    <row r="17" spans="1:14" ht="18.75" customHeight="1" x14ac:dyDescent="0.15">
      <c r="A17" s="11">
        <v>14</v>
      </c>
      <c r="B17" s="2"/>
      <c r="C17" s="3"/>
      <c r="D17" s="19"/>
      <c r="E17" s="3"/>
      <c r="F17" s="4" t="str">
        <f t="shared" si="0"/>
        <v/>
      </c>
      <c r="G17" s="5"/>
      <c r="H17" s="5" t="str">
        <f t="shared" si="1"/>
        <v/>
      </c>
      <c r="I17" s="18"/>
      <c r="J17" s="6" t="s">
        <v>16</v>
      </c>
      <c r="K17" s="16" t="str">
        <f t="shared" si="2"/>
        <v/>
      </c>
      <c r="L17" s="6" t="s">
        <v>6</v>
      </c>
      <c r="M17" s="27"/>
      <c r="N17" s="27"/>
    </row>
    <row r="18" spans="1:14" ht="18.75" customHeight="1" x14ac:dyDescent="0.15">
      <c r="A18" s="11">
        <v>15</v>
      </c>
      <c r="B18" s="2"/>
      <c r="C18" s="3"/>
      <c r="D18" s="19"/>
      <c r="E18" s="3"/>
      <c r="F18" s="4" t="str">
        <f t="shared" si="0"/>
        <v/>
      </c>
      <c r="G18" s="5"/>
      <c r="H18" s="5" t="str">
        <f t="shared" si="1"/>
        <v/>
      </c>
      <c r="I18" s="18"/>
      <c r="J18" s="6" t="s">
        <v>16</v>
      </c>
      <c r="K18" s="16" t="str">
        <f t="shared" si="2"/>
        <v/>
      </c>
      <c r="L18" s="9" t="s">
        <v>6</v>
      </c>
      <c r="M18" s="27"/>
      <c r="N18" s="27"/>
    </row>
    <row r="19" spans="1:14" ht="18.75" customHeight="1" x14ac:dyDescent="0.15">
      <c r="A19" s="11">
        <v>16</v>
      </c>
      <c r="B19" s="2"/>
      <c r="C19" s="3"/>
      <c r="D19" s="19"/>
      <c r="E19" s="7"/>
      <c r="F19" s="4" t="str">
        <f t="shared" si="0"/>
        <v/>
      </c>
      <c r="G19" s="5"/>
      <c r="H19" s="5" t="str">
        <f t="shared" si="1"/>
        <v/>
      </c>
      <c r="I19" s="17"/>
      <c r="J19" s="8" t="s">
        <v>16</v>
      </c>
      <c r="K19" s="16" t="str">
        <f t="shared" si="2"/>
        <v/>
      </c>
      <c r="L19" s="6" t="s">
        <v>6</v>
      </c>
      <c r="M19" s="27"/>
      <c r="N19" s="27"/>
    </row>
    <row r="20" spans="1:14" ht="18.75" customHeight="1" x14ac:dyDescent="0.15">
      <c r="A20" s="11">
        <v>17</v>
      </c>
      <c r="B20" s="2"/>
      <c r="C20" s="3"/>
      <c r="D20" s="19"/>
      <c r="E20" s="3"/>
      <c r="F20" s="4" t="str">
        <f t="shared" si="0"/>
        <v/>
      </c>
      <c r="G20" s="5"/>
      <c r="H20" s="5" t="str">
        <f t="shared" si="1"/>
        <v/>
      </c>
      <c r="I20" s="18"/>
      <c r="J20" s="6" t="s">
        <v>16</v>
      </c>
      <c r="K20" s="16" t="str">
        <f t="shared" si="2"/>
        <v/>
      </c>
      <c r="L20" s="6" t="s">
        <v>6</v>
      </c>
      <c r="M20" s="27"/>
      <c r="N20" s="27"/>
    </row>
    <row r="21" spans="1:14" ht="18.75" customHeight="1" x14ac:dyDescent="0.15">
      <c r="A21" s="11">
        <v>18</v>
      </c>
      <c r="B21" s="2"/>
      <c r="C21" s="3"/>
      <c r="D21" s="19"/>
      <c r="E21" s="3"/>
      <c r="F21" s="4" t="str">
        <f t="shared" si="0"/>
        <v/>
      </c>
      <c r="G21" s="5"/>
      <c r="H21" s="5" t="str">
        <f t="shared" si="1"/>
        <v/>
      </c>
      <c r="I21" s="18"/>
      <c r="J21" s="6" t="s">
        <v>16</v>
      </c>
      <c r="K21" s="16" t="str">
        <f t="shared" si="2"/>
        <v/>
      </c>
      <c r="L21" s="6" t="s">
        <v>6</v>
      </c>
      <c r="M21" s="27"/>
      <c r="N21" s="27"/>
    </row>
    <row r="22" spans="1:14" ht="18.75" customHeight="1" x14ac:dyDescent="0.15">
      <c r="A22" s="11">
        <v>19</v>
      </c>
      <c r="B22" s="2"/>
      <c r="C22" s="3"/>
      <c r="D22" s="19"/>
      <c r="E22" s="3"/>
      <c r="F22" s="4" t="str">
        <f t="shared" si="0"/>
        <v/>
      </c>
      <c r="G22" s="5"/>
      <c r="H22" s="5" t="str">
        <f t="shared" si="1"/>
        <v/>
      </c>
      <c r="I22" s="18"/>
      <c r="J22" s="6" t="s">
        <v>16</v>
      </c>
      <c r="K22" s="16" t="str">
        <f t="shared" si="2"/>
        <v/>
      </c>
      <c r="L22" s="6" t="s">
        <v>6</v>
      </c>
      <c r="M22" s="27"/>
      <c r="N22" s="27"/>
    </row>
    <row r="23" spans="1:14" ht="18.75" customHeight="1" x14ac:dyDescent="0.15">
      <c r="A23" s="11">
        <v>20</v>
      </c>
      <c r="B23" s="2"/>
      <c r="C23" s="3"/>
      <c r="D23" s="20"/>
      <c r="E23" s="3"/>
      <c r="F23" s="4" t="str">
        <f t="shared" si="0"/>
        <v/>
      </c>
      <c r="G23" s="5"/>
      <c r="H23" s="5" t="str">
        <f t="shared" si="1"/>
        <v/>
      </c>
      <c r="I23" s="18"/>
      <c r="J23" s="6" t="s">
        <v>11</v>
      </c>
      <c r="K23" s="16" t="str">
        <f t="shared" si="2"/>
        <v/>
      </c>
      <c r="L23" s="6" t="s">
        <v>6</v>
      </c>
      <c r="M23" s="27"/>
      <c r="N23" s="27"/>
    </row>
    <row r="24" spans="1:14" ht="18.75" customHeight="1" x14ac:dyDescent="0.15">
      <c r="A24" s="11">
        <v>21</v>
      </c>
      <c r="B24" s="2"/>
      <c r="C24" s="3"/>
      <c r="D24" s="20"/>
      <c r="E24" s="3"/>
      <c r="F24" s="4" t="str">
        <f t="shared" si="0"/>
        <v/>
      </c>
      <c r="G24" s="5"/>
      <c r="H24" s="5" t="str">
        <f t="shared" si="1"/>
        <v/>
      </c>
      <c r="I24" s="18"/>
      <c r="J24" s="8" t="s">
        <v>11</v>
      </c>
      <c r="K24" s="16" t="str">
        <f t="shared" si="2"/>
        <v/>
      </c>
      <c r="L24" s="6" t="s">
        <v>6</v>
      </c>
      <c r="M24" s="27"/>
      <c r="N24" s="27"/>
    </row>
    <row r="25" spans="1:14" ht="18.75" customHeight="1" x14ac:dyDescent="0.15">
      <c r="A25" s="11">
        <v>22</v>
      </c>
      <c r="B25" s="2"/>
      <c r="C25" s="3"/>
      <c r="D25" s="20"/>
      <c r="E25" s="3"/>
      <c r="F25" s="4" t="str">
        <f t="shared" si="0"/>
        <v/>
      </c>
      <c r="G25" s="5"/>
      <c r="H25" s="5" t="str">
        <f t="shared" si="1"/>
        <v/>
      </c>
      <c r="I25" s="18"/>
      <c r="J25" s="6" t="s">
        <v>11</v>
      </c>
      <c r="K25" s="16" t="str">
        <f t="shared" si="2"/>
        <v/>
      </c>
      <c r="L25" s="6" t="s">
        <v>6</v>
      </c>
      <c r="M25" s="27"/>
      <c r="N25" s="27"/>
    </row>
    <row r="26" spans="1:14" ht="18.75" customHeight="1" x14ac:dyDescent="0.15">
      <c r="A26" s="11">
        <v>23</v>
      </c>
      <c r="B26" s="2"/>
      <c r="C26" s="3"/>
      <c r="D26" s="20"/>
      <c r="E26" s="3"/>
      <c r="F26" s="4" t="str">
        <f t="shared" si="0"/>
        <v/>
      </c>
      <c r="G26" s="5"/>
      <c r="H26" s="5" t="str">
        <f t="shared" si="1"/>
        <v/>
      </c>
      <c r="I26" s="18"/>
      <c r="J26" s="6" t="s">
        <v>16</v>
      </c>
      <c r="K26" s="16" t="str">
        <f t="shared" si="2"/>
        <v/>
      </c>
      <c r="L26" s="6" t="s">
        <v>6</v>
      </c>
      <c r="M26" s="27"/>
      <c r="N26" s="27"/>
    </row>
    <row r="27" spans="1:14" ht="18.75" customHeight="1" x14ac:dyDescent="0.15">
      <c r="A27" s="11">
        <v>24</v>
      </c>
      <c r="B27" s="2"/>
      <c r="C27" s="3"/>
      <c r="D27" s="20"/>
      <c r="E27" s="3"/>
      <c r="F27" s="4" t="str">
        <f t="shared" si="0"/>
        <v/>
      </c>
      <c r="G27" s="5"/>
      <c r="H27" s="5" t="str">
        <f t="shared" si="1"/>
        <v/>
      </c>
      <c r="I27" s="18"/>
      <c r="J27" s="8" t="s">
        <v>16</v>
      </c>
      <c r="K27" s="16" t="str">
        <f t="shared" si="2"/>
        <v/>
      </c>
      <c r="L27" s="6" t="s">
        <v>6</v>
      </c>
      <c r="M27" s="27"/>
      <c r="N27" s="27"/>
    </row>
    <row r="28" spans="1:14" ht="18.75" customHeight="1" x14ac:dyDescent="0.15">
      <c r="A28" s="11">
        <v>25</v>
      </c>
      <c r="B28" s="2"/>
      <c r="C28" s="3"/>
      <c r="D28" s="20"/>
      <c r="E28" s="3"/>
      <c r="F28" s="4" t="str">
        <f t="shared" si="0"/>
        <v/>
      </c>
      <c r="G28" s="5"/>
      <c r="H28" s="5" t="str">
        <f t="shared" si="1"/>
        <v/>
      </c>
      <c r="I28" s="18"/>
      <c r="J28" s="6" t="s">
        <v>16</v>
      </c>
      <c r="K28" s="16" t="str">
        <f t="shared" si="2"/>
        <v/>
      </c>
      <c r="L28" s="6" t="s">
        <v>6</v>
      </c>
      <c r="M28" s="27"/>
      <c r="N28" s="27"/>
    </row>
    <row r="29" spans="1:14" ht="18.75" customHeight="1" x14ac:dyDescent="0.15">
      <c r="A29" s="11">
        <v>26</v>
      </c>
      <c r="B29" s="2"/>
      <c r="C29" s="3"/>
      <c r="D29" s="20"/>
      <c r="E29" s="3"/>
      <c r="F29" s="4" t="str">
        <f t="shared" si="0"/>
        <v/>
      </c>
      <c r="G29" s="5"/>
      <c r="H29" s="5" t="str">
        <f t="shared" si="1"/>
        <v/>
      </c>
      <c r="I29" s="18"/>
      <c r="J29" s="6" t="s">
        <v>16</v>
      </c>
      <c r="K29" s="16" t="str">
        <f t="shared" si="2"/>
        <v/>
      </c>
      <c r="L29" s="6" t="s">
        <v>6</v>
      </c>
      <c r="M29" s="27"/>
      <c r="N29" s="27"/>
    </row>
    <row r="30" spans="1:14" ht="18.75" customHeight="1" x14ac:dyDescent="0.15">
      <c r="A30" s="11">
        <v>27</v>
      </c>
      <c r="B30" s="2"/>
      <c r="C30" s="3"/>
      <c r="D30" s="20"/>
      <c r="E30" s="3"/>
      <c r="F30" s="4" t="str">
        <f t="shared" si="0"/>
        <v/>
      </c>
      <c r="G30" s="5"/>
      <c r="H30" s="5" t="str">
        <f t="shared" si="1"/>
        <v/>
      </c>
      <c r="I30" s="18"/>
      <c r="J30" s="8" t="s">
        <v>16</v>
      </c>
      <c r="K30" s="16" t="str">
        <f t="shared" si="2"/>
        <v/>
      </c>
      <c r="L30" s="6" t="s">
        <v>6</v>
      </c>
      <c r="M30" s="27"/>
      <c r="N30" s="27"/>
    </row>
    <row r="31" spans="1:14" ht="18.75" customHeight="1" x14ac:dyDescent="0.15">
      <c r="A31" s="11">
        <v>28</v>
      </c>
      <c r="B31" s="2"/>
      <c r="C31" s="3"/>
      <c r="D31" s="20"/>
      <c r="E31" s="7"/>
      <c r="F31" s="4" t="str">
        <f t="shared" si="0"/>
        <v/>
      </c>
      <c r="G31" s="5"/>
      <c r="H31" s="5" t="str">
        <f t="shared" si="1"/>
        <v/>
      </c>
      <c r="I31" s="18"/>
      <c r="J31" s="6" t="s">
        <v>16</v>
      </c>
      <c r="K31" s="16" t="str">
        <f t="shared" si="2"/>
        <v/>
      </c>
      <c r="L31" s="6" t="s">
        <v>6</v>
      </c>
      <c r="M31" s="27"/>
      <c r="N31" s="27"/>
    </row>
    <row r="32" spans="1:14" ht="18.75" customHeight="1" x14ac:dyDescent="0.15">
      <c r="A32" s="11">
        <v>29</v>
      </c>
      <c r="B32" s="2"/>
      <c r="C32" s="3"/>
      <c r="D32" s="20"/>
      <c r="E32" s="3"/>
      <c r="F32" s="4" t="str">
        <f t="shared" si="0"/>
        <v/>
      </c>
      <c r="G32" s="5"/>
      <c r="H32" s="5" t="str">
        <f t="shared" si="1"/>
        <v/>
      </c>
      <c r="I32" s="18"/>
      <c r="J32" s="6" t="s">
        <v>16</v>
      </c>
      <c r="K32" s="16" t="str">
        <f t="shared" si="2"/>
        <v/>
      </c>
      <c r="L32" s="6" t="s">
        <v>6</v>
      </c>
      <c r="M32" s="27"/>
      <c r="N32" s="27"/>
    </row>
    <row r="33" spans="1:14" ht="18.75" customHeight="1" x14ac:dyDescent="0.15">
      <c r="A33" s="11">
        <v>30</v>
      </c>
      <c r="B33" s="2"/>
      <c r="C33" s="3"/>
      <c r="D33" s="20"/>
      <c r="E33" s="3"/>
      <c r="F33" s="4" t="str">
        <f t="shared" si="0"/>
        <v/>
      </c>
      <c r="G33" s="5"/>
      <c r="H33" s="5" t="str">
        <f t="shared" si="1"/>
        <v/>
      </c>
      <c r="I33" s="18"/>
      <c r="J33" s="6" t="s">
        <v>16</v>
      </c>
      <c r="K33" s="16" t="str">
        <f t="shared" si="2"/>
        <v/>
      </c>
      <c r="L33" s="6" t="s">
        <v>6</v>
      </c>
      <c r="M33" s="27"/>
      <c r="N33" s="27"/>
    </row>
    <row r="34" spans="1:14" ht="18.75" customHeight="1" x14ac:dyDescent="0.15">
      <c r="A34" s="11">
        <v>31</v>
      </c>
      <c r="B34" s="2"/>
      <c r="C34" s="3"/>
      <c r="D34" s="20"/>
      <c r="E34" s="3"/>
      <c r="F34" s="4" t="str">
        <f t="shared" si="0"/>
        <v/>
      </c>
      <c r="G34" s="5"/>
      <c r="H34" s="5" t="str">
        <f t="shared" si="1"/>
        <v/>
      </c>
      <c r="I34" s="21"/>
      <c r="J34" s="6" t="s">
        <v>16</v>
      </c>
      <c r="K34" s="16" t="str">
        <f t="shared" si="2"/>
        <v/>
      </c>
      <c r="L34" s="6" t="s">
        <v>6</v>
      </c>
      <c r="M34" s="27"/>
      <c r="N34" s="27"/>
    </row>
    <row r="35" spans="1:14" ht="18.75" customHeight="1" x14ac:dyDescent="0.15">
      <c r="A35" s="11">
        <v>32</v>
      </c>
      <c r="B35" s="2"/>
      <c r="C35" s="3"/>
      <c r="D35" s="20"/>
      <c r="E35" s="3"/>
      <c r="F35" s="4" t="str">
        <f t="shared" si="0"/>
        <v/>
      </c>
      <c r="G35" s="5"/>
      <c r="H35" s="5" t="str">
        <f t="shared" si="1"/>
        <v/>
      </c>
      <c r="I35" s="18"/>
      <c r="J35" s="6" t="s">
        <v>16</v>
      </c>
      <c r="K35" s="16" t="str">
        <f t="shared" si="2"/>
        <v/>
      </c>
      <c r="L35" s="6" t="s">
        <v>6</v>
      </c>
      <c r="M35" s="27"/>
      <c r="N35" s="27"/>
    </row>
    <row r="36" spans="1:14" ht="18.75" customHeight="1" x14ac:dyDescent="0.15">
      <c r="A36" s="11">
        <v>33</v>
      </c>
      <c r="B36" s="2"/>
      <c r="C36" s="3"/>
      <c r="D36" s="20"/>
      <c r="E36" s="7"/>
      <c r="F36" s="4" t="str">
        <f t="shared" si="0"/>
        <v/>
      </c>
      <c r="G36" s="5"/>
      <c r="H36" s="5" t="str">
        <f t="shared" si="1"/>
        <v/>
      </c>
      <c r="I36" s="17"/>
      <c r="J36" s="6" t="s">
        <v>16</v>
      </c>
      <c r="K36" s="16" t="str">
        <f t="shared" si="2"/>
        <v/>
      </c>
      <c r="L36" s="6" t="s">
        <v>6</v>
      </c>
      <c r="M36" s="27"/>
      <c r="N36" s="27"/>
    </row>
    <row r="37" spans="1:14" ht="18.75" customHeight="1" x14ac:dyDescent="0.15">
      <c r="A37" s="11">
        <v>34</v>
      </c>
      <c r="B37" s="2"/>
      <c r="C37" s="3"/>
      <c r="D37" s="20"/>
      <c r="E37" s="3"/>
      <c r="F37" s="4" t="str">
        <f t="shared" si="0"/>
        <v/>
      </c>
      <c r="G37" s="5"/>
      <c r="H37" s="5" t="str">
        <f t="shared" si="1"/>
        <v/>
      </c>
      <c r="I37" s="18"/>
      <c r="J37" s="6" t="s">
        <v>16</v>
      </c>
      <c r="K37" s="16" t="str">
        <f t="shared" si="2"/>
        <v/>
      </c>
      <c r="L37" s="6" t="s">
        <v>6</v>
      </c>
      <c r="M37" s="27"/>
      <c r="N37" s="27"/>
    </row>
    <row r="38" spans="1:14" ht="18.75" customHeight="1" x14ac:dyDescent="0.15">
      <c r="A38" s="11">
        <v>35</v>
      </c>
      <c r="B38" s="2"/>
      <c r="C38" s="3"/>
      <c r="D38" s="20"/>
      <c r="E38" s="3"/>
      <c r="F38" s="4"/>
      <c r="G38" s="5"/>
      <c r="H38" s="5"/>
      <c r="I38" s="18"/>
      <c r="J38" s="6" t="s">
        <v>16</v>
      </c>
      <c r="K38" s="16"/>
      <c r="L38" s="6" t="s">
        <v>6</v>
      </c>
      <c r="M38" s="27"/>
      <c r="N38" s="27"/>
    </row>
    <row r="39" spans="1:14" ht="18.75" customHeight="1" x14ac:dyDescent="0.15">
      <c r="A39" s="11">
        <v>36</v>
      </c>
      <c r="B39" s="2"/>
      <c r="C39" s="3"/>
      <c r="D39" s="20"/>
      <c r="E39" s="3"/>
      <c r="F39" s="4"/>
      <c r="G39" s="5"/>
      <c r="H39" s="5"/>
      <c r="I39" s="18"/>
      <c r="J39" s="6" t="s">
        <v>16</v>
      </c>
      <c r="K39" s="16"/>
      <c r="L39" s="6" t="s">
        <v>6</v>
      </c>
      <c r="M39" s="27"/>
      <c r="N39" s="27"/>
    </row>
    <row r="40" spans="1:14" ht="18.75" customHeight="1" x14ac:dyDescent="0.15">
      <c r="A40" s="11">
        <v>37</v>
      </c>
      <c r="B40" s="2"/>
      <c r="C40" s="3"/>
      <c r="D40" s="20"/>
      <c r="E40" s="3"/>
      <c r="F40" s="4"/>
      <c r="G40" s="5"/>
      <c r="H40" s="5"/>
      <c r="I40" s="18"/>
      <c r="J40" s="6" t="s">
        <v>16</v>
      </c>
      <c r="K40" s="16"/>
      <c r="L40" s="6" t="s">
        <v>6</v>
      </c>
      <c r="M40" s="27"/>
      <c r="N40" s="27"/>
    </row>
    <row r="41" spans="1:14" ht="18.75" customHeight="1" x14ac:dyDescent="0.15">
      <c r="A41" s="11">
        <v>38</v>
      </c>
      <c r="B41" s="2"/>
      <c r="C41" s="3"/>
      <c r="D41" s="20"/>
      <c r="E41" s="3"/>
      <c r="F41" s="4"/>
      <c r="G41" s="5"/>
      <c r="H41" s="5"/>
      <c r="I41" s="18"/>
      <c r="J41" s="6" t="s">
        <v>16</v>
      </c>
      <c r="K41" s="16"/>
      <c r="L41" s="6" t="s">
        <v>6</v>
      </c>
      <c r="M41" s="27"/>
      <c r="N41" s="27"/>
    </row>
    <row r="42" spans="1:14" ht="18.75" customHeight="1" x14ac:dyDescent="0.15">
      <c r="A42" s="11">
        <v>39</v>
      </c>
      <c r="B42" s="2"/>
      <c r="C42" s="3"/>
      <c r="D42" s="20"/>
      <c r="E42" s="3"/>
      <c r="F42" s="4" t="str">
        <f>IF(E42="","",E42-7*INT(E42/7))</f>
        <v/>
      </c>
      <c r="G42" s="5"/>
      <c r="H42" s="5" t="str">
        <f>IF(G42="","",G42)</f>
        <v/>
      </c>
      <c r="I42" s="18"/>
      <c r="J42" s="6" t="s">
        <v>15</v>
      </c>
      <c r="K42" s="22" t="str">
        <f>IF(I42&gt;0,I42,"")</f>
        <v/>
      </c>
      <c r="L42" s="6" t="s">
        <v>6</v>
      </c>
      <c r="M42" s="27"/>
      <c r="N42" s="27"/>
    </row>
    <row r="43" spans="1:14" ht="18.75" customHeight="1" thickBot="1" x14ac:dyDescent="0.2">
      <c r="A43" s="76">
        <v>40</v>
      </c>
      <c r="B43" s="77"/>
      <c r="C43" s="78"/>
      <c r="D43" s="79"/>
      <c r="E43" s="78"/>
      <c r="F43" s="80" t="str">
        <f>IF(E43="","",E43-7*INT(E43/7))</f>
        <v/>
      </c>
      <c r="G43" s="81"/>
      <c r="H43" s="81" t="str">
        <f>IF(G43="","",G43)</f>
        <v/>
      </c>
      <c r="I43" s="82"/>
      <c r="J43" s="83" t="s">
        <v>15</v>
      </c>
      <c r="K43" s="84" t="str">
        <f>IF(I43&gt;0,I43,"")</f>
        <v/>
      </c>
      <c r="L43" s="83" t="s">
        <v>6</v>
      </c>
      <c r="M43" s="85"/>
      <c r="N43" s="85"/>
    </row>
    <row r="44" spans="1:14" ht="18.75" customHeight="1" thickTop="1" x14ac:dyDescent="0.15">
      <c r="I44" s="62">
        <f>SUM(I4:I43)</f>
        <v>0</v>
      </c>
      <c r="J44" s="10" t="s">
        <v>17</v>
      </c>
      <c r="K44" s="24">
        <f>SUM(K4:K43)</f>
        <v>0</v>
      </c>
      <c r="L44" s="10" t="s">
        <v>6</v>
      </c>
    </row>
    <row r="45" spans="1:14" ht="20.25" customHeight="1" x14ac:dyDescent="0.15">
      <c r="B45" s="95" t="s">
        <v>13</v>
      </c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10"/>
    </row>
    <row r="46" spans="1:14" ht="21" customHeight="1" x14ac:dyDescent="0.15">
      <c r="B46" s="96" t="s">
        <v>0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10"/>
    </row>
    <row r="47" spans="1:14" ht="26.25" customHeight="1" x14ac:dyDescent="0.15">
      <c r="A47" s="11"/>
      <c r="B47" s="2" t="s">
        <v>1</v>
      </c>
      <c r="C47" s="97" t="s">
        <v>2</v>
      </c>
      <c r="D47" s="98"/>
      <c r="E47" s="99" t="s">
        <v>3</v>
      </c>
      <c r="F47" s="100"/>
      <c r="G47" s="25" t="s">
        <v>4</v>
      </c>
      <c r="H47" s="25" t="s">
        <v>7</v>
      </c>
      <c r="I47" s="101" t="s">
        <v>8</v>
      </c>
      <c r="J47" s="99"/>
      <c r="K47" s="101" t="s">
        <v>5</v>
      </c>
      <c r="L47" s="101"/>
      <c r="M47" s="26" t="s">
        <v>14</v>
      </c>
      <c r="N47" s="1" t="s">
        <v>10</v>
      </c>
    </row>
    <row r="48" spans="1:14" ht="18.75" customHeight="1" x14ac:dyDescent="0.15">
      <c r="A48" s="11">
        <v>41</v>
      </c>
      <c r="B48" s="2"/>
      <c r="C48" s="3"/>
      <c r="D48" s="14"/>
      <c r="E48" s="3"/>
      <c r="F48" s="4" t="str">
        <f t="shared" ref="F48:F81" si="3">IF(E48="","",E48-7*INT(E48/7))</f>
        <v/>
      </c>
      <c r="G48" s="5"/>
      <c r="H48" s="5" t="str">
        <f t="shared" ref="H48:H81" si="4">IF(G48="","",G48)</f>
        <v/>
      </c>
      <c r="I48" s="15"/>
      <c r="J48" s="6" t="s">
        <v>15</v>
      </c>
      <c r="K48" s="16" t="str">
        <f t="shared" ref="K48:K81" si="5">IF(I48&gt;0,I48,"")</f>
        <v/>
      </c>
      <c r="L48" s="6" t="s">
        <v>6</v>
      </c>
      <c r="M48" s="27"/>
      <c r="N48" s="27"/>
    </row>
    <row r="49" spans="1:14" ht="18.75" customHeight="1" x14ac:dyDescent="0.15">
      <c r="A49" s="11">
        <v>42</v>
      </c>
      <c r="B49" s="2"/>
      <c r="C49" s="3"/>
      <c r="D49" s="14"/>
      <c r="E49" s="7"/>
      <c r="F49" s="4" t="str">
        <f t="shared" si="3"/>
        <v/>
      </c>
      <c r="G49" s="5"/>
      <c r="H49" s="5" t="str">
        <f t="shared" si="4"/>
        <v/>
      </c>
      <c r="I49" s="17"/>
      <c r="J49" s="8" t="s">
        <v>16</v>
      </c>
      <c r="K49" s="16" t="str">
        <f t="shared" si="5"/>
        <v/>
      </c>
      <c r="L49" s="9" t="s">
        <v>6</v>
      </c>
      <c r="M49" s="27"/>
      <c r="N49" s="27"/>
    </row>
    <row r="50" spans="1:14" ht="18.75" customHeight="1" x14ac:dyDescent="0.15">
      <c r="A50" s="11">
        <v>43</v>
      </c>
      <c r="B50" s="2"/>
      <c r="C50" s="3"/>
      <c r="D50" s="14"/>
      <c r="E50" s="3"/>
      <c r="F50" s="4" t="str">
        <f t="shared" si="3"/>
        <v/>
      </c>
      <c r="G50" s="5"/>
      <c r="H50" s="5" t="str">
        <f t="shared" si="4"/>
        <v/>
      </c>
      <c r="I50" s="18"/>
      <c r="J50" s="6" t="s">
        <v>16</v>
      </c>
      <c r="K50" s="16" t="str">
        <f t="shared" si="5"/>
        <v/>
      </c>
      <c r="L50" s="6" t="s">
        <v>6</v>
      </c>
      <c r="M50" s="27"/>
      <c r="N50" s="27"/>
    </row>
    <row r="51" spans="1:14" ht="18.75" customHeight="1" x14ac:dyDescent="0.15">
      <c r="A51" s="11">
        <v>44</v>
      </c>
      <c r="B51" s="2"/>
      <c r="C51" s="3"/>
      <c r="D51" s="14"/>
      <c r="E51" s="3"/>
      <c r="F51" s="4" t="str">
        <f t="shared" si="3"/>
        <v/>
      </c>
      <c r="G51" s="5"/>
      <c r="H51" s="5" t="str">
        <f t="shared" si="4"/>
        <v/>
      </c>
      <c r="I51" s="17"/>
      <c r="J51" s="8" t="s">
        <v>16</v>
      </c>
      <c r="K51" s="16" t="str">
        <f t="shared" si="5"/>
        <v/>
      </c>
      <c r="L51" s="9" t="s">
        <v>6</v>
      </c>
      <c r="M51" s="27"/>
      <c r="N51" s="27"/>
    </row>
    <row r="52" spans="1:14" ht="18.75" customHeight="1" x14ac:dyDescent="0.15">
      <c r="A52" s="11">
        <v>45</v>
      </c>
      <c r="B52" s="2"/>
      <c r="C52" s="3"/>
      <c r="D52" s="14"/>
      <c r="E52" s="7"/>
      <c r="F52" s="4" t="str">
        <f t="shared" si="3"/>
        <v/>
      </c>
      <c r="G52" s="5"/>
      <c r="H52" s="5" t="str">
        <f t="shared" si="4"/>
        <v/>
      </c>
      <c r="I52" s="18"/>
      <c r="J52" s="6" t="s">
        <v>16</v>
      </c>
      <c r="K52" s="16" t="str">
        <f t="shared" si="5"/>
        <v/>
      </c>
      <c r="L52" s="6" t="s">
        <v>6</v>
      </c>
      <c r="M52" s="27"/>
      <c r="N52" s="27"/>
    </row>
    <row r="53" spans="1:14" ht="18.75" customHeight="1" x14ac:dyDescent="0.15">
      <c r="A53" s="11">
        <v>46</v>
      </c>
      <c r="B53" s="2"/>
      <c r="C53" s="3"/>
      <c r="D53" s="14"/>
      <c r="E53" s="3"/>
      <c r="F53" s="4" t="str">
        <f t="shared" si="3"/>
        <v/>
      </c>
      <c r="G53" s="5"/>
      <c r="H53" s="5" t="str">
        <f t="shared" si="4"/>
        <v/>
      </c>
      <c r="I53" s="18"/>
      <c r="J53" s="6" t="s">
        <v>16</v>
      </c>
      <c r="K53" s="16" t="str">
        <f t="shared" si="5"/>
        <v/>
      </c>
      <c r="L53" s="6" t="s">
        <v>6</v>
      </c>
      <c r="M53" s="27"/>
      <c r="N53" s="27"/>
    </row>
    <row r="54" spans="1:14" ht="18.75" customHeight="1" x14ac:dyDescent="0.15">
      <c r="A54" s="11">
        <v>47</v>
      </c>
      <c r="B54" s="2"/>
      <c r="C54" s="3"/>
      <c r="D54" s="14"/>
      <c r="E54" s="3"/>
      <c r="F54" s="4" t="str">
        <f t="shared" si="3"/>
        <v/>
      </c>
      <c r="G54" s="5"/>
      <c r="H54" s="5" t="str">
        <f t="shared" si="4"/>
        <v/>
      </c>
      <c r="I54" s="17"/>
      <c r="J54" s="28" t="s">
        <v>16</v>
      </c>
      <c r="K54" s="16" t="str">
        <f t="shared" si="5"/>
        <v/>
      </c>
      <c r="L54" s="28" t="s">
        <v>6</v>
      </c>
      <c r="M54" s="27"/>
      <c r="N54" s="27"/>
    </row>
    <row r="55" spans="1:14" ht="18.75" customHeight="1" x14ac:dyDescent="0.15">
      <c r="A55" s="11">
        <v>48</v>
      </c>
      <c r="B55" s="2"/>
      <c r="C55" s="3"/>
      <c r="D55" s="14"/>
      <c r="E55" s="7"/>
      <c r="F55" s="4" t="str">
        <f t="shared" si="3"/>
        <v/>
      </c>
      <c r="G55" s="5"/>
      <c r="H55" s="5" t="str">
        <f t="shared" si="4"/>
        <v/>
      </c>
      <c r="I55" s="18"/>
      <c r="J55" s="8" t="s">
        <v>16</v>
      </c>
      <c r="K55" s="16" t="str">
        <f t="shared" si="5"/>
        <v/>
      </c>
      <c r="L55" s="9" t="s">
        <v>6</v>
      </c>
      <c r="M55" s="27"/>
      <c r="N55" s="27"/>
    </row>
    <row r="56" spans="1:14" ht="18.75" customHeight="1" x14ac:dyDescent="0.15">
      <c r="A56" s="11">
        <v>49</v>
      </c>
      <c r="B56" s="2"/>
      <c r="C56" s="3"/>
      <c r="D56" s="14"/>
      <c r="E56" s="3"/>
      <c r="F56" s="4" t="str">
        <f t="shared" si="3"/>
        <v/>
      </c>
      <c r="G56" s="5"/>
      <c r="H56" s="5" t="str">
        <f t="shared" si="4"/>
        <v/>
      </c>
      <c r="I56" s="18"/>
      <c r="J56" s="6" t="s">
        <v>16</v>
      </c>
      <c r="K56" s="16" t="str">
        <f t="shared" si="5"/>
        <v/>
      </c>
      <c r="L56" s="6" t="s">
        <v>6</v>
      </c>
      <c r="M56" s="27"/>
      <c r="N56" s="27"/>
    </row>
    <row r="57" spans="1:14" ht="18.75" customHeight="1" x14ac:dyDescent="0.15">
      <c r="A57" s="11">
        <v>50</v>
      </c>
      <c r="B57" s="2"/>
      <c r="C57" s="3"/>
      <c r="D57" s="14"/>
      <c r="E57" s="7"/>
      <c r="F57" s="4" t="str">
        <f t="shared" si="3"/>
        <v/>
      </c>
      <c r="G57" s="5"/>
      <c r="H57" s="5" t="str">
        <f t="shared" si="4"/>
        <v/>
      </c>
      <c r="I57" s="18"/>
      <c r="J57" s="8" t="s">
        <v>16</v>
      </c>
      <c r="K57" s="16" t="str">
        <f t="shared" si="5"/>
        <v/>
      </c>
      <c r="L57" s="9" t="s">
        <v>6</v>
      </c>
      <c r="M57" s="27"/>
      <c r="N57" s="27"/>
    </row>
    <row r="58" spans="1:14" ht="18.75" customHeight="1" x14ac:dyDescent="0.15">
      <c r="A58" s="11">
        <v>51</v>
      </c>
      <c r="B58" s="2"/>
      <c r="C58" s="3"/>
      <c r="D58" s="14"/>
      <c r="E58" s="3"/>
      <c r="F58" s="4" t="str">
        <f t="shared" si="3"/>
        <v/>
      </c>
      <c r="G58" s="5"/>
      <c r="H58" s="5" t="str">
        <f t="shared" si="4"/>
        <v/>
      </c>
      <c r="I58" s="18"/>
      <c r="J58" s="6" t="s">
        <v>16</v>
      </c>
      <c r="K58" s="16" t="str">
        <f t="shared" si="5"/>
        <v/>
      </c>
      <c r="L58" s="6" t="s">
        <v>6</v>
      </c>
      <c r="M58" s="27"/>
      <c r="N58" s="27"/>
    </row>
    <row r="59" spans="1:14" ht="18.75" customHeight="1" x14ac:dyDescent="0.15">
      <c r="A59" s="11">
        <v>52</v>
      </c>
      <c r="B59" s="2"/>
      <c r="C59" s="3"/>
      <c r="D59" s="14"/>
      <c r="E59" s="3"/>
      <c r="F59" s="4" t="str">
        <f t="shared" si="3"/>
        <v/>
      </c>
      <c r="G59" s="5"/>
      <c r="H59" s="5" t="str">
        <f t="shared" si="4"/>
        <v/>
      </c>
      <c r="I59" s="17"/>
      <c r="J59" s="8" t="s">
        <v>16</v>
      </c>
      <c r="K59" s="16" t="str">
        <f t="shared" si="5"/>
        <v/>
      </c>
      <c r="L59" s="6" t="s">
        <v>6</v>
      </c>
      <c r="M59" s="27"/>
      <c r="N59" s="27"/>
    </row>
    <row r="60" spans="1:14" ht="18.75" customHeight="1" x14ac:dyDescent="0.15">
      <c r="A60" s="11">
        <v>53</v>
      </c>
      <c r="B60" s="2"/>
      <c r="C60" s="3"/>
      <c r="D60" s="19"/>
      <c r="E60" s="3"/>
      <c r="F60" s="4" t="str">
        <f t="shared" si="3"/>
        <v/>
      </c>
      <c r="G60" s="5"/>
      <c r="H60" s="5" t="str">
        <f t="shared" si="4"/>
        <v/>
      </c>
      <c r="I60" s="18"/>
      <c r="J60" s="6" t="s">
        <v>16</v>
      </c>
      <c r="K60" s="16" t="str">
        <f t="shared" si="5"/>
        <v/>
      </c>
      <c r="L60" s="6" t="s">
        <v>6</v>
      </c>
      <c r="M60" s="27"/>
      <c r="N60" s="27"/>
    </row>
    <row r="61" spans="1:14" ht="18.75" customHeight="1" x14ac:dyDescent="0.15">
      <c r="A61" s="11">
        <v>54</v>
      </c>
      <c r="B61" s="2"/>
      <c r="C61" s="3"/>
      <c r="D61" s="19"/>
      <c r="E61" s="3"/>
      <c r="F61" s="4" t="str">
        <f t="shared" si="3"/>
        <v/>
      </c>
      <c r="G61" s="5"/>
      <c r="H61" s="5" t="str">
        <f t="shared" si="4"/>
        <v/>
      </c>
      <c r="I61" s="18"/>
      <c r="J61" s="6" t="s">
        <v>16</v>
      </c>
      <c r="K61" s="16" t="str">
        <f t="shared" si="5"/>
        <v/>
      </c>
      <c r="L61" s="6" t="s">
        <v>6</v>
      </c>
      <c r="M61" s="27"/>
      <c r="N61" s="27"/>
    </row>
    <row r="62" spans="1:14" ht="18.75" customHeight="1" x14ac:dyDescent="0.15">
      <c r="A62" s="11">
        <v>55</v>
      </c>
      <c r="B62" s="2"/>
      <c r="C62" s="3"/>
      <c r="D62" s="19"/>
      <c r="E62" s="3"/>
      <c r="F62" s="4" t="str">
        <f t="shared" si="3"/>
        <v/>
      </c>
      <c r="G62" s="5"/>
      <c r="H62" s="5" t="str">
        <f t="shared" si="4"/>
        <v/>
      </c>
      <c r="I62" s="18"/>
      <c r="J62" s="6" t="s">
        <v>16</v>
      </c>
      <c r="K62" s="16" t="str">
        <f t="shared" si="5"/>
        <v/>
      </c>
      <c r="L62" s="9" t="s">
        <v>6</v>
      </c>
      <c r="M62" s="27"/>
      <c r="N62" s="27"/>
    </row>
    <row r="63" spans="1:14" ht="18.75" customHeight="1" x14ac:dyDescent="0.15">
      <c r="A63" s="11">
        <v>56</v>
      </c>
      <c r="B63" s="2"/>
      <c r="C63" s="3"/>
      <c r="D63" s="19"/>
      <c r="E63" s="7"/>
      <c r="F63" s="4" t="str">
        <f t="shared" si="3"/>
        <v/>
      </c>
      <c r="G63" s="5"/>
      <c r="H63" s="5" t="str">
        <f t="shared" si="4"/>
        <v/>
      </c>
      <c r="I63" s="17"/>
      <c r="J63" s="8" t="s">
        <v>16</v>
      </c>
      <c r="K63" s="16" t="str">
        <f t="shared" si="5"/>
        <v/>
      </c>
      <c r="L63" s="6" t="s">
        <v>6</v>
      </c>
      <c r="M63" s="27"/>
      <c r="N63" s="27"/>
    </row>
    <row r="64" spans="1:14" ht="18.75" customHeight="1" x14ac:dyDescent="0.15">
      <c r="A64" s="11">
        <v>57</v>
      </c>
      <c r="B64" s="2"/>
      <c r="C64" s="3"/>
      <c r="D64" s="19"/>
      <c r="E64" s="3"/>
      <c r="F64" s="4" t="str">
        <f t="shared" si="3"/>
        <v/>
      </c>
      <c r="G64" s="5"/>
      <c r="H64" s="5" t="str">
        <f t="shared" si="4"/>
        <v/>
      </c>
      <c r="I64" s="18"/>
      <c r="J64" s="6" t="s">
        <v>16</v>
      </c>
      <c r="K64" s="16" t="str">
        <f t="shared" si="5"/>
        <v/>
      </c>
      <c r="L64" s="6" t="s">
        <v>6</v>
      </c>
      <c r="M64" s="27"/>
      <c r="N64" s="27"/>
    </row>
    <row r="65" spans="1:14" ht="18.75" customHeight="1" x14ac:dyDescent="0.15">
      <c r="A65" s="11">
        <v>58</v>
      </c>
      <c r="B65" s="2"/>
      <c r="C65" s="3"/>
      <c r="D65" s="19"/>
      <c r="E65" s="3"/>
      <c r="F65" s="4" t="str">
        <f t="shared" si="3"/>
        <v/>
      </c>
      <c r="G65" s="5"/>
      <c r="H65" s="5" t="str">
        <f t="shared" si="4"/>
        <v/>
      </c>
      <c r="I65" s="18"/>
      <c r="J65" s="6" t="s">
        <v>16</v>
      </c>
      <c r="K65" s="16" t="str">
        <f t="shared" si="5"/>
        <v/>
      </c>
      <c r="L65" s="6" t="s">
        <v>6</v>
      </c>
      <c r="M65" s="27"/>
      <c r="N65" s="27"/>
    </row>
    <row r="66" spans="1:14" ht="18.75" customHeight="1" x14ac:dyDescent="0.15">
      <c r="A66" s="11">
        <v>59</v>
      </c>
      <c r="B66" s="2"/>
      <c r="C66" s="3"/>
      <c r="D66" s="19"/>
      <c r="E66" s="3"/>
      <c r="F66" s="4" t="str">
        <f t="shared" si="3"/>
        <v/>
      </c>
      <c r="G66" s="5"/>
      <c r="H66" s="5" t="str">
        <f t="shared" si="4"/>
        <v/>
      </c>
      <c r="I66" s="18"/>
      <c r="J66" s="6" t="s">
        <v>16</v>
      </c>
      <c r="K66" s="16" t="str">
        <f t="shared" si="5"/>
        <v/>
      </c>
      <c r="L66" s="6" t="s">
        <v>6</v>
      </c>
      <c r="M66" s="27"/>
      <c r="N66" s="27"/>
    </row>
    <row r="67" spans="1:14" ht="18.75" customHeight="1" x14ac:dyDescent="0.15">
      <c r="A67" s="11">
        <v>60</v>
      </c>
      <c r="B67" s="2"/>
      <c r="C67" s="3"/>
      <c r="D67" s="20"/>
      <c r="E67" s="3"/>
      <c r="F67" s="4" t="str">
        <f t="shared" si="3"/>
        <v/>
      </c>
      <c r="G67" s="5"/>
      <c r="H67" s="5" t="str">
        <f t="shared" si="4"/>
        <v/>
      </c>
      <c r="I67" s="18"/>
      <c r="J67" s="6" t="s">
        <v>11</v>
      </c>
      <c r="K67" s="16" t="str">
        <f t="shared" si="5"/>
        <v/>
      </c>
      <c r="L67" s="6" t="s">
        <v>6</v>
      </c>
      <c r="M67" s="27"/>
      <c r="N67" s="27"/>
    </row>
    <row r="68" spans="1:14" ht="18.75" customHeight="1" x14ac:dyDescent="0.15">
      <c r="A68" s="11">
        <v>61</v>
      </c>
      <c r="B68" s="2"/>
      <c r="C68" s="3"/>
      <c r="D68" s="20"/>
      <c r="E68" s="3"/>
      <c r="F68" s="4" t="str">
        <f t="shared" si="3"/>
        <v/>
      </c>
      <c r="G68" s="5"/>
      <c r="H68" s="5" t="str">
        <f t="shared" si="4"/>
        <v/>
      </c>
      <c r="I68" s="18"/>
      <c r="J68" s="8" t="s">
        <v>11</v>
      </c>
      <c r="K68" s="16" t="str">
        <f t="shared" si="5"/>
        <v/>
      </c>
      <c r="L68" s="6" t="s">
        <v>6</v>
      </c>
      <c r="M68" s="27"/>
      <c r="N68" s="27"/>
    </row>
    <row r="69" spans="1:14" ht="18.75" customHeight="1" x14ac:dyDescent="0.15">
      <c r="A69" s="11">
        <v>62</v>
      </c>
      <c r="B69" s="2"/>
      <c r="C69" s="3"/>
      <c r="D69" s="20"/>
      <c r="E69" s="3"/>
      <c r="F69" s="4" t="str">
        <f t="shared" si="3"/>
        <v/>
      </c>
      <c r="G69" s="5"/>
      <c r="H69" s="5" t="str">
        <f t="shared" si="4"/>
        <v/>
      </c>
      <c r="I69" s="18"/>
      <c r="J69" s="6" t="s">
        <v>11</v>
      </c>
      <c r="K69" s="16" t="str">
        <f t="shared" si="5"/>
        <v/>
      </c>
      <c r="L69" s="6" t="s">
        <v>6</v>
      </c>
      <c r="M69" s="27"/>
      <c r="N69" s="27"/>
    </row>
    <row r="70" spans="1:14" ht="18.75" customHeight="1" x14ac:dyDescent="0.15">
      <c r="A70" s="11">
        <v>63</v>
      </c>
      <c r="B70" s="2"/>
      <c r="C70" s="3"/>
      <c r="D70" s="20"/>
      <c r="E70" s="3"/>
      <c r="F70" s="4" t="str">
        <f t="shared" si="3"/>
        <v/>
      </c>
      <c r="G70" s="5"/>
      <c r="H70" s="5" t="str">
        <f t="shared" si="4"/>
        <v/>
      </c>
      <c r="I70" s="18"/>
      <c r="J70" s="6" t="s">
        <v>16</v>
      </c>
      <c r="K70" s="16" t="str">
        <f t="shared" si="5"/>
        <v/>
      </c>
      <c r="L70" s="6" t="s">
        <v>6</v>
      </c>
      <c r="M70" s="27"/>
      <c r="N70" s="27"/>
    </row>
    <row r="71" spans="1:14" ht="18.75" customHeight="1" x14ac:dyDescent="0.15">
      <c r="A71" s="11">
        <v>64</v>
      </c>
      <c r="B71" s="2"/>
      <c r="C71" s="3"/>
      <c r="D71" s="20"/>
      <c r="E71" s="3"/>
      <c r="F71" s="4" t="str">
        <f t="shared" si="3"/>
        <v/>
      </c>
      <c r="G71" s="5"/>
      <c r="H71" s="5" t="str">
        <f t="shared" si="4"/>
        <v/>
      </c>
      <c r="I71" s="18"/>
      <c r="J71" s="8" t="s">
        <v>16</v>
      </c>
      <c r="K71" s="16" t="str">
        <f t="shared" si="5"/>
        <v/>
      </c>
      <c r="L71" s="6" t="s">
        <v>6</v>
      </c>
      <c r="M71" s="27"/>
      <c r="N71" s="27"/>
    </row>
    <row r="72" spans="1:14" ht="18.75" customHeight="1" x14ac:dyDescent="0.15">
      <c r="A72" s="11">
        <v>65</v>
      </c>
      <c r="B72" s="2"/>
      <c r="C72" s="3"/>
      <c r="D72" s="20"/>
      <c r="E72" s="3"/>
      <c r="F72" s="4" t="str">
        <f t="shared" si="3"/>
        <v/>
      </c>
      <c r="G72" s="5"/>
      <c r="H72" s="5" t="str">
        <f t="shared" si="4"/>
        <v/>
      </c>
      <c r="I72" s="18"/>
      <c r="J72" s="6" t="s">
        <v>16</v>
      </c>
      <c r="K72" s="16" t="str">
        <f t="shared" si="5"/>
        <v/>
      </c>
      <c r="L72" s="6" t="s">
        <v>6</v>
      </c>
      <c r="M72" s="27"/>
      <c r="N72" s="27"/>
    </row>
    <row r="73" spans="1:14" ht="18.75" customHeight="1" x14ac:dyDescent="0.15">
      <c r="A73" s="11">
        <v>66</v>
      </c>
      <c r="B73" s="2"/>
      <c r="C73" s="3"/>
      <c r="D73" s="20"/>
      <c r="E73" s="3"/>
      <c r="F73" s="4" t="str">
        <f t="shared" si="3"/>
        <v/>
      </c>
      <c r="G73" s="5"/>
      <c r="H73" s="5" t="str">
        <f t="shared" si="4"/>
        <v/>
      </c>
      <c r="I73" s="18"/>
      <c r="J73" s="6" t="s">
        <v>16</v>
      </c>
      <c r="K73" s="16" t="str">
        <f t="shared" si="5"/>
        <v/>
      </c>
      <c r="L73" s="6" t="s">
        <v>6</v>
      </c>
      <c r="M73" s="27"/>
      <c r="N73" s="27"/>
    </row>
    <row r="74" spans="1:14" ht="18.75" customHeight="1" x14ac:dyDescent="0.15">
      <c r="A74" s="11">
        <v>67</v>
      </c>
      <c r="B74" s="2"/>
      <c r="C74" s="3"/>
      <c r="D74" s="20"/>
      <c r="E74" s="3"/>
      <c r="F74" s="4" t="str">
        <f t="shared" si="3"/>
        <v/>
      </c>
      <c r="G74" s="5"/>
      <c r="H74" s="5" t="str">
        <f t="shared" si="4"/>
        <v/>
      </c>
      <c r="I74" s="18"/>
      <c r="J74" s="8" t="s">
        <v>16</v>
      </c>
      <c r="K74" s="16" t="str">
        <f t="shared" si="5"/>
        <v/>
      </c>
      <c r="L74" s="6" t="s">
        <v>6</v>
      </c>
      <c r="M74" s="27"/>
      <c r="N74" s="27"/>
    </row>
    <row r="75" spans="1:14" ht="18.75" customHeight="1" x14ac:dyDescent="0.15">
      <c r="A75" s="11">
        <v>68</v>
      </c>
      <c r="B75" s="2"/>
      <c r="C75" s="3"/>
      <c r="D75" s="20"/>
      <c r="E75" s="7"/>
      <c r="F75" s="4" t="str">
        <f t="shared" si="3"/>
        <v/>
      </c>
      <c r="G75" s="5"/>
      <c r="H75" s="5" t="str">
        <f t="shared" si="4"/>
        <v/>
      </c>
      <c r="I75" s="18"/>
      <c r="J75" s="6" t="s">
        <v>16</v>
      </c>
      <c r="K75" s="16" t="str">
        <f t="shared" si="5"/>
        <v/>
      </c>
      <c r="L75" s="6" t="s">
        <v>6</v>
      </c>
      <c r="M75" s="27"/>
      <c r="N75" s="27"/>
    </row>
    <row r="76" spans="1:14" ht="18.75" customHeight="1" x14ac:dyDescent="0.15">
      <c r="A76" s="11">
        <v>69</v>
      </c>
      <c r="B76" s="2"/>
      <c r="C76" s="3"/>
      <c r="D76" s="20"/>
      <c r="E76" s="3"/>
      <c r="F76" s="4" t="str">
        <f t="shared" si="3"/>
        <v/>
      </c>
      <c r="G76" s="5"/>
      <c r="H76" s="5" t="str">
        <f t="shared" si="4"/>
        <v/>
      </c>
      <c r="I76" s="18"/>
      <c r="J76" s="6" t="s">
        <v>16</v>
      </c>
      <c r="K76" s="16" t="str">
        <f t="shared" si="5"/>
        <v/>
      </c>
      <c r="L76" s="6" t="s">
        <v>6</v>
      </c>
      <c r="M76" s="27"/>
      <c r="N76" s="27"/>
    </row>
    <row r="77" spans="1:14" ht="18.75" customHeight="1" x14ac:dyDescent="0.15">
      <c r="A77" s="11">
        <v>70</v>
      </c>
      <c r="B77" s="2"/>
      <c r="C77" s="3"/>
      <c r="D77" s="20"/>
      <c r="E77" s="3"/>
      <c r="F77" s="4" t="str">
        <f t="shared" si="3"/>
        <v/>
      </c>
      <c r="G77" s="5"/>
      <c r="H77" s="5" t="str">
        <f t="shared" si="4"/>
        <v/>
      </c>
      <c r="I77" s="18"/>
      <c r="J77" s="6" t="s">
        <v>16</v>
      </c>
      <c r="K77" s="16" t="str">
        <f t="shared" si="5"/>
        <v/>
      </c>
      <c r="L77" s="6" t="s">
        <v>6</v>
      </c>
      <c r="M77" s="27"/>
      <c r="N77" s="27"/>
    </row>
    <row r="78" spans="1:14" ht="18.75" customHeight="1" x14ac:dyDescent="0.15">
      <c r="A78" s="11">
        <v>71</v>
      </c>
      <c r="B78" s="2"/>
      <c r="C78" s="3"/>
      <c r="D78" s="20"/>
      <c r="E78" s="3"/>
      <c r="F78" s="4" t="str">
        <f t="shared" si="3"/>
        <v/>
      </c>
      <c r="G78" s="5"/>
      <c r="H78" s="5" t="str">
        <f t="shared" si="4"/>
        <v/>
      </c>
      <c r="I78" s="21"/>
      <c r="J78" s="6" t="s">
        <v>16</v>
      </c>
      <c r="K78" s="16" t="str">
        <f t="shared" si="5"/>
        <v/>
      </c>
      <c r="L78" s="6" t="s">
        <v>6</v>
      </c>
      <c r="M78" s="27"/>
      <c r="N78" s="27"/>
    </row>
    <row r="79" spans="1:14" ht="18.75" customHeight="1" x14ac:dyDescent="0.15">
      <c r="A79" s="11">
        <v>72</v>
      </c>
      <c r="B79" s="2"/>
      <c r="C79" s="3"/>
      <c r="D79" s="20"/>
      <c r="E79" s="3"/>
      <c r="F79" s="4" t="str">
        <f t="shared" si="3"/>
        <v/>
      </c>
      <c r="G79" s="5"/>
      <c r="H79" s="5" t="str">
        <f t="shared" si="4"/>
        <v/>
      </c>
      <c r="I79" s="18"/>
      <c r="J79" s="6" t="s">
        <v>16</v>
      </c>
      <c r="K79" s="16" t="str">
        <f t="shared" si="5"/>
        <v/>
      </c>
      <c r="L79" s="6" t="s">
        <v>6</v>
      </c>
      <c r="M79" s="27"/>
      <c r="N79" s="27"/>
    </row>
    <row r="80" spans="1:14" ht="18.75" customHeight="1" x14ac:dyDescent="0.15">
      <c r="A80" s="11">
        <v>73</v>
      </c>
      <c r="B80" s="2"/>
      <c r="C80" s="3"/>
      <c r="D80" s="20"/>
      <c r="E80" s="7"/>
      <c r="F80" s="4" t="str">
        <f t="shared" si="3"/>
        <v/>
      </c>
      <c r="G80" s="5"/>
      <c r="H80" s="5" t="str">
        <f t="shared" si="4"/>
        <v/>
      </c>
      <c r="I80" s="17"/>
      <c r="J80" s="6" t="s">
        <v>16</v>
      </c>
      <c r="K80" s="16" t="str">
        <f t="shared" si="5"/>
        <v/>
      </c>
      <c r="L80" s="6" t="s">
        <v>6</v>
      </c>
      <c r="M80" s="27"/>
      <c r="N80" s="27"/>
    </row>
    <row r="81" spans="1:14" ht="18.75" customHeight="1" x14ac:dyDescent="0.15">
      <c r="A81" s="11">
        <v>74</v>
      </c>
      <c r="B81" s="2"/>
      <c r="C81" s="3"/>
      <c r="D81" s="20"/>
      <c r="E81" s="3"/>
      <c r="F81" s="4" t="str">
        <f t="shared" si="3"/>
        <v/>
      </c>
      <c r="G81" s="5"/>
      <c r="H81" s="5" t="str">
        <f t="shared" si="4"/>
        <v/>
      </c>
      <c r="I81" s="18"/>
      <c r="J81" s="6" t="s">
        <v>16</v>
      </c>
      <c r="K81" s="16" t="str">
        <f t="shared" si="5"/>
        <v/>
      </c>
      <c r="L81" s="6" t="s">
        <v>6</v>
      </c>
      <c r="M81" s="27"/>
      <c r="N81" s="27"/>
    </row>
    <row r="82" spans="1:14" ht="18.75" customHeight="1" x14ac:dyDescent="0.15">
      <c r="A82" s="11">
        <v>75</v>
      </c>
      <c r="B82" s="2"/>
      <c r="C82" s="3"/>
      <c r="D82" s="20"/>
      <c r="E82" s="3"/>
      <c r="F82" s="4"/>
      <c r="G82" s="5"/>
      <c r="H82" s="5"/>
      <c r="I82" s="18"/>
      <c r="J82" s="6" t="s">
        <v>16</v>
      </c>
      <c r="K82" s="16"/>
      <c r="L82" s="6" t="s">
        <v>6</v>
      </c>
      <c r="M82" s="27"/>
      <c r="N82" s="27"/>
    </row>
    <row r="83" spans="1:14" ht="18.75" customHeight="1" x14ac:dyDescent="0.15">
      <c r="A83" s="11">
        <v>76</v>
      </c>
      <c r="B83" s="2"/>
      <c r="C83" s="3"/>
      <c r="D83" s="20"/>
      <c r="E83" s="3"/>
      <c r="F83" s="4"/>
      <c r="G83" s="5"/>
      <c r="H83" s="5"/>
      <c r="I83" s="18"/>
      <c r="J83" s="6" t="s">
        <v>16</v>
      </c>
      <c r="K83" s="16"/>
      <c r="L83" s="6" t="s">
        <v>6</v>
      </c>
      <c r="M83" s="27"/>
      <c r="N83" s="27"/>
    </row>
    <row r="84" spans="1:14" ht="18.75" customHeight="1" x14ac:dyDescent="0.15">
      <c r="A84" s="11">
        <v>77</v>
      </c>
      <c r="B84" s="2"/>
      <c r="C84" s="3"/>
      <c r="D84" s="20"/>
      <c r="E84" s="3"/>
      <c r="F84" s="4"/>
      <c r="G84" s="5"/>
      <c r="H84" s="5"/>
      <c r="I84" s="18"/>
      <c r="J84" s="6" t="s">
        <v>16</v>
      </c>
      <c r="K84" s="16"/>
      <c r="L84" s="6" t="s">
        <v>6</v>
      </c>
      <c r="M84" s="27"/>
      <c r="N84" s="27"/>
    </row>
    <row r="85" spans="1:14" ht="18.75" customHeight="1" x14ac:dyDescent="0.15">
      <c r="A85" s="11">
        <v>78</v>
      </c>
      <c r="B85" s="2"/>
      <c r="C85" s="3"/>
      <c r="D85" s="20"/>
      <c r="E85" s="3"/>
      <c r="F85" s="4"/>
      <c r="G85" s="5"/>
      <c r="H85" s="5"/>
      <c r="I85" s="18"/>
      <c r="J85" s="6" t="s">
        <v>16</v>
      </c>
      <c r="K85" s="16"/>
      <c r="L85" s="6" t="s">
        <v>6</v>
      </c>
      <c r="M85" s="27"/>
      <c r="N85" s="27"/>
    </row>
    <row r="86" spans="1:14" ht="18.75" customHeight="1" x14ac:dyDescent="0.15">
      <c r="A86" s="11">
        <v>79</v>
      </c>
      <c r="B86" s="2"/>
      <c r="C86" s="3"/>
      <c r="D86" s="20"/>
      <c r="E86" s="3"/>
      <c r="F86" s="4" t="str">
        <f>IF(E86="","",E86-7*INT(E86/7))</f>
        <v/>
      </c>
      <c r="G86" s="5"/>
      <c r="H86" s="5" t="str">
        <f>IF(G86="","",G86)</f>
        <v/>
      </c>
      <c r="I86" s="18"/>
      <c r="J86" s="6" t="s">
        <v>16</v>
      </c>
      <c r="K86" s="16" t="str">
        <f>IF(I86&gt;0,I86,"")</f>
        <v/>
      </c>
      <c r="L86" s="6" t="s">
        <v>6</v>
      </c>
      <c r="M86" s="27"/>
      <c r="N86" s="27"/>
    </row>
    <row r="87" spans="1:14" ht="18.75" customHeight="1" x14ac:dyDescent="0.15">
      <c r="A87" s="11">
        <v>80</v>
      </c>
      <c r="B87" s="2"/>
      <c r="C87" s="3"/>
      <c r="D87" s="20"/>
      <c r="E87" s="3"/>
      <c r="F87" s="4" t="str">
        <f>IF(E87="","",E87-7*INT(E87/7))</f>
        <v/>
      </c>
      <c r="G87" s="5"/>
      <c r="H87" s="5" t="str">
        <f>IF(G87="","",G87)</f>
        <v/>
      </c>
      <c r="I87" s="18"/>
      <c r="J87" s="6" t="s">
        <v>16</v>
      </c>
      <c r="K87" s="22" t="str">
        <f>IF(I87&gt;0,I87,"")</f>
        <v/>
      </c>
      <c r="L87" s="6" t="s">
        <v>6</v>
      </c>
      <c r="M87" s="27"/>
      <c r="N87" s="27"/>
    </row>
    <row r="88" spans="1:14" ht="18.75" customHeight="1" x14ac:dyDescent="0.15">
      <c r="I88" s="23">
        <f>SUM(I48:I87)+I44</f>
        <v>0</v>
      </c>
      <c r="J88" s="10" t="s">
        <v>17</v>
      </c>
      <c r="K88" s="24">
        <f>SUM(K48:K87)+K44</f>
        <v>0</v>
      </c>
      <c r="L88" s="10" t="s">
        <v>6</v>
      </c>
    </row>
  </sheetData>
  <mergeCells count="12">
    <mergeCell ref="B1:M1"/>
    <mergeCell ref="B2:M2"/>
    <mergeCell ref="C3:D3"/>
    <mergeCell ref="E3:F3"/>
    <mergeCell ref="I3:J3"/>
    <mergeCell ref="K3:L3"/>
    <mergeCell ref="B46:M46"/>
    <mergeCell ref="B45:M45"/>
    <mergeCell ref="C47:D47"/>
    <mergeCell ref="E47:F47"/>
    <mergeCell ref="I47:J47"/>
    <mergeCell ref="K47:L47"/>
  </mergeCells>
  <phoneticPr fontId="2"/>
  <dataValidations count="3">
    <dataValidation imeMode="on" allowBlank="1" showInputMessage="1" showErrorMessage="1" sqref="B48:C87 B4:C43" xr:uid="{23E37D96-79CD-4160-975A-C3C03B1F2650}"/>
    <dataValidation imeMode="disabled" allowBlank="1" showInputMessage="1" showErrorMessage="1" sqref="E48:E87 G4:N43 G48:N87 E4:E43" xr:uid="{B92DFE00-5B50-4678-8382-17D10EE6AAB7}"/>
    <dataValidation type="list" imeMode="on" allowBlank="1" showInputMessage="1" showErrorMessage="1" promptTitle="こんにちは" sqref="D48:D87 D4:D43" xr:uid="{305ED0E7-B1FE-4E75-B785-59AA3A29FD8A}">
      <formula1>"鴛泊下水浄化センター,沓形浄化センター"</formula1>
    </dataValidation>
  </dataValidations>
  <printOptions horizontalCentered="1" verticalCentered="1"/>
  <pageMargins left="0.59055118110236227" right="0.59055118110236227" top="0.59055118110236227" bottom="0.59055118110236227" header="0.51181102362204722" footer="0.51181102362204722"/>
  <pageSetup paperSize="9" orientation="portrait" horizontalDpi="4294967293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ECF69-B81D-41D2-931A-51370212015B}">
  <dimension ref="A1:O88"/>
  <sheetViews>
    <sheetView workbookViewId="0">
      <selection activeCell="P19" sqref="P19"/>
    </sheetView>
  </sheetViews>
  <sheetFormatPr defaultRowHeight="13.5" x14ac:dyDescent="0.15"/>
  <cols>
    <col min="1" max="1" width="3.375" style="12" customWidth="1"/>
    <col min="2" max="2" width="11" style="10" customWidth="1"/>
    <col min="3" max="3" width="1" style="10" customWidth="1"/>
    <col min="4" max="4" width="15.625" style="10" customWidth="1"/>
    <col min="5" max="5" width="10.125" style="10" customWidth="1"/>
    <col min="6" max="6" width="2.25" style="10" customWidth="1"/>
    <col min="7" max="8" width="8.625" style="10" customWidth="1"/>
    <col min="9" max="9" width="6" style="13" customWidth="1"/>
    <col min="10" max="10" width="2.375" style="10" customWidth="1"/>
    <col min="11" max="11" width="6.125" style="10" customWidth="1"/>
    <col min="12" max="12" width="2.25" style="10" customWidth="1"/>
    <col min="13" max="14" width="6.25" style="12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 x14ac:dyDescent="0.15">
      <c r="B1" s="95" t="s">
        <v>13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10"/>
    </row>
    <row r="2" spans="1:15" ht="21" customHeight="1" x14ac:dyDescent="0.15"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10"/>
    </row>
    <row r="3" spans="1:15" ht="26.25" customHeight="1" x14ac:dyDescent="0.15">
      <c r="A3" s="11"/>
      <c r="B3" s="2" t="s">
        <v>1</v>
      </c>
      <c r="C3" s="97" t="s">
        <v>2</v>
      </c>
      <c r="D3" s="98"/>
      <c r="E3" s="99" t="s">
        <v>3</v>
      </c>
      <c r="F3" s="100"/>
      <c r="G3" s="25" t="s">
        <v>4</v>
      </c>
      <c r="H3" s="25" t="s">
        <v>7</v>
      </c>
      <c r="I3" s="101" t="s">
        <v>8</v>
      </c>
      <c r="J3" s="99"/>
      <c r="K3" s="101" t="s">
        <v>5</v>
      </c>
      <c r="L3" s="101"/>
      <c r="M3" s="26" t="s">
        <v>14</v>
      </c>
      <c r="N3" s="1" t="s">
        <v>10</v>
      </c>
    </row>
    <row r="4" spans="1:15" ht="18.75" customHeight="1" x14ac:dyDescent="0.15">
      <c r="A4" s="11">
        <v>1</v>
      </c>
      <c r="B4" s="2" t="s">
        <v>12</v>
      </c>
      <c r="C4" s="3"/>
      <c r="D4" s="71"/>
      <c r="E4" s="3"/>
      <c r="F4" s="4" t="str">
        <f t="shared" ref="F4:F37" si="0">IF(E4="","",E4-7*INT(E4/7))</f>
        <v/>
      </c>
      <c r="G4" s="5"/>
      <c r="H4" s="5" t="str">
        <f t="shared" ref="H4:H37" si="1">IF(G4="","",G4)</f>
        <v/>
      </c>
      <c r="I4" s="15"/>
      <c r="J4" s="6" t="s">
        <v>15</v>
      </c>
      <c r="K4" s="16" t="str">
        <f t="shared" ref="K4:K37" si="2">IF(I4&gt;0,I4,"")</f>
        <v/>
      </c>
      <c r="L4" s="6" t="s">
        <v>6</v>
      </c>
      <c r="M4" s="27"/>
      <c r="N4" s="27"/>
    </row>
    <row r="5" spans="1:15" ht="18.75" customHeight="1" x14ac:dyDescent="0.15">
      <c r="A5" s="11">
        <v>2</v>
      </c>
      <c r="B5" s="2" t="s">
        <v>12</v>
      </c>
      <c r="C5" s="3"/>
      <c r="D5" s="71"/>
      <c r="E5" s="7"/>
      <c r="F5" s="4" t="str">
        <f t="shared" si="0"/>
        <v/>
      </c>
      <c r="G5" s="5"/>
      <c r="H5" s="5" t="str">
        <f t="shared" si="1"/>
        <v/>
      </c>
      <c r="I5" s="17"/>
      <c r="J5" s="8" t="s">
        <v>16</v>
      </c>
      <c r="K5" s="16" t="str">
        <f t="shared" si="2"/>
        <v/>
      </c>
      <c r="L5" s="9" t="s">
        <v>6</v>
      </c>
      <c r="M5" s="27"/>
      <c r="N5" s="27"/>
    </row>
    <row r="6" spans="1:15" ht="18.75" customHeight="1" x14ac:dyDescent="0.15">
      <c r="A6" s="11">
        <v>3</v>
      </c>
      <c r="B6" s="2" t="s">
        <v>12</v>
      </c>
      <c r="C6" s="3"/>
      <c r="D6" s="71"/>
      <c r="E6" s="3"/>
      <c r="F6" s="4" t="str">
        <f t="shared" si="0"/>
        <v/>
      </c>
      <c r="G6" s="5"/>
      <c r="H6" s="5" t="str">
        <f t="shared" si="1"/>
        <v/>
      </c>
      <c r="I6" s="18"/>
      <c r="J6" s="6" t="s">
        <v>16</v>
      </c>
      <c r="K6" s="16" t="str">
        <f t="shared" si="2"/>
        <v/>
      </c>
      <c r="L6" s="6" t="s">
        <v>6</v>
      </c>
      <c r="M6" s="27"/>
      <c r="N6" s="27"/>
    </row>
    <row r="7" spans="1:15" ht="18.75" customHeight="1" x14ac:dyDescent="0.15">
      <c r="A7" s="11">
        <v>4</v>
      </c>
      <c r="B7" s="2" t="s">
        <v>12</v>
      </c>
      <c r="C7" s="3"/>
      <c r="D7" s="71"/>
      <c r="E7" s="3"/>
      <c r="F7" s="4" t="str">
        <f t="shared" si="0"/>
        <v/>
      </c>
      <c r="G7" s="5"/>
      <c r="H7" s="5" t="str">
        <f t="shared" si="1"/>
        <v/>
      </c>
      <c r="I7" s="17"/>
      <c r="J7" s="8" t="s">
        <v>16</v>
      </c>
      <c r="K7" s="16" t="str">
        <f t="shared" si="2"/>
        <v/>
      </c>
      <c r="L7" s="9" t="s">
        <v>6</v>
      </c>
      <c r="M7" s="27"/>
      <c r="N7" s="27"/>
    </row>
    <row r="8" spans="1:15" ht="18.75" customHeight="1" x14ac:dyDescent="0.15">
      <c r="A8" s="11">
        <v>5</v>
      </c>
      <c r="B8" s="2" t="s">
        <v>12</v>
      </c>
      <c r="C8" s="3"/>
      <c r="D8" s="71"/>
      <c r="E8" s="3"/>
      <c r="F8" s="4" t="str">
        <f t="shared" si="0"/>
        <v/>
      </c>
      <c r="G8" s="5"/>
      <c r="H8" s="5" t="str">
        <f t="shared" si="1"/>
        <v/>
      </c>
      <c r="I8" s="18"/>
      <c r="J8" s="6" t="s">
        <v>16</v>
      </c>
      <c r="K8" s="16" t="str">
        <f t="shared" si="2"/>
        <v/>
      </c>
      <c r="L8" s="6" t="s">
        <v>6</v>
      </c>
      <c r="M8" s="27"/>
      <c r="N8" s="27"/>
    </row>
    <row r="9" spans="1:15" ht="18.75" customHeight="1" x14ac:dyDescent="0.15">
      <c r="A9" s="11">
        <v>6</v>
      </c>
      <c r="B9" s="2" t="s">
        <v>12</v>
      </c>
      <c r="C9" s="3"/>
      <c r="D9" s="71"/>
      <c r="E9" s="7"/>
      <c r="F9" s="4" t="str">
        <f t="shared" si="0"/>
        <v/>
      </c>
      <c r="G9" s="5"/>
      <c r="H9" s="5" t="str">
        <f t="shared" si="1"/>
        <v/>
      </c>
      <c r="I9" s="18"/>
      <c r="J9" s="6" t="s">
        <v>16</v>
      </c>
      <c r="K9" s="16" t="str">
        <f t="shared" si="2"/>
        <v/>
      </c>
      <c r="L9" s="6" t="s">
        <v>6</v>
      </c>
      <c r="M9" s="27"/>
      <c r="N9" s="27"/>
      <c r="O9" s="59"/>
    </row>
    <row r="10" spans="1:15" ht="18.75" customHeight="1" x14ac:dyDescent="0.15">
      <c r="A10" s="11">
        <v>7</v>
      </c>
      <c r="B10" s="2" t="s">
        <v>12</v>
      </c>
      <c r="C10" s="3"/>
      <c r="D10" s="71"/>
      <c r="E10" s="3"/>
      <c r="F10" s="4" t="str">
        <f t="shared" si="0"/>
        <v/>
      </c>
      <c r="G10" s="5"/>
      <c r="H10" s="5" t="str">
        <f t="shared" si="1"/>
        <v/>
      </c>
      <c r="I10" s="17"/>
      <c r="J10" s="28" t="s">
        <v>16</v>
      </c>
      <c r="K10" s="16" t="str">
        <f t="shared" si="2"/>
        <v/>
      </c>
      <c r="L10" s="28" t="s">
        <v>6</v>
      </c>
      <c r="M10" s="27"/>
      <c r="N10" s="27"/>
    </row>
    <row r="11" spans="1:15" ht="18.75" customHeight="1" x14ac:dyDescent="0.15">
      <c r="A11" s="11">
        <v>8</v>
      </c>
      <c r="B11" s="2"/>
      <c r="C11" s="3"/>
      <c r="D11" s="14"/>
      <c r="E11" s="7"/>
      <c r="F11" s="4" t="str">
        <f t="shared" si="0"/>
        <v/>
      </c>
      <c r="G11" s="5"/>
      <c r="H11" s="5" t="str">
        <f t="shared" si="1"/>
        <v/>
      </c>
      <c r="I11" s="18"/>
      <c r="J11" s="8" t="s">
        <v>16</v>
      </c>
      <c r="K11" s="16" t="str">
        <f t="shared" si="2"/>
        <v/>
      </c>
      <c r="L11" s="9" t="s">
        <v>6</v>
      </c>
      <c r="M11" s="27"/>
      <c r="N11" s="27"/>
    </row>
    <row r="12" spans="1:15" ht="18.75" customHeight="1" x14ac:dyDescent="0.15">
      <c r="A12" s="11">
        <v>9</v>
      </c>
      <c r="B12" s="2"/>
      <c r="C12" s="3"/>
      <c r="D12" s="14"/>
      <c r="E12" s="3"/>
      <c r="F12" s="4" t="str">
        <f t="shared" si="0"/>
        <v/>
      </c>
      <c r="G12" s="5"/>
      <c r="H12" s="5" t="str">
        <f t="shared" si="1"/>
        <v/>
      </c>
      <c r="I12" s="18"/>
      <c r="J12" s="6" t="s">
        <v>16</v>
      </c>
      <c r="K12" s="16" t="str">
        <f t="shared" si="2"/>
        <v/>
      </c>
      <c r="L12" s="6" t="s">
        <v>6</v>
      </c>
      <c r="M12" s="27"/>
      <c r="N12" s="27"/>
    </row>
    <row r="13" spans="1:15" ht="18.75" customHeight="1" x14ac:dyDescent="0.15">
      <c r="A13" s="11">
        <v>10</v>
      </c>
      <c r="B13" s="2"/>
      <c r="C13" s="3"/>
      <c r="D13" s="14"/>
      <c r="E13" s="7"/>
      <c r="F13" s="4" t="str">
        <f t="shared" si="0"/>
        <v/>
      </c>
      <c r="G13" s="5"/>
      <c r="H13" s="5" t="str">
        <f t="shared" si="1"/>
        <v/>
      </c>
      <c r="I13" s="18"/>
      <c r="J13" s="8" t="s">
        <v>16</v>
      </c>
      <c r="K13" s="16" t="str">
        <f t="shared" si="2"/>
        <v/>
      </c>
      <c r="L13" s="9" t="s">
        <v>6</v>
      </c>
      <c r="M13" s="27"/>
      <c r="N13" s="27"/>
    </row>
    <row r="14" spans="1:15" ht="18.75" customHeight="1" x14ac:dyDescent="0.15">
      <c r="A14" s="11">
        <v>11</v>
      </c>
      <c r="B14" s="2"/>
      <c r="C14" s="3"/>
      <c r="D14" s="14"/>
      <c r="E14" s="3"/>
      <c r="F14" s="4" t="str">
        <f t="shared" si="0"/>
        <v/>
      </c>
      <c r="G14" s="5"/>
      <c r="H14" s="5" t="str">
        <f t="shared" si="1"/>
        <v/>
      </c>
      <c r="I14" s="18"/>
      <c r="J14" s="6" t="s">
        <v>16</v>
      </c>
      <c r="K14" s="16" t="str">
        <f t="shared" si="2"/>
        <v/>
      </c>
      <c r="L14" s="6" t="s">
        <v>6</v>
      </c>
      <c r="M14" s="27"/>
      <c r="N14" s="27"/>
    </row>
    <row r="15" spans="1:15" ht="18.75" customHeight="1" x14ac:dyDescent="0.15">
      <c r="A15" s="11">
        <v>12</v>
      </c>
      <c r="B15" s="2"/>
      <c r="C15" s="3"/>
      <c r="D15" s="14"/>
      <c r="E15" s="3"/>
      <c r="F15" s="4" t="str">
        <f t="shared" si="0"/>
        <v/>
      </c>
      <c r="G15" s="5"/>
      <c r="H15" s="5" t="str">
        <f t="shared" si="1"/>
        <v/>
      </c>
      <c r="I15" s="17"/>
      <c r="J15" s="8" t="s">
        <v>16</v>
      </c>
      <c r="K15" s="16" t="str">
        <f t="shared" si="2"/>
        <v/>
      </c>
      <c r="L15" s="6" t="s">
        <v>6</v>
      </c>
      <c r="M15" s="27"/>
      <c r="N15" s="27"/>
    </row>
    <row r="16" spans="1:15" ht="18.75" customHeight="1" x14ac:dyDescent="0.15">
      <c r="A16" s="11">
        <v>13</v>
      </c>
      <c r="B16" s="2"/>
      <c r="C16" s="3"/>
      <c r="D16" s="19"/>
      <c r="E16" s="3"/>
      <c r="F16" s="4" t="str">
        <f t="shared" si="0"/>
        <v/>
      </c>
      <c r="G16" s="5"/>
      <c r="H16" s="5" t="str">
        <f t="shared" si="1"/>
        <v/>
      </c>
      <c r="I16" s="18"/>
      <c r="J16" s="6" t="s">
        <v>16</v>
      </c>
      <c r="K16" s="16" t="str">
        <f t="shared" si="2"/>
        <v/>
      </c>
      <c r="L16" s="6" t="s">
        <v>6</v>
      </c>
      <c r="M16" s="27"/>
      <c r="N16" s="27"/>
    </row>
    <row r="17" spans="1:14" ht="18.75" customHeight="1" x14ac:dyDescent="0.15">
      <c r="A17" s="11">
        <v>14</v>
      </c>
      <c r="B17" s="2"/>
      <c r="C17" s="3"/>
      <c r="D17" s="19"/>
      <c r="E17" s="3"/>
      <c r="F17" s="4" t="str">
        <f t="shared" si="0"/>
        <v/>
      </c>
      <c r="G17" s="5"/>
      <c r="H17" s="5" t="str">
        <f t="shared" si="1"/>
        <v/>
      </c>
      <c r="I17" s="18"/>
      <c r="J17" s="6" t="s">
        <v>16</v>
      </c>
      <c r="K17" s="16" t="str">
        <f t="shared" si="2"/>
        <v/>
      </c>
      <c r="L17" s="6" t="s">
        <v>6</v>
      </c>
      <c r="M17" s="27"/>
      <c r="N17" s="27"/>
    </row>
    <row r="18" spans="1:14" ht="18.75" customHeight="1" x14ac:dyDescent="0.15">
      <c r="A18" s="11">
        <v>15</v>
      </c>
      <c r="B18" s="2"/>
      <c r="C18" s="3"/>
      <c r="D18" s="19"/>
      <c r="E18" s="3"/>
      <c r="F18" s="4" t="str">
        <f t="shared" si="0"/>
        <v/>
      </c>
      <c r="G18" s="5"/>
      <c r="H18" s="5" t="str">
        <f t="shared" si="1"/>
        <v/>
      </c>
      <c r="I18" s="18"/>
      <c r="J18" s="6" t="s">
        <v>16</v>
      </c>
      <c r="K18" s="16" t="str">
        <f t="shared" si="2"/>
        <v/>
      </c>
      <c r="L18" s="9" t="s">
        <v>6</v>
      </c>
      <c r="M18" s="27"/>
      <c r="N18" s="27"/>
    </row>
    <row r="19" spans="1:14" ht="18.75" customHeight="1" x14ac:dyDescent="0.15">
      <c r="A19" s="11">
        <v>16</v>
      </c>
      <c r="B19" s="2"/>
      <c r="C19" s="3"/>
      <c r="D19" s="19"/>
      <c r="E19" s="7"/>
      <c r="F19" s="4" t="str">
        <f t="shared" si="0"/>
        <v/>
      </c>
      <c r="G19" s="5"/>
      <c r="H19" s="5" t="str">
        <f t="shared" si="1"/>
        <v/>
      </c>
      <c r="I19" s="17"/>
      <c r="J19" s="8" t="s">
        <v>16</v>
      </c>
      <c r="K19" s="16" t="str">
        <f t="shared" si="2"/>
        <v/>
      </c>
      <c r="L19" s="6" t="s">
        <v>6</v>
      </c>
      <c r="M19" s="27"/>
      <c r="N19" s="27"/>
    </row>
    <row r="20" spans="1:14" ht="18.75" customHeight="1" x14ac:dyDescent="0.15">
      <c r="A20" s="11">
        <v>17</v>
      </c>
      <c r="B20" s="2"/>
      <c r="C20" s="3"/>
      <c r="D20" s="19"/>
      <c r="E20" s="3"/>
      <c r="F20" s="4" t="str">
        <f t="shared" si="0"/>
        <v/>
      </c>
      <c r="G20" s="5"/>
      <c r="H20" s="5" t="str">
        <f t="shared" si="1"/>
        <v/>
      </c>
      <c r="I20" s="18"/>
      <c r="J20" s="6" t="s">
        <v>16</v>
      </c>
      <c r="K20" s="16" t="str">
        <f t="shared" si="2"/>
        <v/>
      </c>
      <c r="L20" s="6" t="s">
        <v>6</v>
      </c>
      <c r="M20" s="27"/>
      <c r="N20" s="27"/>
    </row>
    <row r="21" spans="1:14" ht="18.75" customHeight="1" x14ac:dyDescent="0.15">
      <c r="A21" s="11">
        <v>18</v>
      </c>
      <c r="B21" s="2"/>
      <c r="C21" s="3"/>
      <c r="D21" s="19"/>
      <c r="E21" s="3"/>
      <c r="F21" s="4" t="str">
        <f t="shared" si="0"/>
        <v/>
      </c>
      <c r="G21" s="5"/>
      <c r="H21" s="5" t="str">
        <f t="shared" si="1"/>
        <v/>
      </c>
      <c r="I21" s="18"/>
      <c r="J21" s="6" t="s">
        <v>16</v>
      </c>
      <c r="K21" s="16" t="str">
        <f t="shared" si="2"/>
        <v/>
      </c>
      <c r="L21" s="6" t="s">
        <v>6</v>
      </c>
      <c r="M21" s="27"/>
      <c r="N21" s="27"/>
    </row>
    <row r="22" spans="1:14" ht="18.75" customHeight="1" x14ac:dyDescent="0.15">
      <c r="A22" s="11">
        <v>19</v>
      </c>
      <c r="B22" s="2"/>
      <c r="C22" s="3"/>
      <c r="D22" s="19"/>
      <c r="E22" s="3"/>
      <c r="F22" s="4" t="str">
        <f t="shared" si="0"/>
        <v/>
      </c>
      <c r="G22" s="5"/>
      <c r="H22" s="5" t="str">
        <f t="shared" si="1"/>
        <v/>
      </c>
      <c r="I22" s="18"/>
      <c r="J22" s="6" t="s">
        <v>16</v>
      </c>
      <c r="K22" s="16" t="str">
        <f t="shared" si="2"/>
        <v/>
      </c>
      <c r="L22" s="6" t="s">
        <v>6</v>
      </c>
      <c r="M22" s="27"/>
      <c r="N22" s="27"/>
    </row>
    <row r="23" spans="1:14" ht="18.75" customHeight="1" x14ac:dyDescent="0.15">
      <c r="A23" s="11">
        <v>20</v>
      </c>
      <c r="B23" s="2"/>
      <c r="C23" s="3"/>
      <c r="D23" s="20"/>
      <c r="E23" s="3"/>
      <c r="F23" s="4" t="str">
        <f t="shared" si="0"/>
        <v/>
      </c>
      <c r="G23" s="5"/>
      <c r="H23" s="5" t="str">
        <f t="shared" si="1"/>
        <v/>
      </c>
      <c r="I23" s="18"/>
      <c r="J23" s="6" t="s">
        <v>11</v>
      </c>
      <c r="K23" s="16" t="str">
        <f t="shared" si="2"/>
        <v/>
      </c>
      <c r="L23" s="6" t="s">
        <v>6</v>
      </c>
      <c r="M23" s="27"/>
      <c r="N23" s="27"/>
    </row>
    <row r="24" spans="1:14" ht="18.75" customHeight="1" x14ac:dyDescent="0.15">
      <c r="A24" s="11">
        <v>21</v>
      </c>
      <c r="B24" s="2"/>
      <c r="C24" s="3"/>
      <c r="D24" s="20"/>
      <c r="E24" s="3"/>
      <c r="F24" s="4" t="str">
        <f t="shared" si="0"/>
        <v/>
      </c>
      <c r="G24" s="5"/>
      <c r="H24" s="5" t="str">
        <f t="shared" si="1"/>
        <v/>
      </c>
      <c r="I24" s="18"/>
      <c r="J24" s="8" t="s">
        <v>11</v>
      </c>
      <c r="K24" s="16" t="str">
        <f t="shared" si="2"/>
        <v/>
      </c>
      <c r="L24" s="6" t="s">
        <v>6</v>
      </c>
      <c r="M24" s="27"/>
      <c r="N24" s="27"/>
    </row>
    <row r="25" spans="1:14" ht="18.75" customHeight="1" x14ac:dyDescent="0.15">
      <c r="A25" s="11">
        <v>22</v>
      </c>
      <c r="B25" s="2"/>
      <c r="C25" s="3"/>
      <c r="D25" s="20"/>
      <c r="E25" s="3"/>
      <c r="F25" s="4" t="str">
        <f t="shared" si="0"/>
        <v/>
      </c>
      <c r="G25" s="5"/>
      <c r="H25" s="5" t="str">
        <f t="shared" si="1"/>
        <v/>
      </c>
      <c r="I25" s="18"/>
      <c r="J25" s="6" t="s">
        <v>11</v>
      </c>
      <c r="K25" s="16" t="str">
        <f t="shared" si="2"/>
        <v/>
      </c>
      <c r="L25" s="6" t="s">
        <v>6</v>
      </c>
      <c r="M25" s="27"/>
      <c r="N25" s="27"/>
    </row>
    <row r="26" spans="1:14" ht="18.75" customHeight="1" x14ac:dyDescent="0.15">
      <c r="A26" s="11">
        <v>23</v>
      </c>
      <c r="B26" s="2"/>
      <c r="C26" s="3"/>
      <c r="D26" s="20"/>
      <c r="E26" s="3"/>
      <c r="F26" s="4" t="str">
        <f t="shared" si="0"/>
        <v/>
      </c>
      <c r="G26" s="5"/>
      <c r="H26" s="5" t="str">
        <f t="shared" si="1"/>
        <v/>
      </c>
      <c r="I26" s="18"/>
      <c r="J26" s="6" t="s">
        <v>16</v>
      </c>
      <c r="K26" s="16" t="str">
        <f t="shared" si="2"/>
        <v/>
      </c>
      <c r="L26" s="6" t="s">
        <v>6</v>
      </c>
      <c r="M26" s="27"/>
      <c r="N26" s="27"/>
    </row>
    <row r="27" spans="1:14" ht="18.75" customHeight="1" x14ac:dyDescent="0.15">
      <c r="A27" s="11">
        <v>24</v>
      </c>
      <c r="B27" s="2"/>
      <c r="C27" s="3"/>
      <c r="D27" s="20"/>
      <c r="E27" s="3"/>
      <c r="F27" s="4" t="str">
        <f t="shared" si="0"/>
        <v/>
      </c>
      <c r="G27" s="5"/>
      <c r="H27" s="5" t="str">
        <f t="shared" si="1"/>
        <v/>
      </c>
      <c r="I27" s="18"/>
      <c r="J27" s="8" t="s">
        <v>16</v>
      </c>
      <c r="K27" s="16" t="str">
        <f t="shared" si="2"/>
        <v/>
      </c>
      <c r="L27" s="6" t="s">
        <v>6</v>
      </c>
      <c r="M27" s="27"/>
      <c r="N27" s="27"/>
    </row>
    <row r="28" spans="1:14" ht="18.75" customHeight="1" x14ac:dyDescent="0.15">
      <c r="A28" s="11">
        <v>25</v>
      </c>
      <c r="B28" s="2"/>
      <c r="C28" s="3"/>
      <c r="D28" s="20"/>
      <c r="E28" s="3"/>
      <c r="F28" s="4" t="str">
        <f t="shared" si="0"/>
        <v/>
      </c>
      <c r="G28" s="5"/>
      <c r="H28" s="5" t="str">
        <f t="shared" si="1"/>
        <v/>
      </c>
      <c r="I28" s="18"/>
      <c r="J28" s="6" t="s">
        <v>16</v>
      </c>
      <c r="K28" s="16" t="str">
        <f t="shared" si="2"/>
        <v/>
      </c>
      <c r="L28" s="6" t="s">
        <v>6</v>
      </c>
      <c r="M28" s="27"/>
      <c r="N28" s="27"/>
    </row>
    <row r="29" spans="1:14" ht="18.75" customHeight="1" x14ac:dyDescent="0.15">
      <c r="A29" s="11">
        <v>26</v>
      </c>
      <c r="B29" s="2"/>
      <c r="C29" s="3"/>
      <c r="D29" s="20"/>
      <c r="E29" s="3"/>
      <c r="F29" s="4" t="str">
        <f t="shared" si="0"/>
        <v/>
      </c>
      <c r="G29" s="5"/>
      <c r="H29" s="5" t="str">
        <f t="shared" si="1"/>
        <v/>
      </c>
      <c r="I29" s="18"/>
      <c r="J29" s="6" t="s">
        <v>16</v>
      </c>
      <c r="K29" s="16" t="str">
        <f t="shared" si="2"/>
        <v/>
      </c>
      <c r="L29" s="6" t="s">
        <v>6</v>
      </c>
      <c r="M29" s="27"/>
      <c r="N29" s="27"/>
    </row>
    <row r="30" spans="1:14" ht="18.75" customHeight="1" x14ac:dyDescent="0.15">
      <c r="A30" s="11">
        <v>27</v>
      </c>
      <c r="B30" s="2"/>
      <c r="C30" s="3"/>
      <c r="D30" s="20"/>
      <c r="E30" s="3"/>
      <c r="F30" s="4" t="str">
        <f t="shared" si="0"/>
        <v/>
      </c>
      <c r="G30" s="5"/>
      <c r="H30" s="5" t="str">
        <f t="shared" si="1"/>
        <v/>
      </c>
      <c r="I30" s="18"/>
      <c r="J30" s="8" t="s">
        <v>16</v>
      </c>
      <c r="K30" s="16" t="str">
        <f t="shared" si="2"/>
        <v/>
      </c>
      <c r="L30" s="6" t="s">
        <v>6</v>
      </c>
      <c r="M30" s="27"/>
      <c r="N30" s="27"/>
    </row>
    <row r="31" spans="1:14" ht="18.75" customHeight="1" x14ac:dyDescent="0.15">
      <c r="A31" s="11">
        <v>28</v>
      </c>
      <c r="B31" s="2"/>
      <c r="C31" s="3"/>
      <c r="D31" s="20"/>
      <c r="E31" s="7"/>
      <c r="F31" s="4" t="str">
        <f t="shared" si="0"/>
        <v/>
      </c>
      <c r="G31" s="5"/>
      <c r="H31" s="5" t="str">
        <f t="shared" si="1"/>
        <v/>
      </c>
      <c r="I31" s="18"/>
      <c r="J31" s="6" t="s">
        <v>16</v>
      </c>
      <c r="K31" s="16" t="str">
        <f t="shared" si="2"/>
        <v/>
      </c>
      <c r="L31" s="6" t="s">
        <v>6</v>
      </c>
      <c r="M31" s="27"/>
      <c r="N31" s="27"/>
    </row>
    <row r="32" spans="1:14" ht="18.75" customHeight="1" x14ac:dyDescent="0.15">
      <c r="A32" s="11">
        <v>29</v>
      </c>
      <c r="B32" s="2"/>
      <c r="C32" s="3"/>
      <c r="D32" s="20"/>
      <c r="E32" s="3"/>
      <c r="F32" s="4" t="str">
        <f t="shared" si="0"/>
        <v/>
      </c>
      <c r="G32" s="5"/>
      <c r="H32" s="5" t="str">
        <f t="shared" si="1"/>
        <v/>
      </c>
      <c r="I32" s="18"/>
      <c r="J32" s="6" t="s">
        <v>16</v>
      </c>
      <c r="K32" s="16" t="str">
        <f t="shared" si="2"/>
        <v/>
      </c>
      <c r="L32" s="6" t="s">
        <v>6</v>
      </c>
      <c r="M32" s="27"/>
      <c r="N32" s="27"/>
    </row>
    <row r="33" spans="1:14" ht="18.75" customHeight="1" x14ac:dyDescent="0.15">
      <c r="A33" s="11">
        <v>30</v>
      </c>
      <c r="B33" s="2"/>
      <c r="C33" s="3"/>
      <c r="D33" s="20"/>
      <c r="E33" s="3"/>
      <c r="F33" s="4" t="str">
        <f t="shared" si="0"/>
        <v/>
      </c>
      <c r="G33" s="5"/>
      <c r="H33" s="5" t="str">
        <f t="shared" si="1"/>
        <v/>
      </c>
      <c r="I33" s="18"/>
      <c r="J33" s="6" t="s">
        <v>16</v>
      </c>
      <c r="K33" s="16" t="str">
        <f t="shared" si="2"/>
        <v/>
      </c>
      <c r="L33" s="6" t="s">
        <v>6</v>
      </c>
      <c r="M33" s="27"/>
      <c r="N33" s="27"/>
    </row>
    <row r="34" spans="1:14" ht="18.75" customHeight="1" x14ac:dyDescent="0.15">
      <c r="A34" s="11">
        <v>31</v>
      </c>
      <c r="B34" s="2"/>
      <c r="C34" s="3"/>
      <c r="D34" s="20"/>
      <c r="E34" s="3"/>
      <c r="F34" s="4" t="str">
        <f t="shared" si="0"/>
        <v/>
      </c>
      <c r="G34" s="5"/>
      <c r="H34" s="5" t="str">
        <f t="shared" si="1"/>
        <v/>
      </c>
      <c r="I34" s="21"/>
      <c r="J34" s="6" t="s">
        <v>16</v>
      </c>
      <c r="K34" s="16" t="str">
        <f t="shared" si="2"/>
        <v/>
      </c>
      <c r="L34" s="6" t="s">
        <v>6</v>
      </c>
      <c r="M34" s="27"/>
      <c r="N34" s="27"/>
    </row>
    <row r="35" spans="1:14" ht="18.75" customHeight="1" x14ac:dyDescent="0.15">
      <c r="A35" s="11">
        <v>32</v>
      </c>
      <c r="B35" s="2"/>
      <c r="C35" s="3"/>
      <c r="D35" s="20"/>
      <c r="E35" s="3"/>
      <c r="F35" s="4" t="str">
        <f t="shared" si="0"/>
        <v/>
      </c>
      <c r="G35" s="5"/>
      <c r="H35" s="5" t="str">
        <f t="shared" si="1"/>
        <v/>
      </c>
      <c r="I35" s="18"/>
      <c r="J35" s="6" t="s">
        <v>16</v>
      </c>
      <c r="K35" s="16" t="str">
        <f t="shared" si="2"/>
        <v/>
      </c>
      <c r="L35" s="6" t="s">
        <v>6</v>
      </c>
      <c r="M35" s="27"/>
      <c r="N35" s="27"/>
    </row>
    <row r="36" spans="1:14" ht="18.75" customHeight="1" x14ac:dyDescent="0.15">
      <c r="A36" s="11">
        <v>33</v>
      </c>
      <c r="B36" s="2"/>
      <c r="C36" s="3"/>
      <c r="D36" s="20"/>
      <c r="E36" s="7"/>
      <c r="F36" s="4" t="str">
        <f t="shared" si="0"/>
        <v/>
      </c>
      <c r="G36" s="5"/>
      <c r="H36" s="5" t="str">
        <f t="shared" si="1"/>
        <v/>
      </c>
      <c r="I36" s="17"/>
      <c r="J36" s="6" t="s">
        <v>16</v>
      </c>
      <c r="K36" s="16" t="str">
        <f t="shared" si="2"/>
        <v/>
      </c>
      <c r="L36" s="6" t="s">
        <v>6</v>
      </c>
      <c r="M36" s="27"/>
      <c r="N36" s="27"/>
    </row>
    <row r="37" spans="1:14" ht="18.75" customHeight="1" x14ac:dyDescent="0.15">
      <c r="A37" s="11">
        <v>34</v>
      </c>
      <c r="B37" s="2"/>
      <c r="C37" s="3"/>
      <c r="D37" s="20"/>
      <c r="E37" s="3"/>
      <c r="F37" s="4" t="str">
        <f t="shared" si="0"/>
        <v/>
      </c>
      <c r="G37" s="5"/>
      <c r="H37" s="5" t="str">
        <f t="shared" si="1"/>
        <v/>
      </c>
      <c r="I37" s="18"/>
      <c r="J37" s="6" t="s">
        <v>16</v>
      </c>
      <c r="K37" s="16" t="str">
        <f t="shared" si="2"/>
        <v/>
      </c>
      <c r="L37" s="6" t="s">
        <v>6</v>
      </c>
      <c r="M37" s="27"/>
      <c r="N37" s="27"/>
    </row>
    <row r="38" spans="1:14" ht="18.75" customHeight="1" x14ac:dyDescent="0.15">
      <c r="A38" s="11">
        <v>35</v>
      </c>
      <c r="B38" s="2"/>
      <c r="C38" s="3"/>
      <c r="D38" s="20"/>
      <c r="E38" s="3"/>
      <c r="F38" s="4"/>
      <c r="G38" s="5"/>
      <c r="H38" s="5"/>
      <c r="I38" s="18"/>
      <c r="J38" s="6" t="s">
        <v>16</v>
      </c>
      <c r="K38" s="16"/>
      <c r="L38" s="6" t="s">
        <v>6</v>
      </c>
      <c r="M38" s="27"/>
      <c r="N38" s="27"/>
    </row>
    <row r="39" spans="1:14" ht="18.75" customHeight="1" x14ac:dyDescent="0.15">
      <c r="A39" s="11">
        <v>36</v>
      </c>
      <c r="B39" s="2"/>
      <c r="C39" s="3"/>
      <c r="D39" s="20"/>
      <c r="E39" s="3"/>
      <c r="F39" s="4"/>
      <c r="G39" s="5"/>
      <c r="H39" s="5"/>
      <c r="I39" s="18"/>
      <c r="J39" s="6" t="s">
        <v>16</v>
      </c>
      <c r="K39" s="16"/>
      <c r="L39" s="6" t="s">
        <v>6</v>
      </c>
      <c r="M39" s="27"/>
      <c r="N39" s="27"/>
    </row>
    <row r="40" spans="1:14" ht="18.75" customHeight="1" x14ac:dyDescent="0.15">
      <c r="A40" s="11">
        <v>37</v>
      </c>
      <c r="B40" s="2"/>
      <c r="C40" s="3"/>
      <c r="D40" s="20"/>
      <c r="E40" s="3"/>
      <c r="F40" s="4"/>
      <c r="G40" s="5"/>
      <c r="H40" s="5"/>
      <c r="I40" s="18"/>
      <c r="J40" s="6" t="s">
        <v>16</v>
      </c>
      <c r="K40" s="16"/>
      <c r="L40" s="6" t="s">
        <v>6</v>
      </c>
      <c r="M40" s="27"/>
      <c r="N40" s="27"/>
    </row>
    <row r="41" spans="1:14" ht="18.75" customHeight="1" x14ac:dyDescent="0.15">
      <c r="A41" s="11">
        <v>38</v>
      </c>
      <c r="B41" s="2"/>
      <c r="C41" s="3"/>
      <c r="D41" s="20"/>
      <c r="E41" s="3"/>
      <c r="F41" s="4"/>
      <c r="G41" s="5"/>
      <c r="H41" s="5"/>
      <c r="I41" s="18"/>
      <c r="J41" s="6" t="s">
        <v>16</v>
      </c>
      <c r="K41" s="16"/>
      <c r="L41" s="6" t="s">
        <v>6</v>
      </c>
      <c r="M41" s="27"/>
      <c r="N41" s="27"/>
    </row>
    <row r="42" spans="1:14" ht="18.75" customHeight="1" x14ac:dyDescent="0.15">
      <c r="A42" s="11">
        <v>39</v>
      </c>
      <c r="B42" s="2"/>
      <c r="C42" s="3"/>
      <c r="D42" s="20"/>
      <c r="E42" s="3"/>
      <c r="F42" s="4" t="str">
        <f>IF(E42="","",E42-7*INT(E42/7))</f>
        <v/>
      </c>
      <c r="G42" s="5"/>
      <c r="H42" s="5" t="str">
        <f>IF(G42="","",G42)</f>
        <v/>
      </c>
      <c r="I42" s="18"/>
      <c r="J42" s="6" t="s">
        <v>16</v>
      </c>
      <c r="K42" s="16" t="str">
        <f>IF(I42&gt;0,I42,"")</f>
        <v/>
      </c>
      <c r="L42" s="6" t="s">
        <v>6</v>
      </c>
      <c r="M42" s="27"/>
      <c r="N42" s="27"/>
    </row>
    <row r="43" spans="1:14" ht="18.75" customHeight="1" thickBot="1" x14ac:dyDescent="0.2">
      <c r="A43" s="50">
        <v>40</v>
      </c>
      <c r="B43" s="51"/>
      <c r="C43" s="52"/>
      <c r="D43" s="63"/>
      <c r="E43" s="52"/>
      <c r="F43" s="53" t="str">
        <f>IF(E43="","",E43-7*INT(E43/7))</f>
        <v/>
      </c>
      <c r="G43" s="54"/>
      <c r="H43" s="54" t="str">
        <f>IF(G43="","",G43)</f>
        <v/>
      </c>
      <c r="I43" s="64"/>
      <c r="J43" s="56" t="s">
        <v>16</v>
      </c>
      <c r="K43" s="65" t="str">
        <f>IF(I43&gt;0,I43,"")</f>
        <v/>
      </c>
      <c r="L43" s="56" t="s">
        <v>6</v>
      </c>
      <c r="M43" s="58"/>
      <c r="N43" s="58"/>
    </row>
    <row r="44" spans="1:14" ht="18.75" customHeight="1" thickTop="1" x14ac:dyDescent="0.15">
      <c r="I44" s="62">
        <f>SUM(I4:I43)</f>
        <v>0</v>
      </c>
      <c r="J44" s="10" t="s">
        <v>17</v>
      </c>
      <c r="K44" s="24">
        <f>SUM(K4:K43)</f>
        <v>0</v>
      </c>
      <c r="L44" s="10" t="s">
        <v>6</v>
      </c>
    </row>
    <row r="45" spans="1:14" ht="20.25" customHeight="1" x14ac:dyDescent="0.15">
      <c r="B45" s="95" t="s">
        <v>13</v>
      </c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10"/>
    </row>
    <row r="46" spans="1:14" ht="21" customHeight="1" x14ac:dyDescent="0.15">
      <c r="B46" s="96" t="s">
        <v>0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10"/>
    </row>
    <row r="47" spans="1:14" ht="26.25" customHeight="1" x14ac:dyDescent="0.15">
      <c r="A47" s="11"/>
      <c r="B47" s="2" t="s">
        <v>1</v>
      </c>
      <c r="C47" s="97" t="s">
        <v>2</v>
      </c>
      <c r="D47" s="98"/>
      <c r="E47" s="99" t="s">
        <v>3</v>
      </c>
      <c r="F47" s="100"/>
      <c r="G47" s="25" t="s">
        <v>4</v>
      </c>
      <c r="H47" s="25" t="s">
        <v>7</v>
      </c>
      <c r="I47" s="101" t="s">
        <v>8</v>
      </c>
      <c r="J47" s="99"/>
      <c r="K47" s="101" t="s">
        <v>5</v>
      </c>
      <c r="L47" s="101"/>
      <c r="M47" s="26" t="s">
        <v>14</v>
      </c>
      <c r="N47" s="1" t="s">
        <v>10</v>
      </c>
    </row>
    <row r="48" spans="1:14" ht="18.75" customHeight="1" x14ac:dyDescent="0.15">
      <c r="A48" s="11">
        <v>41</v>
      </c>
      <c r="B48" s="2"/>
      <c r="C48" s="3"/>
      <c r="D48" s="14"/>
      <c r="E48" s="3"/>
      <c r="F48" s="4" t="str">
        <f t="shared" ref="F48:F81" si="3">IF(E48="","",E48-7*INT(E48/7))</f>
        <v/>
      </c>
      <c r="G48" s="5"/>
      <c r="H48" s="5" t="str">
        <f t="shared" ref="H48:H81" si="4">IF(G48="","",G48)</f>
        <v/>
      </c>
      <c r="I48" s="15"/>
      <c r="J48" s="6" t="s">
        <v>15</v>
      </c>
      <c r="K48" s="16" t="str">
        <f t="shared" ref="K48:K81" si="5">IF(I48&gt;0,I48,"")</f>
        <v/>
      </c>
      <c r="L48" s="6" t="s">
        <v>6</v>
      </c>
      <c r="M48" s="27"/>
      <c r="N48" s="27"/>
    </row>
    <row r="49" spans="1:14" ht="18.75" customHeight="1" x14ac:dyDescent="0.15">
      <c r="A49" s="11">
        <v>42</v>
      </c>
      <c r="B49" s="2"/>
      <c r="C49" s="3"/>
      <c r="D49" s="14"/>
      <c r="E49" s="7"/>
      <c r="F49" s="4" t="str">
        <f t="shared" si="3"/>
        <v/>
      </c>
      <c r="G49" s="5"/>
      <c r="H49" s="5" t="str">
        <f t="shared" si="4"/>
        <v/>
      </c>
      <c r="I49" s="17"/>
      <c r="J49" s="8" t="s">
        <v>16</v>
      </c>
      <c r="K49" s="16" t="str">
        <f t="shared" si="5"/>
        <v/>
      </c>
      <c r="L49" s="9" t="s">
        <v>6</v>
      </c>
      <c r="M49" s="27"/>
      <c r="N49" s="27"/>
    </row>
    <row r="50" spans="1:14" ht="18.75" customHeight="1" x14ac:dyDescent="0.15">
      <c r="A50" s="11">
        <v>43</v>
      </c>
      <c r="B50" s="2"/>
      <c r="C50" s="3"/>
      <c r="D50" s="14"/>
      <c r="E50" s="3"/>
      <c r="F50" s="4" t="str">
        <f t="shared" si="3"/>
        <v/>
      </c>
      <c r="G50" s="5"/>
      <c r="H50" s="5" t="str">
        <f t="shared" si="4"/>
        <v/>
      </c>
      <c r="I50" s="18"/>
      <c r="J50" s="6" t="s">
        <v>16</v>
      </c>
      <c r="K50" s="16" t="str">
        <f t="shared" si="5"/>
        <v/>
      </c>
      <c r="L50" s="6" t="s">
        <v>6</v>
      </c>
      <c r="M50" s="27"/>
      <c r="N50" s="27"/>
    </row>
    <row r="51" spans="1:14" ht="18.75" customHeight="1" x14ac:dyDescent="0.15">
      <c r="A51" s="11">
        <v>44</v>
      </c>
      <c r="B51" s="2"/>
      <c r="C51" s="3"/>
      <c r="D51" s="14"/>
      <c r="E51" s="3"/>
      <c r="F51" s="4" t="str">
        <f t="shared" si="3"/>
        <v/>
      </c>
      <c r="G51" s="5"/>
      <c r="H51" s="5" t="str">
        <f t="shared" si="4"/>
        <v/>
      </c>
      <c r="I51" s="17"/>
      <c r="J51" s="8" t="s">
        <v>16</v>
      </c>
      <c r="K51" s="16" t="str">
        <f t="shared" si="5"/>
        <v/>
      </c>
      <c r="L51" s="9" t="s">
        <v>6</v>
      </c>
      <c r="M51" s="27"/>
      <c r="N51" s="27"/>
    </row>
    <row r="52" spans="1:14" ht="18.75" customHeight="1" x14ac:dyDescent="0.15">
      <c r="A52" s="11">
        <v>45</v>
      </c>
      <c r="B52" s="2"/>
      <c r="C52" s="3"/>
      <c r="D52" s="14"/>
      <c r="E52" s="7"/>
      <c r="F52" s="4" t="str">
        <f t="shared" si="3"/>
        <v/>
      </c>
      <c r="G52" s="5"/>
      <c r="H52" s="5" t="str">
        <f t="shared" si="4"/>
        <v/>
      </c>
      <c r="I52" s="18"/>
      <c r="J52" s="6" t="s">
        <v>16</v>
      </c>
      <c r="K52" s="16" t="str">
        <f t="shared" si="5"/>
        <v/>
      </c>
      <c r="L52" s="6" t="s">
        <v>6</v>
      </c>
      <c r="M52" s="27"/>
      <c r="N52" s="27"/>
    </row>
    <row r="53" spans="1:14" ht="18.75" customHeight="1" x14ac:dyDescent="0.15">
      <c r="A53" s="11">
        <v>46</v>
      </c>
      <c r="B53" s="2"/>
      <c r="C53" s="3"/>
      <c r="D53" s="14"/>
      <c r="E53" s="3"/>
      <c r="F53" s="4" t="str">
        <f t="shared" si="3"/>
        <v/>
      </c>
      <c r="G53" s="5"/>
      <c r="H53" s="5" t="str">
        <f t="shared" si="4"/>
        <v/>
      </c>
      <c r="I53" s="18"/>
      <c r="J53" s="6" t="s">
        <v>16</v>
      </c>
      <c r="K53" s="16" t="str">
        <f t="shared" si="5"/>
        <v/>
      </c>
      <c r="L53" s="6" t="s">
        <v>6</v>
      </c>
      <c r="M53" s="27"/>
      <c r="N53" s="27"/>
    </row>
    <row r="54" spans="1:14" ht="18.75" customHeight="1" x14ac:dyDescent="0.15">
      <c r="A54" s="11">
        <v>47</v>
      </c>
      <c r="B54" s="2"/>
      <c r="C54" s="3"/>
      <c r="D54" s="14"/>
      <c r="E54" s="3"/>
      <c r="F54" s="4" t="str">
        <f t="shared" si="3"/>
        <v/>
      </c>
      <c r="G54" s="5"/>
      <c r="H54" s="5" t="str">
        <f t="shared" si="4"/>
        <v/>
      </c>
      <c r="I54" s="17"/>
      <c r="J54" s="28" t="s">
        <v>16</v>
      </c>
      <c r="K54" s="16" t="str">
        <f t="shared" si="5"/>
        <v/>
      </c>
      <c r="L54" s="28" t="s">
        <v>6</v>
      </c>
      <c r="M54" s="27"/>
      <c r="N54" s="27"/>
    </row>
    <row r="55" spans="1:14" ht="18.75" customHeight="1" x14ac:dyDescent="0.15">
      <c r="A55" s="11">
        <v>48</v>
      </c>
      <c r="B55" s="2"/>
      <c r="C55" s="3"/>
      <c r="D55" s="14"/>
      <c r="E55" s="7"/>
      <c r="F55" s="4" t="str">
        <f t="shared" si="3"/>
        <v/>
      </c>
      <c r="G55" s="5"/>
      <c r="H55" s="5" t="str">
        <f t="shared" si="4"/>
        <v/>
      </c>
      <c r="I55" s="18"/>
      <c r="J55" s="8" t="s">
        <v>16</v>
      </c>
      <c r="K55" s="16" t="str">
        <f t="shared" si="5"/>
        <v/>
      </c>
      <c r="L55" s="9" t="s">
        <v>6</v>
      </c>
      <c r="M55" s="27"/>
      <c r="N55" s="27"/>
    </row>
    <row r="56" spans="1:14" ht="18.75" customHeight="1" x14ac:dyDescent="0.15">
      <c r="A56" s="11">
        <v>49</v>
      </c>
      <c r="B56" s="2"/>
      <c r="C56" s="3"/>
      <c r="D56" s="14"/>
      <c r="E56" s="3"/>
      <c r="F56" s="4" t="str">
        <f t="shared" si="3"/>
        <v/>
      </c>
      <c r="G56" s="5"/>
      <c r="H56" s="5" t="str">
        <f t="shared" si="4"/>
        <v/>
      </c>
      <c r="I56" s="18"/>
      <c r="J56" s="6" t="s">
        <v>16</v>
      </c>
      <c r="K56" s="16" t="str">
        <f t="shared" si="5"/>
        <v/>
      </c>
      <c r="L56" s="6" t="s">
        <v>6</v>
      </c>
      <c r="M56" s="27"/>
      <c r="N56" s="27"/>
    </row>
    <row r="57" spans="1:14" ht="18.75" customHeight="1" x14ac:dyDescent="0.15">
      <c r="A57" s="11">
        <v>50</v>
      </c>
      <c r="B57" s="2"/>
      <c r="C57" s="3"/>
      <c r="D57" s="14"/>
      <c r="E57" s="7"/>
      <c r="F57" s="4" t="str">
        <f t="shared" si="3"/>
        <v/>
      </c>
      <c r="G57" s="5"/>
      <c r="H57" s="5" t="str">
        <f t="shared" si="4"/>
        <v/>
      </c>
      <c r="I57" s="18"/>
      <c r="J57" s="8" t="s">
        <v>16</v>
      </c>
      <c r="K57" s="16" t="str">
        <f t="shared" si="5"/>
        <v/>
      </c>
      <c r="L57" s="9" t="s">
        <v>6</v>
      </c>
      <c r="M57" s="27"/>
      <c r="N57" s="27"/>
    </row>
    <row r="58" spans="1:14" ht="18.75" customHeight="1" x14ac:dyDescent="0.15">
      <c r="A58" s="11">
        <v>51</v>
      </c>
      <c r="B58" s="2"/>
      <c r="C58" s="3"/>
      <c r="D58" s="14"/>
      <c r="E58" s="3"/>
      <c r="F58" s="4" t="str">
        <f t="shared" si="3"/>
        <v/>
      </c>
      <c r="G58" s="5"/>
      <c r="H58" s="5" t="str">
        <f t="shared" si="4"/>
        <v/>
      </c>
      <c r="I58" s="18"/>
      <c r="J58" s="6" t="s">
        <v>16</v>
      </c>
      <c r="K58" s="16" t="str">
        <f t="shared" si="5"/>
        <v/>
      </c>
      <c r="L58" s="6" t="s">
        <v>6</v>
      </c>
      <c r="M58" s="27"/>
      <c r="N58" s="27"/>
    </row>
    <row r="59" spans="1:14" ht="18.75" customHeight="1" x14ac:dyDescent="0.15">
      <c r="A59" s="11">
        <v>52</v>
      </c>
      <c r="B59" s="2"/>
      <c r="C59" s="3"/>
      <c r="D59" s="14"/>
      <c r="E59" s="3"/>
      <c r="F59" s="4" t="str">
        <f t="shared" si="3"/>
        <v/>
      </c>
      <c r="G59" s="5"/>
      <c r="H59" s="5" t="str">
        <f t="shared" si="4"/>
        <v/>
      </c>
      <c r="I59" s="17"/>
      <c r="J59" s="8" t="s">
        <v>16</v>
      </c>
      <c r="K59" s="16" t="str">
        <f t="shared" si="5"/>
        <v/>
      </c>
      <c r="L59" s="6" t="s">
        <v>6</v>
      </c>
      <c r="M59" s="27"/>
      <c r="N59" s="27"/>
    </row>
    <row r="60" spans="1:14" ht="18.75" customHeight="1" x14ac:dyDescent="0.15">
      <c r="A60" s="11">
        <v>53</v>
      </c>
      <c r="B60" s="2"/>
      <c r="C60" s="3"/>
      <c r="D60" s="19"/>
      <c r="E60" s="3"/>
      <c r="F60" s="4" t="str">
        <f t="shared" si="3"/>
        <v/>
      </c>
      <c r="G60" s="5"/>
      <c r="H60" s="5" t="str">
        <f t="shared" si="4"/>
        <v/>
      </c>
      <c r="I60" s="18"/>
      <c r="J60" s="6" t="s">
        <v>16</v>
      </c>
      <c r="K60" s="16" t="str">
        <f t="shared" si="5"/>
        <v/>
      </c>
      <c r="L60" s="6" t="s">
        <v>6</v>
      </c>
      <c r="M60" s="27"/>
      <c r="N60" s="27"/>
    </row>
    <row r="61" spans="1:14" ht="18.75" customHeight="1" x14ac:dyDescent="0.15">
      <c r="A61" s="11">
        <v>54</v>
      </c>
      <c r="B61" s="2"/>
      <c r="C61" s="3"/>
      <c r="D61" s="19"/>
      <c r="E61" s="3"/>
      <c r="F61" s="4" t="str">
        <f t="shared" si="3"/>
        <v/>
      </c>
      <c r="G61" s="5"/>
      <c r="H61" s="5" t="str">
        <f t="shared" si="4"/>
        <v/>
      </c>
      <c r="I61" s="18"/>
      <c r="J61" s="6" t="s">
        <v>16</v>
      </c>
      <c r="K61" s="16" t="str">
        <f t="shared" si="5"/>
        <v/>
      </c>
      <c r="L61" s="6" t="s">
        <v>6</v>
      </c>
      <c r="M61" s="27"/>
      <c r="N61" s="27"/>
    </row>
    <row r="62" spans="1:14" ht="18.75" customHeight="1" x14ac:dyDescent="0.15">
      <c r="A62" s="11">
        <v>55</v>
      </c>
      <c r="B62" s="2"/>
      <c r="C62" s="3"/>
      <c r="D62" s="19"/>
      <c r="E62" s="3"/>
      <c r="F62" s="4" t="str">
        <f t="shared" si="3"/>
        <v/>
      </c>
      <c r="G62" s="5"/>
      <c r="H62" s="5" t="str">
        <f t="shared" si="4"/>
        <v/>
      </c>
      <c r="I62" s="18"/>
      <c r="J62" s="6" t="s">
        <v>16</v>
      </c>
      <c r="K62" s="16" t="str">
        <f t="shared" si="5"/>
        <v/>
      </c>
      <c r="L62" s="9" t="s">
        <v>6</v>
      </c>
      <c r="M62" s="27"/>
      <c r="N62" s="27"/>
    </row>
    <row r="63" spans="1:14" ht="18.75" customHeight="1" x14ac:dyDescent="0.15">
      <c r="A63" s="11">
        <v>56</v>
      </c>
      <c r="B63" s="2"/>
      <c r="C63" s="3"/>
      <c r="D63" s="19"/>
      <c r="E63" s="7"/>
      <c r="F63" s="4" t="str">
        <f t="shared" si="3"/>
        <v/>
      </c>
      <c r="G63" s="5"/>
      <c r="H63" s="5" t="str">
        <f t="shared" si="4"/>
        <v/>
      </c>
      <c r="I63" s="17"/>
      <c r="J63" s="8" t="s">
        <v>16</v>
      </c>
      <c r="K63" s="16" t="str">
        <f t="shared" si="5"/>
        <v/>
      </c>
      <c r="L63" s="6" t="s">
        <v>6</v>
      </c>
      <c r="M63" s="27"/>
      <c r="N63" s="27"/>
    </row>
    <row r="64" spans="1:14" ht="18.75" customHeight="1" x14ac:dyDescent="0.15">
      <c r="A64" s="11">
        <v>57</v>
      </c>
      <c r="B64" s="2"/>
      <c r="C64" s="3"/>
      <c r="D64" s="19"/>
      <c r="E64" s="3"/>
      <c r="F64" s="4" t="str">
        <f t="shared" si="3"/>
        <v/>
      </c>
      <c r="G64" s="5"/>
      <c r="H64" s="5" t="str">
        <f t="shared" si="4"/>
        <v/>
      </c>
      <c r="I64" s="18"/>
      <c r="J64" s="6" t="s">
        <v>16</v>
      </c>
      <c r="K64" s="16" t="str">
        <f t="shared" si="5"/>
        <v/>
      </c>
      <c r="L64" s="6" t="s">
        <v>6</v>
      </c>
      <c r="M64" s="27"/>
      <c r="N64" s="27"/>
    </row>
    <row r="65" spans="1:14" ht="18.75" customHeight="1" x14ac:dyDescent="0.15">
      <c r="A65" s="11">
        <v>58</v>
      </c>
      <c r="B65" s="2"/>
      <c r="C65" s="3"/>
      <c r="D65" s="19"/>
      <c r="E65" s="3"/>
      <c r="F65" s="4" t="str">
        <f t="shared" si="3"/>
        <v/>
      </c>
      <c r="G65" s="5"/>
      <c r="H65" s="5" t="str">
        <f t="shared" si="4"/>
        <v/>
      </c>
      <c r="I65" s="18"/>
      <c r="J65" s="6" t="s">
        <v>16</v>
      </c>
      <c r="K65" s="16" t="str">
        <f t="shared" si="5"/>
        <v/>
      </c>
      <c r="L65" s="6" t="s">
        <v>6</v>
      </c>
      <c r="M65" s="27"/>
      <c r="N65" s="27"/>
    </row>
    <row r="66" spans="1:14" ht="18.75" customHeight="1" x14ac:dyDescent="0.15">
      <c r="A66" s="11">
        <v>59</v>
      </c>
      <c r="B66" s="2"/>
      <c r="C66" s="3"/>
      <c r="D66" s="19"/>
      <c r="E66" s="3"/>
      <c r="F66" s="4" t="str">
        <f t="shared" si="3"/>
        <v/>
      </c>
      <c r="G66" s="5"/>
      <c r="H66" s="5" t="str">
        <f t="shared" si="4"/>
        <v/>
      </c>
      <c r="I66" s="18"/>
      <c r="J66" s="6" t="s">
        <v>16</v>
      </c>
      <c r="K66" s="16" t="str">
        <f t="shared" si="5"/>
        <v/>
      </c>
      <c r="L66" s="6" t="s">
        <v>6</v>
      </c>
      <c r="M66" s="27"/>
      <c r="N66" s="27"/>
    </row>
    <row r="67" spans="1:14" ht="18.75" customHeight="1" x14ac:dyDescent="0.15">
      <c r="A67" s="11">
        <v>60</v>
      </c>
      <c r="B67" s="2"/>
      <c r="C67" s="3"/>
      <c r="D67" s="20"/>
      <c r="E67" s="3"/>
      <c r="F67" s="4" t="str">
        <f t="shared" si="3"/>
        <v/>
      </c>
      <c r="G67" s="5"/>
      <c r="H67" s="5" t="str">
        <f t="shared" si="4"/>
        <v/>
      </c>
      <c r="I67" s="18"/>
      <c r="J67" s="6" t="s">
        <v>11</v>
      </c>
      <c r="K67" s="16" t="str">
        <f t="shared" si="5"/>
        <v/>
      </c>
      <c r="L67" s="6" t="s">
        <v>6</v>
      </c>
      <c r="M67" s="27"/>
      <c r="N67" s="27"/>
    </row>
    <row r="68" spans="1:14" ht="18.75" customHeight="1" x14ac:dyDescent="0.15">
      <c r="A68" s="11">
        <v>61</v>
      </c>
      <c r="B68" s="2"/>
      <c r="C68" s="3"/>
      <c r="D68" s="20"/>
      <c r="E68" s="3"/>
      <c r="F68" s="4" t="str">
        <f t="shared" si="3"/>
        <v/>
      </c>
      <c r="G68" s="5"/>
      <c r="H68" s="5" t="str">
        <f t="shared" si="4"/>
        <v/>
      </c>
      <c r="I68" s="18"/>
      <c r="J68" s="8" t="s">
        <v>11</v>
      </c>
      <c r="K68" s="16" t="str">
        <f t="shared" si="5"/>
        <v/>
      </c>
      <c r="L68" s="6" t="s">
        <v>6</v>
      </c>
      <c r="M68" s="27"/>
      <c r="N68" s="27"/>
    </row>
    <row r="69" spans="1:14" ht="18.75" customHeight="1" x14ac:dyDescent="0.15">
      <c r="A69" s="11">
        <v>62</v>
      </c>
      <c r="B69" s="2"/>
      <c r="C69" s="3"/>
      <c r="D69" s="20"/>
      <c r="E69" s="3"/>
      <c r="F69" s="4" t="str">
        <f t="shared" si="3"/>
        <v/>
      </c>
      <c r="G69" s="5"/>
      <c r="H69" s="5" t="str">
        <f t="shared" si="4"/>
        <v/>
      </c>
      <c r="I69" s="18"/>
      <c r="J69" s="6" t="s">
        <v>11</v>
      </c>
      <c r="K69" s="16" t="str">
        <f t="shared" si="5"/>
        <v/>
      </c>
      <c r="L69" s="6" t="s">
        <v>6</v>
      </c>
      <c r="M69" s="27"/>
      <c r="N69" s="27"/>
    </row>
    <row r="70" spans="1:14" ht="18.75" customHeight="1" x14ac:dyDescent="0.15">
      <c r="A70" s="11">
        <v>63</v>
      </c>
      <c r="B70" s="2"/>
      <c r="C70" s="3"/>
      <c r="D70" s="20"/>
      <c r="E70" s="3"/>
      <c r="F70" s="4" t="str">
        <f t="shared" si="3"/>
        <v/>
      </c>
      <c r="G70" s="5"/>
      <c r="H70" s="5" t="str">
        <f t="shared" si="4"/>
        <v/>
      </c>
      <c r="I70" s="18"/>
      <c r="J70" s="6" t="s">
        <v>16</v>
      </c>
      <c r="K70" s="16" t="str">
        <f t="shared" si="5"/>
        <v/>
      </c>
      <c r="L70" s="6" t="s">
        <v>6</v>
      </c>
      <c r="M70" s="27"/>
      <c r="N70" s="27"/>
    </row>
    <row r="71" spans="1:14" ht="18.75" customHeight="1" x14ac:dyDescent="0.15">
      <c r="A71" s="11">
        <v>64</v>
      </c>
      <c r="B71" s="2"/>
      <c r="C71" s="3"/>
      <c r="D71" s="20"/>
      <c r="E71" s="3"/>
      <c r="F71" s="4" t="str">
        <f t="shared" si="3"/>
        <v/>
      </c>
      <c r="G71" s="5"/>
      <c r="H71" s="5" t="str">
        <f t="shared" si="4"/>
        <v/>
      </c>
      <c r="I71" s="18"/>
      <c r="J71" s="8" t="s">
        <v>16</v>
      </c>
      <c r="K71" s="16" t="str">
        <f t="shared" si="5"/>
        <v/>
      </c>
      <c r="L71" s="6" t="s">
        <v>6</v>
      </c>
      <c r="M71" s="27"/>
      <c r="N71" s="27"/>
    </row>
    <row r="72" spans="1:14" ht="18.75" customHeight="1" x14ac:dyDescent="0.15">
      <c r="A72" s="11">
        <v>65</v>
      </c>
      <c r="B72" s="2"/>
      <c r="C72" s="3"/>
      <c r="D72" s="20"/>
      <c r="E72" s="3"/>
      <c r="F72" s="4" t="str">
        <f t="shared" si="3"/>
        <v/>
      </c>
      <c r="G72" s="5"/>
      <c r="H72" s="5" t="str">
        <f t="shared" si="4"/>
        <v/>
      </c>
      <c r="I72" s="18"/>
      <c r="J72" s="6" t="s">
        <v>16</v>
      </c>
      <c r="K72" s="16" t="str">
        <f t="shared" si="5"/>
        <v/>
      </c>
      <c r="L72" s="6" t="s">
        <v>6</v>
      </c>
      <c r="M72" s="27"/>
      <c r="N72" s="27"/>
    </row>
    <row r="73" spans="1:14" ht="18.75" customHeight="1" x14ac:dyDescent="0.15">
      <c r="A73" s="11">
        <v>66</v>
      </c>
      <c r="B73" s="2"/>
      <c r="C73" s="3"/>
      <c r="D73" s="20"/>
      <c r="E73" s="3"/>
      <c r="F73" s="4" t="str">
        <f t="shared" si="3"/>
        <v/>
      </c>
      <c r="G73" s="5"/>
      <c r="H73" s="5" t="str">
        <f t="shared" si="4"/>
        <v/>
      </c>
      <c r="I73" s="18"/>
      <c r="J73" s="6" t="s">
        <v>16</v>
      </c>
      <c r="K73" s="16" t="str">
        <f t="shared" si="5"/>
        <v/>
      </c>
      <c r="L73" s="6" t="s">
        <v>6</v>
      </c>
      <c r="M73" s="27"/>
      <c r="N73" s="27"/>
    </row>
    <row r="74" spans="1:14" ht="18.75" customHeight="1" x14ac:dyDescent="0.15">
      <c r="A74" s="11">
        <v>67</v>
      </c>
      <c r="B74" s="2"/>
      <c r="C74" s="3"/>
      <c r="D74" s="20"/>
      <c r="E74" s="3"/>
      <c r="F74" s="4" t="str">
        <f t="shared" si="3"/>
        <v/>
      </c>
      <c r="G74" s="5"/>
      <c r="H74" s="5" t="str">
        <f t="shared" si="4"/>
        <v/>
      </c>
      <c r="I74" s="18"/>
      <c r="J74" s="8" t="s">
        <v>16</v>
      </c>
      <c r="K74" s="16" t="str">
        <f t="shared" si="5"/>
        <v/>
      </c>
      <c r="L74" s="6" t="s">
        <v>6</v>
      </c>
      <c r="M74" s="27"/>
      <c r="N74" s="27"/>
    </row>
    <row r="75" spans="1:14" ht="18.75" customHeight="1" x14ac:dyDescent="0.15">
      <c r="A75" s="11">
        <v>68</v>
      </c>
      <c r="B75" s="2"/>
      <c r="C75" s="3"/>
      <c r="D75" s="20"/>
      <c r="E75" s="7"/>
      <c r="F75" s="4" t="str">
        <f t="shared" si="3"/>
        <v/>
      </c>
      <c r="G75" s="5"/>
      <c r="H75" s="5" t="str">
        <f t="shared" si="4"/>
        <v/>
      </c>
      <c r="I75" s="18"/>
      <c r="J75" s="6" t="s">
        <v>16</v>
      </c>
      <c r="K75" s="16" t="str">
        <f t="shared" si="5"/>
        <v/>
      </c>
      <c r="L75" s="6" t="s">
        <v>6</v>
      </c>
      <c r="M75" s="27"/>
      <c r="N75" s="27"/>
    </row>
    <row r="76" spans="1:14" ht="18.75" customHeight="1" x14ac:dyDescent="0.15">
      <c r="A76" s="11">
        <v>69</v>
      </c>
      <c r="B76" s="2"/>
      <c r="C76" s="3"/>
      <c r="D76" s="20"/>
      <c r="E76" s="3"/>
      <c r="F76" s="4" t="str">
        <f t="shared" si="3"/>
        <v/>
      </c>
      <c r="G76" s="5"/>
      <c r="H76" s="5" t="str">
        <f t="shared" si="4"/>
        <v/>
      </c>
      <c r="I76" s="18"/>
      <c r="J76" s="6" t="s">
        <v>16</v>
      </c>
      <c r="K76" s="16" t="str">
        <f t="shared" si="5"/>
        <v/>
      </c>
      <c r="L76" s="6" t="s">
        <v>6</v>
      </c>
      <c r="M76" s="27"/>
      <c r="N76" s="27"/>
    </row>
    <row r="77" spans="1:14" ht="18.75" customHeight="1" x14ac:dyDescent="0.15">
      <c r="A77" s="11">
        <v>70</v>
      </c>
      <c r="B77" s="2"/>
      <c r="C77" s="3"/>
      <c r="D77" s="20"/>
      <c r="E77" s="3"/>
      <c r="F77" s="4" t="str">
        <f t="shared" si="3"/>
        <v/>
      </c>
      <c r="G77" s="5"/>
      <c r="H77" s="5" t="str">
        <f t="shared" si="4"/>
        <v/>
      </c>
      <c r="I77" s="18"/>
      <c r="J77" s="6" t="s">
        <v>16</v>
      </c>
      <c r="K77" s="16" t="str">
        <f t="shared" si="5"/>
        <v/>
      </c>
      <c r="L77" s="6" t="s">
        <v>6</v>
      </c>
      <c r="M77" s="27"/>
      <c r="N77" s="27"/>
    </row>
    <row r="78" spans="1:14" ht="18.75" customHeight="1" x14ac:dyDescent="0.15">
      <c r="A78" s="11">
        <v>71</v>
      </c>
      <c r="B78" s="2"/>
      <c r="C78" s="3"/>
      <c r="D78" s="20"/>
      <c r="E78" s="3"/>
      <c r="F78" s="4" t="str">
        <f t="shared" si="3"/>
        <v/>
      </c>
      <c r="G78" s="5"/>
      <c r="H78" s="5" t="str">
        <f t="shared" si="4"/>
        <v/>
      </c>
      <c r="I78" s="21"/>
      <c r="J78" s="6" t="s">
        <v>16</v>
      </c>
      <c r="K78" s="16" t="str">
        <f t="shared" si="5"/>
        <v/>
      </c>
      <c r="L78" s="6" t="s">
        <v>6</v>
      </c>
      <c r="M78" s="27"/>
      <c r="N78" s="27"/>
    </row>
    <row r="79" spans="1:14" ht="18.75" customHeight="1" x14ac:dyDescent="0.15">
      <c r="A79" s="11">
        <v>72</v>
      </c>
      <c r="B79" s="2"/>
      <c r="C79" s="3"/>
      <c r="D79" s="20"/>
      <c r="E79" s="3"/>
      <c r="F79" s="4" t="str">
        <f t="shared" si="3"/>
        <v/>
      </c>
      <c r="G79" s="5"/>
      <c r="H79" s="5" t="str">
        <f t="shared" si="4"/>
        <v/>
      </c>
      <c r="I79" s="18"/>
      <c r="J79" s="6" t="s">
        <v>16</v>
      </c>
      <c r="K79" s="16" t="str">
        <f t="shared" si="5"/>
        <v/>
      </c>
      <c r="L79" s="6" t="s">
        <v>6</v>
      </c>
      <c r="M79" s="27"/>
      <c r="N79" s="27"/>
    </row>
    <row r="80" spans="1:14" ht="18.75" customHeight="1" x14ac:dyDescent="0.15">
      <c r="A80" s="11">
        <v>73</v>
      </c>
      <c r="B80" s="2"/>
      <c r="C80" s="3"/>
      <c r="D80" s="20"/>
      <c r="E80" s="7"/>
      <c r="F80" s="4" t="str">
        <f t="shared" si="3"/>
        <v/>
      </c>
      <c r="G80" s="5"/>
      <c r="H80" s="5" t="str">
        <f t="shared" si="4"/>
        <v/>
      </c>
      <c r="I80" s="17"/>
      <c r="J80" s="6" t="s">
        <v>16</v>
      </c>
      <c r="K80" s="16" t="str">
        <f t="shared" si="5"/>
        <v/>
      </c>
      <c r="L80" s="6" t="s">
        <v>6</v>
      </c>
      <c r="M80" s="27"/>
      <c r="N80" s="27"/>
    </row>
    <row r="81" spans="1:14" ht="18.75" customHeight="1" x14ac:dyDescent="0.15">
      <c r="A81" s="11">
        <v>74</v>
      </c>
      <c r="B81" s="2"/>
      <c r="C81" s="3"/>
      <c r="D81" s="20"/>
      <c r="E81" s="3"/>
      <c r="F81" s="4" t="str">
        <f t="shared" si="3"/>
        <v/>
      </c>
      <c r="G81" s="5"/>
      <c r="H81" s="5" t="str">
        <f t="shared" si="4"/>
        <v/>
      </c>
      <c r="I81" s="18"/>
      <c r="J81" s="6" t="s">
        <v>16</v>
      </c>
      <c r="K81" s="16" t="str">
        <f t="shared" si="5"/>
        <v/>
      </c>
      <c r="L81" s="6" t="s">
        <v>6</v>
      </c>
      <c r="M81" s="27"/>
      <c r="N81" s="27"/>
    </row>
    <row r="82" spans="1:14" ht="18.75" customHeight="1" x14ac:dyDescent="0.15">
      <c r="A82" s="11">
        <v>75</v>
      </c>
      <c r="B82" s="2"/>
      <c r="C82" s="3"/>
      <c r="D82" s="20"/>
      <c r="E82" s="3"/>
      <c r="F82" s="4"/>
      <c r="G82" s="5"/>
      <c r="H82" s="5"/>
      <c r="I82" s="18"/>
      <c r="J82" s="6" t="s">
        <v>16</v>
      </c>
      <c r="K82" s="16"/>
      <c r="L82" s="6" t="s">
        <v>6</v>
      </c>
      <c r="M82" s="27"/>
      <c r="N82" s="27"/>
    </row>
    <row r="83" spans="1:14" ht="18.75" customHeight="1" x14ac:dyDescent="0.15">
      <c r="A83" s="11">
        <v>76</v>
      </c>
      <c r="B83" s="2"/>
      <c r="C83" s="3"/>
      <c r="D83" s="20"/>
      <c r="E83" s="3"/>
      <c r="F83" s="4"/>
      <c r="G83" s="5"/>
      <c r="H83" s="5"/>
      <c r="I83" s="18"/>
      <c r="J83" s="6" t="s">
        <v>16</v>
      </c>
      <c r="K83" s="16"/>
      <c r="L83" s="6" t="s">
        <v>6</v>
      </c>
      <c r="M83" s="27"/>
      <c r="N83" s="27"/>
    </row>
    <row r="84" spans="1:14" ht="18.75" customHeight="1" x14ac:dyDescent="0.15">
      <c r="A84" s="11">
        <v>77</v>
      </c>
      <c r="B84" s="2"/>
      <c r="C84" s="3"/>
      <c r="D84" s="20"/>
      <c r="E84" s="3"/>
      <c r="F84" s="4"/>
      <c r="G84" s="5"/>
      <c r="H84" s="5"/>
      <c r="I84" s="18"/>
      <c r="J84" s="6" t="s">
        <v>16</v>
      </c>
      <c r="K84" s="16"/>
      <c r="L84" s="6" t="s">
        <v>6</v>
      </c>
      <c r="M84" s="27"/>
      <c r="N84" s="27"/>
    </row>
    <row r="85" spans="1:14" ht="18.75" customHeight="1" x14ac:dyDescent="0.15">
      <c r="A85" s="11">
        <v>78</v>
      </c>
      <c r="B85" s="2"/>
      <c r="C85" s="3"/>
      <c r="D85" s="20"/>
      <c r="E85" s="3"/>
      <c r="F85" s="4"/>
      <c r="G85" s="5"/>
      <c r="H85" s="5"/>
      <c r="I85" s="18"/>
      <c r="J85" s="6" t="s">
        <v>16</v>
      </c>
      <c r="K85" s="16"/>
      <c r="L85" s="6" t="s">
        <v>6</v>
      </c>
      <c r="M85" s="27"/>
      <c r="N85" s="27"/>
    </row>
    <row r="86" spans="1:14" ht="18.75" customHeight="1" x14ac:dyDescent="0.15">
      <c r="A86" s="11">
        <v>79</v>
      </c>
      <c r="B86" s="2"/>
      <c r="C86" s="3"/>
      <c r="D86" s="20"/>
      <c r="E86" s="3"/>
      <c r="F86" s="4" t="str">
        <f>IF(E86="","",E86-7*INT(E86/7))</f>
        <v/>
      </c>
      <c r="G86" s="5"/>
      <c r="H86" s="5" t="str">
        <f>IF(G86="","",G86)</f>
        <v/>
      </c>
      <c r="I86" s="18"/>
      <c r="J86" s="6" t="s">
        <v>16</v>
      </c>
      <c r="K86" s="16" t="str">
        <f>IF(I86&gt;0,I86,"")</f>
        <v/>
      </c>
      <c r="L86" s="6" t="s">
        <v>6</v>
      </c>
      <c r="M86" s="27"/>
      <c r="N86" s="27"/>
    </row>
    <row r="87" spans="1:14" ht="18.75" customHeight="1" x14ac:dyDescent="0.15">
      <c r="A87" s="11">
        <v>80</v>
      </c>
      <c r="B87" s="2"/>
      <c r="C87" s="3"/>
      <c r="D87" s="20"/>
      <c r="E87" s="3"/>
      <c r="F87" s="4" t="str">
        <f>IF(E87="","",E87-7*INT(E87/7))</f>
        <v/>
      </c>
      <c r="G87" s="5"/>
      <c r="H87" s="5" t="str">
        <f>IF(G87="","",G87)</f>
        <v/>
      </c>
      <c r="I87" s="18"/>
      <c r="J87" s="6" t="s">
        <v>16</v>
      </c>
      <c r="K87" s="22" t="str">
        <f>IF(I87&gt;0,I87,"")</f>
        <v/>
      </c>
      <c r="L87" s="6" t="s">
        <v>6</v>
      </c>
      <c r="M87" s="27"/>
      <c r="N87" s="27"/>
    </row>
    <row r="88" spans="1:14" ht="18.75" customHeight="1" x14ac:dyDescent="0.15">
      <c r="I88" s="23">
        <f>SUM(I48:I87)+I44</f>
        <v>0</v>
      </c>
      <c r="J88" s="10" t="s">
        <v>17</v>
      </c>
      <c r="K88" s="24">
        <f>SUM(K48:K87)+K44</f>
        <v>0</v>
      </c>
      <c r="L88" s="10" t="s">
        <v>6</v>
      </c>
    </row>
  </sheetData>
  <mergeCells count="12">
    <mergeCell ref="B1:M1"/>
    <mergeCell ref="B2:M2"/>
    <mergeCell ref="C3:D3"/>
    <mergeCell ref="E3:F3"/>
    <mergeCell ref="I3:J3"/>
    <mergeCell ref="K3:L3"/>
    <mergeCell ref="B46:M46"/>
    <mergeCell ref="B45:M45"/>
    <mergeCell ref="C47:D47"/>
    <mergeCell ref="E47:F47"/>
    <mergeCell ref="I47:J47"/>
    <mergeCell ref="K47:L47"/>
  </mergeCells>
  <phoneticPr fontId="2"/>
  <dataValidations count="3">
    <dataValidation imeMode="on" allowBlank="1" showInputMessage="1" showErrorMessage="1" sqref="B48:C87 B4:C43" xr:uid="{5F0667C2-6C1C-4D7D-AB8F-B26A4C721083}"/>
    <dataValidation imeMode="disabled" allowBlank="1" showInputMessage="1" showErrorMessage="1" sqref="E48:E87 G48:N87 G4:N43 E4:E43" xr:uid="{13C8D6D2-A352-40E8-B8BD-D23315E1B855}"/>
    <dataValidation type="list" imeMode="on" allowBlank="1" showInputMessage="1" showErrorMessage="1" promptTitle="こんにちは" sqref="D48:D87 D4:D43" xr:uid="{3C56BECD-3D2C-4FC5-B05B-7CD322ABE16A}">
      <formula1>"鴛泊下水浄化センター,沓形浄化センター"</formula1>
    </dataValidation>
  </dataValidations>
  <printOptions horizontalCentered="1" verticalCentered="1"/>
  <pageMargins left="0.59055118110236227" right="0.59055118110236227" top="0.59055118110236227" bottom="0.59055118110236227" header="0.51181102362204722" footer="0.51181102362204722"/>
  <pageSetup paperSize="9" orientation="portrait" horizontalDpi="4294967293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F9267-DF18-4391-9F33-61ED7171243B}">
  <dimension ref="A1:O88"/>
  <sheetViews>
    <sheetView workbookViewId="0">
      <selection activeCell="P19" sqref="P19"/>
    </sheetView>
  </sheetViews>
  <sheetFormatPr defaultRowHeight="13.5" x14ac:dyDescent="0.15"/>
  <cols>
    <col min="1" max="1" width="3.375" style="12" customWidth="1"/>
    <col min="2" max="2" width="11" style="10" customWidth="1"/>
    <col min="3" max="3" width="1" style="10" customWidth="1"/>
    <col min="4" max="4" width="15.625" style="10" customWidth="1"/>
    <col min="5" max="5" width="10.125" style="10" customWidth="1"/>
    <col min="6" max="6" width="2.25" style="10" customWidth="1"/>
    <col min="7" max="8" width="8.625" style="10" customWidth="1"/>
    <col min="9" max="9" width="6" style="13" customWidth="1"/>
    <col min="10" max="10" width="2.375" style="10" customWidth="1"/>
    <col min="11" max="11" width="6.125" style="10" customWidth="1"/>
    <col min="12" max="12" width="2.25" style="10" customWidth="1"/>
    <col min="13" max="14" width="6.25" style="12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 x14ac:dyDescent="0.15">
      <c r="B1" s="95" t="s">
        <v>13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10"/>
    </row>
    <row r="2" spans="1:15" ht="21" customHeight="1" x14ac:dyDescent="0.15"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10"/>
    </row>
    <row r="3" spans="1:15" ht="26.25" customHeight="1" x14ac:dyDescent="0.15">
      <c r="A3" s="11"/>
      <c r="B3" s="2" t="s">
        <v>1</v>
      </c>
      <c r="C3" s="97" t="s">
        <v>2</v>
      </c>
      <c r="D3" s="98"/>
      <c r="E3" s="99" t="s">
        <v>3</v>
      </c>
      <c r="F3" s="100"/>
      <c r="G3" s="25" t="s">
        <v>4</v>
      </c>
      <c r="H3" s="25" t="s">
        <v>7</v>
      </c>
      <c r="I3" s="101" t="s">
        <v>8</v>
      </c>
      <c r="J3" s="99"/>
      <c r="K3" s="101" t="s">
        <v>5</v>
      </c>
      <c r="L3" s="101"/>
      <c r="M3" s="26" t="s">
        <v>14</v>
      </c>
      <c r="N3" s="1" t="s">
        <v>10</v>
      </c>
    </row>
    <row r="4" spans="1:15" ht="18.75" customHeight="1" x14ac:dyDescent="0.15">
      <c r="A4" s="11">
        <v>1</v>
      </c>
      <c r="B4" s="2" t="s">
        <v>12</v>
      </c>
      <c r="C4" s="3"/>
      <c r="D4" s="71"/>
      <c r="E4" s="3"/>
      <c r="F4" s="4" t="str">
        <f t="shared" ref="F4:F37" si="0">IF(E4="","",E4-7*INT(E4/7))</f>
        <v/>
      </c>
      <c r="G4" s="5"/>
      <c r="H4" s="5" t="str">
        <f t="shared" ref="H4:H37" si="1">IF(G4="","",G4)</f>
        <v/>
      </c>
      <c r="I4" s="15"/>
      <c r="J4" s="6" t="s">
        <v>15</v>
      </c>
      <c r="K4" s="16" t="str">
        <f t="shared" ref="K4:K37" si="2">IF(I4&gt;0,I4,"")</f>
        <v/>
      </c>
      <c r="L4" s="6" t="s">
        <v>6</v>
      </c>
      <c r="M4" s="27"/>
      <c r="N4" s="27"/>
    </row>
    <row r="5" spans="1:15" ht="18.75" customHeight="1" x14ac:dyDescent="0.15">
      <c r="A5" s="11">
        <v>2</v>
      </c>
      <c r="B5" s="2" t="s">
        <v>12</v>
      </c>
      <c r="C5" s="3"/>
      <c r="D5" s="71"/>
      <c r="E5" s="7"/>
      <c r="F5" s="4" t="str">
        <f t="shared" si="0"/>
        <v/>
      </c>
      <c r="G5" s="5"/>
      <c r="H5" s="5" t="str">
        <f t="shared" si="1"/>
        <v/>
      </c>
      <c r="I5" s="17"/>
      <c r="J5" s="8" t="s">
        <v>16</v>
      </c>
      <c r="K5" s="16" t="str">
        <f t="shared" si="2"/>
        <v/>
      </c>
      <c r="L5" s="9" t="s">
        <v>6</v>
      </c>
      <c r="M5" s="27"/>
      <c r="N5" s="27"/>
    </row>
    <row r="6" spans="1:15" ht="18.75" customHeight="1" x14ac:dyDescent="0.15">
      <c r="A6" s="11">
        <v>3</v>
      </c>
      <c r="B6" s="2" t="s">
        <v>12</v>
      </c>
      <c r="C6" s="3"/>
      <c r="D6" s="71"/>
      <c r="E6" s="3"/>
      <c r="F6" s="4" t="str">
        <f t="shared" si="0"/>
        <v/>
      </c>
      <c r="G6" s="5"/>
      <c r="H6" s="5" t="str">
        <f t="shared" si="1"/>
        <v/>
      </c>
      <c r="I6" s="18"/>
      <c r="J6" s="6" t="s">
        <v>16</v>
      </c>
      <c r="K6" s="16" t="str">
        <f t="shared" si="2"/>
        <v/>
      </c>
      <c r="L6" s="6" t="s">
        <v>6</v>
      </c>
      <c r="M6" s="27"/>
      <c r="N6" s="27"/>
    </row>
    <row r="7" spans="1:15" ht="18.75" customHeight="1" x14ac:dyDescent="0.15">
      <c r="A7" s="11">
        <v>4</v>
      </c>
      <c r="B7" s="2" t="s">
        <v>12</v>
      </c>
      <c r="C7" s="3"/>
      <c r="D7" s="71"/>
      <c r="E7" s="3"/>
      <c r="F7" s="4" t="str">
        <f t="shared" si="0"/>
        <v/>
      </c>
      <c r="G7" s="5"/>
      <c r="H7" s="5" t="str">
        <f t="shared" si="1"/>
        <v/>
      </c>
      <c r="I7" s="17"/>
      <c r="J7" s="8" t="s">
        <v>16</v>
      </c>
      <c r="K7" s="16" t="str">
        <f t="shared" si="2"/>
        <v/>
      </c>
      <c r="L7" s="9" t="s">
        <v>6</v>
      </c>
      <c r="M7" s="27"/>
      <c r="N7" s="27"/>
      <c r="O7" s="59"/>
    </row>
    <row r="8" spans="1:15" ht="18.75" customHeight="1" x14ac:dyDescent="0.15">
      <c r="A8" s="11">
        <v>5</v>
      </c>
      <c r="B8" s="2" t="s">
        <v>12</v>
      </c>
      <c r="C8" s="3"/>
      <c r="D8" s="71"/>
      <c r="E8" s="7"/>
      <c r="F8" s="4" t="str">
        <f t="shared" si="0"/>
        <v/>
      </c>
      <c r="G8" s="5"/>
      <c r="H8" s="5" t="str">
        <f t="shared" si="1"/>
        <v/>
      </c>
      <c r="I8" s="18"/>
      <c r="J8" s="6" t="s">
        <v>16</v>
      </c>
      <c r="K8" s="16" t="str">
        <f t="shared" si="2"/>
        <v/>
      </c>
      <c r="L8" s="6" t="s">
        <v>6</v>
      </c>
      <c r="M8" s="27"/>
      <c r="N8" s="27"/>
    </row>
    <row r="9" spans="1:15" ht="18.75" customHeight="1" x14ac:dyDescent="0.15">
      <c r="A9" s="11">
        <v>6</v>
      </c>
      <c r="B9" s="2" t="s">
        <v>12</v>
      </c>
      <c r="C9" s="3"/>
      <c r="D9" s="71"/>
      <c r="E9" s="3"/>
      <c r="F9" s="4" t="str">
        <f t="shared" si="0"/>
        <v/>
      </c>
      <c r="G9" s="5"/>
      <c r="H9" s="5" t="str">
        <f t="shared" si="1"/>
        <v/>
      </c>
      <c r="I9" s="18"/>
      <c r="J9" s="6" t="s">
        <v>16</v>
      </c>
      <c r="K9" s="16" t="str">
        <f t="shared" si="2"/>
        <v/>
      </c>
      <c r="L9" s="6" t="s">
        <v>6</v>
      </c>
      <c r="M9" s="27"/>
      <c r="N9" s="27"/>
    </row>
    <row r="10" spans="1:15" ht="18.75" customHeight="1" x14ac:dyDescent="0.15">
      <c r="A10" s="11">
        <v>7</v>
      </c>
      <c r="B10" s="2" t="s">
        <v>12</v>
      </c>
      <c r="C10" s="3"/>
      <c r="D10" s="71"/>
      <c r="E10" s="3"/>
      <c r="F10" s="4" t="str">
        <f t="shared" si="0"/>
        <v/>
      </c>
      <c r="G10" s="5"/>
      <c r="H10" s="5" t="str">
        <f t="shared" si="1"/>
        <v/>
      </c>
      <c r="I10" s="17"/>
      <c r="J10" s="28" t="s">
        <v>16</v>
      </c>
      <c r="K10" s="16" t="str">
        <f t="shared" si="2"/>
        <v/>
      </c>
      <c r="L10" s="28" t="s">
        <v>6</v>
      </c>
      <c r="M10" s="27"/>
      <c r="N10" s="27"/>
    </row>
    <row r="11" spans="1:15" ht="18.75" customHeight="1" x14ac:dyDescent="0.15">
      <c r="A11" s="11">
        <v>8</v>
      </c>
      <c r="B11" s="2"/>
      <c r="C11" s="3"/>
      <c r="D11" s="14"/>
      <c r="E11" s="7"/>
      <c r="F11" s="4" t="str">
        <f t="shared" si="0"/>
        <v/>
      </c>
      <c r="G11" s="5"/>
      <c r="H11" s="5" t="str">
        <f t="shared" si="1"/>
        <v/>
      </c>
      <c r="I11" s="18"/>
      <c r="J11" s="8" t="s">
        <v>16</v>
      </c>
      <c r="K11" s="16" t="str">
        <f t="shared" si="2"/>
        <v/>
      </c>
      <c r="L11" s="9" t="s">
        <v>6</v>
      </c>
      <c r="M11" s="27"/>
      <c r="N11" s="27"/>
    </row>
    <row r="12" spans="1:15" ht="18.75" customHeight="1" x14ac:dyDescent="0.15">
      <c r="A12" s="11">
        <v>9</v>
      </c>
      <c r="B12" s="2"/>
      <c r="C12" s="3"/>
      <c r="D12" s="14"/>
      <c r="E12" s="3"/>
      <c r="F12" s="4" t="str">
        <f t="shared" si="0"/>
        <v/>
      </c>
      <c r="G12" s="5"/>
      <c r="H12" s="5" t="str">
        <f t="shared" si="1"/>
        <v/>
      </c>
      <c r="I12" s="18"/>
      <c r="J12" s="6" t="s">
        <v>16</v>
      </c>
      <c r="K12" s="16" t="str">
        <f t="shared" si="2"/>
        <v/>
      </c>
      <c r="L12" s="6" t="s">
        <v>6</v>
      </c>
      <c r="M12" s="27"/>
      <c r="N12" s="27"/>
    </row>
    <row r="13" spans="1:15" ht="18.75" customHeight="1" x14ac:dyDescent="0.15">
      <c r="A13" s="11">
        <v>10</v>
      </c>
      <c r="B13" s="2"/>
      <c r="C13" s="3"/>
      <c r="D13" s="14"/>
      <c r="E13" s="7"/>
      <c r="F13" s="4" t="str">
        <f t="shared" si="0"/>
        <v/>
      </c>
      <c r="G13" s="5"/>
      <c r="H13" s="5" t="str">
        <f t="shared" si="1"/>
        <v/>
      </c>
      <c r="I13" s="18"/>
      <c r="J13" s="8" t="s">
        <v>16</v>
      </c>
      <c r="K13" s="16" t="str">
        <f t="shared" si="2"/>
        <v/>
      </c>
      <c r="L13" s="9" t="s">
        <v>6</v>
      </c>
      <c r="M13" s="27"/>
      <c r="N13" s="27"/>
    </row>
    <row r="14" spans="1:15" ht="18.75" customHeight="1" x14ac:dyDescent="0.15">
      <c r="A14" s="11">
        <v>11</v>
      </c>
      <c r="B14" s="2"/>
      <c r="C14" s="3"/>
      <c r="D14" s="14"/>
      <c r="E14" s="3"/>
      <c r="F14" s="4" t="str">
        <f t="shared" si="0"/>
        <v/>
      </c>
      <c r="G14" s="5"/>
      <c r="H14" s="5" t="str">
        <f t="shared" si="1"/>
        <v/>
      </c>
      <c r="I14" s="18"/>
      <c r="J14" s="6" t="s">
        <v>16</v>
      </c>
      <c r="K14" s="16" t="str">
        <f t="shared" si="2"/>
        <v/>
      </c>
      <c r="L14" s="6" t="s">
        <v>6</v>
      </c>
      <c r="M14" s="27"/>
      <c r="N14" s="27"/>
    </row>
    <row r="15" spans="1:15" ht="18.75" customHeight="1" x14ac:dyDescent="0.15">
      <c r="A15" s="11">
        <v>12</v>
      </c>
      <c r="B15" s="2"/>
      <c r="C15" s="3"/>
      <c r="D15" s="14"/>
      <c r="E15" s="3"/>
      <c r="F15" s="4" t="str">
        <f t="shared" si="0"/>
        <v/>
      </c>
      <c r="G15" s="5"/>
      <c r="H15" s="5" t="str">
        <f t="shared" si="1"/>
        <v/>
      </c>
      <c r="I15" s="17"/>
      <c r="J15" s="8" t="s">
        <v>16</v>
      </c>
      <c r="K15" s="16" t="str">
        <f t="shared" si="2"/>
        <v/>
      </c>
      <c r="L15" s="6" t="s">
        <v>6</v>
      </c>
      <c r="M15" s="27"/>
      <c r="N15" s="27"/>
    </row>
    <row r="16" spans="1:15" ht="18.75" customHeight="1" x14ac:dyDescent="0.15">
      <c r="A16" s="11">
        <v>13</v>
      </c>
      <c r="B16" s="2"/>
      <c r="C16" s="3"/>
      <c r="D16" s="19"/>
      <c r="E16" s="3"/>
      <c r="F16" s="4" t="str">
        <f t="shared" si="0"/>
        <v/>
      </c>
      <c r="G16" s="5"/>
      <c r="H16" s="5" t="str">
        <f t="shared" si="1"/>
        <v/>
      </c>
      <c r="I16" s="18"/>
      <c r="J16" s="6" t="s">
        <v>16</v>
      </c>
      <c r="K16" s="16" t="str">
        <f t="shared" si="2"/>
        <v/>
      </c>
      <c r="L16" s="6" t="s">
        <v>6</v>
      </c>
      <c r="M16" s="27"/>
      <c r="N16" s="27"/>
    </row>
    <row r="17" spans="1:14" ht="18.75" customHeight="1" x14ac:dyDescent="0.15">
      <c r="A17" s="11">
        <v>14</v>
      </c>
      <c r="B17" s="2"/>
      <c r="C17" s="3"/>
      <c r="D17" s="19"/>
      <c r="E17" s="3"/>
      <c r="F17" s="4" t="str">
        <f t="shared" si="0"/>
        <v/>
      </c>
      <c r="G17" s="5"/>
      <c r="H17" s="5" t="str">
        <f t="shared" si="1"/>
        <v/>
      </c>
      <c r="I17" s="18"/>
      <c r="J17" s="6" t="s">
        <v>16</v>
      </c>
      <c r="K17" s="16" t="str">
        <f t="shared" si="2"/>
        <v/>
      </c>
      <c r="L17" s="6" t="s">
        <v>6</v>
      </c>
      <c r="M17" s="27"/>
      <c r="N17" s="27"/>
    </row>
    <row r="18" spans="1:14" ht="18.75" customHeight="1" x14ac:dyDescent="0.15">
      <c r="A18" s="11">
        <v>15</v>
      </c>
      <c r="B18" s="2"/>
      <c r="C18" s="3"/>
      <c r="D18" s="19"/>
      <c r="E18" s="3"/>
      <c r="F18" s="4" t="str">
        <f t="shared" si="0"/>
        <v/>
      </c>
      <c r="G18" s="5"/>
      <c r="H18" s="5" t="str">
        <f t="shared" si="1"/>
        <v/>
      </c>
      <c r="I18" s="18"/>
      <c r="J18" s="6" t="s">
        <v>16</v>
      </c>
      <c r="K18" s="16" t="str">
        <f t="shared" si="2"/>
        <v/>
      </c>
      <c r="L18" s="9" t="s">
        <v>6</v>
      </c>
      <c r="M18" s="27"/>
      <c r="N18" s="27"/>
    </row>
    <row r="19" spans="1:14" ht="18.75" customHeight="1" x14ac:dyDescent="0.15">
      <c r="A19" s="11">
        <v>16</v>
      </c>
      <c r="B19" s="2"/>
      <c r="C19" s="3"/>
      <c r="D19" s="19"/>
      <c r="E19" s="7"/>
      <c r="F19" s="4" t="str">
        <f t="shared" si="0"/>
        <v/>
      </c>
      <c r="G19" s="5"/>
      <c r="H19" s="5" t="str">
        <f t="shared" si="1"/>
        <v/>
      </c>
      <c r="I19" s="17"/>
      <c r="J19" s="8" t="s">
        <v>16</v>
      </c>
      <c r="K19" s="16" t="str">
        <f t="shared" si="2"/>
        <v/>
      </c>
      <c r="L19" s="6" t="s">
        <v>6</v>
      </c>
      <c r="M19" s="27"/>
      <c r="N19" s="27"/>
    </row>
    <row r="20" spans="1:14" ht="18.75" customHeight="1" x14ac:dyDescent="0.15">
      <c r="A20" s="11">
        <v>17</v>
      </c>
      <c r="B20" s="2"/>
      <c r="C20" s="3"/>
      <c r="D20" s="19"/>
      <c r="E20" s="3"/>
      <c r="F20" s="4" t="str">
        <f t="shared" si="0"/>
        <v/>
      </c>
      <c r="G20" s="5"/>
      <c r="H20" s="5" t="str">
        <f t="shared" si="1"/>
        <v/>
      </c>
      <c r="I20" s="18"/>
      <c r="J20" s="6" t="s">
        <v>16</v>
      </c>
      <c r="K20" s="16" t="str">
        <f t="shared" si="2"/>
        <v/>
      </c>
      <c r="L20" s="6" t="s">
        <v>6</v>
      </c>
      <c r="M20" s="27"/>
      <c r="N20" s="27"/>
    </row>
    <row r="21" spans="1:14" ht="18.75" customHeight="1" x14ac:dyDescent="0.15">
      <c r="A21" s="11">
        <v>18</v>
      </c>
      <c r="B21" s="2"/>
      <c r="C21" s="3"/>
      <c r="D21" s="19"/>
      <c r="E21" s="3"/>
      <c r="F21" s="4" t="str">
        <f t="shared" si="0"/>
        <v/>
      </c>
      <c r="G21" s="5"/>
      <c r="H21" s="5" t="str">
        <f t="shared" si="1"/>
        <v/>
      </c>
      <c r="I21" s="18"/>
      <c r="J21" s="6" t="s">
        <v>16</v>
      </c>
      <c r="K21" s="16" t="str">
        <f t="shared" si="2"/>
        <v/>
      </c>
      <c r="L21" s="6" t="s">
        <v>6</v>
      </c>
      <c r="M21" s="27"/>
      <c r="N21" s="27"/>
    </row>
    <row r="22" spans="1:14" ht="18.75" customHeight="1" x14ac:dyDescent="0.15">
      <c r="A22" s="11">
        <v>19</v>
      </c>
      <c r="B22" s="2"/>
      <c r="C22" s="3"/>
      <c r="D22" s="19"/>
      <c r="E22" s="3"/>
      <c r="F22" s="4" t="str">
        <f t="shared" si="0"/>
        <v/>
      </c>
      <c r="G22" s="5"/>
      <c r="H22" s="5" t="str">
        <f t="shared" si="1"/>
        <v/>
      </c>
      <c r="I22" s="18"/>
      <c r="J22" s="6" t="s">
        <v>16</v>
      </c>
      <c r="K22" s="16" t="str">
        <f t="shared" si="2"/>
        <v/>
      </c>
      <c r="L22" s="6" t="s">
        <v>6</v>
      </c>
      <c r="M22" s="27"/>
      <c r="N22" s="27"/>
    </row>
    <row r="23" spans="1:14" ht="18.75" customHeight="1" x14ac:dyDescent="0.15">
      <c r="A23" s="11">
        <v>20</v>
      </c>
      <c r="B23" s="2"/>
      <c r="C23" s="3"/>
      <c r="D23" s="20"/>
      <c r="E23" s="3"/>
      <c r="F23" s="4" t="str">
        <f t="shared" si="0"/>
        <v/>
      </c>
      <c r="G23" s="5"/>
      <c r="H23" s="5" t="str">
        <f t="shared" si="1"/>
        <v/>
      </c>
      <c r="I23" s="18"/>
      <c r="J23" s="6" t="s">
        <v>11</v>
      </c>
      <c r="K23" s="16" t="str">
        <f t="shared" si="2"/>
        <v/>
      </c>
      <c r="L23" s="6" t="s">
        <v>6</v>
      </c>
      <c r="M23" s="27"/>
      <c r="N23" s="27"/>
    </row>
    <row r="24" spans="1:14" ht="18.75" customHeight="1" x14ac:dyDescent="0.15">
      <c r="A24" s="11">
        <v>21</v>
      </c>
      <c r="B24" s="2"/>
      <c r="C24" s="3"/>
      <c r="D24" s="20"/>
      <c r="E24" s="3"/>
      <c r="F24" s="4" t="str">
        <f t="shared" si="0"/>
        <v/>
      </c>
      <c r="G24" s="5"/>
      <c r="H24" s="5" t="str">
        <f t="shared" si="1"/>
        <v/>
      </c>
      <c r="I24" s="18"/>
      <c r="J24" s="8" t="s">
        <v>11</v>
      </c>
      <c r="K24" s="16" t="str">
        <f t="shared" si="2"/>
        <v/>
      </c>
      <c r="L24" s="6" t="s">
        <v>6</v>
      </c>
      <c r="M24" s="27"/>
      <c r="N24" s="27"/>
    </row>
    <row r="25" spans="1:14" ht="18.75" customHeight="1" x14ac:dyDescent="0.15">
      <c r="A25" s="11">
        <v>22</v>
      </c>
      <c r="B25" s="2"/>
      <c r="C25" s="3"/>
      <c r="D25" s="20"/>
      <c r="E25" s="3"/>
      <c r="F25" s="4" t="str">
        <f t="shared" si="0"/>
        <v/>
      </c>
      <c r="G25" s="5"/>
      <c r="H25" s="5" t="str">
        <f t="shared" si="1"/>
        <v/>
      </c>
      <c r="I25" s="18"/>
      <c r="J25" s="6" t="s">
        <v>11</v>
      </c>
      <c r="K25" s="16" t="str">
        <f t="shared" si="2"/>
        <v/>
      </c>
      <c r="L25" s="6" t="s">
        <v>6</v>
      </c>
      <c r="M25" s="27"/>
      <c r="N25" s="27"/>
    </row>
    <row r="26" spans="1:14" ht="18.75" customHeight="1" x14ac:dyDescent="0.15">
      <c r="A26" s="11">
        <v>23</v>
      </c>
      <c r="B26" s="2"/>
      <c r="C26" s="3"/>
      <c r="D26" s="20"/>
      <c r="E26" s="3"/>
      <c r="F26" s="4" t="str">
        <f t="shared" si="0"/>
        <v/>
      </c>
      <c r="G26" s="5"/>
      <c r="H26" s="5" t="str">
        <f t="shared" si="1"/>
        <v/>
      </c>
      <c r="I26" s="18"/>
      <c r="J26" s="6" t="s">
        <v>16</v>
      </c>
      <c r="K26" s="16" t="str">
        <f t="shared" si="2"/>
        <v/>
      </c>
      <c r="L26" s="6" t="s">
        <v>6</v>
      </c>
      <c r="M26" s="27"/>
      <c r="N26" s="27"/>
    </row>
    <row r="27" spans="1:14" ht="18.75" customHeight="1" x14ac:dyDescent="0.15">
      <c r="A27" s="11">
        <v>24</v>
      </c>
      <c r="B27" s="2"/>
      <c r="C27" s="3"/>
      <c r="D27" s="20"/>
      <c r="E27" s="3"/>
      <c r="F27" s="4" t="str">
        <f t="shared" si="0"/>
        <v/>
      </c>
      <c r="G27" s="5"/>
      <c r="H27" s="5" t="str">
        <f t="shared" si="1"/>
        <v/>
      </c>
      <c r="I27" s="18"/>
      <c r="J27" s="8" t="s">
        <v>16</v>
      </c>
      <c r="K27" s="16" t="str">
        <f t="shared" si="2"/>
        <v/>
      </c>
      <c r="L27" s="6" t="s">
        <v>6</v>
      </c>
      <c r="M27" s="27"/>
      <c r="N27" s="27"/>
    </row>
    <row r="28" spans="1:14" ht="18.75" customHeight="1" x14ac:dyDescent="0.15">
      <c r="A28" s="11">
        <v>25</v>
      </c>
      <c r="B28" s="2"/>
      <c r="C28" s="3"/>
      <c r="D28" s="20"/>
      <c r="E28" s="3"/>
      <c r="F28" s="4" t="str">
        <f t="shared" si="0"/>
        <v/>
      </c>
      <c r="G28" s="5"/>
      <c r="H28" s="5" t="str">
        <f t="shared" si="1"/>
        <v/>
      </c>
      <c r="I28" s="18"/>
      <c r="J28" s="6" t="s">
        <v>16</v>
      </c>
      <c r="K28" s="16" t="str">
        <f t="shared" si="2"/>
        <v/>
      </c>
      <c r="L28" s="6" t="s">
        <v>6</v>
      </c>
      <c r="M28" s="27"/>
      <c r="N28" s="27"/>
    </row>
    <row r="29" spans="1:14" ht="18.75" customHeight="1" x14ac:dyDescent="0.15">
      <c r="A29" s="11">
        <v>26</v>
      </c>
      <c r="B29" s="2"/>
      <c r="C29" s="3"/>
      <c r="D29" s="20"/>
      <c r="E29" s="3"/>
      <c r="F29" s="4" t="str">
        <f t="shared" si="0"/>
        <v/>
      </c>
      <c r="G29" s="5"/>
      <c r="H29" s="5" t="str">
        <f t="shared" si="1"/>
        <v/>
      </c>
      <c r="I29" s="18"/>
      <c r="J29" s="6" t="s">
        <v>16</v>
      </c>
      <c r="K29" s="16" t="str">
        <f t="shared" si="2"/>
        <v/>
      </c>
      <c r="L29" s="6" t="s">
        <v>6</v>
      </c>
      <c r="M29" s="27"/>
      <c r="N29" s="27"/>
    </row>
    <row r="30" spans="1:14" ht="18.75" customHeight="1" x14ac:dyDescent="0.15">
      <c r="A30" s="11">
        <v>27</v>
      </c>
      <c r="B30" s="2"/>
      <c r="C30" s="3"/>
      <c r="D30" s="20"/>
      <c r="E30" s="3"/>
      <c r="F30" s="4" t="str">
        <f t="shared" si="0"/>
        <v/>
      </c>
      <c r="G30" s="5"/>
      <c r="H30" s="5" t="str">
        <f t="shared" si="1"/>
        <v/>
      </c>
      <c r="I30" s="18"/>
      <c r="J30" s="8" t="s">
        <v>16</v>
      </c>
      <c r="K30" s="16" t="str">
        <f t="shared" si="2"/>
        <v/>
      </c>
      <c r="L30" s="6" t="s">
        <v>6</v>
      </c>
      <c r="M30" s="27"/>
      <c r="N30" s="27"/>
    </row>
    <row r="31" spans="1:14" ht="18.75" customHeight="1" x14ac:dyDescent="0.15">
      <c r="A31" s="11">
        <v>28</v>
      </c>
      <c r="B31" s="2"/>
      <c r="C31" s="3"/>
      <c r="D31" s="20"/>
      <c r="E31" s="7"/>
      <c r="F31" s="4" t="str">
        <f t="shared" si="0"/>
        <v/>
      </c>
      <c r="G31" s="5"/>
      <c r="H31" s="5" t="str">
        <f t="shared" si="1"/>
        <v/>
      </c>
      <c r="I31" s="18"/>
      <c r="J31" s="6" t="s">
        <v>16</v>
      </c>
      <c r="K31" s="16" t="str">
        <f t="shared" si="2"/>
        <v/>
      </c>
      <c r="L31" s="6" t="s">
        <v>6</v>
      </c>
      <c r="M31" s="27"/>
      <c r="N31" s="27"/>
    </row>
    <row r="32" spans="1:14" ht="18.75" customHeight="1" x14ac:dyDescent="0.15">
      <c r="A32" s="11">
        <v>29</v>
      </c>
      <c r="B32" s="2"/>
      <c r="C32" s="3"/>
      <c r="D32" s="20"/>
      <c r="E32" s="3"/>
      <c r="F32" s="4" t="str">
        <f t="shared" si="0"/>
        <v/>
      </c>
      <c r="G32" s="5"/>
      <c r="H32" s="5" t="str">
        <f t="shared" si="1"/>
        <v/>
      </c>
      <c r="I32" s="18"/>
      <c r="J32" s="6" t="s">
        <v>16</v>
      </c>
      <c r="K32" s="16" t="str">
        <f t="shared" si="2"/>
        <v/>
      </c>
      <c r="L32" s="6" t="s">
        <v>6</v>
      </c>
      <c r="M32" s="27"/>
      <c r="N32" s="27"/>
    </row>
    <row r="33" spans="1:14" ht="18.75" customHeight="1" x14ac:dyDescent="0.15">
      <c r="A33" s="11">
        <v>30</v>
      </c>
      <c r="B33" s="2"/>
      <c r="C33" s="3"/>
      <c r="D33" s="20"/>
      <c r="E33" s="3"/>
      <c r="F33" s="4" t="str">
        <f t="shared" si="0"/>
        <v/>
      </c>
      <c r="G33" s="5"/>
      <c r="H33" s="5" t="str">
        <f t="shared" si="1"/>
        <v/>
      </c>
      <c r="I33" s="18"/>
      <c r="J33" s="6" t="s">
        <v>16</v>
      </c>
      <c r="K33" s="16" t="str">
        <f t="shared" si="2"/>
        <v/>
      </c>
      <c r="L33" s="6" t="s">
        <v>6</v>
      </c>
      <c r="M33" s="27"/>
      <c r="N33" s="27"/>
    </row>
    <row r="34" spans="1:14" ht="18.75" customHeight="1" x14ac:dyDescent="0.15">
      <c r="A34" s="11">
        <v>31</v>
      </c>
      <c r="B34" s="2"/>
      <c r="C34" s="3"/>
      <c r="D34" s="20"/>
      <c r="E34" s="3"/>
      <c r="F34" s="4" t="str">
        <f t="shared" si="0"/>
        <v/>
      </c>
      <c r="G34" s="5"/>
      <c r="H34" s="5" t="str">
        <f t="shared" si="1"/>
        <v/>
      </c>
      <c r="I34" s="21"/>
      <c r="J34" s="6" t="s">
        <v>16</v>
      </c>
      <c r="K34" s="16" t="str">
        <f t="shared" si="2"/>
        <v/>
      </c>
      <c r="L34" s="6" t="s">
        <v>6</v>
      </c>
      <c r="M34" s="27"/>
      <c r="N34" s="27"/>
    </row>
    <row r="35" spans="1:14" ht="18.75" customHeight="1" x14ac:dyDescent="0.15">
      <c r="A35" s="11">
        <v>32</v>
      </c>
      <c r="B35" s="2"/>
      <c r="C35" s="3"/>
      <c r="D35" s="20"/>
      <c r="E35" s="3"/>
      <c r="F35" s="4" t="str">
        <f t="shared" si="0"/>
        <v/>
      </c>
      <c r="G35" s="5"/>
      <c r="H35" s="5" t="str">
        <f t="shared" si="1"/>
        <v/>
      </c>
      <c r="I35" s="18"/>
      <c r="J35" s="6" t="s">
        <v>16</v>
      </c>
      <c r="K35" s="16" t="str">
        <f t="shared" si="2"/>
        <v/>
      </c>
      <c r="L35" s="6" t="s">
        <v>6</v>
      </c>
      <c r="M35" s="27"/>
      <c r="N35" s="27"/>
    </row>
    <row r="36" spans="1:14" ht="18.75" customHeight="1" x14ac:dyDescent="0.15">
      <c r="A36" s="11">
        <v>33</v>
      </c>
      <c r="B36" s="2"/>
      <c r="C36" s="3"/>
      <c r="D36" s="20"/>
      <c r="E36" s="7"/>
      <c r="F36" s="4" t="str">
        <f t="shared" si="0"/>
        <v/>
      </c>
      <c r="G36" s="5"/>
      <c r="H36" s="5" t="str">
        <f t="shared" si="1"/>
        <v/>
      </c>
      <c r="I36" s="17"/>
      <c r="J36" s="6" t="s">
        <v>16</v>
      </c>
      <c r="K36" s="16" t="str">
        <f t="shared" si="2"/>
        <v/>
      </c>
      <c r="L36" s="6" t="s">
        <v>6</v>
      </c>
      <c r="M36" s="27"/>
      <c r="N36" s="27"/>
    </row>
    <row r="37" spans="1:14" ht="18.75" customHeight="1" x14ac:dyDescent="0.15">
      <c r="A37" s="11">
        <v>34</v>
      </c>
      <c r="B37" s="2"/>
      <c r="C37" s="3"/>
      <c r="D37" s="20"/>
      <c r="E37" s="3"/>
      <c r="F37" s="4" t="str">
        <f t="shared" si="0"/>
        <v/>
      </c>
      <c r="G37" s="5"/>
      <c r="H37" s="5" t="str">
        <f t="shared" si="1"/>
        <v/>
      </c>
      <c r="I37" s="18"/>
      <c r="J37" s="6" t="s">
        <v>16</v>
      </c>
      <c r="K37" s="16" t="str">
        <f t="shared" si="2"/>
        <v/>
      </c>
      <c r="L37" s="6" t="s">
        <v>6</v>
      </c>
      <c r="M37" s="27"/>
      <c r="N37" s="27"/>
    </row>
    <row r="38" spans="1:14" ht="18.75" customHeight="1" x14ac:dyDescent="0.15">
      <c r="A38" s="11">
        <v>35</v>
      </c>
      <c r="B38" s="2"/>
      <c r="C38" s="3"/>
      <c r="D38" s="20"/>
      <c r="E38" s="3"/>
      <c r="F38" s="4"/>
      <c r="G38" s="5"/>
      <c r="H38" s="5"/>
      <c r="I38" s="18"/>
      <c r="J38" s="6" t="s">
        <v>16</v>
      </c>
      <c r="K38" s="16"/>
      <c r="L38" s="6" t="s">
        <v>6</v>
      </c>
      <c r="M38" s="27"/>
      <c r="N38" s="27"/>
    </row>
    <row r="39" spans="1:14" ht="18.75" customHeight="1" x14ac:dyDescent="0.15">
      <c r="A39" s="11">
        <v>36</v>
      </c>
      <c r="B39" s="2"/>
      <c r="C39" s="3"/>
      <c r="D39" s="20"/>
      <c r="E39" s="3"/>
      <c r="F39" s="4"/>
      <c r="G39" s="5"/>
      <c r="H39" s="5"/>
      <c r="I39" s="18"/>
      <c r="J39" s="6" t="s">
        <v>16</v>
      </c>
      <c r="K39" s="16"/>
      <c r="L39" s="6" t="s">
        <v>6</v>
      </c>
      <c r="M39" s="27"/>
      <c r="N39" s="27"/>
    </row>
    <row r="40" spans="1:14" ht="18.75" customHeight="1" x14ac:dyDescent="0.15">
      <c r="A40" s="11">
        <v>37</v>
      </c>
      <c r="B40" s="2"/>
      <c r="C40" s="3"/>
      <c r="D40" s="20"/>
      <c r="E40" s="3"/>
      <c r="F40" s="4"/>
      <c r="G40" s="5"/>
      <c r="H40" s="5"/>
      <c r="I40" s="18"/>
      <c r="J40" s="6" t="s">
        <v>16</v>
      </c>
      <c r="K40" s="16"/>
      <c r="L40" s="6" t="s">
        <v>6</v>
      </c>
      <c r="M40" s="27"/>
      <c r="N40" s="27"/>
    </row>
    <row r="41" spans="1:14" ht="18.75" customHeight="1" x14ac:dyDescent="0.15">
      <c r="A41" s="11">
        <v>38</v>
      </c>
      <c r="B41" s="2"/>
      <c r="C41" s="3"/>
      <c r="D41" s="20"/>
      <c r="E41" s="3"/>
      <c r="F41" s="4"/>
      <c r="G41" s="5"/>
      <c r="H41" s="5"/>
      <c r="I41" s="18"/>
      <c r="J41" s="6" t="s">
        <v>16</v>
      </c>
      <c r="K41" s="16"/>
      <c r="L41" s="6" t="s">
        <v>6</v>
      </c>
      <c r="M41" s="27"/>
      <c r="N41" s="27"/>
    </row>
    <row r="42" spans="1:14" ht="18.75" customHeight="1" x14ac:dyDescent="0.15">
      <c r="A42" s="11">
        <v>39</v>
      </c>
      <c r="B42" s="2"/>
      <c r="C42" s="3"/>
      <c r="D42" s="20"/>
      <c r="E42" s="3"/>
      <c r="F42" s="4" t="str">
        <f>IF(E42="","",E42-7*INT(E42/7))</f>
        <v/>
      </c>
      <c r="G42" s="5"/>
      <c r="H42" s="5" t="str">
        <f>IF(G42="","",G42)</f>
        <v/>
      </c>
      <c r="I42" s="18"/>
      <c r="J42" s="6" t="s">
        <v>16</v>
      </c>
      <c r="K42" s="16" t="str">
        <f>IF(I42&gt;0,I42,"")</f>
        <v/>
      </c>
      <c r="L42" s="6" t="s">
        <v>6</v>
      </c>
      <c r="M42" s="27"/>
      <c r="N42" s="27"/>
    </row>
    <row r="43" spans="1:14" ht="18.75" customHeight="1" thickBot="1" x14ac:dyDescent="0.2">
      <c r="A43" s="50">
        <v>40</v>
      </c>
      <c r="B43" s="51"/>
      <c r="C43" s="52"/>
      <c r="D43" s="63"/>
      <c r="E43" s="52"/>
      <c r="F43" s="53" t="str">
        <f>IF(E43="","",E43-7*INT(E43/7))</f>
        <v/>
      </c>
      <c r="G43" s="54"/>
      <c r="H43" s="54" t="str">
        <f>IF(G43="","",G43)</f>
        <v/>
      </c>
      <c r="I43" s="64"/>
      <c r="J43" s="56" t="s">
        <v>16</v>
      </c>
      <c r="K43" s="65" t="str">
        <f>IF(I43&gt;0,I43,"")</f>
        <v/>
      </c>
      <c r="L43" s="56" t="s">
        <v>6</v>
      </c>
      <c r="M43" s="58"/>
      <c r="N43" s="58"/>
    </row>
    <row r="44" spans="1:14" ht="18.75" customHeight="1" thickTop="1" x14ac:dyDescent="0.15">
      <c r="I44" s="62">
        <f>SUM(I4:I43)</f>
        <v>0</v>
      </c>
      <c r="J44" s="10" t="s">
        <v>17</v>
      </c>
      <c r="K44" s="24">
        <f>SUM(K4:K43)</f>
        <v>0</v>
      </c>
      <c r="L44" s="10" t="s">
        <v>6</v>
      </c>
    </row>
    <row r="45" spans="1:14" ht="20.25" customHeight="1" x14ac:dyDescent="0.15">
      <c r="B45" s="95" t="s">
        <v>13</v>
      </c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10"/>
    </row>
    <row r="46" spans="1:14" ht="21" customHeight="1" x14ac:dyDescent="0.15">
      <c r="B46" s="96" t="s">
        <v>0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10"/>
    </row>
    <row r="47" spans="1:14" ht="26.25" customHeight="1" x14ac:dyDescent="0.15">
      <c r="A47" s="11"/>
      <c r="B47" s="2" t="s">
        <v>1</v>
      </c>
      <c r="C47" s="97" t="s">
        <v>2</v>
      </c>
      <c r="D47" s="98"/>
      <c r="E47" s="99" t="s">
        <v>3</v>
      </c>
      <c r="F47" s="100"/>
      <c r="G47" s="25" t="s">
        <v>4</v>
      </c>
      <c r="H47" s="25" t="s">
        <v>7</v>
      </c>
      <c r="I47" s="101" t="s">
        <v>8</v>
      </c>
      <c r="J47" s="99"/>
      <c r="K47" s="101" t="s">
        <v>5</v>
      </c>
      <c r="L47" s="101"/>
      <c r="M47" s="26" t="s">
        <v>14</v>
      </c>
      <c r="N47" s="1" t="s">
        <v>10</v>
      </c>
    </row>
    <row r="48" spans="1:14" ht="18.75" customHeight="1" x14ac:dyDescent="0.15">
      <c r="A48" s="11">
        <v>41</v>
      </c>
      <c r="B48" s="2"/>
      <c r="C48" s="3"/>
      <c r="D48" s="14"/>
      <c r="E48" s="3"/>
      <c r="F48" s="4" t="str">
        <f t="shared" ref="F48:F81" si="3">IF(E48="","",E48-7*INT(E48/7))</f>
        <v/>
      </c>
      <c r="G48" s="5"/>
      <c r="H48" s="5" t="str">
        <f t="shared" ref="H48:H81" si="4">IF(G48="","",G48)</f>
        <v/>
      </c>
      <c r="I48" s="15"/>
      <c r="J48" s="6" t="s">
        <v>15</v>
      </c>
      <c r="K48" s="16" t="str">
        <f t="shared" ref="K48:K81" si="5">IF(I48&gt;0,I48,"")</f>
        <v/>
      </c>
      <c r="L48" s="6" t="s">
        <v>6</v>
      </c>
      <c r="M48" s="27"/>
      <c r="N48" s="27"/>
    </row>
    <row r="49" spans="1:14" ht="18.75" customHeight="1" x14ac:dyDescent="0.15">
      <c r="A49" s="11">
        <v>42</v>
      </c>
      <c r="B49" s="2"/>
      <c r="C49" s="3"/>
      <c r="D49" s="14"/>
      <c r="E49" s="7"/>
      <c r="F49" s="4" t="str">
        <f t="shared" si="3"/>
        <v/>
      </c>
      <c r="G49" s="5"/>
      <c r="H49" s="5" t="str">
        <f t="shared" si="4"/>
        <v/>
      </c>
      <c r="I49" s="17"/>
      <c r="J49" s="8" t="s">
        <v>16</v>
      </c>
      <c r="K49" s="16" t="str">
        <f t="shared" si="5"/>
        <v/>
      </c>
      <c r="L49" s="9" t="s">
        <v>6</v>
      </c>
      <c r="M49" s="27"/>
      <c r="N49" s="27"/>
    </row>
    <row r="50" spans="1:14" ht="18.75" customHeight="1" x14ac:dyDescent="0.15">
      <c r="A50" s="11">
        <v>43</v>
      </c>
      <c r="B50" s="2"/>
      <c r="C50" s="3"/>
      <c r="D50" s="14"/>
      <c r="E50" s="3"/>
      <c r="F50" s="4" t="str">
        <f t="shared" si="3"/>
        <v/>
      </c>
      <c r="G50" s="5"/>
      <c r="H50" s="5" t="str">
        <f t="shared" si="4"/>
        <v/>
      </c>
      <c r="I50" s="18"/>
      <c r="J50" s="6" t="s">
        <v>16</v>
      </c>
      <c r="K50" s="16" t="str">
        <f t="shared" si="5"/>
        <v/>
      </c>
      <c r="L50" s="6" t="s">
        <v>6</v>
      </c>
      <c r="M50" s="27"/>
      <c r="N50" s="27"/>
    </row>
    <row r="51" spans="1:14" ht="18.75" customHeight="1" x14ac:dyDescent="0.15">
      <c r="A51" s="11">
        <v>44</v>
      </c>
      <c r="B51" s="2"/>
      <c r="C51" s="3"/>
      <c r="D51" s="14"/>
      <c r="E51" s="3"/>
      <c r="F51" s="4" t="str">
        <f t="shared" si="3"/>
        <v/>
      </c>
      <c r="G51" s="5"/>
      <c r="H51" s="5" t="str">
        <f t="shared" si="4"/>
        <v/>
      </c>
      <c r="I51" s="17"/>
      <c r="J51" s="8" t="s">
        <v>16</v>
      </c>
      <c r="K51" s="16" t="str">
        <f t="shared" si="5"/>
        <v/>
      </c>
      <c r="L51" s="9" t="s">
        <v>6</v>
      </c>
      <c r="M51" s="27"/>
      <c r="N51" s="27"/>
    </row>
    <row r="52" spans="1:14" ht="18.75" customHeight="1" x14ac:dyDescent="0.15">
      <c r="A52" s="11">
        <v>45</v>
      </c>
      <c r="B52" s="2"/>
      <c r="C52" s="3"/>
      <c r="D52" s="14"/>
      <c r="E52" s="7"/>
      <c r="F52" s="4" t="str">
        <f t="shared" si="3"/>
        <v/>
      </c>
      <c r="G52" s="5"/>
      <c r="H52" s="5" t="str">
        <f t="shared" si="4"/>
        <v/>
      </c>
      <c r="I52" s="18"/>
      <c r="J52" s="6" t="s">
        <v>16</v>
      </c>
      <c r="K52" s="16" t="str">
        <f t="shared" si="5"/>
        <v/>
      </c>
      <c r="L52" s="6" t="s">
        <v>6</v>
      </c>
      <c r="M52" s="27"/>
      <c r="N52" s="27"/>
    </row>
    <row r="53" spans="1:14" ht="18.75" customHeight="1" x14ac:dyDescent="0.15">
      <c r="A53" s="11">
        <v>46</v>
      </c>
      <c r="B53" s="2"/>
      <c r="C53" s="3"/>
      <c r="D53" s="14"/>
      <c r="E53" s="3"/>
      <c r="F53" s="4" t="str">
        <f t="shared" si="3"/>
        <v/>
      </c>
      <c r="G53" s="5"/>
      <c r="H53" s="5" t="str">
        <f t="shared" si="4"/>
        <v/>
      </c>
      <c r="I53" s="18"/>
      <c r="J53" s="6" t="s">
        <v>16</v>
      </c>
      <c r="K53" s="16" t="str">
        <f t="shared" si="5"/>
        <v/>
      </c>
      <c r="L53" s="6" t="s">
        <v>6</v>
      </c>
      <c r="M53" s="27"/>
      <c r="N53" s="27"/>
    </row>
    <row r="54" spans="1:14" ht="18.75" customHeight="1" x14ac:dyDescent="0.15">
      <c r="A54" s="11">
        <v>47</v>
      </c>
      <c r="B54" s="2"/>
      <c r="C54" s="3"/>
      <c r="D54" s="14"/>
      <c r="E54" s="3"/>
      <c r="F54" s="4" t="str">
        <f t="shared" si="3"/>
        <v/>
      </c>
      <c r="G54" s="5"/>
      <c r="H54" s="5" t="str">
        <f t="shared" si="4"/>
        <v/>
      </c>
      <c r="I54" s="17"/>
      <c r="J54" s="28" t="s">
        <v>16</v>
      </c>
      <c r="K54" s="16" t="str">
        <f t="shared" si="5"/>
        <v/>
      </c>
      <c r="L54" s="28" t="s">
        <v>6</v>
      </c>
      <c r="M54" s="27"/>
      <c r="N54" s="27"/>
    </row>
    <row r="55" spans="1:14" ht="18.75" customHeight="1" x14ac:dyDescent="0.15">
      <c r="A55" s="11">
        <v>48</v>
      </c>
      <c r="B55" s="2"/>
      <c r="C55" s="3"/>
      <c r="D55" s="14"/>
      <c r="E55" s="7"/>
      <c r="F55" s="4" t="str">
        <f t="shared" si="3"/>
        <v/>
      </c>
      <c r="G55" s="5"/>
      <c r="H55" s="5" t="str">
        <f t="shared" si="4"/>
        <v/>
      </c>
      <c r="I55" s="18"/>
      <c r="J55" s="8" t="s">
        <v>16</v>
      </c>
      <c r="K55" s="16" t="str">
        <f t="shared" si="5"/>
        <v/>
      </c>
      <c r="L55" s="9" t="s">
        <v>6</v>
      </c>
      <c r="M55" s="27"/>
      <c r="N55" s="27"/>
    </row>
    <row r="56" spans="1:14" ht="18.75" customHeight="1" x14ac:dyDescent="0.15">
      <c r="A56" s="11">
        <v>49</v>
      </c>
      <c r="B56" s="2"/>
      <c r="C56" s="3"/>
      <c r="D56" s="14"/>
      <c r="E56" s="3"/>
      <c r="F56" s="4" t="str">
        <f t="shared" si="3"/>
        <v/>
      </c>
      <c r="G56" s="5"/>
      <c r="H56" s="5" t="str">
        <f t="shared" si="4"/>
        <v/>
      </c>
      <c r="I56" s="18"/>
      <c r="J56" s="6" t="s">
        <v>16</v>
      </c>
      <c r="K56" s="16" t="str">
        <f t="shared" si="5"/>
        <v/>
      </c>
      <c r="L56" s="6" t="s">
        <v>6</v>
      </c>
      <c r="M56" s="27"/>
      <c r="N56" s="27"/>
    </row>
    <row r="57" spans="1:14" ht="18.75" customHeight="1" x14ac:dyDescent="0.15">
      <c r="A57" s="11">
        <v>50</v>
      </c>
      <c r="B57" s="2"/>
      <c r="C57" s="3"/>
      <c r="D57" s="14"/>
      <c r="E57" s="7"/>
      <c r="F57" s="4" t="str">
        <f t="shared" si="3"/>
        <v/>
      </c>
      <c r="G57" s="5"/>
      <c r="H57" s="5" t="str">
        <f t="shared" si="4"/>
        <v/>
      </c>
      <c r="I57" s="18"/>
      <c r="J57" s="8" t="s">
        <v>16</v>
      </c>
      <c r="K57" s="16" t="str">
        <f t="shared" si="5"/>
        <v/>
      </c>
      <c r="L57" s="9" t="s">
        <v>6</v>
      </c>
      <c r="M57" s="27"/>
      <c r="N57" s="27"/>
    </row>
    <row r="58" spans="1:14" ht="18.75" customHeight="1" x14ac:dyDescent="0.15">
      <c r="A58" s="11">
        <v>51</v>
      </c>
      <c r="B58" s="2"/>
      <c r="C58" s="3"/>
      <c r="D58" s="14"/>
      <c r="E58" s="3"/>
      <c r="F58" s="4" t="str">
        <f t="shared" si="3"/>
        <v/>
      </c>
      <c r="G58" s="5"/>
      <c r="H58" s="5" t="str">
        <f t="shared" si="4"/>
        <v/>
      </c>
      <c r="I58" s="18"/>
      <c r="J58" s="6" t="s">
        <v>16</v>
      </c>
      <c r="K58" s="16" t="str">
        <f t="shared" si="5"/>
        <v/>
      </c>
      <c r="L58" s="6" t="s">
        <v>6</v>
      </c>
      <c r="M58" s="27"/>
      <c r="N58" s="27"/>
    </row>
    <row r="59" spans="1:14" ht="18.75" customHeight="1" x14ac:dyDescent="0.15">
      <c r="A59" s="11">
        <v>52</v>
      </c>
      <c r="B59" s="2"/>
      <c r="C59" s="3"/>
      <c r="D59" s="14"/>
      <c r="E59" s="3"/>
      <c r="F59" s="4" t="str">
        <f t="shared" si="3"/>
        <v/>
      </c>
      <c r="G59" s="5"/>
      <c r="H59" s="5" t="str">
        <f t="shared" si="4"/>
        <v/>
      </c>
      <c r="I59" s="17"/>
      <c r="J59" s="8" t="s">
        <v>16</v>
      </c>
      <c r="K59" s="16" t="str">
        <f t="shared" si="5"/>
        <v/>
      </c>
      <c r="L59" s="6" t="s">
        <v>6</v>
      </c>
      <c r="M59" s="27"/>
      <c r="N59" s="27"/>
    </row>
    <row r="60" spans="1:14" ht="18.75" customHeight="1" x14ac:dyDescent="0.15">
      <c r="A60" s="11">
        <v>53</v>
      </c>
      <c r="B60" s="2"/>
      <c r="C60" s="3"/>
      <c r="D60" s="19"/>
      <c r="E60" s="3"/>
      <c r="F60" s="4" t="str">
        <f t="shared" si="3"/>
        <v/>
      </c>
      <c r="G60" s="5"/>
      <c r="H60" s="5" t="str">
        <f t="shared" si="4"/>
        <v/>
      </c>
      <c r="I60" s="18"/>
      <c r="J60" s="6" t="s">
        <v>16</v>
      </c>
      <c r="K60" s="16" t="str">
        <f t="shared" si="5"/>
        <v/>
      </c>
      <c r="L60" s="6" t="s">
        <v>6</v>
      </c>
      <c r="M60" s="27"/>
      <c r="N60" s="27"/>
    </row>
    <row r="61" spans="1:14" ht="18.75" customHeight="1" x14ac:dyDescent="0.15">
      <c r="A61" s="11">
        <v>54</v>
      </c>
      <c r="B61" s="2"/>
      <c r="C61" s="3"/>
      <c r="D61" s="19"/>
      <c r="E61" s="3"/>
      <c r="F61" s="4" t="str">
        <f t="shared" si="3"/>
        <v/>
      </c>
      <c r="G61" s="5"/>
      <c r="H61" s="5" t="str">
        <f t="shared" si="4"/>
        <v/>
      </c>
      <c r="I61" s="18"/>
      <c r="J61" s="6" t="s">
        <v>16</v>
      </c>
      <c r="K61" s="16" t="str">
        <f t="shared" si="5"/>
        <v/>
      </c>
      <c r="L61" s="6" t="s">
        <v>6</v>
      </c>
      <c r="M61" s="27"/>
      <c r="N61" s="27"/>
    </row>
    <row r="62" spans="1:14" ht="18.75" customHeight="1" x14ac:dyDescent="0.15">
      <c r="A62" s="11">
        <v>55</v>
      </c>
      <c r="B62" s="2"/>
      <c r="C62" s="3"/>
      <c r="D62" s="19"/>
      <c r="E62" s="3"/>
      <c r="F62" s="4" t="str">
        <f t="shared" si="3"/>
        <v/>
      </c>
      <c r="G62" s="5"/>
      <c r="H62" s="5" t="str">
        <f t="shared" si="4"/>
        <v/>
      </c>
      <c r="I62" s="18"/>
      <c r="J62" s="6" t="s">
        <v>16</v>
      </c>
      <c r="K62" s="16" t="str">
        <f t="shared" si="5"/>
        <v/>
      </c>
      <c r="L62" s="9" t="s">
        <v>6</v>
      </c>
      <c r="M62" s="27"/>
      <c r="N62" s="27"/>
    </row>
    <row r="63" spans="1:14" ht="18.75" customHeight="1" x14ac:dyDescent="0.15">
      <c r="A63" s="11">
        <v>56</v>
      </c>
      <c r="B63" s="2"/>
      <c r="C63" s="3"/>
      <c r="D63" s="19"/>
      <c r="E63" s="7"/>
      <c r="F63" s="4" t="str">
        <f t="shared" si="3"/>
        <v/>
      </c>
      <c r="G63" s="5"/>
      <c r="H63" s="5" t="str">
        <f t="shared" si="4"/>
        <v/>
      </c>
      <c r="I63" s="17"/>
      <c r="J63" s="8" t="s">
        <v>16</v>
      </c>
      <c r="K63" s="16" t="str">
        <f t="shared" si="5"/>
        <v/>
      </c>
      <c r="L63" s="6" t="s">
        <v>6</v>
      </c>
      <c r="M63" s="27"/>
      <c r="N63" s="27"/>
    </row>
    <row r="64" spans="1:14" ht="18.75" customHeight="1" x14ac:dyDescent="0.15">
      <c r="A64" s="11">
        <v>57</v>
      </c>
      <c r="B64" s="2"/>
      <c r="C64" s="3"/>
      <c r="D64" s="19"/>
      <c r="E64" s="3"/>
      <c r="F64" s="4" t="str">
        <f t="shared" si="3"/>
        <v/>
      </c>
      <c r="G64" s="5"/>
      <c r="H64" s="5" t="str">
        <f t="shared" si="4"/>
        <v/>
      </c>
      <c r="I64" s="18"/>
      <c r="J64" s="6" t="s">
        <v>16</v>
      </c>
      <c r="K64" s="16" t="str">
        <f t="shared" si="5"/>
        <v/>
      </c>
      <c r="L64" s="6" t="s">
        <v>6</v>
      </c>
      <c r="M64" s="27"/>
      <c r="N64" s="27"/>
    </row>
    <row r="65" spans="1:14" ht="18.75" customHeight="1" x14ac:dyDescent="0.15">
      <c r="A65" s="11">
        <v>58</v>
      </c>
      <c r="B65" s="2"/>
      <c r="C65" s="3"/>
      <c r="D65" s="19"/>
      <c r="E65" s="3"/>
      <c r="F65" s="4" t="str">
        <f t="shared" si="3"/>
        <v/>
      </c>
      <c r="G65" s="5"/>
      <c r="H65" s="5" t="str">
        <f t="shared" si="4"/>
        <v/>
      </c>
      <c r="I65" s="18"/>
      <c r="J65" s="6" t="s">
        <v>16</v>
      </c>
      <c r="K65" s="16" t="str">
        <f t="shared" si="5"/>
        <v/>
      </c>
      <c r="L65" s="6" t="s">
        <v>6</v>
      </c>
      <c r="M65" s="27"/>
      <c r="N65" s="27"/>
    </row>
    <row r="66" spans="1:14" ht="18.75" customHeight="1" x14ac:dyDescent="0.15">
      <c r="A66" s="11">
        <v>59</v>
      </c>
      <c r="B66" s="2"/>
      <c r="C66" s="3"/>
      <c r="D66" s="19"/>
      <c r="E66" s="3"/>
      <c r="F66" s="4" t="str">
        <f t="shared" si="3"/>
        <v/>
      </c>
      <c r="G66" s="5"/>
      <c r="H66" s="5" t="str">
        <f t="shared" si="4"/>
        <v/>
      </c>
      <c r="I66" s="18"/>
      <c r="J66" s="6" t="s">
        <v>16</v>
      </c>
      <c r="K66" s="16" t="str">
        <f t="shared" si="5"/>
        <v/>
      </c>
      <c r="L66" s="6" t="s">
        <v>6</v>
      </c>
      <c r="M66" s="27"/>
      <c r="N66" s="27"/>
    </row>
    <row r="67" spans="1:14" ht="18.75" customHeight="1" x14ac:dyDescent="0.15">
      <c r="A67" s="11">
        <v>60</v>
      </c>
      <c r="B67" s="2"/>
      <c r="C67" s="3"/>
      <c r="D67" s="20"/>
      <c r="E67" s="3"/>
      <c r="F67" s="4" t="str">
        <f t="shared" si="3"/>
        <v/>
      </c>
      <c r="G67" s="5"/>
      <c r="H67" s="5" t="str">
        <f t="shared" si="4"/>
        <v/>
      </c>
      <c r="I67" s="18"/>
      <c r="J67" s="6" t="s">
        <v>11</v>
      </c>
      <c r="K67" s="16" t="str">
        <f t="shared" si="5"/>
        <v/>
      </c>
      <c r="L67" s="6" t="s">
        <v>6</v>
      </c>
      <c r="M67" s="27"/>
      <c r="N67" s="27"/>
    </row>
    <row r="68" spans="1:14" ht="18.75" customHeight="1" x14ac:dyDescent="0.15">
      <c r="A68" s="11">
        <v>61</v>
      </c>
      <c r="B68" s="2"/>
      <c r="C68" s="3"/>
      <c r="D68" s="20"/>
      <c r="E68" s="3"/>
      <c r="F68" s="4" t="str">
        <f t="shared" si="3"/>
        <v/>
      </c>
      <c r="G68" s="5"/>
      <c r="H68" s="5" t="str">
        <f t="shared" si="4"/>
        <v/>
      </c>
      <c r="I68" s="18"/>
      <c r="J68" s="8" t="s">
        <v>11</v>
      </c>
      <c r="K68" s="16" t="str">
        <f t="shared" si="5"/>
        <v/>
      </c>
      <c r="L68" s="6" t="s">
        <v>6</v>
      </c>
      <c r="M68" s="27"/>
      <c r="N68" s="27"/>
    </row>
    <row r="69" spans="1:14" ht="18.75" customHeight="1" x14ac:dyDescent="0.15">
      <c r="A69" s="11">
        <v>62</v>
      </c>
      <c r="B69" s="2"/>
      <c r="C69" s="3"/>
      <c r="D69" s="20"/>
      <c r="E69" s="3"/>
      <c r="F69" s="4" t="str">
        <f t="shared" si="3"/>
        <v/>
      </c>
      <c r="G69" s="5"/>
      <c r="H69" s="5" t="str">
        <f t="shared" si="4"/>
        <v/>
      </c>
      <c r="I69" s="18"/>
      <c r="J69" s="6" t="s">
        <v>11</v>
      </c>
      <c r="K69" s="16" t="str">
        <f t="shared" si="5"/>
        <v/>
      </c>
      <c r="L69" s="6" t="s">
        <v>6</v>
      </c>
      <c r="M69" s="27"/>
      <c r="N69" s="27"/>
    </row>
    <row r="70" spans="1:14" ht="18.75" customHeight="1" x14ac:dyDescent="0.15">
      <c r="A70" s="11">
        <v>63</v>
      </c>
      <c r="B70" s="2"/>
      <c r="C70" s="3"/>
      <c r="D70" s="20"/>
      <c r="E70" s="3"/>
      <c r="F70" s="4" t="str">
        <f t="shared" si="3"/>
        <v/>
      </c>
      <c r="G70" s="5"/>
      <c r="H70" s="5" t="str">
        <f t="shared" si="4"/>
        <v/>
      </c>
      <c r="I70" s="18"/>
      <c r="J70" s="6" t="s">
        <v>16</v>
      </c>
      <c r="K70" s="16" t="str">
        <f t="shared" si="5"/>
        <v/>
      </c>
      <c r="L70" s="6" t="s">
        <v>6</v>
      </c>
      <c r="M70" s="27"/>
      <c r="N70" s="27"/>
    </row>
    <row r="71" spans="1:14" ht="18.75" customHeight="1" x14ac:dyDescent="0.15">
      <c r="A71" s="11">
        <v>64</v>
      </c>
      <c r="B71" s="2"/>
      <c r="C71" s="3"/>
      <c r="D71" s="20"/>
      <c r="E71" s="3"/>
      <c r="F71" s="4" t="str">
        <f t="shared" si="3"/>
        <v/>
      </c>
      <c r="G71" s="5"/>
      <c r="H71" s="5" t="str">
        <f t="shared" si="4"/>
        <v/>
      </c>
      <c r="I71" s="18"/>
      <c r="J71" s="8" t="s">
        <v>16</v>
      </c>
      <c r="K71" s="16" t="str">
        <f t="shared" si="5"/>
        <v/>
      </c>
      <c r="L71" s="6" t="s">
        <v>6</v>
      </c>
      <c r="M71" s="27"/>
      <c r="N71" s="27"/>
    </row>
    <row r="72" spans="1:14" ht="18.75" customHeight="1" x14ac:dyDescent="0.15">
      <c r="A72" s="11">
        <v>65</v>
      </c>
      <c r="B72" s="2"/>
      <c r="C72" s="3"/>
      <c r="D72" s="20"/>
      <c r="E72" s="3"/>
      <c r="F72" s="4" t="str">
        <f t="shared" si="3"/>
        <v/>
      </c>
      <c r="G72" s="5"/>
      <c r="H72" s="5" t="str">
        <f t="shared" si="4"/>
        <v/>
      </c>
      <c r="I72" s="18"/>
      <c r="J72" s="6" t="s">
        <v>16</v>
      </c>
      <c r="K72" s="16" t="str">
        <f t="shared" si="5"/>
        <v/>
      </c>
      <c r="L72" s="6" t="s">
        <v>6</v>
      </c>
      <c r="M72" s="27"/>
      <c r="N72" s="27"/>
    </row>
    <row r="73" spans="1:14" ht="18.75" customHeight="1" x14ac:dyDescent="0.15">
      <c r="A73" s="11">
        <v>66</v>
      </c>
      <c r="B73" s="2"/>
      <c r="C73" s="3"/>
      <c r="D73" s="20"/>
      <c r="E73" s="3"/>
      <c r="F73" s="4" t="str">
        <f t="shared" si="3"/>
        <v/>
      </c>
      <c r="G73" s="5"/>
      <c r="H73" s="5" t="str">
        <f t="shared" si="4"/>
        <v/>
      </c>
      <c r="I73" s="18"/>
      <c r="J73" s="6" t="s">
        <v>16</v>
      </c>
      <c r="K73" s="16" t="str">
        <f t="shared" si="5"/>
        <v/>
      </c>
      <c r="L73" s="6" t="s">
        <v>6</v>
      </c>
      <c r="M73" s="27"/>
      <c r="N73" s="27"/>
    </row>
    <row r="74" spans="1:14" ht="18.75" customHeight="1" x14ac:dyDescent="0.15">
      <c r="A74" s="11">
        <v>67</v>
      </c>
      <c r="B74" s="2"/>
      <c r="C74" s="3"/>
      <c r="D74" s="20"/>
      <c r="E74" s="3"/>
      <c r="F74" s="4" t="str">
        <f t="shared" si="3"/>
        <v/>
      </c>
      <c r="G74" s="5"/>
      <c r="H74" s="5" t="str">
        <f t="shared" si="4"/>
        <v/>
      </c>
      <c r="I74" s="18"/>
      <c r="J74" s="8" t="s">
        <v>16</v>
      </c>
      <c r="K74" s="16" t="str">
        <f t="shared" si="5"/>
        <v/>
      </c>
      <c r="L74" s="6" t="s">
        <v>6</v>
      </c>
      <c r="M74" s="27"/>
      <c r="N74" s="27"/>
    </row>
    <row r="75" spans="1:14" ht="18.75" customHeight="1" x14ac:dyDescent="0.15">
      <c r="A75" s="11">
        <v>68</v>
      </c>
      <c r="B75" s="2"/>
      <c r="C75" s="3"/>
      <c r="D75" s="20"/>
      <c r="E75" s="7"/>
      <c r="F75" s="4" t="str">
        <f t="shared" si="3"/>
        <v/>
      </c>
      <c r="G75" s="5"/>
      <c r="H75" s="5" t="str">
        <f t="shared" si="4"/>
        <v/>
      </c>
      <c r="I75" s="18"/>
      <c r="J75" s="6" t="s">
        <v>16</v>
      </c>
      <c r="K75" s="16" t="str">
        <f t="shared" si="5"/>
        <v/>
      </c>
      <c r="L75" s="6" t="s">
        <v>6</v>
      </c>
      <c r="M75" s="27"/>
      <c r="N75" s="27"/>
    </row>
    <row r="76" spans="1:14" ht="18.75" customHeight="1" x14ac:dyDescent="0.15">
      <c r="A76" s="11">
        <v>69</v>
      </c>
      <c r="B76" s="2"/>
      <c r="C76" s="3"/>
      <c r="D76" s="20"/>
      <c r="E76" s="3"/>
      <c r="F76" s="4" t="str">
        <f t="shared" si="3"/>
        <v/>
      </c>
      <c r="G76" s="5"/>
      <c r="H76" s="5" t="str">
        <f t="shared" si="4"/>
        <v/>
      </c>
      <c r="I76" s="18"/>
      <c r="J76" s="6" t="s">
        <v>16</v>
      </c>
      <c r="K76" s="16" t="str">
        <f t="shared" si="5"/>
        <v/>
      </c>
      <c r="L76" s="6" t="s">
        <v>6</v>
      </c>
      <c r="M76" s="27"/>
      <c r="N76" s="27"/>
    </row>
    <row r="77" spans="1:14" ht="18.75" customHeight="1" x14ac:dyDescent="0.15">
      <c r="A77" s="11">
        <v>70</v>
      </c>
      <c r="B77" s="2"/>
      <c r="C77" s="3"/>
      <c r="D77" s="20"/>
      <c r="E77" s="3"/>
      <c r="F77" s="4" t="str">
        <f t="shared" si="3"/>
        <v/>
      </c>
      <c r="G77" s="5"/>
      <c r="H77" s="5" t="str">
        <f t="shared" si="4"/>
        <v/>
      </c>
      <c r="I77" s="18"/>
      <c r="J77" s="6" t="s">
        <v>16</v>
      </c>
      <c r="K77" s="16" t="str">
        <f t="shared" si="5"/>
        <v/>
      </c>
      <c r="L77" s="6" t="s">
        <v>6</v>
      </c>
      <c r="M77" s="27"/>
      <c r="N77" s="27"/>
    </row>
    <row r="78" spans="1:14" ht="18.75" customHeight="1" x14ac:dyDescent="0.15">
      <c r="A78" s="11">
        <v>71</v>
      </c>
      <c r="B78" s="2"/>
      <c r="C78" s="3"/>
      <c r="D78" s="20"/>
      <c r="E78" s="3"/>
      <c r="F78" s="4" t="str">
        <f t="shared" si="3"/>
        <v/>
      </c>
      <c r="G78" s="5"/>
      <c r="H78" s="5" t="str">
        <f t="shared" si="4"/>
        <v/>
      </c>
      <c r="I78" s="21"/>
      <c r="J78" s="6" t="s">
        <v>16</v>
      </c>
      <c r="K78" s="16" t="str">
        <f t="shared" si="5"/>
        <v/>
      </c>
      <c r="L78" s="6" t="s">
        <v>6</v>
      </c>
      <c r="M78" s="27"/>
      <c r="N78" s="27"/>
    </row>
    <row r="79" spans="1:14" ht="18.75" customHeight="1" x14ac:dyDescent="0.15">
      <c r="A79" s="11">
        <v>72</v>
      </c>
      <c r="B79" s="2"/>
      <c r="C79" s="3"/>
      <c r="D79" s="20"/>
      <c r="E79" s="3"/>
      <c r="F79" s="4" t="str">
        <f t="shared" si="3"/>
        <v/>
      </c>
      <c r="G79" s="5"/>
      <c r="H79" s="5" t="str">
        <f t="shared" si="4"/>
        <v/>
      </c>
      <c r="I79" s="18"/>
      <c r="J79" s="6" t="s">
        <v>16</v>
      </c>
      <c r="K79" s="16" t="str">
        <f t="shared" si="5"/>
        <v/>
      </c>
      <c r="L79" s="6" t="s">
        <v>6</v>
      </c>
      <c r="M79" s="27"/>
      <c r="N79" s="27"/>
    </row>
    <row r="80" spans="1:14" ht="18.75" customHeight="1" x14ac:dyDescent="0.15">
      <c r="A80" s="11">
        <v>73</v>
      </c>
      <c r="B80" s="2"/>
      <c r="C80" s="3"/>
      <c r="D80" s="20"/>
      <c r="E80" s="7"/>
      <c r="F80" s="4" t="str">
        <f t="shared" si="3"/>
        <v/>
      </c>
      <c r="G80" s="5"/>
      <c r="H80" s="5" t="str">
        <f t="shared" si="4"/>
        <v/>
      </c>
      <c r="I80" s="17"/>
      <c r="J80" s="6" t="s">
        <v>16</v>
      </c>
      <c r="K80" s="16" t="str">
        <f t="shared" si="5"/>
        <v/>
      </c>
      <c r="L80" s="6" t="s">
        <v>6</v>
      </c>
      <c r="M80" s="27"/>
      <c r="N80" s="27"/>
    </row>
    <row r="81" spans="1:14" ht="18.75" customHeight="1" x14ac:dyDescent="0.15">
      <c r="A81" s="11">
        <v>74</v>
      </c>
      <c r="B81" s="2"/>
      <c r="C81" s="3"/>
      <c r="D81" s="20"/>
      <c r="E81" s="3"/>
      <c r="F81" s="4" t="str">
        <f t="shared" si="3"/>
        <v/>
      </c>
      <c r="G81" s="5"/>
      <c r="H81" s="5" t="str">
        <f t="shared" si="4"/>
        <v/>
      </c>
      <c r="I81" s="18"/>
      <c r="J81" s="6" t="s">
        <v>16</v>
      </c>
      <c r="K81" s="16" t="str">
        <f t="shared" si="5"/>
        <v/>
      </c>
      <c r="L81" s="6" t="s">
        <v>6</v>
      </c>
      <c r="M81" s="27"/>
      <c r="N81" s="27"/>
    </row>
    <row r="82" spans="1:14" ht="18.75" customHeight="1" x14ac:dyDescent="0.15">
      <c r="A82" s="11">
        <v>75</v>
      </c>
      <c r="B82" s="2"/>
      <c r="C82" s="3"/>
      <c r="D82" s="20"/>
      <c r="E82" s="3"/>
      <c r="F82" s="4"/>
      <c r="G82" s="5"/>
      <c r="H82" s="5"/>
      <c r="I82" s="18"/>
      <c r="J82" s="6" t="s">
        <v>16</v>
      </c>
      <c r="K82" s="16"/>
      <c r="L82" s="6" t="s">
        <v>6</v>
      </c>
      <c r="M82" s="27"/>
      <c r="N82" s="27"/>
    </row>
    <row r="83" spans="1:14" ht="18.75" customHeight="1" x14ac:dyDescent="0.15">
      <c r="A83" s="11">
        <v>76</v>
      </c>
      <c r="B83" s="2"/>
      <c r="C83" s="3"/>
      <c r="D83" s="20"/>
      <c r="E83" s="3"/>
      <c r="F83" s="4"/>
      <c r="G83" s="5"/>
      <c r="H83" s="5"/>
      <c r="I83" s="18"/>
      <c r="J83" s="6" t="s">
        <v>16</v>
      </c>
      <c r="K83" s="16"/>
      <c r="L83" s="6" t="s">
        <v>6</v>
      </c>
      <c r="M83" s="27"/>
      <c r="N83" s="27"/>
    </row>
    <row r="84" spans="1:14" ht="18.75" customHeight="1" x14ac:dyDescent="0.15">
      <c r="A84" s="11">
        <v>77</v>
      </c>
      <c r="B84" s="2"/>
      <c r="C84" s="3"/>
      <c r="D84" s="20"/>
      <c r="E84" s="3"/>
      <c r="F84" s="4"/>
      <c r="G84" s="5"/>
      <c r="H84" s="5"/>
      <c r="I84" s="18"/>
      <c r="J84" s="6" t="s">
        <v>16</v>
      </c>
      <c r="K84" s="16"/>
      <c r="L84" s="6" t="s">
        <v>6</v>
      </c>
      <c r="M84" s="27"/>
      <c r="N84" s="27"/>
    </row>
    <row r="85" spans="1:14" ht="18.75" customHeight="1" x14ac:dyDescent="0.15">
      <c r="A85" s="11">
        <v>78</v>
      </c>
      <c r="B85" s="2"/>
      <c r="C85" s="3"/>
      <c r="D85" s="20"/>
      <c r="E85" s="3"/>
      <c r="F85" s="4"/>
      <c r="G85" s="5"/>
      <c r="H85" s="5"/>
      <c r="I85" s="18"/>
      <c r="J85" s="6" t="s">
        <v>16</v>
      </c>
      <c r="K85" s="16"/>
      <c r="L85" s="6" t="s">
        <v>6</v>
      </c>
      <c r="M85" s="27"/>
      <c r="N85" s="27"/>
    </row>
    <row r="86" spans="1:14" ht="18.75" customHeight="1" x14ac:dyDescent="0.15">
      <c r="A86" s="11">
        <v>79</v>
      </c>
      <c r="B86" s="2"/>
      <c r="C86" s="3"/>
      <c r="D86" s="20"/>
      <c r="E86" s="3"/>
      <c r="F86" s="4" t="str">
        <f>IF(E86="","",E86-7*INT(E86/7))</f>
        <v/>
      </c>
      <c r="G86" s="5"/>
      <c r="H86" s="5" t="str">
        <f>IF(G86="","",G86)</f>
        <v/>
      </c>
      <c r="I86" s="18"/>
      <c r="J86" s="6" t="s">
        <v>16</v>
      </c>
      <c r="K86" s="16" t="str">
        <f>IF(I86&gt;0,I86,"")</f>
        <v/>
      </c>
      <c r="L86" s="6" t="s">
        <v>6</v>
      </c>
      <c r="M86" s="27"/>
      <c r="N86" s="27"/>
    </row>
    <row r="87" spans="1:14" ht="18.75" customHeight="1" x14ac:dyDescent="0.15">
      <c r="A87" s="11">
        <v>80</v>
      </c>
      <c r="B87" s="2"/>
      <c r="C87" s="3"/>
      <c r="D87" s="20"/>
      <c r="E87" s="3"/>
      <c r="F87" s="4" t="str">
        <f>IF(E87="","",E87-7*INT(E87/7))</f>
        <v/>
      </c>
      <c r="G87" s="5"/>
      <c r="H87" s="5" t="str">
        <f>IF(G87="","",G87)</f>
        <v/>
      </c>
      <c r="I87" s="18"/>
      <c r="J87" s="6" t="s">
        <v>16</v>
      </c>
      <c r="K87" s="22" t="str">
        <f>IF(I87&gt;0,I87,"")</f>
        <v/>
      </c>
      <c r="L87" s="6" t="s">
        <v>6</v>
      </c>
      <c r="M87" s="27"/>
      <c r="N87" s="27"/>
    </row>
    <row r="88" spans="1:14" ht="18.75" customHeight="1" x14ac:dyDescent="0.15">
      <c r="I88" s="23">
        <f>SUM(I48:I87)+I44</f>
        <v>0</v>
      </c>
      <c r="J88" s="10" t="s">
        <v>17</v>
      </c>
      <c r="K88" s="24">
        <f>SUM(K48:K87)+K44</f>
        <v>0</v>
      </c>
      <c r="L88" s="10" t="s">
        <v>6</v>
      </c>
    </row>
  </sheetData>
  <mergeCells count="12">
    <mergeCell ref="B1:M1"/>
    <mergeCell ref="B2:M2"/>
    <mergeCell ref="C3:D3"/>
    <mergeCell ref="E3:F3"/>
    <mergeCell ref="I3:J3"/>
    <mergeCell ref="K3:L3"/>
    <mergeCell ref="B46:M46"/>
    <mergeCell ref="B45:M45"/>
    <mergeCell ref="C47:D47"/>
    <mergeCell ref="E47:F47"/>
    <mergeCell ref="I47:J47"/>
    <mergeCell ref="K47:L47"/>
  </mergeCells>
  <phoneticPr fontId="2"/>
  <dataValidations count="3">
    <dataValidation imeMode="on" allowBlank="1" showInputMessage="1" showErrorMessage="1" sqref="B48:C87 B4:C43" xr:uid="{5B58D1A4-9FBF-456E-A814-AAD14B464D8E}"/>
    <dataValidation imeMode="disabled" allowBlank="1" showInputMessage="1" showErrorMessage="1" sqref="E48:E87 E4:E43 G48:N87 G4:N43" xr:uid="{D5EACA85-D2B6-431B-BADB-80BB15A917CE}"/>
    <dataValidation type="list" imeMode="on" allowBlank="1" showInputMessage="1" showErrorMessage="1" promptTitle="こんにちは" sqref="D48:D87 D4:D43" xr:uid="{88CBEAB8-2163-4568-8C9B-DA073298DC99}">
      <formula1>"鴛泊下水浄化センター,沓形浄化センター"</formula1>
    </dataValidation>
  </dataValidations>
  <printOptions horizontalCentered="1" verticalCentered="1"/>
  <pageMargins left="0.59055118110236227" right="0.59055118110236227" top="0.59055118110236227" bottom="0.59055118110236227" header="0.51181102362204722" footer="0.51181102362204722"/>
  <pageSetup paperSize="9" orientation="portrait" horizontalDpi="4294967293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7552A-691E-41E4-AC1B-2EF66C19BDE2}">
  <dimension ref="A1:O88"/>
  <sheetViews>
    <sheetView topLeftCell="A22" workbookViewId="0">
      <selection activeCell="P20" sqref="P20"/>
    </sheetView>
  </sheetViews>
  <sheetFormatPr defaultRowHeight="13.5" x14ac:dyDescent="0.15"/>
  <cols>
    <col min="1" max="1" width="3.375" style="12" customWidth="1"/>
    <col min="2" max="2" width="11" style="10" customWidth="1"/>
    <col min="3" max="3" width="1" style="10" customWidth="1"/>
    <col min="4" max="4" width="15.625" style="10" customWidth="1"/>
    <col min="5" max="5" width="10.125" style="10" customWidth="1"/>
    <col min="6" max="6" width="2.25" style="10" customWidth="1"/>
    <col min="7" max="8" width="8.625" style="10" customWidth="1"/>
    <col min="9" max="9" width="6" style="13" customWidth="1"/>
    <col min="10" max="10" width="2.375" style="10" customWidth="1"/>
    <col min="11" max="11" width="6.125" style="10" customWidth="1"/>
    <col min="12" max="12" width="2.25" style="10" customWidth="1"/>
    <col min="13" max="14" width="6.25" style="12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 x14ac:dyDescent="0.15">
      <c r="B1" s="95" t="s">
        <v>13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10"/>
    </row>
    <row r="2" spans="1:15" ht="21" customHeight="1" x14ac:dyDescent="0.15"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10"/>
    </row>
    <row r="3" spans="1:15" ht="26.25" customHeight="1" x14ac:dyDescent="0.15">
      <c r="A3" s="11"/>
      <c r="B3" s="2" t="s">
        <v>1</v>
      </c>
      <c r="C3" s="97" t="s">
        <v>2</v>
      </c>
      <c r="D3" s="98"/>
      <c r="E3" s="99" t="s">
        <v>3</v>
      </c>
      <c r="F3" s="100"/>
      <c r="G3" s="25" t="s">
        <v>4</v>
      </c>
      <c r="H3" s="25" t="s">
        <v>7</v>
      </c>
      <c r="I3" s="101" t="s">
        <v>8</v>
      </c>
      <c r="J3" s="99"/>
      <c r="K3" s="101" t="s">
        <v>5</v>
      </c>
      <c r="L3" s="101"/>
      <c r="M3" s="26" t="s">
        <v>14</v>
      </c>
      <c r="N3" s="1" t="s">
        <v>10</v>
      </c>
    </row>
    <row r="4" spans="1:15" ht="18.75" customHeight="1" x14ac:dyDescent="0.15">
      <c r="A4" s="11">
        <v>1</v>
      </c>
      <c r="B4" s="2" t="s">
        <v>12</v>
      </c>
      <c r="C4" s="3"/>
      <c r="D4" s="71"/>
      <c r="E4" s="3"/>
      <c r="F4" s="4" t="str">
        <f t="shared" ref="F4:F37" si="0">IF(E4="","",E4-7*INT(E4/7))</f>
        <v/>
      </c>
      <c r="G4" s="5"/>
      <c r="H4" s="5" t="str">
        <f t="shared" ref="H4:H37" si="1">IF(G4="","",G4)</f>
        <v/>
      </c>
      <c r="I4" s="15"/>
      <c r="J4" s="6" t="s">
        <v>15</v>
      </c>
      <c r="K4" s="16" t="str">
        <f t="shared" ref="K4:K37" si="2">IF(I4&gt;0,I4,"")</f>
        <v/>
      </c>
      <c r="L4" s="6" t="s">
        <v>6</v>
      </c>
      <c r="M4" s="27"/>
      <c r="N4" s="27"/>
    </row>
    <row r="5" spans="1:15" ht="18.75" customHeight="1" x14ac:dyDescent="0.15">
      <c r="A5" s="11">
        <v>2</v>
      </c>
      <c r="B5" s="2" t="s">
        <v>12</v>
      </c>
      <c r="C5" s="3"/>
      <c r="D5" s="71"/>
      <c r="E5" s="7"/>
      <c r="F5" s="4" t="str">
        <f t="shared" si="0"/>
        <v/>
      </c>
      <c r="G5" s="5"/>
      <c r="H5" s="5" t="str">
        <f t="shared" si="1"/>
        <v/>
      </c>
      <c r="I5" s="17"/>
      <c r="J5" s="8" t="s">
        <v>16</v>
      </c>
      <c r="K5" s="16" t="str">
        <f t="shared" si="2"/>
        <v/>
      </c>
      <c r="L5" s="9" t="s">
        <v>6</v>
      </c>
      <c r="M5" s="27"/>
      <c r="N5" s="27"/>
    </row>
    <row r="6" spans="1:15" ht="18.75" customHeight="1" x14ac:dyDescent="0.15">
      <c r="A6" s="11">
        <v>3</v>
      </c>
      <c r="B6" s="2" t="s">
        <v>12</v>
      </c>
      <c r="C6" s="3"/>
      <c r="D6" s="71"/>
      <c r="E6" s="3"/>
      <c r="F6" s="4" t="str">
        <f t="shared" si="0"/>
        <v/>
      </c>
      <c r="G6" s="5"/>
      <c r="H6" s="5" t="str">
        <f t="shared" si="1"/>
        <v/>
      </c>
      <c r="I6" s="18"/>
      <c r="J6" s="6" t="s">
        <v>16</v>
      </c>
      <c r="K6" s="16" t="str">
        <f t="shared" si="2"/>
        <v/>
      </c>
      <c r="L6" s="6" t="s">
        <v>6</v>
      </c>
      <c r="M6" s="27"/>
      <c r="N6" s="27"/>
      <c r="O6" s="59"/>
    </row>
    <row r="7" spans="1:15" ht="18.75" customHeight="1" x14ac:dyDescent="0.15">
      <c r="A7" s="11">
        <v>4</v>
      </c>
      <c r="B7" s="2" t="s">
        <v>12</v>
      </c>
      <c r="C7" s="3"/>
      <c r="D7" s="71"/>
      <c r="E7" s="3"/>
      <c r="F7" s="4" t="str">
        <f t="shared" si="0"/>
        <v/>
      </c>
      <c r="G7" s="5"/>
      <c r="H7" s="5" t="str">
        <f t="shared" si="1"/>
        <v/>
      </c>
      <c r="I7" s="17"/>
      <c r="J7" s="8" t="s">
        <v>16</v>
      </c>
      <c r="K7" s="16" t="str">
        <f t="shared" si="2"/>
        <v/>
      </c>
      <c r="L7" s="9" t="s">
        <v>6</v>
      </c>
      <c r="M7" s="27"/>
      <c r="N7" s="27"/>
    </row>
    <row r="8" spans="1:15" ht="18.75" customHeight="1" x14ac:dyDescent="0.15">
      <c r="A8" s="11">
        <v>5</v>
      </c>
      <c r="B8" s="2" t="s">
        <v>12</v>
      </c>
      <c r="C8" s="3"/>
      <c r="D8" s="71"/>
      <c r="E8" s="7"/>
      <c r="F8" s="4" t="str">
        <f t="shared" si="0"/>
        <v/>
      </c>
      <c r="G8" s="5"/>
      <c r="H8" s="5" t="str">
        <f t="shared" si="1"/>
        <v/>
      </c>
      <c r="I8" s="18"/>
      <c r="J8" s="6" t="s">
        <v>16</v>
      </c>
      <c r="K8" s="16" t="str">
        <f t="shared" si="2"/>
        <v/>
      </c>
      <c r="L8" s="6" t="s">
        <v>6</v>
      </c>
      <c r="M8" s="27"/>
      <c r="N8" s="27"/>
    </row>
    <row r="9" spans="1:15" ht="18.75" customHeight="1" x14ac:dyDescent="0.15">
      <c r="A9" s="11">
        <v>6</v>
      </c>
      <c r="B9" s="2" t="s">
        <v>12</v>
      </c>
      <c r="C9" s="3"/>
      <c r="D9" s="71"/>
      <c r="E9" s="3"/>
      <c r="F9" s="4" t="str">
        <f t="shared" si="0"/>
        <v/>
      </c>
      <c r="G9" s="5"/>
      <c r="H9" s="5" t="str">
        <f t="shared" si="1"/>
        <v/>
      </c>
      <c r="I9" s="18"/>
      <c r="J9" s="6" t="s">
        <v>16</v>
      </c>
      <c r="K9" s="16" t="str">
        <f t="shared" si="2"/>
        <v/>
      </c>
      <c r="L9" s="6" t="s">
        <v>6</v>
      </c>
      <c r="M9" s="27"/>
      <c r="N9" s="27"/>
    </row>
    <row r="10" spans="1:15" ht="18.75" customHeight="1" x14ac:dyDescent="0.15">
      <c r="A10" s="11">
        <v>7</v>
      </c>
      <c r="B10" s="2" t="s">
        <v>12</v>
      </c>
      <c r="C10" s="3"/>
      <c r="D10" s="71"/>
      <c r="E10" s="3"/>
      <c r="F10" s="4" t="str">
        <f t="shared" si="0"/>
        <v/>
      </c>
      <c r="G10" s="5"/>
      <c r="H10" s="5" t="str">
        <f t="shared" si="1"/>
        <v/>
      </c>
      <c r="I10" s="17"/>
      <c r="J10" s="28" t="s">
        <v>16</v>
      </c>
      <c r="K10" s="16" t="str">
        <f t="shared" si="2"/>
        <v/>
      </c>
      <c r="L10" s="28" t="s">
        <v>6</v>
      </c>
      <c r="M10" s="27"/>
      <c r="N10" s="27"/>
    </row>
    <row r="11" spans="1:15" ht="18.75" customHeight="1" x14ac:dyDescent="0.15">
      <c r="A11" s="11">
        <v>8</v>
      </c>
      <c r="B11" s="2"/>
      <c r="C11" s="3"/>
      <c r="D11" s="14"/>
      <c r="E11" s="7"/>
      <c r="F11" s="4" t="str">
        <f t="shared" si="0"/>
        <v/>
      </c>
      <c r="G11" s="5"/>
      <c r="H11" s="5" t="str">
        <f t="shared" si="1"/>
        <v/>
      </c>
      <c r="I11" s="18"/>
      <c r="J11" s="8" t="s">
        <v>16</v>
      </c>
      <c r="K11" s="16" t="str">
        <f t="shared" si="2"/>
        <v/>
      </c>
      <c r="L11" s="9" t="s">
        <v>6</v>
      </c>
      <c r="M11" s="27"/>
      <c r="N11" s="27"/>
    </row>
    <row r="12" spans="1:15" ht="18.75" customHeight="1" x14ac:dyDescent="0.15">
      <c r="A12" s="11">
        <v>9</v>
      </c>
      <c r="B12" s="2"/>
      <c r="C12" s="3"/>
      <c r="D12" s="14"/>
      <c r="E12" s="3"/>
      <c r="F12" s="4" t="str">
        <f t="shared" si="0"/>
        <v/>
      </c>
      <c r="G12" s="5"/>
      <c r="H12" s="5" t="str">
        <f t="shared" si="1"/>
        <v/>
      </c>
      <c r="I12" s="18"/>
      <c r="J12" s="6" t="s">
        <v>16</v>
      </c>
      <c r="K12" s="16" t="str">
        <f t="shared" si="2"/>
        <v/>
      </c>
      <c r="L12" s="6" t="s">
        <v>6</v>
      </c>
      <c r="M12" s="27"/>
      <c r="N12" s="27"/>
    </row>
    <row r="13" spans="1:15" ht="18.75" customHeight="1" x14ac:dyDescent="0.15">
      <c r="A13" s="11">
        <v>10</v>
      </c>
      <c r="B13" s="2"/>
      <c r="C13" s="3"/>
      <c r="D13" s="14"/>
      <c r="E13" s="7"/>
      <c r="F13" s="4" t="str">
        <f t="shared" si="0"/>
        <v/>
      </c>
      <c r="G13" s="5"/>
      <c r="H13" s="5" t="str">
        <f t="shared" si="1"/>
        <v/>
      </c>
      <c r="I13" s="18"/>
      <c r="J13" s="8" t="s">
        <v>16</v>
      </c>
      <c r="K13" s="16" t="str">
        <f t="shared" si="2"/>
        <v/>
      </c>
      <c r="L13" s="9" t="s">
        <v>6</v>
      </c>
      <c r="M13" s="27"/>
      <c r="N13" s="27"/>
    </row>
    <row r="14" spans="1:15" ht="18.75" customHeight="1" x14ac:dyDescent="0.15">
      <c r="A14" s="11">
        <v>11</v>
      </c>
      <c r="B14" s="2"/>
      <c r="C14" s="3"/>
      <c r="D14" s="14"/>
      <c r="E14" s="3"/>
      <c r="F14" s="4" t="str">
        <f t="shared" si="0"/>
        <v/>
      </c>
      <c r="G14" s="5"/>
      <c r="H14" s="5" t="str">
        <f t="shared" si="1"/>
        <v/>
      </c>
      <c r="I14" s="18"/>
      <c r="J14" s="6" t="s">
        <v>16</v>
      </c>
      <c r="K14" s="16" t="str">
        <f t="shared" si="2"/>
        <v/>
      </c>
      <c r="L14" s="6" t="s">
        <v>6</v>
      </c>
      <c r="M14" s="27"/>
      <c r="N14" s="27"/>
    </row>
    <row r="15" spans="1:15" ht="18.75" customHeight="1" x14ac:dyDescent="0.15">
      <c r="A15" s="11">
        <v>12</v>
      </c>
      <c r="B15" s="2"/>
      <c r="C15" s="3"/>
      <c r="D15" s="14"/>
      <c r="E15" s="3"/>
      <c r="F15" s="4" t="str">
        <f t="shared" si="0"/>
        <v/>
      </c>
      <c r="G15" s="5"/>
      <c r="H15" s="5" t="str">
        <f t="shared" si="1"/>
        <v/>
      </c>
      <c r="I15" s="17"/>
      <c r="J15" s="8" t="s">
        <v>16</v>
      </c>
      <c r="K15" s="16" t="str">
        <f t="shared" si="2"/>
        <v/>
      </c>
      <c r="L15" s="6" t="s">
        <v>6</v>
      </c>
      <c r="M15" s="27"/>
      <c r="N15" s="27"/>
    </row>
    <row r="16" spans="1:15" ht="18.75" customHeight="1" x14ac:dyDescent="0.15">
      <c r="A16" s="11">
        <v>13</v>
      </c>
      <c r="B16" s="2"/>
      <c r="C16" s="3"/>
      <c r="D16" s="19"/>
      <c r="E16" s="3"/>
      <c r="F16" s="4" t="str">
        <f t="shared" si="0"/>
        <v/>
      </c>
      <c r="G16" s="5"/>
      <c r="H16" s="5" t="str">
        <f t="shared" si="1"/>
        <v/>
      </c>
      <c r="I16" s="18"/>
      <c r="J16" s="6" t="s">
        <v>16</v>
      </c>
      <c r="K16" s="16" t="str">
        <f t="shared" si="2"/>
        <v/>
      </c>
      <c r="L16" s="6" t="s">
        <v>6</v>
      </c>
      <c r="M16" s="27"/>
      <c r="N16" s="27"/>
    </row>
    <row r="17" spans="1:14" ht="18.75" customHeight="1" x14ac:dyDescent="0.15">
      <c r="A17" s="11">
        <v>14</v>
      </c>
      <c r="B17" s="2"/>
      <c r="C17" s="3"/>
      <c r="D17" s="19"/>
      <c r="E17" s="3"/>
      <c r="F17" s="4" t="str">
        <f t="shared" si="0"/>
        <v/>
      </c>
      <c r="G17" s="5"/>
      <c r="H17" s="5" t="str">
        <f t="shared" si="1"/>
        <v/>
      </c>
      <c r="I17" s="18"/>
      <c r="J17" s="6" t="s">
        <v>16</v>
      </c>
      <c r="K17" s="16" t="str">
        <f t="shared" si="2"/>
        <v/>
      </c>
      <c r="L17" s="6" t="s">
        <v>6</v>
      </c>
      <c r="M17" s="27"/>
      <c r="N17" s="27"/>
    </row>
    <row r="18" spans="1:14" ht="18.75" customHeight="1" x14ac:dyDescent="0.15">
      <c r="A18" s="11">
        <v>15</v>
      </c>
      <c r="B18" s="2"/>
      <c r="C18" s="3"/>
      <c r="D18" s="19"/>
      <c r="E18" s="3"/>
      <c r="F18" s="4" t="str">
        <f t="shared" si="0"/>
        <v/>
      </c>
      <c r="G18" s="5"/>
      <c r="H18" s="5" t="str">
        <f t="shared" si="1"/>
        <v/>
      </c>
      <c r="I18" s="18"/>
      <c r="J18" s="6" t="s">
        <v>16</v>
      </c>
      <c r="K18" s="16" t="str">
        <f t="shared" si="2"/>
        <v/>
      </c>
      <c r="L18" s="9" t="s">
        <v>6</v>
      </c>
      <c r="M18" s="27"/>
      <c r="N18" s="27"/>
    </row>
    <row r="19" spans="1:14" ht="18.75" customHeight="1" x14ac:dyDescent="0.15">
      <c r="A19" s="11">
        <v>16</v>
      </c>
      <c r="B19" s="2"/>
      <c r="C19" s="3"/>
      <c r="D19" s="19"/>
      <c r="E19" s="7"/>
      <c r="F19" s="4" t="str">
        <f t="shared" si="0"/>
        <v/>
      </c>
      <c r="G19" s="5"/>
      <c r="H19" s="5" t="str">
        <f t="shared" si="1"/>
        <v/>
      </c>
      <c r="I19" s="17"/>
      <c r="J19" s="8" t="s">
        <v>16</v>
      </c>
      <c r="K19" s="16" t="str">
        <f t="shared" si="2"/>
        <v/>
      </c>
      <c r="L19" s="6" t="s">
        <v>6</v>
      </c>
      <c r="M19" s="27"/>
      <c r="N19" s="27"/>
    </row>
    <row r="20" spans="1:14" ht="18.75" customHeight="1" x14ac:dyDescent="0.15">
      <c r="A20" s="11">
        <v>17</v>
      </c>
      <c r="B20" s="2"/>
      <c r="C20" s="3"/>
      <c r="D20" s="19"/>
      <c r="E20" s="3"/>
      <c r="F20" s="4" t="str">
        <f t="shared" si="0"/>
        <v/>
      </c>
      <c r="G20" s="5"/>
      <c r="H20" s="5" t="str">
        <f t="shared" si="1"/>
        <v/>
      </c>
      <c r="I20" s="18"/>
      <c r="J20" s="6" t="s">
        <v>16</v>
      </c>
      <c r="K20" s="16" t="str">
        <f t="shared" si="2"/>
        <v/>
      </c>
      <c r="L20" s="6" t="s">
        <v>6</v>
      </c>
      <c r="M20" s="27"/>
      <c r="N20" s="27"/>
    </row>
    <row r="21" spans="1:14" ht="18.75" customHeight="1" x14ac:dyDescent="0.15">
      <c r="A21" s="11">
        <v>18</v>
      </c>
      <c r="B21" s="2"/>
      <c r="C21" s="3"/>
      <c r="D21" s="19"/>
      <c r="E21" s="3"/>
      <c r="F21" s="4" t="str">
        <f t="shared" si="0"/>
        <v/>
      </c>
      <c r="G21" s="5"/>
      <c r="H21" s="5" t="str">
        <f t="shared" si="1"/>
        <v/>
      </c>
      <c r="I21" s="18"/>
      <c r="J21" s="6" t="s">
        <v>16</v>
      </c>
      <c r="K21" s="16" t="str">
        <f t="shared" si="2"/>
        <v/>
      </c>
      <c r="L21" s="6" t="s">
        <v>6</v>
      </c>
      <c r="M21" s="27"/>
      <c r="N21" s="27"/>
    </row>
    <row r="22" spans="1:14" ht="18.75" customHeight="1" x14ac:dyDescent="0.15">
      <c r="A22" s="11">
        <v>19</v>
      </c>
      <c r="B22" s="2"/>
      <c r="C22" s="3"/>
      <c r="D22" s="19"/>
      <c r="E22" s="3"/>
      <c r="F22" s="4" t="str">
        <f t="shared" si="0"/>
        <v/>
      </c>
      <c r="G22" s="5"/>
      <c r="H22" s="5" t="str">
        <f t="shared" si="1"/>
        <v/>
      </c>
      <c r="I22" s="18"/>
      <c r="J22" s="6" t="s">
        <v>16</v>
      </c>
      <c r="K22" s="16" t="str">
        <f t="shared" si="2"/>
        <v/>
      </c>
      <c r="L22" s="6" t="s">
        <v>6</v>
      </c>
      <c r="M22" s="27"/>
      <c r="N22" s="27"/>
    </row>
    <row r="23" spans="1:14" ht="18.75" customHeight="1" x14ac:dyDescent="0.15">
      <c r="A23" s="11">
        <v>20</v>
      </c>
      <c r="B23" s="2"/>
      <c r="C23" s="3"/>
      <c r="D23" s="20"/>
      <c r="E23" s="3"/>
      <c r="F23" s="4" t="str">
        <f t="shared" si="0"/>
        <v/>
      </c>
      <c r="G23" s="5"/>
      <c r="H23" s="5" t="str">
        <f t="shared" si="1"/>
        <v/>
      </c>
      <c r="I23" s="18"/>
      <c r="J23" s="6" t="s">
        <v>11</v>
      </c>
      <c r="K23" s="16" t="str">
        <f t="shared" si="2"/>
        <v/>
      </c>
      <c r="L23" s="6" t="s">
        <v>6</v>
      </c>
      <c r="M23" s="27"/>
      <c r="N23" s="27"/>
    </row>
    <row r="24" spans="1:14" ht="18.75" customHeight="1" x14ac:dyDescent="0.15">
      <c r="A24" s="11">
        <v>21</v>
      </c>
      <c r="B24" s="2"/>
      <c r="C24" s="3"/>
      <c r="D24" s="20"/>
      <c r="E24" s="3"/>
      <c r="F24" s="4" t="str">
        <f t="shared" si="0"/>
        <v/>
      </c>
      <c r="G24" s="5"/>
      <c r="H24" s="5" t="str">
        <f t="shared" si="1"/>
        <v/>
      </c>
      <c r="I24" s="18"/>
      <c r="J24" s="8" t="s">
        <v>11</v>
      </c>
      <c r="K24" s="16" t="str">
        <f t="shared" si="2"/>
        <v/>
      </c>
      <c r="L24" s="6" t="s">
        <v>6</v>
      </c>
      <c r="M24" s="27"/>
      <c r="N24" s="27"/>
    </row>
    <row r="25" spans="1:14" ht="18.75" customHeight="1" x14ac:dyDescent="0.15">
      <c r="A25" s="11">
        <v>22</v>
      </c>
      <c r="B25" s="2"/>
      <c r="C25" s="3"/>
      <c r="D25" s="20"/>
      <c r="E25" s="3"/>
      <c r="F25" s="4" t="str">
        <f t="shared" si="0"/>
        <v/>
      </c>
      <c r="G25" s="5"/>
      <c r="H25" s="5" t="str">
        <f t="shared" si="1"/>
        <v/>
      </c>
      <c r="I25" s="18"/>
      <c r="J25" s="6" t="s">
        <v>11</v>
      </c>
      <c r="K25" s="16" t="str">
        <f t="shared" si="2"/>
        <v/>
      </c>
      <c r="L25" s="6" t="s">
        <v>6</v>
      </c>
      <c r="M25" s="27"/>
      <c r="N25" s="27"/>
    </row>
    <row r="26" spans="1:14" ht="18.75" customHeight="1" x14ac:dyDescent="0.15">
      <c r="A26" s="11">
        <v>23</v>
      </c>
      <c r="B26" s="2"/>
      <c r="C26" s="3"/>
      <c r="D26" s="20"/>
      <c r="E26" s="3"/>
      <c r="F26" s="4" t="str">
        <f t="shared" si="0"/>
        <v/>
      </c>
      <c r="G26" s="5"/>
      <c r="H26" s="5" t="str">
        <f t="shared" si="1"/>
        <v/>
      </c>
      <c r="I26" s="18"/>
      <c r="J26" s="6" t="s">
        <v>16</v>
      </c>
      <c r="K26" s="16" t="str">
        <f t="shared" si="2"/>
        <v/>
      </c>
      <c r="L26" s="6" t="s">
        <v>6</v>
      </c>
      <c r="M26" s="27"/>
      <c r="N26" s="27"/>
    </row>
    <row r="27" spans="1:14" ht="18.75" customHeight="1" x14ac:dyDescent="0.15">
      <c r="A27" s="11">
        <v>24</v>
      </c>
      <c r="B27" s="2"/>
      <c r="C27" s="3"/>
      <c r="D27" s="20"/>
      <c r="E27" s="3"/>
      <c r="F27" s="4" t="str">
        <f t="shared" si="0"/>
        <v/>
      </c>
      <c r="G27" s="5"/>
      <c r="H27" s="5" t="str">
        <f t="shared" si="1"/>
        <v/>
      </c>
      <c r="I27" s="18"/>
      <c r="J27" s="8" t="s">
        <v>16</v>
      </c>
      <c r="K27" s="16" t="str">
        <f t="shared" si="2"/>
        <v/>
      </c>
      <c r="L27" s="6" t="s">
        <v>6</v>
      </c>
      <c r="M27" s="27"/>
      <c r="N27" s="27"/>
    </row>
    <row r="28" spans="1:14" ht="18.75" customHeight="1" x14ac:dyDescent="0.15">
      <c r="A28" s="11">
        <v>25</v>
      </c>
      <c r="B28" s="2"/>
      <c r="C28" s="3"/>
      <c r="D28" s="20"/>
      <c r="E28" s="3"/>
      <c r="F28" s="4" t="str">
        <f t="shared" si="0"/>
        <v/>
      </c>
      <c r="G28" s="5"/>
      <c r="H28" s="5" t="str">
        <f t="shared" si="1"/>
        <v/>
      </c>
      <c r="I28" s="18"/>
      <c r="J28" s="6" t="s">
        <v>16</v>
      </c>
      <c r="K28" s="16" t="str">
        <f t="shared" si="2"/>
        <v/>
      </c>
      <c r="L28" s="6" t="s">
        <v>6</v>
      </c>
      <c r="M28" s="27"/>
      <c r="N28" s="27"/>
    </row>
    <row r="29" spans="1:14" ht="18.75" customHeight="1" x14ac:dyDescent="0.15">
      <c r="A29" s="11">
        <v>26</v>
      </c>
      <c r="B29" s="2"/>
      <c r="C29" s="3"/>
      <c r="D29" s="20"/>
      <c r="E29" s="3"/>
      <c r="F29" s="4" t="str">
        <f t="shared" si="0"/>
        <v/>
      </c>
      <c r="G29" s="5"/>
      <c r="H29" s="5" t="str">
        <f t="shared" si="1"/>
        <v/>
      </c>
      <c r="I29" s="18"/>
      <c r="J29" s="6" t="s">
        <v>16</v>
      </c>
      <c r="K29" s="16" t="str">
        <f t="shared" si="2"/>
        <v/>
      </c>
      <c r="L29" s="6" t="s">
        <v>6</v>
      </c>
      <c r="M29" s="27"/>
      <c r="N29" s="27"/>
    </row>
    <row r="30" spans="1:14" ht="18.75" customHeight="1" x14ac:dyDescent="0.15">
      <c r="A30" s="11">
        <v>27</v>
      </c>
      <c r="B30" s="2"/>
      <c r="C30" s="3"/>
      <c r="D30" s="20"/>
      <c r="E30" s="3"/>
      <c r="F30" s="4" t="str">
        <f t="shared" si="0"/>
        <v/>
      </c>
      <c r="G30" s="5"/>
      <c r="H30" s="5" t="str">
        <f t="shared" si="1"/>
        <v/>
      </c>
      <c r="I30" s="18"/>
      <c r="J30" s="8" t="s">
        <v>16</v>
      </c>
      <c r="K30" s="16" t="str">
        <f t="shared" si="2"/>
        <v/>
      </c>
      <c r="L30" s="6" t="s">
        <v>6</v>
      </c>
      <c r="M30" s="27"/>
      <c r="N30" s="27"/>
    </row>
    <row r="31" spans="1:14" ht="18.75" customHeight="1" x14ac:dyDescent="0.15">
      <c r="A31" s="11">
        <v>28</v>
      </c>
      <c r="B31" s="2"/>
      <c r="C31" s="3"/>
      <c r="D31" s="20"/>
      <c r="E31" s="7"/>
      <c r="F31" s="4" t="str">
        <f t="shared" si="0"/>
        <v/>
      </c>
      <c r="G31" s="5"/>
      <c r="H31" s="5" t="str">
        <f t="shared" si="1"/>
        <v/>
      </c>
      <c r="I31" s="18"/>
      <c r="J31" s="6" t="s">
        <v>16</v>
      </c>
      <c r="K31" s="16" t="str">
        <f t="shared" si="2"/>
        <v/>
      </c>
      <c r="L31" s="6" t="s">
        <v>6</v>
      </c>
      <c r="M31" s="27"/>
      <c r="N31" s="27"/>
    </row>
    <row r="32" spans="1:14" ht="18.75" customHeight="1" x14ac:dyDescent="0.15">
      <c r="A32" s="11">
        <v>29</v>
      </c>
      <c r="B32" s="2"/>
      <c r="C32" s="3"/>
      <c r="D32" s="20"/>
      <c r="E32" s="3"/>
      <c r="F32" s="4" t="str">
        <f t="shared" si="0"/>
        <v/>
      </c>
      <c r="G32" s="5"/>
      <c r="H32" s="5" t="str">
        <f t="shared" si="1"/>
        <v/>
      </c>
      <c r="I32" s="18"/>
      <c r="J32" s="6" t="s">
        <v>16</v>
      </c>
      <c r="K32" s="16" t="str">
        <f t="shared" si="2"/>
        <v/>
      </c>
      <c r="L32" s="6" t="s">
        <v>6</v>
      </c>
      <c r="M32" s="27"/>
      <c r="N32" s="27"/>
    </row>
    <row r="33" spans="1:14" ht="18.75" customHeight="1" x14ac:dyDescent="0.15">
      <c r="A33" s="11">
        <v>30</v>
      </c>
      <c r="B33" s="2"/>
      <c r="C33" s="3"/>
      <c r="D33" s="20"/>
      <c r="E33" s="3"/>
      <c r="F33" s="4" t="str">
        <f t="shared" si="0"/>
        <v/>
      </c>
      <c r="G33" s="5"/>
      <c r="H33" s="5" t="str">
        <f t="shared" si="1"/>
        <v/>
      </c>
      <c r="I33" s="18"/>
      <c r="J33" s="6" t="s">
        <v>16</v>
      </c>
      <c r="K33" s="16" t="str">
        <f t="shared" si="2"/>
        <v/>
      </c>
      <c r="L33" s="6" t="s">
        <v>6</v>
      </c>
      <c r="M33" s="27"/>
      <c r="N33" s="27"/>
    </row>
    <row r="34" spans="1:14" ht="18.75" customHeight="1" x14ac:dyDescent="0.15">
      <c r="A34" s="11">
        <v>31</v>
      </c>
      <c r="B34" s="2"/>
      <c r="C34" s="3"/>
      <c r="D34" s="20"/>
      <c r="E34" s="3"/>
      <c r="F34" s="4" t="str">
        <f t="shared" si="0"/>
        <v/>
      </c>
      <c r="G34" s="5"/>
      <c r="H34" s="5" t="str">
        <f t="shared" si="1"/>
        <v/>
      </c>
      <c r="I34" s="21"/>
      <c r="J34" s="6" t="s">
        <v>16</v>
      </c>
      <c r="K34" s="16" t="str">
        <f t="shared" si="2"/>
        <v/>
      </c>
      <c r="L34" s="6" t="s">
        <v>6</v>
      </c>
      <c r="M34" s="27"/>
      <c r="N34" s="27"/>
    </row>
    <row r="35" spans="1:14" ht="18.75" customHeight="1" x14ac:dyDescent="0.15">
      <c r="A35" s="11">
        <v>32</v>
      </c>
      <c r="B35" s="2"/>
      <c r="C35" s="3"/>
      <c r="D35" s="20"/>
      <c r="E35" s="3"/>
      <c r="F35" s="4" t="str">
        <f t="shared" si="0"/>
        <v/>
      </c>
      <c r="G35" s="5"/>
      <c r="H35" s="5" t="str">
        <f t="shared" si="1"/>
        <v/>
      </c>
      <c r="I35" s="18"/>
      <c r="J35" s="6" t="s">
        <v>16</v>
      </c>
      <c r="K35" s="16" t="str">
        <f t="shared" si="2"/>
        <v/>
      </c>
      <c r="L35" s="6" t="s">
        <v>6</v>
      </c>
      <c r="M35" s="27"/>
      <c r="N35" s="27"/>
    </row>
    <row r="36" spans="1:14" ht="18.75" customHeight="1" x14ac:dyDescent="0.15">
      <c r="A36" s="11">
        <v>33</v>
      </c>
      <c r="B36" s="2"/>
      <c r="C36" s="3"/>
      <c r="D36" s="20"/>
      <c r="E36" s="7"/>
      <c r="F36" s="4" t="str">
        <f t="shared" si="0"/>
        <v/>
      </c>
      <c r="G36" s="5"/>
      <c r="H36" s="5" t="str">
        <f t="shared" si="1"/>
        <v/>
      </c>
      <c r="I36" s="17"/>
      <c r="J36" s="6" t="s">
        <v>16</v>
      </c>
      <c r="K36" s="16" t="str">
        <f t="shared" si="2"/>
        <v/>
      </c>
      <c r="L36" s="6" t="s">
        <v>6</v>
      </c>
      <c r="M36" s="27"/>
      <c r="N36" s="27"/>
    </row>
    <row r="37" spans="1:14" ht="18.75" customHeight="1" x14ac:dyDescent="0.15">
      <c r="A37" s="11">
        <v>34</v>
      </c>
      <c r="B37" s="2"/>
      <c r="C37" s="3"/>
      <c r="D37" s="20"/>
      <c r="E37" s="3"/>
      <c r="F37" s="4" t="str">
        <f t="shared" si="0"/>
        <v/>
      </c>
      <c r="G37" s="5"/>
      <c r="H37" s="5" t="str">
        <f t="shared" si="1"/>
        <v/>
      </c>
      <c r="I37" s="18"/>
      <c r="J37" s="6" t="s">
        <v>16</v>
      </c>
      <c r="K37" s="16" t="str">
        <f t="shared" si="2"/>
        <v/>
      </c>
      <c r="L37" s="6" t="s">
        <v>6</v>
      </c>
      <c r="M37" s="27"/>
      <c r="N37" s="27"/>
    </row>
    <row r="38" spans="1:14" ht="18.75" customHeight="1" x14ac:dyDescent="0.15">
      <c r="A38" s="11">
        <v>35</v>
      </c>
      <c r="B38" s="2"/>
      <c r="C38" s="3"/>
      <c r="D38" s="20"/>
      <c r="E38" s="3"/>
      <c r="F38" s="4"/>
      <c r="G38" s="5"/>
      <c r="H38" s="5"/>
      <c r="I38" s="18"/>
      <c r="J38" s="6" t="s">
        <v>16</v>
      </c>
      <c r="K38" s="16"/>
      <c r="L38" s="6" t="s">
        <v>6</v>
      </c>
      <c r="M38" s="27"/>
      <c r="N38" s="27"/>
    </row>
    <row r="39" spans="1:14" ht="18.75" customHeight="1" x14ac:dyDescent="0.15">
      <c r="A39" s="11">
        <v>36</v>
      </c>
      <c r="B39" s="2"/>
      <c r="C39" s="3"/>
      <c r="D39" s="20"/>
      <c r="E39" s="3"/>
      <c r="F39" s="4"/>
      <c r="G39" s="5"/>
      <c r="H39" s="5"/>
      <c r="I39" s="18"/>
      <c r="J39" s="6" t="s">
        <v>16</v>
      </c>
      <c r="K39" s="16"/>
      <c r="L39" s="6" t="s">
        <v>6</v>
      </c>
      <c r="M39" s="27"/>
      <c r="N39" s="27"/>
    </row>
    <row r="40" spans="1:14" ht="18.75" customHeight="1" x14ac:dyDescent="0.15">
      <c r="A40" s="11">
        <v>37</v>
      </c>
      <c r="B40" s="2"/>
      <c r="C40" s="3"/>
      <c r="D40" s="20"/>
      <c r="E40" s="3"/>
      <c r="F40" s="4"/>
      <c r="G40" s="5"/>
      <c r="H40" s="5"/>
      <c r="I40" s="18"/>
      <c r="J40" s="6" t="s">
        <v>16</v>
      </c>
      <c r="K40" s="16"/>
      <c r="L40" s="6" t="s">
        <v>6</v>
      </c>
      <c r="M40" s="27"/>
      <c r="N40" s="27"/>
    </row>
    <row r="41" spans="1:14" ht="18.75" customHeight="1" x14ac:dyDescent="0.15">
      <c r="A41" s="11">
        <v>38</v>
      </c>
      <c r="B41" s="2"/>
      <c r="C41" s="3"/>
      <c r="D41" s="20"/>
      <c r="E41" s="3"/>
      <c r="F41" s="4"/>
      <c r="G41" s="5"/>
      <c r="H41" s="5"/>
      <c r="I41" s="18"/>
      <c r="J41" s="6" t="s">
        <v>16</v>
      </c>
      <c r="K41" s="16"/>
      <c r="L41" s="6" t="s">
        <v>6</v>
      </c>
      <c r="M41" s="27"/>
      <c r="N41" s="27"/>
    </row>
    <row r="42" spans="1:14" ht="18.75" customHeight="1" x14ac:dyDescent="0.15">
      <c r="A42" s="11">
        <v>39</v>
      </c>
      <c r="B42" s="2"/>
      <c r="C42" s="3"/>
      <c r="D42" s="20"/>
      <c r="E42" s="3"/>
      <c r="F42" s="4" t="str">
        <f>IF(E42="","",E42-7*INT(E42/7))</f>
        <v/>
      </c>
      <c r="G42" s="5"/>
      <c r="H42" s="5" t="str">
        <f>IF(G42="","",G42)</f>
        <v/>
      </c>
      <c r="I42" s="18"/>
      <c r="J42" s="6" t="s">
        <v>16</v>
      </c>
      <c r="K42" s="16" t="str">
        <f>IF(I42&gt;0,I42,"")</f>
        <v/>
      </c>
      <c r="L42" s="6" t="s">
        <v>6</v>
      </c>
      <c r="M42" s="27"/>
      <c r="N42" s="27"/>
    </row>
    <row r="43" spans="1:14" ht="18.75" customHeight="1" thickBot="1" x14ac:dyDescent="0.2">
      <c r="A43" s="50">
        <v>40</v>
      </c>
      <c r="B43" s="51"/>
      <c r="C43" s="52"/>
      <c r="D43" s="63"/>
      <c r="E43" s="52"/>
      <c r="F43" s="53" t="str">
        <f>IF(E43="","",E43-7*INT(E43/7))</f>
        <v/>
      </c>
      <c r="G43" s="54"/>
      <c r="H43" s="54" t="str">
        <f>IF(G43="","",G43)</f>
        <v/>
      </c>
      <c r="I43" s="64"/>
      <c r="J43" s="56" t="s">
        <v>16</v>
      </c>
      <c r="K43" s="65" t="str">
        <f>IF(I43&gt;0,I43,"")</f>
        <v/>
      </c>
      <c r="L43" s="56" t="s">
        <v>6</v>
      </c>
      <c r="M43" s="58"/>
      <c r="N43" s="58"/>
    </row>
    <row r="44" spans="1:14" ht="18.75" customHeight="1" thickTop="1" x14ac:dyDescent="0.15">
      <c r="I44" s="62">
        <f>SUM(I4:I43)</f>
        <v>0</v>
      </c>
      <c r="J44" s="10" t="s">
        <v>17</v>
      </c>
      <c r="K44" s="24">
        <f>SUM(K4:K43)</f>
        <v>0</v>
      </c>
      <c r="L44" s="10" t="s">
        <v>6</v>
      </c>
    </row>
    <row r="45" spans="1:14" ht="20.25" customHeight="1" x14ac:dyDescent="0.15">
      <c r="B45" s="95" t="s">
        <v>13</v>
      </c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10"/>
    </row>
    <row r="46" spans="1:14" ht="21" customHeight="1" x14ac:dyDescent="0.15">
      <c r="B46" s="96" t="s">
        <v>0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10"/>
    </row>
    <row r="47" spans="1:14" ht="26.25" customHeight="1" x14ac:dyDescent="0.15">
      <c r="A47" s="11"/>
      <c r="B47" s="2" t="s">
        <v>1</v>
      </c>
      <c r="C47" s="97" t="s">
        <v>2</v>
      </c>
      <c r="D47" s="98"/>
      <c r="E47" s="99" t="s">
        <v>3</v>
      </c>
      <c r="F47" s="100"/>
      <c r="G47" s="25" t="s">
        <v>4</v>
      </c>
      <c r="H47" s="25" t="s">
        <v>7</v>
      </c>
      <c r="I47" s="101" t="s">
        <v>8</v>
      </c>
      <c r="J47" s="99"/>
      <c r="K47" s="101" t="s">
        <v>5</v>
      </c>
      <c r="L47" s="101"/>
      <c r="M47" s="26" t="s">
        <v>14</v>
      </c>
      <c r="N47" s="1" t="s">
        <v>10</v>
      </c>
    </row>
    <row r="48" spans="1:14" ht="18.75" customHeight="1" x14ac:dyDescent="0.15">
      <c r="A48" s="11">
        <v>41</v>
      </c>
      <c r="B48" s="2"/>
      <c r="C48" s="3"/>
      <c r="D48" s="14"/>
      <c r="E48" s="3"/>
      <c r="F48" s="4" t="str">
        <f t="shared" ref="F48:F81" si="3">IF(E48="","",E48-7*INT(E48/7))</f>
        <v/>
      </c>
      <c r="G48" s="5"/>
      <c r="H48" s="5" t="str">
        <f t="shared" ref="H48:H81" si="4">IF(G48="","",G48)</f>
        <v/>
      </c>
      <c r="I48" s="15"/>
      <c r="J48" s="6" t="s">
        <v>15</v>
      </c>
      <c r="K48" s="16" t="str">
        <f t="shared" ref="K48:K81" si="5">IF(I48&gt;0,I48,"")</f>
        <v/>
      </c>
      <c r="L48" s="6" t="s">
        <v>6</v>
      </c>
      <c r="M48" s="27"/>
      <c r="N48" s="27"/>
    </row>
    <row r="49" spans="1:14" ht="18.75" customHeight="1" x14ac:dyDescent="0.15">
      <c r="A49" s="11">
        <v>42</v>
      </c>
      <c r="B49" s="2"/>
      <c r="C49" s="3"/>
      <c r="D49" s="14"/>
      <c r="E49" s="7"/>
      <c r="F49" s="4" t="str">
        <f t="shared" si="3"/>
        <v/>
      </c>
      <c r="G49" s="5"/>
      <c r="H49" s="5" t="str">
        <f t="shared" si="4"/>
        <v/>
      </c>
      <c r="I49" s="17"/>
      <c r="J49" s="8" t="s">
        <v>16</v>
      </c>
      <c r="K49" s="16" t="str">
        <f t="shared" si="5"/>
        <v/>
      </c>
      <c r="L49" s="9" t="s">
        <v>6</v>
      </c>
      <c r="M49" s="27"/>
      <c r="N49" s="27"/>
    </row>
    <row r="50" spans="1:14" ht="18.75" customHeight="1" x14ac:dyDescent="0.15">
      <c r="A50" s="11">
        <v>43</v>
      </c>
      <c r="B50" s="2"/>
      <c r="C50" s="3"/>
      <c r="D50" s="14"/>
      <c r="E50" s="3"/>
      <c r="F50" s="4" t="str">
        <f t="shared" si="3"/>
        <v/>
      </c>
      <c r="G50" s="5"/>
      <c r="H50" s="5" t="str">
        <f t="shared" si="4"/>
        <v/>
      </c>
      <c r="I50" s="18"/>
      <c r="J50" s="6" t="s">
        <v>16</v>
      </c>
      <c r="K50" s="16" t="str">
        <f t="shared" si="5"/>
        <v/>
      </c>
      <c r="L50" s="6" t="s">
        <v>6</v>
      </c>
      <c r="M50" s="27"/>
      <c r="N50" s="27"/>
    </row>
    <row r="51" spans="1:14" ht="18.75" customHeight="1" x14ac:dyDescent="0.15">
      <c r="A51" s="11">
        <v>44</v>
      </c>
      <c r="B51" s="2"/>
      <c r="C51" s="3"/>
      <c r="D51" s="14"/>
      <c r="E51" s="3"/>
      <c r="F51" s="4" t="str">
        <f t="shared" si="3"/>
        <v/>
      </c>
      <c r="G51" s="5"/>
      <c r="H51" s="5" t="str">
        <f t="shared" si="4"/>
        <v/>
      </c>
      <c r="I51" s="17"/>
      <c r="J51" s="8" t="s">
        <v>16</v>
      </c>
      <c r="K51" s="16" t="str">
        <f t="shared" si="5"/>
        <v/>
      </c>
      <c r="L51" s="9" t="s">
        <v>6</v>
      </c>
      <c r="M51" s="27"/>
      <c r="N51" s="27"/>
    </row>
    <row r="52" spans="1:14" ht="18.75" customHeight="1" x14ac:dyDescent="0.15">
      <c r="A52" s="11">
        <v>45</v>
      </c>
      <c r="B52" s="2"/>
      <c r="C52" s="3"/>
      <c r="D52" s="14"/>
      <c r="E52" s="7"/>
      <c r="F52" s="4" t="str">
        <f t="shared" si="3"/>
        <v/>
      </c>
      <c r="G52" s="5"/>
      <c r="H52" s="5" t="str">
        <f t="shared" si="4"/>
        <v/>
      </c>
      <c r="I52" s="18"/>
      <c r="J52" s="6" t="s">
        <v>16</v>
      </c>
      <c r="K52" s="16" t="str">
        <f t="shared" si="5"/>
        <v/>
      </c>
      <c r="L52" s="6" t="s">
        <v>6</v>
      </c>
      <c r="M52" s="27"/>
      <c r="N52" s="27"/>
    </row>
    <row r="53" spans="1:14" ht="18.75" customHeight="1" x14ac:dyDescent="0.15">
      <c r="A53" s="11">
        <v>46</v>
      </c>
      <c r="B53" s="2"/>
      <c r="C53" s="3"/>
      <c r="D53" s="14"/>
      <c r="E53" s="3"/>
      <c r="F53" s="4" t="str">
        <f t="shared" si="3"/>
        <v/>
      </c>
      <c r="G53" s="5"/>
      <c r="H53" s="5" t="str">
        <f t="shared" si="4"/>
        <v/>
      </c>
      <c r="I53" s="18"/>
      <c r="J53" s="6" t="s">
        <v>16</v>
      </c>
      <c r="K53" s="16" t="str">
        <f t="shared" si="5"/>
        <v/>
      </c>
      <c r="L53" s="6" t="s">
        <v>6</v>
      </c>
      <c r="M53" s="27"/>
      <c r="N53" s="27"/>
    </row>
    <row r="54" spans="1:14" ht="18.75" customHeight="1" x14ac:dyDescent="0.15">
      <c r="A54" s="11">
        <v>47</v>
      </c>
      <c r="B54" s="2"/>
      <c r="C54" s="3"/>
      <c r="D54" s="14"/>
      <c r="E54" s="3"/>
      <c r="F54" s="4" t="str">
        <f t="shared" si="3"/>
        <v/>
      </c>
      <c r="G54" s="5"/>
      <c r="H54" s="5" t="str">
        <f t="shared" si="4"/>
        <v/>
      </c>
      <c r="I54" s="17"/>
      <c r="J54" s="28" t="s">
        <v>16</v>
      </c>
      <c r="K54" s="16" t="str">
        <f t="shared" si="5"/>
        <v/>
      </c>
      <c r="L54" s="28" t="s">
        <v>6</v>
      </c>
      <c r="M54" s="27"/>
      <c r="N54" s="27"/>
    </row>
    <row r="55" spans="1:14" ht="18.75" customHeight="1" x14ac:dyDescent="0.15">
      <c r="A55" s="11">
        <v>48</v>
      </c>
      <c r="B55" s="2"/>
      <c r="C55" s="3"/>
      <c r="D55" s="14"/>
      <c r="E55" s="7"/>
      <c r="F55" s="4" t="str">
        <f t="shared" si="3"/>
        <v/>
      </c>
      <c r="G55" s="5"/>
      <c r="H55" s="5" t="str">
        <f t="shared" si="4"/>
        <v/>
      </c>
      <c r="I55" s="18"/>
      <c r="J55" s="8" t="s">
        <v>16</v>
      </c>
      <c r="K55" s="16" t="str">
        <f t="shared" si="5"/>
        <v/>
      </c>
      <c r="L55" s="9" t="s">
        <v>6</v>
      </c>
      <c r="M55" s="27"/>
      <c r="N55" s="27"/>
    </row>
    <row r="56" spans="1:14" ht="18.75" customHeight="1" x14ac:dyDescent="0.15">
      <c r="A56" s="11">
        <v>49</v>
      </c>
      <c r="B56" s="2"/>
      <c r="C56" s="3"/>
      <c r="D56" s="14"/>
      <c r="E56" s="3"/>
      <c r="F56" s="4" t="str">
        <f t="shared" si="3"/>
        <v/>
      </c>
      <c r="G56" s="5"/>
      <c r="H56" s="5" t="str">
        <f t="shared" si="4"/>
        <v/>
      </c>
      <c r="I56" s="18"/>
      <c r="J56" s="6" t="s">
        <v>16</v>
      </c>
      <c r="K56" s="16" t="str">
        <f t="shared" si="5"/>
        <v/>
      </c>
      <c r="L56" s="6" t="s">
        <v>6</v>
      </c>
      <c r="M56" s="27"/>
      <c r="N56" s="27"/>
    </row>
    <row r="57" spans="1:14" ht="18.75" customHeight="1" x14ac:dyDescent="0.15">
      <c r="A57" s="11">
        <v>50</v>
      </c>
      <c r="B57" s="2"/>
      <c r="C57" s="3"/>
      <c r="D57" s="14"/>
      <c r="E57" s="7"/>
      <c r="F57" s="4" t="str">
        <f t="shared" si="3"/>
        <v/>
      </c>
      <c r="G57" s="5"/>
      <c r="H57" s="5" t="str">
        <f t="shared" si="4"/>
        <v/>
      </c>
      <c r="I57" s="18"/>
      <c r="J57" s="8" t="s">
        <v>16</v>
      </c>
      <c r="K57" s="16" t="str">
        <f t="shared" si="5"/>
        <v/>
      </c>
      <c r="L57" s="9" t="s">
        <v>6</v>
      </c>
      <c r="M57" s="27"/>
      <c r="N57" s="27"/>
    </row>
    <row r="58" spans="1:14" ht="18.75" customHeight="1" x14ac:dyDescent="0.15">
      <c r="A58" s="11">
        <v>51</v>
      </c>
      <c r="B58" s="2"/>
      <c r="C58" s="3"/>
      <c r="D58" s="14"/>
      <c r="E58" s="3"/>
      <c r="F58" s="4" t="str">
        <f t="shared" si="3"/>
        <v/>
      </c>
      <c r="G58" s="5"/>
      <c r="H58" s="5" t="str">
        <f t="shared" si="4"/>
        <v/>
      </c>
      <c r="I58" s="18"/>
      <c r="J58" s="6" t="s">
        <v>16</v>
      </c>
      <c r="K58" s="16" t="str">
        <f t="shared" si="5"/>
        <v/>
      </c>
      <c r="L58" s="6" t="s">
        <v>6</v>
      </c>
      <c r="M58" s="27"/>
      <c r="N58" s="27"/>
    </row>
    <row r="59" spans="1:14" ht="18.75" customHeight="1" x14ac:dyDescent="0.15">
      <c r="A59" s="11">
        <v>52</v>
      </c>
      <c r="B59" s="2"/>
      <c r="C59" s="3"/>
      <c r="D59" s="14"/>
      <c r="E59" s="3"/>
      <c r="F59" s="4" t="str">
        <f t="shared" si="3"/>
        <v/>
      </c>
      <c r="G59" s="5"/>
      <c r="H59" s="5" t="str">
        <f t="shared" si="4"/>
        <v/>
      </c>
      <c r="I59" s="17"/>
      <c r="J59" s="8" t="s">
        <v>16</v>
      </c>
      <c r="K59" s="16" t="str">
        <f t="shared" si="5"/>
        <v/>
      </c>
      <c r="L59" s="6" t="s">
        <v>6</v>
      </c>
      <c r="M59" s="27"/>
      <c r="N59" s="27"/>
    </row>
    <row r="60" spans="1:14" ht="18.75" customHeight="1" x14ac:dyDescent="0.15">
      <c r="A60" s="11">
        <v>53</v>
      </c>
      <c r="B60" s="2"/>
      <c r="C60" s="3"/>
      <c r="D60" s="19"/>
      <c r="E60" s="3"/>
      <c r="F60" s="4" t="str">
        <f t="shared" si="3"/>
        <v/>
      </c>
      <c r="G60" s="5"/>
      <c r="H60" s="5" t="str">
        <f t="shared" si="4"/>
        <v/>
      </c>
      <c r="I60" s="18"/>
      <c r="J60" s="6" t="s">
        <v>16</v>
      </c>
      <c r="K60" s="16" t="str">
        <f t="shared" si="5"/>
        <v/>
      </c>
      <c r="L60" s="6" t="s">
        <v>6</v>
      </c>
      <c r="M60" s="27"/>
      <c r="N60" s="27"/>
    </row>
    <row r="61" spans="1:14" ht="18.75" customHeight="1" x14ac:dyDescent="0.15">
      <c r="A61" s="11">
        <v>54</v>
      </c>
      <c r="B61" s="2"/>
      <c r="C61" s="3"/>
      <c r="D61" s="19"/>
      <c r="E61" s="3"/>
      <c r="F61" s="4" t="str">
        <f t="shared" si="3"/>
        <v/>
      </c>
      <c r="G61" s="5"/>
      <c r="H61" s="5" t="str">
        <f t="shared" si="4"/>
        <v/>
      </c>
      <c r="I61" s="18"/>
      <c r="J61" s="6" t="s">
        <v>16</v>
      </c>
      <c r="K61" s="16" t="str">
        <f t="shared" si="5"/>
        <v/>
      </c>
      <c r="L61" s="6" t="s">
        <v>6</v>
      </c>
      <c r="M61" s="27"/>
      <c r="N61" s="27"/>
    </row>
    <row r="62" spans="1:14" ht="18.75" customHeight="1" x14ac:dyDescent="0.15">
      <c r="A62" s="11">
        <v>55</v>
      </c>
      <c r="B62" s="2"/>
      <c r="C62" s="3"/>
      <c r="D62" s="19"/>
      <c r="E62" s="3"/>
      <c r="F62" s="4" t="str">
        <f t="shared" si="3"/>
        <v/>
      </c>
      <c r="G62" s="5"/>
      <c r="H62" s="5" t="str">
        <f t="shared" si="4"/>
        <v/>
      </c>
      <c r="I62" s="18"/>
      <c r="J62" s="6" t="s">
        <v>16</v>
      </c>
      <c r="K62" s="16" t="str">
        <f t="shared" si="5"/>
        <v/>
      </c>
      <c r="L62" s="9" t="s">
        <v>6</v>
      </c>
      <c r="M62" s="27"/>
      <c r="N62" s="27"/>
    </row>
    <row r="63" spans="1:14" ht="18.75" customHeight="1" x14ac:dyDescent="0.15">
      <c r="A63" s="11">
        <v>56</v>
      </c>
      <c r="B63" s="2"/>
      <c r="C63" s="3"/>
      <c r="D63" s="19"/>
      <c r="E63" s="7"/>
      <c r="F63" s="4" t="str">
        <f t="shared" si="3"/>
        <v/>
      </c>
      <c r="G63" s="5"/>
      <c r="H63" s="5" t="str">
        <f t="shared" si="4"/>
        <v/>
      </c>
      <c r="I63" s="17"/>
      <c r="J63" s="8" t="s">
        <v>16</v>
      </c>
      <c r="K63" s="16" t="str">
        <f t="shared" si="5"/>
        <v/>
      </c>
      <c r="L63" s="6" t="s">
        <v>6</v>
      </c>
      <c r="M63" s="27"/>
      <c r="N63" s="27"/>
    </row>
    <row r="64" spans="1:14" ht="18.75" customHeight="1" x14ac:dyDescent="0.15">
      <c r="A64" s="11">
        <v>57</v>
      </c>
      <c r="B64" s="2"/>
      <c r="C64" s="3"/>
      <c r="D64" s="19"/>
      <c r="E64" s="3"/>
      <c r="F64" s="4" t="str">
        <f t="shared" si="3"/>
        <v/>
      </c>
      <c r="G64" s="5"/>
      <c r="H64" s="5" t="str">
        <f t="shared" si="4"/>
        <v/>
      </c>
      <c r="I64" s="18"/>
      <c r="J64" s="6" t="s">
        <v>16</v>
      </c>
      <c r="K64" s="16" t="str">
        <f t="shared" si="5"/>
        <v/>
      </c>
      <c r="L64" s="6" t="s">
        <v>6</v>
      </c>
      <c r="M64" s="27"/>
      <c r="N64" s="27"/>
    </row>
    <row r="65" spans="1:14" ht="18.75" customHeight="1" x14ac:dyDescent="0.15">
      <c r="A65" s="11">
        <v>58</v>
      </c>
      <c r="B65" s="2"/>
      <c r="C65" s="3"/>
      <c r="D65" s="19"/>
      <c r="E65" s="3"/>
      <c r="F65" s="4" t="str">
        <f t="shared" si="3"/>
        <v/>
      </c>
      <c r="G65" s="5"/>
      <c r="H65" s="5" t="str">
        <f t="shared" si="4"/>
        <v/>
      </c>
      <c r="I65" s="18"/>
      <c r="J65" s="6" t="s">
        <v>16</v>
      </c>
      <c r="K65" s="16" t="str">
        <f t="shared" si="5"/>
        <v/>
      </c>
      <c r="L65" s="6" t="s">
        <v>6</v>
      </c>
      <c r="M65" s="27"/>
      <c r="N65" s="27"/>
    </row>
    <row r="66" spans="1:14" ht="18.75" customHeight="1" x14ac:dyDescent="0.15">
      <c r="A66" s="11">
        <v>59</v>
      </c>
      <c r="B66" s="2"/>
      <c r="C66" s="3"/>
      <c r="D66" s="19"/>
      <c r="E66" s="3"/>
      <c r="F66" s="4" t="str">
        <f t="shared" si="3"/>
        <v/>
      </c>
      <c r="G66" s="5"/>
      <c r="H66" s="5" t="str">
        <f t="shared" si="4"/>
        <v/>
      </c>
      <c r="I66" s="18"/>
      <c r="J66" s="6" t="s">
        <v>16</v>
      </c>
      <c r="K66" s="16" t="str">
        <f t="shared" si="5"/>
        <v/>
      </c>
      <c r="L66" s="6" t="s">
        <v>6</v>
      </c>
      <c r="M66" s="27"/>
      <c r="N66" s="27"/>
    </row>
    <row r="67" spans="1:14" ht="18.75" customHeight="1" x14ac:dyDescent="0.15">
      <c r="A67" s="11">
        <v>60</v>
      </c>
      <c r="B67" s="2"/>
      <c r="C67" s="3"/>
      <c r="D67" s="20"/>
      <c r="E67" s="3"/>
      <c r="F67" s="4" t="str">
        <f t="shared" si="3"/>
        <v/>
      </c>
      <c r="G67" s="5"/>
      <c r="H67" s="5" t="str">
        <f t="shared" si="4"/>
        <v/>
      </c>
      <c r="I67" s="18"/>
      <c r="J67" s="6" t="s">
        <v>11</v>
      </c>
      <c r="K67" s="16" t="str">
        <f t="shared" si="5"/>
        <v/>
      </c>
      <c r="L67" s="6" t="s">
        <v>6</v>
      </c>
      <c r="M67" s="27"/>
      <c r="N67" s="27"/>
    </row>
    <row r="68" spans="1:14" ht="18.75" customHeight="1" x14ac:dyDescent="0.15">
      <c r="A68" s="11">
        <v>61</v>
      </c>
      <c r="B68" s="2"/>
      <c r="C68" s="3"/>
      <c r="D68" s="20"/>
      <c r="E68" s="3"/>
      <c r="F68" s="4" t="str">
        <f t="shared" si="3"/>
        <v/>
      </c>
      <c r="G68" s="5"/>
      <c r="H68" s="5" t="str">
        <f t="shared" si="4"/>
        <v/>
      </c>
      <c r="I68" s="18"/>
      <c r="J68" s="8" t="s">
        <v>11</v>
      </c>
      <c r="K68" s="16" t="str">
        <f t="shared" si="5"/>
        <v/>
      </c>
      <c r="L68" s="6" t="s">
        <v>6</v>
      </c>
      <c r="M68" s="27"/>
      <c r="N68" s="27"/>
    </row>
    <row r="69" spans="1:14" ht="18.75" customHeight="1" x14ac:dyDescent="0.15">
      <c r="A69" s="11">
        <v>62</v>
      </c>
      <c r="B69" s="2"/>
      <c r="C69" s="3"/>
      <c r="D69" s="20"/>
      <c r="E69" s="3"/>
      <c r="F69" s="4" t="str">
        <f t="shared" si="3"/>
        <v/>
      </c>
      <c r="G69" s="5"/>
      <c r="H69" s="5" t="str">
        <f t="shared" si="4"/>
        <v/>
      </c>
      <c r="I69" s="18"/>
      <c r="J69" s="6" t="s">
        <v>11</v>
      </c>
      <c r="K69" s="16" t="str">
        <f t="shared" si="5"/>
        <v/>
      </c>
      <c r="L69" s="6" t="s">
        <v>6</v>
      </c>
      <c r="M69" s="27"/>
      <c r="N69" s="27"/>
    </row>
    <row r="70" spans="1:14" ht="18.75" customHeight="1" x14ac:dyDescent="0.15">
      <c r="A70" s="11">
        <v>63</v>
      </c>
      <c r="B70" s="2"/>
      <c r="C70" s="3"/>
      <c r="D70" s="20"/>
      <c r="E70" s="3"/>
      <c r="F70" s="4" t="str">
        <f t="shared" si="3"/>
        <v/>
      </c>
      <c r="G70" s="5"/>
      <c r="H70" s="5" t="str">
        <f t="shared" si="4"/>
        <v/>
      </c>
      <c r="I70" s="18"/>
      <c r="J70" s="6" t="s">
        <v>16</v>
      </c>
      <c r="K70" s="16" t="str">
        <f t="shared" si="5"/>
        <v/>
      </c>
      <c r="L70" s="6" t="s">
        <v>6</v>
      </c>
      <c r="M70" s="27"/>
      <c r="N70" s="27"/>
    </row>
    <row r="71" spans="1:14" ht="18.75" customHeight="1" x14ac:dyDescent="0.15">
      <c r="A71" s="11">
        <v>64</v>
      </c>
      <c r="B71" s="2"/>
      <c r="C71" s="3"/>
      <c r="D71" s="20"/>
      <c r="E71" s="3"/>
      <c r="F71" s="4" t="str">
        <f t="shared" si="3"/>
        <v/>
      </c>
      <c r="G71" s="5"/>
      <c r="H71" s="5" t="str">
        <f t="shared" si="4"/>
        <v/>
      </c>
      <c r="I71" s="18"/>
      <c r="J71" s="8" t="s">
        <v>16</v>
      </c>
      <c r="K71" s="16" t="str">
        <f t="shared" si="5"/>
        <v/>
      </c>
      <c r="L71" s="6" t="s">
        <v>6</v>
      </c>
      <c r="M71" s="27"/>
      <c r="N71" s="27"/>
    </row>
    <row r="72" spans="1:14" ht="18.75" customHeight="1" x14ac:dyDescent="0.15">
      <c r="A72" s="11">
        <v>65</v>
      </c>
      <c r="B72" s="2"/>
      <c r="C72" s="3"/>
      <c r="D72" s="20"/>
      <c r="E72" s="3"/>
      <c r="F72" s="4" t="str">
        <f t="shared" si="3"/>
        <v/>
      </c>
      <c r="G72" s="5"/>
      <c r="H72" s="5" t="str">
        <f t="shared" si="4"/>
        <v/>
      </c>
      <c r="I72" s="18"/>
      <c r="J72" s="6" t="s">
        <v>16</v>
      </c>
      <c r="K72" s="16" t="str">
        <f t="shared" si="5"/>
        <v/>
      </c>
      <c r="L72" s="6" t="s">
        <v>6</v>
      </c>
      <c r="M72" s="27"/>
      <c r="N72" s="27"/>
    </row>
    <row r="73" spans="1:14" ht="18.75" customHeight="1" x14ac:dyDescent="0.15">
      <c r="A73" s="11">
        <v>66</v>
      </c>
      <c r="B73" s="2"/>
      <c r="C73" s="3"/>
      <c r="D73" s="20"/>
      <c r="E73" s="3"/>
      <c r="F73" s="4" t="str">
        <f t="shared" si="3"/>
        <v/>
      </c>
      <c r="G73" s="5"/>
      <c r="H73" s="5" t="str">
        <f t="shared" si="4"/>
        <v/>
      </c>
      <c r="I73" s="18"/>
      <c r="J73" s="6" t="s">
        <v>16</v>
      </c>
      <c r="K73" s="16" t="str">
        <f t="shared" si="5"/>
        <v/>
      </c>
      <c r="L73" s="6" t="s">
        <v>6</v>
      </c>
      <c r="M73" s="27"/>
      <c r="N73" s="27"/>
    </row>
    <row r="74" spans="1:14" ht="18.75" customHeight="1" x14ac:dyDescent="0.15">
      <c r="A74" s="11">
        <v>67</v>
      </c>
      <c r="B74" s="2"/>
      <c r="C74" s="3"/>
      <c r="D74" s="20"/>
      <c r="E74" s="3"/>
      <c r="F74" s="4" t="str">
        <f t="shared" si="3"/>
        <v/>
      </c>
      <c r="G74" s="5"/>
      <c r="H74" s="5" t="str">
        <f t="shared" si="4"/>
        <v/>
      </c>
      <c r="I74" s="18"/>
      <c r="J74" s="8" t="s">
        <v>16</v>
      </c>
      <c r="K74" s="16" t="str">
        <f t="shared" si="5"/>
        <v/>
      </c>
      <c r="L74" s="6" t="s">
        <v>6</v>
      </c>
      <c r="M74" s="27"/>
      <c r="N74" s="27"/>
    </row>
    <row r="75" spans="1:14" ht="18.75" customHeight="1" x14ac:dyDescent="0.15">
      <c r="A75" s="11">
        <v>68</v>
      </c>
      <c r="B75" s="2"/>
      <c r="C75" s="3"/>
      <c r="D75" s="20"/>
      <c r="E75" s="7"/>
      <c r="F75" s="4" t="str">
        <f t="shared" si="3"/>
        <v/>
      </c>
      <c r="G75" s="5"/>
      <c r="H75" s="5" t="str">
        <f t="shared" si="4"/>
        <v/>
      </c>
      <c r="I75" s="18"/>
      <c r="J75" s="6" t="s">
        <v>16</v>
      </c>
      <c r="K75" s="16" t="str">
        <f t="shared" si="5"/>
        <v/>
      </c>
      <c r="L75" s="6" t="s">
        <v>6</v>
      </c>
      <c r="M75" s="27"/>
      <c r="N75" s="27"/>
    </row>
    <row r="76" spans="1:14" ht="18.75" customHeight="1" x14ac:dyDescent="0.15">
      <c r="A76" s="11">
        <v>69</v>
      </c>
      <c r="B76" s="2"/>
      <c r="C76" s="3"/>
      <c r="D76" s="20"/>
      <c r="E76" s="3"/>
      <c r="F76" s="4" t="str">
        <f t="shared" si="3"/>
        <v/>
      </c>
      <c r="G76" s="5"/>
      <c r="H76" s="5" t="str">
        <f t="shared" si="4"/>
        <v/>
      </c>
      <c r="I76" s="18"/>
      <c r="J76" s="6" t="s">
        <v>16</v>
      </c>
      <c r="K76" s="16" t="str">
        <f t="shared" si="5"/>
        <v/>
      </c>
      <c r="L76" s="6" t="s">
        <v>6</v>
      </c>
      <c r="M76" s="27"/>
      <c r="N76" s="27"/>
    </row>
    <row r="77" spans="1:14" ht="18.75" customHeight="1" x14ac:dyDescent="0.15">
      <c r="A77" s="11">
        <v>70</v>
      </c>
      <c r="B77" s="2"/>
      <c r="C77" s="3"/>
      <c r="D77" s="20"/>
      <c r="E77" s="3"/>
      <c r="F77" s="4" t="str">
        <f t="shared" si="3"/>
        <v/>
      </c>
      <c r="G77" s="5"/>
      <c r="H77" s="5" t="str">
        <f t="shared" si="4"/>
        <v/>
      </c>
      <c r="I77" s="18"/>
      <c r="J77" s="6" t="s">
        <v>16</v>
      </c>
      <c r="K77" s="16" t="str">
        <f t="shared" si="5"/>
        <v/>
      </c>
      <c r="L77" s="6" t="s">
        <v>6</v>
      </c>
      <c r="M77" s="27"/>
      <c r="N77" s="27"/>
    </row>
    <row r="78" spans="1:14" ht="18.75" customHeight="1" x14ac:dyDescent="0.15">
      <c r="A78" s="11">
        <v>71</v>
      </c>
      <c r="B78" s="2"/>
      <c r="C78" s="3"/>
      <c r="D78" s="20"/>
      <c r="E78" s="3"/>
      <c r="F78" s="4" t="str">
        <f t="shared" si="3"/>
        <v/>
      </c>
      <c r="G78" s="5"/>
      <c r="H78" s="5" t="str">
        <f t="shared" si="4"/>
        <v/>
      </c>
      <c r="I78" s="21"/>
      <c r="J78" s="6" t="s">
        <v>16</v>
      </c>
      <c r="K78" s="16" t="str">
        <f t="shared" si="5"/>
        <v/>
      </c>
      <c r="L78" s="6" t="s">
        <v>6</v>
      </c>
      <c r="M78" s="27"/>
      <c r="N78" s="27"/>
    </row>
    <row r="79" spans="1:14" ht="18.75" customHeight="1" x14ac:dyDescent="0.15">
      <c r="A79" s="11">
        <v>72</v>
      </c>
      <c r="B79" s="2"/>
      <c r="C79" s="3"/>
      <c r="D79" s="20"/>
      <c r="E79" s="3"/>
      <c r="F79" s="4" t="str">
        <f t="shared" si="3"/>
        <v/>
      </c>
      <c r="G79" s="5"/>
      <c r="H79" s="5" t="str">
        <f t="shared" si="4"/>
        <v/>
      </c>
      <c r="I79" s="18"/>
      <c r="J79" s="6" t="s">
        <v>16</v>
      </c>
      <c r="K79" s="16" t="str">
        <f t="shared" si="5"/>
        <v/>
      </c>
      <c r="L79" s="6" t="s">
        <v>6</v>
      </c>
      <c r="M79" s="27"/>
      <c r="N79" s="27"/>
    </row>
    <row r="80" spans="1:14" ht="18.75" customHeight="1" x14ac:dyDescent="0.15">
      <c r="A80" s="11">
        <v>73</v>
      </c>
      <c r="B80" s="2"/>
      <c r="C80" s="3"/>
      <c r="D80" s="20"/>
      <c r="E80" s="7"/>
      <c r="F80" s="4" t="str">
        <f t="shared" si="3"/>
        <v/>
      </c>
      <c r="G80" s="5"/>
      <c r="H80" s="5" t="str">
        <f t="shared" si="4"/>
        <v/>
      </c>
      <c r="I80" s="17"/>
      <c r="J80" s="6" t="s">
        <v>16</v>
      </c>
      <c r="K80" s="16" t="str">
        <f t="shared" si="5"/>
        <v/>
      </c>
      <c r="L80" s="6" t="s">
        <v>6</v>
      </c>
      <c r="M80" s="27"/>
      <c r="N80" s="27"/>
    </row>
    <row r="81" spans="1:14" ht="18.75" customHeight="1" x14ac:dyDescent="0.15">
      <c r="A81" s="11">
        <v>74</v>
      </c>
      <c r="B81" s="2"/>
      <c r="C81" s="3"/>
      <c r="D81" s="20"/>
      <c r="E81" s="3"/>
      <c r="F81" s="4" t="str">
        <f t="shared" si="3"/>
        <v/>
      </c>
      <c r="G81" s="5"/>
      <c r="H81" s="5" t="str">
        <f t="shared" si="4"/>
        <v/>
      </c>
      <c r="I81" s="18"/>
      <c r="J81" s="6" t="s">
        <v>16</v>
      </c>
      <c r="K81" s="16" t="str">
        <f t="shared" si="5"/>
        <v/>
      </c>
      <c r="L81" s="6" t="s">
        <v>6</v>
      </c>
      <c r="M81" s="27"/>
      <c r="N81" s="27"/>
    </row>
    <row r="82" spans="1:14" ht="18.75" customHeight="1" x14ac:dyDescent="0.15">
      <c r="A82" s="11">
        <v>75</v>
      </c>
      <c r="B82" s="2"/>
      <c r="C82" s="3"/>
      <c r="D82" s="20"/>
      <c r="E82" s="3"/>
      <c r="F82" s="4"/>
      <c r="G82" s="5"/>
      <c r="H82" s="5"/>
      <c r="I82" s="18"/>
      <c r="J82" s="6" t="s">
        <v>16</v>
      </c>
      <c r="K82" s="16"/>
      <c r="L82" s="6" t="s">
        <v>6</v>
      </c>
      <c r="M82" s="27"/>
      <c r="N82" s="27"/>
    </row>
    <row r="83" spans="1:14" ht="18.75" customHeight="1" x14ac:dyDescent="0.15">
      <c r="A83" s="11">
        <v>76</v>
      </c>
      <c r="B83" s="2"/>
      <c r="C83" s="3"/>
      <c r="D83" s="20"/>
      <c r="E83" s="3"/>
      <c r="F83" s="4"/>
      <c r="G83" s="5"/>
      <c r="H83" s="5"/>
      <c r="I83" s="18"/>
      <c r="J83" s="6" t="s">
        <v>16</v>
      </c>
      <c r="K83" s="16"/>
      <c r="L83" s="6" t="s">
        <v>6</v>
      </c>
      <c r="M83" s="27"/>
      <c r="N83" s="27"/>
    </row>
    <row r="84" spans="1:14" ht="18.75" customHeight="1" x14ac:dyDescent="0.15">
      <c r="A84" s="11">
        <v>77</v>
      </c>
      <c r="B84" s="2"/>
      <c r="C84" s="3"/>
      <c r="D84" s="20"/>
      <c r="E84" s="3"/>
      <c r="F84" s="4"/>
      <c r="G84" s="5"/>
      <c r="H84" s="5"/>
      <c r="I84" s="18"/>
      <c r="J84" s="6" t="s">
        <v>16</v>
      </c>
      <c r="K84" s="16"/>
      <c r="L84" s="6" t="s">
        <v>6</v>
      </c>
      <c r="M84" s="27"/>
      <c r="N84" s="27"/>
    </row>
    <row r="85" spans="1:14" ht="18.75" customHeight="1" x14ac:dyDescent="0.15">
      <c r="A85" s="11">
        <v>78</v>
      </c>
      <c r="B85" s="2"/>
      <c r="C85" s="3"/>
      <c r="D85" s="20"/>
      <c r="E85" s="3"/>
      <c r="F85" s="4"/>
      <c r="G85" s="5"/>
      <c r="H85" s="5"/>
      <c r="I85" s="18"/>
      <c r="J85" s="6" t="s">
        <v>16</v>
      </c>
      <c r="K85" s="16"/>
      <c r="L85" s="6" t="s">
        <v>6</v>
      </c>
      <c r="M85" s="27"/>
      <c r="N85" s="27"/>
    </row>
    <row r="86" spans="1:14" ht="18.75" customHeight="1" x14ac:dyDescent="0.15">
      <c r="A86" s="11">
        <v>79</v>
      </c>
      <c r="B86" s="2"/>
      <c r="C86" s="3"/>
      <c r="D86" s="20"/>
      <c r="E86" s="3"/>
      <c r="F86" s="4" t="str">
        <f>IF(E86="","",E86-7*INT(E86/7))</f>
        <v/>
      </c>
      <c r="G86" s="5"/>
      <c r="H86" s="5" t="str">
        <f>IF(G86="","",G86)</f>
        <v/>
      </c>
      <c r="I86" s="18"/>
      <c r="J86" s="6" t="s">
        <v>16</v>
      </c>
      <c r="K86" s="16" t="str">
        <f>IF(I86&gt;0,I86,"")</f>
        <v/>
      </c>
      <c r="L86" s="6" t="s">
        <v>6</v>
      </c>
      <c r="M86" s="27"/>
      <c r="N86" s="27"/>
    </row>
    <row r="87" spans="1:14" ht="18.75" customHeight="1" x14ac:dyDescent="0.15">
      <c r="A87" s="11">
        <v>80</v>
      </c>
      <c r="B87" s="2"/>
      <c r="C87" s="3"/>
      <c r="D87" s="20"/>
      <c r="E87" s="3"/>
      <c r="F87" s="4" t="str">
        <f>IF(E87="","",E87-7*INT(E87/7))</f>
        <v/>
      </c>
      <c r="G87" s="5"/>
      <c r="H87" s="5" t="str">
        <f>IF(G87="","",G87)</f>
        <v/>
      </c>
      <c r="I87" s="18"/>
      <c r="J87" s="6" t="s">
        <v>16</v>
      </c>
      <c r="K87" s="22" t="str">
        <f>IF(I87&gt;0,I87,"")</f>
        <v/>
      </c>
      <c r="L87" s="6" t="s">
        <v>6</v>
      </c>
      <c r="M87" s="27"/>
      <c r="N87" s="27"/>
    </row>
    <row r="88" spans="1:14" ht="18.75" customHeight="1" x14ac:dyDescent="0.15">
      <c r="I88" s="23">
        <f>SUM(I48:I87)+I44</f>
        <v>0</v>
      </c>
      <c r="J88" s="10" t="s">
        <v>17</v>
      </c>
      <c r="K88" s="24">
        <f>SUM(K48:K87)+K44</f>
        <v>0</v>
      </c>
      <c r="L88" s="10" t="s">
        <v>6</v>
      </c>
    </row>
  </sheetData>
  <mergeCells count="12">
    <mergeCell ref="B46:M46"/>
    <mergeCell ref="B45:M45"/>
    <mergeCell ref="C47:D47"/>
    <mergeCell ref="E47:F47"/>
    <mergeCell ref="I47:J47"/>
    <mergeCell ref="K47:L47"/>
    <mergeCell ref="B1:M1"/>
    <mergeCell ref="B2:M2"/>
    <mergeCell ref="C3:D3"/>
    <mergeCell ref="E3:F3"/>
    <mergeCell ref="I3:J3"/>
    <mergeCell ref="K3:L3"/>
  </mergeCells>
  <phoneticPr fontId="2"/>
  <dataValidations count="3">
    <dataValidation imeMode="on" allowBlank="1" showInputMessage="1" showErrorMessage="1" sqref="B48:C87 B4:C43" xr:uid="{3566F9B0-F88D-4F0B-B331-CBA489453856}"/>
    <dataValidation imeMode="disabled" allowBlank="1" showInputMessage="1" showErrorMessage="1" sqref="E48:E87 G48:N87 G4:N43 E4:E43" xr:uid="{F09FAC93-34A9-4FC7-8571-3B5931105507}"/>
    <dataValidation type="list" imeMode="on" allowBlank="1" showInputMessage="1" showErrorMessage="1" promptTitle="こんにちは" sqref="D48:D87 D4:D43" xr:uid="{8952D020-2FA2-4B26-AB36-30F70EF2D644}">
      <formula1>"鴛泊下水浄化センター,沓形浄化センター"</formula1>
    </dataValidation>
  </dataValidations>
  <printOptions horizontalCentered="1" verticalCentered="1"/>
  <pageMargins left="0.59055118110236227" right="0.59055118110236227" top="0.59055118110236227" bottom="0.59055118110236227" header="0.51181102362204722" footer="0.51181102362204722"/>
  <pageSetup paperSize="9" orientation="portrait" horizontalDpi="4294967293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AABDB-D6F2-4496-B766-6FAE4F438586}">
  <dimension ref="A1:O88"/>
  <sheetViews>
    <sheetView workbookViewId="0">
      <selection sqref="A1:XFD1048576"/>
    </sheetView>
  </sheetViews>
  <sheetFormatPr defaultRowHeight="13.5" x14ac:dyDescent="0.15"/>
  <cols>
    <col min="1" max="1" width="3.375" style="12" customWidth="1"/>
    <col min="2" max="2" width="12.25" style="10" customWidth="1"/>
    <col min="3" max="3" width="1" style="10" customWidth="1"/>
    <col min="4" max="4" width="17.625" style="12" customWidth="1"/>
    <col min="5" max="5" width="10.625" style="10" customWidth="1"/>
    <col min="6" max="6" width="2.125" style="10" customWidth="1"/>
    <col min="7" max="8" width="8.125" style="10" customWidth="1"/>
    <col min="9" max="9" width="6" style="13" customWidth="1"/>
    <col min="10" max="10" width="2.375" style="10" customWidth="1"/>
    <col min="11" max="11" width="5.5" style="10" customWidth="1"/>
    <col min="12" max="12" width="2.25" style="10" customWidth="1"/>
    <col min="13" max="13" width="6.25" style="49" customWidth="1"/>
    <col min="14" max="14" width="6.25" style="10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 x14ac:dyDescent="0.15">
      <c r="B1" s="95" t="s">
        <v>9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5" ht="21" customHeight="1" x14ac:dyDescent="0.15"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spans="1:15" ht="27" customHeight="1" x14ac:dyDescent="0.15">
      <c r="A3" s="11"/>
      <c r="B3" s="29" t="s">
        <v>1</v>
      </c>
      <c r="C3" s="102" t="s">
        <v>2</v>
      </c>
      <c r="D3" s="103"/>
      <c r="E3" s="104" t="s">
        <v>3</v>
      </c>
      <c r="F3" s="105"/>
      <c r="G3" s="25" t="s">
        <v>4</v>
      </c>
      <c r="H3" s="25" t="s">
        <v>7</v>
      </c>
      <c r="I3" s="106" t="s">
        <v>8</v>
      </c>
      <c r="J3" s="107"/>
      <c r="K3" s="106" t="s">
        <v>5</v>
      </c>
      <c r="L3" s="106"/>
      <c r="M3" s="30" t="s">
        <v>10</v>
      </c>
      <c r="N3" s="31" t="s">
        <v>18</v>
      </c>
    </row>
    <row r="4" spans="1:15" ht="18.75" customHeight="1" x14ac:dyDescent="0.15">
      <c r="A4" s="11">
        <v>1</v>
      </c>
      <c r="B4" s="2"/>
      <c r="C4" s="88"/>
      <c r="D4" s="93"/>
      <c r="E4" s="3"/>
      <c r="F4" s="4" t="str">
        <f t="shared" ref="F4:F41" si="0">IF(E4="","",E4-INT(E4/7)*7)</f>
        <v/>
      </c>
      <c r="G4" s="5"/>
      <c r="H4" s="5" t="str">
        <f t="shared" ref="H4:H41" si="1">IF(G4="","",G4)</f>
        <v/>
      </c>
      <c r="I4" s="32"/>
      <c r="J4" s="6" t="s">
        <v>19</v>
      </c>
      <c r="K4" s="33" t="str">
        <f t="shared" ref="K4:K41" si="2">IF(I4&gt;0,I4*0.2,"")</f>
        <v/>
      </c>
      <c r="L4" s="6" t="s">
        <v>6</v>
      </c>
      <c r="M4" s="27"/>
      <c r="N4" s="34"/>
    </row>
    <row r="5" spans="1:15" ht="18.75" customHeight="1" x14ac:dyDescent="0.15">
      <c r="A5" s="11">
        <v>2</v>
      </c>
      <c r="B5" s="2"/>
      <c r="C5" s="88"/>
      <c r="D5" s="93"/>
      <c r="E5" s="7"/>
      <c r="F5" s="4" t="str">
        <f t="shared" si="0"/>
        <v/>
      </c>
      <c r="G5" s="5"/>
      <c r="H5" s="5" t="str">
        <f t="shared" si="1"/>
        <v/>
      </c>
      <c r="I5" s="35"/>
      <c r="J5" s="36" t="s">
        <v>19</v>
      </c>
      <c r="K5" s="37" t="str">
        <f t="shared" si="2"/>
        <v/>
      </c>
      <c r="L5" s="6" t="s">
        <v>6</v>
      </c>
      <c r="M5" s="27"/>
      <c r="N5" s="27"/>
    </row>
    <row r="6" spans="1:15" ht="18.75" customHeight="1" x14ac:dyDescent="0.15">
      <c r="A6" s="11">
        <v>3</v>
      </c>
      <c r="B6" s="2"/>
      <c r="C6" s="88"/>
      <c r="D6" s="93"/>
      <c r="E6" s="3"/>
      <c r="F6" s="4" t="str">
        <f t="shared" si="0"/>
        <v/>
      </c>
      <c r="G6" s="5"/>
      <c r="H6" s="5" t="str">
        <f t="shared" si="1"/>
        <v/>
      </c>
      <c r="I6" s="38"/>
      <c r="J6" s="8" t="s">
        <v>19</v>
      </c>
      <c r="K6" s="39" t="str">
        <f t="shared" si="2"/>
        <v/>
      </c>
      <c r="L6" s="9" t="s">
        <v>6</v>
      </c>
      <c r="M6" s="40"/>
      <c r="N6" s="27"/>
    </row>
    <row r="7" spans="1:15" ht="18.75" customHeight="1" x14ac:dyDescent="0.15">
      <c r="A7" s="11">
        <v>4</v>
      </c>
      <c r="B7" s="2"/>
      <c r="C7" s="88"/>
      <c r="D7" s="93"/>
      <c r="E7" s="3"/>
      <c r="F7" s="4" t="str">
        <f t="shared" si="0"/>
        <v/>
      </c>
      <c r="G7" s="5"/>
      <c r="H7" s="5" t="str">
        <f t="shared" si="1"/>
        <v/>
      </c>
      <c r="I7" s="35"/>
      <c r="J7" s="6" t="s">
        <v>19</v>
      </c>
      <c r="K7" s="33" t="str">
        <f t="shared" si="2"/>
        <v/>
      </c>
      <c r="L7" s="6" t="s">
        <v>6</v>
      </c>
      <c r="M7" s="27"/>
      <c r="N7" s="27"/>
    </row>
    <row r="8" spans="1:15" ht="18.75" customHeight="1" x14ac:dyDescent="0.15">
      <c r="A8" s="11">
        <v>5</v>
      </c>
      <c r="B8" s="2"/>
      <c r="C8" s="88"/>
      <c r="D8" s="93"/>
      <c r="E8" s="3"/>
      <c r="F8" s="4" t="str">
        <f t="shared" si="0"/>
        <v/>
      </c>
      <c r="G8" s="5"/>
      <c r="H8" s="5" t="str">
        <f t="shared" si="1"/>
        <v/>
      </c>
      <c r="I8" s="35"/>
      <c r="J8" s="6" t="s">
        <v>19</v>
      </c>
      <c r="K8" s="33" t="str">
        <f t="shared" si="2"/>
        <v/>
      </c>
      <c r="L8" s="6" t="s">
        <v>6</v>
      </c>
      <c r="M8" s="27"/>
      <c r="N8" s="27"/>
    </row>
    <row r="9" spans="1:15" ht="18.75" customHeight="1" x14ac:dyDescent="0.15">
      <c r="A9" s="11">
        <v>6</v>
      </c>
      <c r="B9" s="2"/>
      <c r="C9" s="88"/>
      <c r="D9" s="93"/>
      <c r="E9" s="3"/>
      <c r="F9" s="4" t="str">
        <f t="shared" si="0"/>
        <v/>
      </c>
      <c r="G9" s="5"/>
      <c r="H9" s="5" t="str">
        <f t="shared" si="1"/>
        <v/>
      </c>
      <c r="I9" s="35"/>
      <c r="J9" s="6" t="s">
        <v>19</v>
      </c>
      <c r="K9" s="33" t="str">
        <f t="shared" si="2"/>
        <v/>
      </c>
      <c r="L9" s="6" t="s">
        <v>6</v>
      </c>
      <c r="M9" s="27"/>
      <c r="N9" s="27"/>
    </row>
    <row r="10" spans="1:15" ht="18.75" customHeight="1" x14ac:dyDescent="0.15">
      <c r="A10" s="11">
        <v>7</v>
      </c>
      <c r="B10" s="2"/>
      <c r="C10" s="88"/>
      <c r="D10" s="93"/>
      <c r="E10" s="3"/>
      <c r="F10" s="4" t="str">
        <f t="shared" si="0"/>
        <v/>
      </c>
      <c r="G10" s="5"/>
      <c r="H10" s="5" t="str">
        <f t="shared" si="1"/>
        <v/>
      </c>
      <c r="I10" s="35"/>
      <c r="J10" s="6" t="s">
        <v>19</v>
      </c>
      <c r="K10" s="33" t="str">
        <f t="shared" si="2"/>
        <v/>
      </c>
      <c r="L10" s="6" t="s">
        <v>6</v>
      </c>
      <c r="M10" s="27"/>
      <c r="N10" s="27"/>
    </row>
    <row r="11" spans="1:15" ht="18.75" customHeight="1" x14ac:dyDescent="0.15">
      <c r="A11" s="11">
        <v>8</v>
      </c>
      <c r="B11" s="2"/>
      <c r="C11" s="88"/>
      <c r="D11" s="93"/>
      <c r="E11" s="3"/>
      <c r="F11" s="4" t="str">
        <f t="shared" si="0"/>
        <v/>
      </c>
      <c r="G11" s="5"/>
      <c r="H11" s="5" t="str">
        <f t="shared" si="1"/>
        <v/>
      </c>
      <c r="I11" s="41"/>
      <c r="J11" s="8" t="s">
        <v>19</v>
      </c>
      <c r="K11" s="33" t="str">
        <f t="shared" si="2"/>
        <v/>
      </c>
      <c r="L11" s="9" t="s">
        <v>6</v>
      </c>
      <c r="M11" s="27"/>
      <c r="N11" s="27"/>
    </row>
    <row r="12" spans="1:15" ht="18.75" customHeight="1" x14ac:dyDescent="0.15">
      <c r="A12" s="11">
        <v>9</v>
      </c>
      <c r="B12" s="2"/>
      <c r="C12" s="88"/>
      <c r="D12" s="93"/>
      <c r="E12" s="3"/>
      <c r="F12" s="4" t="str">
        <f t="shared" si="0"/>
        <v/>
      </c>
      <c r="G12" s="5"/>
      <c r="H12" s="5" t="str">
        <f t="shared" si="1"/>
        <v/>
      </c>
      <c r="I12" s="35"/>
      <c r="J12" s="6" t="s">
        <v>19</v>
      </c>
      <c r="K12" s="33" t="str">
        <f t="shared" si="2"/>
        <v/>
      </c>
      <c r="L12" s="6" t="s">
        <v>6</v>
      </c>
      <c r="M12" s="27"/>
      <c r="N12" s="27"/>
    </row>
    <row r="13" spans="1:15" ht="18.75" customHeight="1" x14ac:dyDescent="0.15">
      <c r="A13" s="11">
        <v>10</v>
      </c>
      <c r="B13" s="2"/>
      <c r="C13" s="88"/>
      <c r="D13" s="93"/>
      <c r="E13" s="3"/>
      <c r="F13" s="4" t="str">
        <f t="shared" si="0"/>
        <v/>
      </c>
      <c r="G13" s="5"/>
      <c r="H13" s="5" t="str">
        <f t="shared" si="1"/>
        <v/>
      </c>
      <c r="I13" s="41"/>
      <c r="J13" s="8" t="s">
        <v>19</v>
      </c>
      <c r="K13" s="33" t="str">
        <f t="shared" si="2"/>
        <v/>
      </c>
      <c r="L13" s="9" t="s">
        <v>6</v>
      </c>
      <c r="M13" s="27"/>
      <c r="N13" s="27"/>
    </row>
    <row r="14" spans="1:15" ht="18.75" customHeight="1" x14ac:dyDescent="0.15">
      <c r="A14" s="11">
        <v>11</v>
      </c>
      <c r="B14" s="2"/>
      <c r="C14" s="88"/>
      <c r="D14" s="93"/>
      <c r="E14" s="3"/>
      <c r="F14" s="4" t="str">
        <f t="shared" si="0"/>
        <v/>
      </c>
      <c r="G14" s="5"/>
      <c r="H14" s="5" t="str">
        <f t="shared" si="1"/>
        <v/>
      </c>
      <c r="I14" s="35"/>
      <c r="J14" s="6" t="s">
        <v>19</v>
      </c>
      <c r="K14" s="33" t="str">
        <f t="shared" si="2"/>
        <v/>
      </c>
      <c r="L14" s="6" t="s">
        <v>6</v>
      </c>
      <c r="M14" s="27"/>
      <c r="N14" s="27"/>
      <c r="O14" s="59"/>
    </row>
    <row r="15" spans="1:15" ht="18.75" customHeight="1" x14ac:dyDescent="0.15">
      <c r="A15" s="11">
        <v>12</v>
      </c>
      <c r="B15" s="2"/>
      <c r="C15" s="88"/>
      <c r="D15" s="93"/>
      <c r="E15" s="3"/>
      <c r="F15" s="4" t="str">
        <f t="shared" si="0"/>
        <v/>
      </c>
      <c r="G15" s="5"/>
      <c r="H15" s="5" t="str">
        <f t="shared" si="1"/>
        <v/>
      </c>
      <c r="I15" s="42"/>
      <c r="J15" s="8" t="s">
        <v>20</v>
      </c>
      <c r="K15" s="33" t="str">
        <f t="shared" si="2"/>
        <v/>
      </c>
      <c r="L15" s="6" t="s">
        <v>6</v>
      </c>
      <c r="M15" s="27"/>
      <c r="N15" s="27"/>
    </row>
    <row r="16" spans="1:15" ht="18.75" customHeight="1" x14ac:dyDescent="0.15">
      <c r="A16" s="11">
        <v>13</v>
      </c>
      <c r="B16" s="2"/>
      <c r="C16" s="88"/>
      <c r="D16" s="93"/>
      <c r="E16" s="3"/>
      <c r="F16" s="4" t="str">
        <f t="shared" si="0"/>
        <v/>
      </c>
      <c r="G16" s="5"/>
      <c r="H16" s="5" t="str">
        <f t="shared" si="1"/>
        <v/>
      </c>
      <c r="I16" s="35"/>
      <c r="J16" s="6" t="s">
        <v>19</v>
      </c>
      <c r="K16" s="33" t="str">
        <f t="shared" si="2"/>
        <v/>
      </c>
      <c r="L16" s="6" t="s">
        <v>6</v>
      </c>
      <c r="M16" s="27"/>
      <c r="N16" s="27"/>
    </row>
    <row r="17" spans="1:15" ht="18.75" customHeight="1" x14ac:dyDescent="0.15">
      <c r="A17" s="11">
        <v>14</v>
      </c>
      <c r="B17" s="2"/>
      <c r="C17" s="88"/>
      <c r="D17" s="93"/>
      <c r="E17" s="3"/>
      <c r="F17" s="4" t="str">
        <f t="shared" si="0"/>
        <v/>
      </c>
      <c r="G17" s="5"/>
      <c r="H17" s="5" t="str">
        <f t="shared" si="1"/>
        <v/>
      </c>
      <c r="I17" s="35"/>
      <c r="J17" s="6" t="s">
        <v>19</v>
      </c>
      <c r="K17" s="33" t="str">
        <f t="shared" si="2"/>
        <v/>
      </c>
      <c r="L17" s="6" t="s">
        <v>6</v>
      </c>
      <c r="M17" s="27"/>
      <c r="N17" s="27"/>
    </row>
    <row r="18" spans="1:15" ht="18.75" customHeight="1" x14ac:dyDescent="0.15">
      <c r="A18" s="11">
        <v>15</v>
      </c>
      <c r="B18" s="2"/>
      <c r="C18" s="88"/>
      <c r="D18" s="93"/>
      <c r="E18" s="3"/>
      <c r="F18" s="4" t="str">
        <f t="shared" si="0"/>
        <v/>
      </c>
      <c r="G18" s="5"/>
      <c r="H18" s="5" t="str">
        <f t="shared" si="1"/>
        <v/>
      </c>
      <c r="I18" s="41"/>
      <c r="J18" s="6" t="s">
        <v>19</v>
      </c>
      <c r="K18" s="33" t="str">
        <f t="shared" si="2"/>
        <v/>
      </c>
      <c r="L18" s="9" t="s">
        <v>6</v>
      </c>
      <c r="M18" s="27"/>
      <c r="N18" s="27"/>
    </row>
    <row r="19" spans="1:15" ht="18.75" customHeight="1" x14ac:dyDescent="0.15">
      <c r="A19" s="11">
        <v>16</v>
      </c>
      <c r="B19" s="2"/>
      <c r="C19" s="88"/>
      <c r="D19" s="93"/>
      <c r="E19" s="3"/>
      <c r="F19" s="4" t="str">
        <f t="shared" si="0"/>
        <v/>
      </c>
      <c r="G19" s="5"/>
      <c r="H19" s="5" t="str">
        <f t="shared" si="1"/>
        <v/>
      </c>
      <c r="I19" s="35"/>
      <c r="J19" s="6" t="s">
        <v>19</v>
      </c>
      <c r="K19" s="33" t="str">
        <f t="shared" si="2"/>
        <v/>
      </c>
      <c r="L19" s="6" t="s">
        <v>6</v>
      </c>
      <c r="M19" s="27"/>
      <c r="N19" s="27"/>
    </row>
    <row r="20" spans="1:15" ht="18.75" customHeight="1" x14ac:dyDescent="0.15">
      <c r="A20" s="11">
        <v>17</v>
      </c>
      <c r="B20" s="2"/>
      <c r="C20" s="88"/>
      <c r="D20" s="93"/>
      <c r="E20" s="7"/>
      <c r="F20" s="4" t="str">
        <f t="shared" si="0"/>
        <v/>
      </c>
      <c r="G20" s="5"/>
      <c r="H20" s="5" t="str">
        <f t="shared" si="1"/>
        <v/>
      </c>
      <c r="I20" s="42"/>
      <c r="J20" s="8" t="s">
        <v>19</v>
      </c>
      <c r="K20" s="33" t="str">
        <f t="shared" si="2"/>
        <v/>
      </c>
      <c r="L20" s="6" t="s">
        <v>6</v>
      </c>
      <c r="M20" s="27"/>
      <c r="N20" s="34"/>
    </row>
    <row r="21" spans="1:15" ht="18.75" customHeight="1" x14ac:dyDescent="0.15">
      <c r="A21" s="11">
        <v>18</v>
      </c>
      <c r="B21" s="2"/>
      <c r="C21" s="88"/>
      <c r="D21" s="93"/>
      <c r="E21" s="3"/>
      <c r="F21" s="4" t="str">
        <f t="shared" si="0"/>
        <v/>
      </c>
      <c r="G21" s="5"/>
      <c r="H21" s="5" t="str">
        <f t="shared" si="1"/>
        <v/>
      </c>
      <c r="I21" s="35"/>
      <c r="J21" s="6" t="s">
        <v>19</v>
      </c>
      <c r="K21" s="33" t="str">
        <f t="shared" si="2"/>
        <v/>
      </c>
      <c r="L21" s="6" t="s">
        <v>6</v>
      </c>
      <c r="M21" s="27"/>
      <c r="N21" s="27"/>
    </row>
    <row r="22" spans="1:15" ht="18.75" customHeight="1" x14ac:dyDescent="0.15">
      <c r="A22" s="11">
        <v>19</v>
      </c>
      <c r="B22" s="2"/>
      <c r="C22" s="88"/>
      <c r="D22" s="93"/>
      <c r="E22" s="3"/>
      <c r="F22" s="4" t="str">
        <f t="shared" si="0"/>
        <v/>
      </c>
      <c r="G22" s="5"/>
      <c r="H22" s="5" t="str">
        <f t="shared" si="1"/>
        <v/>
      </c>
      <c r="I22" s="35"/>
      <c r="J22" s="6" t="s">
        <v>19</v>
      </c>
      <c r="K22" s="33" t="str">
        <f t="shared" si="2"/>
        <v/>
      </c>
      <c r="L22" s="6" t="s">
        <v>6</v>
      </c>
      <c r="M22" s="27"/>
      <c r="N22" s="27"/>
    </row>
    <row r="23" spans="1:15" ht="18.75" customHeight="1" x14ac:dyDescent="0.15">
      <c r="A23" s="11">
        <v>20</v>
      </c>
      <c r="B23" s="2"/>
      <c r="C23" s="88"/>
      <c r="D23" s="93"/>
      <c r="E23" s="3"/>
      <c r="F23" s="4" t="str">
        <f t="shared" si="0"/>
        <v/>
      </c>
      <c r="G23" s="5"/>
      <c r="H23" s="5" t="str">
        <f t="shared" si="1"/>
        <v/>
      </c>
      <c r="I23" s="35"/>
      <c r="J23" s="6" t="s">
        <v>11</v>
      </c>
      <c r="K23" s="33" t="str">
        <f t="shared" si="2"/>
        <v/>
      </c>
      <c r="L23" s="6" t="s">
        <v>6</v>
      </c>
      <c r="M23" s="27"/>
      <c r="N23" s="27"/>
    </row>
    <row r="24" spans="1:15" ht="18.75" customHeight="1" x14ac:dyDescent="0.15">
      <c r="A24" s="11">
        <v>21</v>
      </c>
      <c r="B24" s="2"/>
      <c r="C24" s="88"/>
      <c r="D24" s="93"/>
      <c r="E24" s="3"/>
      <c r="F24" s="4" t="str">
        <f t="shared" si="0"/>
        <v/>
      </c>
      <c r="G24" s="5"/>
      <c r="H24" s="5" t="str">
        <f t="shared" si="1"/>
        <v/>
      </c>
      <c r="I24" s="35"/>
      <c r="J24" s="8" t="s">
        <v>11</v>
      </c>
      <c r="K24" s="33" t="str">
        <f t="shared" si="2"/>
        <v/>
      </c>
      <c r="L24" s="6" t="s">
        <v>6</v>
      </c>
      <c r="M24" s="27"/>
      <c r="N24" s="27"/>
    </row>
    <row r="25" spans="1:15" ht="18.75" customHeight="1" x14ac:dyDescent="0.15">
      <c r="A25" s="11">
        <v>22</v>
      </c>
      <c r="B25" s="2"/>
      <c r="C25" s="88"/>
      <c r="D25" s="93"/>
      <c r="E25" s="3"/>
      <c r="F25" s="4" t="str">
        <f t="shared" si="0"/>
        <v/>
      </c>
      <c r="G25" s="5"/>
      <c r="H25" s="5" t="str">
        <f t="shared" si="1"/>
        <v/>
      </c>
      <c r="I25" s="41"/>
      <c r="J25" s="6" t="s">
        <v>11</v>
      </c>
      <c r="K25" s="33" t="str">
        <f t="shared" si="2"/>
        <v/>
      </c>
      <c r="L25" s="6" t="s">
        <v>6</v>
      </c>
      <c r="M25" s="27"/>
      <c r="N25" s="27"/>
    </row>
    <row r="26" spans="1:15" ht="18.75" customHeight="1" x14ac:dyDescent="0.15">
      <c r="A26" s="11">
        <v>23</v>
      </c>
      <c r="B26" s="2"/>
      <c r="C26" s="88"/>
      <c r="D26" s="93"/>
      <c r="E26" s="3"/>
      <c r="F26" s="4" t="str">
        <f t="shared" si="0"/>
        <v/>
      </c>
      <c r="G26" s="5"/>
      <c r="H26" s="5" t="str">
        <f t="shared" si="1"/>
        <v/>
      </c>
      <c r="I26" s="41"/>
      <c r="J26" s="6" t="s">
        <v>19</v>
      </c>
      <c r="K26" s="33" t="str">
        <f t="shared" si="2"/>
        <v/>
      </c>
      <c r="L26" s="6" t="s">
        <v>6</v>
      </c>
      <c r="M26" s="27"/>
      <c r="N26" s="27"/>
    </row>
    <row r="27" spans="1:15" ht="18.75" customHeight="1" x14ac:dyDescent="0.15">
      <c r="A27" s="11">
        <v>24</v>
      </c>
      <c r="B27" s="2"/>
      <c r="C27" s="88"/>
      <c r="D27" s="93"/>
      <c r="E27" s="3"/>
      <c r="F27" s="4" t="str">
        <f t="shared" si="0"/>
        <v/>
      </c>
      <c r="G27" s="5"/>
      <c r="H27" s="5" t="str">
        <f t="shared" si="1"/>
        <v/>
      </c>
      <c r="I27" s="35"/>
      <c r="J27" s="8" t="s">
        <v>19</v>
      </c>
      <c r="K27" s="33" t="str">
        <f t="shared" si="2"/>
        <v/>
      </c>
      <c r="L27" s="6" t="s">
        <v>6</v>
      </c>
      <c r="M27" s="27"/>
      <c r="N27" s="27"/>
      <c r="O27" s="59"/>
    </row>
    <row r="28" spans="1:15" ht="18.75" customHeight="1" x14ac:dyDescent="0.15">
      <c r="A28" s="11">
        <v>25</v>
      </c>
      <c r="B28" s="2"/>
      <c r="C28" s="88"/>
      <c r="D28" s="93"/>
      <c r="E28" s="3"/>
      <c r="F28" s="4" t="str">
        <f t="shared" si="0"/>
        <v/>
      </c>
      <c r="G28" s="5"/>
      <c r="H28" s="5" t="str">
        <f t="shared" si="1"/>
        <v/>
      </c>
      <c r="I28" s="35"/>
      <c r="J28" s="6" t="s">
        <v>19</v>
      </c>
      <c r="K28" s="33" t="str">
        <f t="shared" si="2"/>
        <v/>
      </c>
      <c r="L28" s="6" t="s">
        <v>6</v>
      </c>
      <c r="M28" s="27"/>
      <c r="N28" s="27"/>
    </row>
    <row r="29" spans="1:15" ht="18.75" customHeight="1" x14ac:dyDescent="0.15">
      <c r="A29" s="11">
        <v>26</v>
      </c>
      <c r="B29" s="2"/>
      <c r="C29" s="88"/>
      <c r="D29" s="93"/>
      <c r="E29" s="3"/>
      <c r="F29" s="4" t="str">
        <f t="shared" si="0"/>
        <v/>
      </c>
      <c r="G29" s="5"/>
      <c r="H29" s="5" t="str">
        <f t="shared" si="1"/>
        <v/>
      </c>
      <c r="I29" s="35"/>
      <c r="J29" s="6" t="s">
        <v>19</v>
      </c>
      <c r="K29" s="33" t="str">
        <f t="shared" si="2"/>
        <v/>
      </c>
      <c r="L29" s="6" t="s">
        <v>6</v>
      </c>
      <c r="M29" s="27"/>
      <c r="N29" s="27"/>
    </row>
    <row r="30" spans="1:15" ht="18.75" customHeight="1" x14ac:dyDescent="0.15">
      <c r="A30" s="11">
        <v>27</v>
      </c>
      <c r="B30" s="2"/>
      <c r="C30" s="88"/>
      <c r="D30" s="93"/>
      <c r="E30" s="3"/>
      <c r="F30" s="4" t="str">
        <f t="shared" si="0"/>
        <v/>
      </c>
      <c r="G30" s="5"/>
      <c r="H30" s="5" t="str">
        <f t="shared" si="1"/>
        <v/>
      </c>
      <c r="I30" s="35"/>
      <c r="J30" s="8" t="s">
        <v>19</v>
      </c>
      <c r="K30" s="33" t="str">
        <f t="shared" si="2"/>
        <v/>
      </c>
      <c r="L30" s="6" t="s">
        <v>6</v>
      </c>
      <c r="M30" s="27"/>
      <c r="N30" s="27"/>
    </row>
    <row r="31" spans="1:15" ht="18.75" customHeight="1" x14ac:dyDescent="0.15">
      <c r="A31" s="11">
        <v>28</v>
      </c>
      <c r="B31" s="2"/>
      <c r="C31" s="88"/>
      <c r="D31" s="93"/>
      <c r="E31" s="7"/>
      <c r="F31" s="4" t="str">
        <f t="shared" si="0"/>
        <v/>
      </c>
      <c r="G31" s="5"/>
      <c r="H31" s="5" t="str">
        <f t="shared" si="1"/>
        <v/>
      </c>
      <c r="I31" s="41"/>
      <c r="J31" s="6" t="s">
        <v>19</v>
      </c>
      <c r="K31" s="33" t="str">
        <f t="shared" si="2"/>
        <v/>
      </c>
      <c r="L31" s="6" t="s">
        <v>6</v>
      </c>
      <c r="M31" s="27"/>
      <c r="N31" s="27"/>
    </row>
    <row r="32" spans="1:15" ht="18.75" customHeight="1" x14ac:dyDescent="0.15">
      <c r="A32" s="11">
        <v>29</v>
      </c>
      <c r="B32" s="2"/>
      <c r="C32" s="88"/>
      <c r="D32" s="93"/>
      <c r="E32" s="3"/>
      <c r="F32" s="4" t="str">
        <f t="shared" si="0"/>
        <v/>
      </c>
      <c r="G32" s="5"/>
      <c r="H32" s="5" t="str">
        <f t="shared" si="1"/>
        <v/>
      </c>
      <c r="I32" s="35"/>
      <c r="J32" s="6" t="s">
        <v>19</v>
      </c>
      <c r="K32" s="33" t="str">
        <f t="shared" si="2"/>
        <v/>
      </c>
      <c r="L32" s="6" t="s">
        <v>6</v>
      </c>
      <c r="M32" s="27"/>
      <c r="N32" s="27"/>
    </row>
    <row r="33" spans="1:15" ht="18.75" customHeight="1" x14ac:dyDescent="0.15">
      <c r="A33" s="11">
        <v>30</v>
      </c>
      <c r="B33" s="2"/>
      <c r="C33" s="88"/>
      <c r="D33" s="93"/>
      <c r="E33" s="3"/>
      <c r="F33" s="4" t="str">
        <f t="shared" si="0"/>
        <v/>
      </c>
      <c r="G33" s="5"/>
      <c r="H33" s="5" t="str">
        <f t="shared" si="1"/>
        <v/>
      </c>
      <c r="I33" s="35"/>
      <c r="J33" s="6" t="s">
        <v>19</v>
      </c>
      <c r="K33" s="33" t="str">
        <f t="shared" si="2"/>
        <v/>
      </c>
      <c r="L33" s="6" t="s">
        <v>6</v>
      </c>
      <c r="M33" s="27"/>
      <c r="N33" s="27"/>
    </row>
    <row r="34" spans="1:15" ht="18.75" customHeight="1" x14ac:dyDescent="0.15">
      <c r="A34" s="11">
        <v>31</v>
      </c>
      <c r="B34" s="2"/>
      <c r="C34" s="88"/>
      <c r="D34" s="93"/>
      <c r="E34" s="3"/>
      <c r="F34" s="4" t="str">
        <f t="shared" si="0"/>
        <v/>
      </c>
      <c r="G34" s="5"/>
      <c r="H34" s="5" t="str">
        <f t="shared" si="1"/>
        <v/>
      </c>
      <c r="I34" s="42"/>
      <c r="J34" s="6" t="s">
        <v>16</v>
      </c>
      <c r="K34" s="33" t="str">
        <f t="shared" si="2"/>
        <v/>
      </c>
      <c r="L34" s="6" t="s">
        <v>6</v>
      </c>
      <c r="M34" s="27"/>
      <c r="N34" s="27"/>
      <c r="O34" s="59"/>
    </row>
    <row r="35" spans="1:15" ht="18.75" customHeight="1" x14ac:dyDescent="0.15">
      <c r="A35" s="11">
        <v>32</v>
      </c>
      <c r="B35" s="2"/>
      <c r="C35" s="88"/>
      <c r="D35" s="93"/>
      <c r="E35" s="7"/>
      <c r="F35" s="4" t="str">
        <f t="shared" si="0"/>
        <v/>
      </c>
      <c r="G35" s="5"/>
      <c r="H35" s="5" t="str">
        <f t="shared" si="1"/>
        <v/>
      </c>
      <c r="I35" s="35"/>
      <c r="J35" s="6" t="s">
        <v>16</v>
      </c>
      <c r="K35" s="33" t="str">
        <f t="shared" si="2"/>
        <v/>
      </c>
      <c r="L35" s="6" t="s">
        <v>6</v>
      </c>
      <c r="M35" s="27"/>
      <c r="N35" s="27"/>
    </row>
    <row r="36" spans="1:15" ht="18.75" customHeight="1" x14ac:dyDescent="0.15">
      <c r="A36" s="11">
        <v>33</v>
      </c>
      <c r="B36" s="2"/>
      <c r="C36" s="88"/>
      <c r="D36" s="93"/>
      <c r="E36" s="3"/>
      <c r="F36" s="4" t="str">
        <f t="shared" si="0"/>
        <v/>
      </c>
      <c r="G36" s="5"/>
      <c r="H36" s="5" t="str">
        <f t="shared" si="1"/>
        <v/>
      </c>
      <c r="I36" s="43"/>
      <c r="J36" s="6" t="s">
        <v>16</v>
      </c>
      <c r="K36" s="33" t="str">
        <f t="shared" si="2"/>
        <v/>
      </c>
      <c r="L36" s="6" t="s">
        <v>6</v>
      </c>
      <c r="M36" s="27"/>
      <c r="N36" s="27"/>
    </row>
    <row r="37" spans="1:15" ht="18.75" customHeight="1" x14ac:dyDescent="0.15">
      <c r="A37" s="11">
        <v>34</v>
      </c>
      <c r="B37" s="2"/>
      <c r="C37" s="88"/>
      <c r="D37" s="93"/>
      <c r="E37" s="3"/>
      <c r="F37" s="4" t="str">
        <f t="shared" si="0"/>
        <v/>
      </c>
      <c r="G37" s="5"/>
      <c r="H37" s="5" t="str">
        <f t="shared" si="1"/>
        <v/>
      </c>
      <c r="I37" s="35"/>
      <c r="J37" s="6" t="s">
        <v>16</v>
      </c>
      <c r="K37" s="33" t="str">
        <f t="shared" si="2"/>
        <v/>
      </c>
      <c r="L37" s="6" t="s">
        <v>6</v>
      </c>
      <c r="M37" s="27"/>
      <c r="N37" s="27"/>
    </row>
    <row r="38" spans="1:15" ht="18.75" customHeight="1" x14ac:dyDescent="0.15">
      <c r="A38" s="11">
        <v>35</v>
      </c>
      <c r="B38" s="2"/>
      <c r="C38" s="88"/>
      <c r="D38" s="93"/>
      <c r="E38" s="7"/>
      <c r="F38" s="4" t="str">
        <f t="shared" si="0"/>
        <v/>
      </c>
      <c r="G38" s="5"/>
      <c r="H38" s="5" t="str">
        <f t="shared" si="1"/>
        <v/>
      </c>
      <c r="I38" s="42"/>
      <c r="J38" s="6" t="s">
        <v>16</v>
      </c>
      <c r="K38" s="33" t="str">
        <f t="shared" si="2"/>
        <v/>
      </c>
      <c r="L38" s="6" t="s">
        <v>6</v>
      </c>
      <c r="M38" s="27"/>
      <c r="N38" s="27"/>
    </row>
    <row r="39" spans="1:15" ht="18.75" customHeight="1" x14ac:dyDescent="0.15">
      <c r="A39" s="11">
        <v>36</v>
      </c>
      <c r="B39" s="2"/>
      <c r="C39" s="88"/>
      <c r="D39" s="93"/>
      <c r="E39" s="3"/>
      <c r="F39" s="4" t="str">
        <f t="shared" si="0"/>
        <v/>
      </c>
      <c r="G39" s="5"/>
      <c r="H39" s="5" t="str">
        <f t="shared" si="1"/>
        <v/>
      </c>
      <c r="I39" s="35"/>
      <c r="J39" s="6" t="s">
        <v>16</v>
      </c>
      <c r="K39" s="33" t="str">
        <f t="shared" si="2"/>
        <v/>
      </c>
      <c r="L39" s="6" t="s">
        <v>6</v>
      </c>
      <c r="M39" s="27"/>
      <c r="N39" s="27"/>
    </row>
    <row r="40" spans="1:15" ht="18.75" customHeight="1" x14ac:dyDescent="0.15">
      <c r="A40" s="11">
        <v>37</v>
      </c>
      <c r="B40" s="2"/>
      <c r="C40" s="88"/>
      <c r="D40" s="93"/>
      <c r="E40" s="3"/>
      <c r="F40" s="4" t="str">
        <f t="shared" si="0"/>
        <v/>
      </c>
      <c r="G40" s="5"/>
      <c r="H40" s="5" t="str">
        <f t="shared" si="1"/>
        <v/>
      </c>
      <c r="I40" s="35"/>
      <c r="J40" s="6" t="s">
        <v>16</v>
      </c>
      <c r="K40" s="33" t="str">
        <f t="shared" si="2"/>
        <v/>
      </c>
      <c r="L40" s="6" t="s">
        <v>6</v>
      </c>
      <c r="M40" s="27"/>
      <c r="N40" s="27"/>
    </row>
    <row r="41" spans="1:15" ht="18.75" customHeight="1" x14ac:dyDescent="0.15">
      <c r="A41" s="11">
        <v>38</v>
      </c>
      <c r="B41" s="2"/>
      <c r="C41" s="88"/>
      <c r="D41" s="93"/>
      <c r="E41" s="3"/>
      <c r="F41" s="4" t="str">
        <f t="shared" si="0"/>
        <v/>
      </c>
      <c r="G41" s="5"/>
      <c r="H41" s="5" t="str">
        <f t="shared" si="1"/>
        <v/>
      </c>
      <c r="I41" s="35"/>
      <c r="J41" s="6" t="s">
        <v>16</v>
      </c>
      <c r="K41" s="37" t="str">
        <f t="shared" si="2"/>
        <v/>
      </c>
      <c r="L41" s="6" t="s">
        <v>6</v>
      </c>
      <c r="M41" s="27"/>
      <c r="N41" s="27"/>
    </row>
    <row r="42" spans="1:15" ht="18.75" customHeight="1" x14ac:dyDescent="0.15">
      <c r="A42" s="11">
        <v>39</v>
      </c>
      <c r="B42" s="2"/>
      <c r="C42" s="88"/>
      <c r="D42" s="93"/>
      <c r="E42" s="3"/>
      <c r="F42" s="4"/>
      <c r="G42" s="5"/>
      <c r="H42" s="5"/>
      <c r="I42" s="35"/>
      <c r="J42" s="6" t="s">
        <v>16</v>
      </c>
      <c r="K42" s="37"/>
      <c r="L42" s="6" t="s">
        <v>6</v>
      </c>
      <c r="M42" s="27"/>
      <c r="N42" s="27"/>
    </row>
    <row r="43" spans="1:15" ht="18.75" customHeight="1" thickBot="1" x14ac:dyDescent="0.2">
      <c r="A43" s="50">
        <v>40</v>
      </c>
      <c r="B43" s="51"/>
      <c r="C43" s="52"/>
      <c r="D43" s="94"/>
      <c r="E43" s="52"/>
      <c r="F43" s="53"/>
      <c r="G43" s="54"/>
      <c r="H43" s="54"/>
      <c r="I43" s="55"/>
      <c r="J43" s="56" t="s">
        <v>15</v>
      </c>
      <c r="K43" s="57"/>
      <c r="L43" s="56" t="s">
        <v>6</v>
      </c>
      <c r="M43" s="86" t="s">
        <v>21</v>
      </c>
      <c r="N43" s="86" t="s">
        <v>22</v>
      </c>
    </row>
    <row r="44" spans="1:15" ht="18.75" customHeight="1" thickTop="1" x14ac:dyDescent="0.15">
      <c r="B44" s="44"/>
      <c r="C44" s="44"/>
      <c r="D44" s="45"/>
      <c r="E44" s="44"/>
      <c r="F44" s="44" t="str">
        <f>IF(E44="","",E44-INT(E44/7)*7)</f>
        <v/>
      </c>
      <c r="G44" s="46"/>
      <c r="H44" s="46" t="str">
        <f>IF(G44="","",G44)</f>
        <v/>
      </c>
      <c r="I44" s="61">
        <f>SUM(I4:I43)</f>
        <v>0</v>
      </c>
      <c r="J44" s="8" t="s">
        <v>15</v>
      </c>
      <c r="K44" s="47">
        <f>SUM(K4:K43)</f>
        <v>0</v>
      </c>
      <c r="L44" s="8" t="s">
        <v>6</v>
      </c>
      <c r="M44" s="48">
        <f>SUM(K44)-N44</f>
        <v>0</v>
      </c>
      <c r="N44" s="72">
        <f>SUMIF(M4:M42,"",K4:K43)</f>
        <v>0</v>
      </c>
    </row>
    <row r="45" spans="1:15" ht="20.25" customHeight="1" x14ac:dyDescent="0.15">
      <c r="B45" s="95" t="s">
        <v>9</v>
      </c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</row>
    <row r="46" spans="1:15" ht="21" customHeight="1" x14ac:dyDescent="0.15">
      <c r="B46" s="96" t="s">
        <v>0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</row>
    <row r="47" spans="1:15" ht="27" customHeight="1" x14ac:dyDescent="0.15">
      <c r="A47" s="11"/>
      <c r="B47" s="29" t="s">
        <v>1</v>
      </c>
      <c r="C47" s="102" t="s">
        <v>2</v>
      </c>
      <c r="D47" s="103"/>
      <c r="E47" s="104" t="s">
        <v>3</v>
      </c>
      <c r="F47" s="105"/>
      <c r="G47" s="25" t="s">
        <v>4</v>
      </c>
      <c r="H47" s="25" t="s">
        <v>7</v>
      </c>
      <c r="I47" s="106" t="s">
        <v>8</v>
      </c>
      <c r="J47" s="107"/>
      <c r="K47" s="106" t="s">
        <v>5</v>
      </c>
      <c r="L47" s="106"/>
      <c r="M47" s="30" t="s">
        <v>10</v>
      </c>
      <c r="N47" s="31" t="s">
        <v>18</v>
      </c>
    </row>
    <row r="48" spans="1:15" ht="18.75" customHeight="1" x14ac:dyDescent="0.15">
      <c r="A48" s="11">
        <v>41</v>
      </c>
      <c r="B48" s="2"/>
      <c r="C48" s="88"/>
      <c r="D48" s="93"/>
      <c r="E48" s="3"/>
      <c r="F48" s="4" t="str">
        <f t="shared" ref="F48:F88" si="3">IF(E48="","",E48-INT(E48/7)*7)</f>
        <v/>
      </c>
      <c r="G48" s="5"/>
      <c r="H48" s="5" t="str">
        <f t="shared" ref="H48:H88" si="4">IF(G48="","",G48)</f>
        <v/>
      </c>
      <c r="I48" s="32"/>
      <c r="J48" s="6" t="s">
        <v>19</v>
      </c>
      <c r="K48" s="33" t="str">
        <f t="shared" ref="K48:K85" si="5">IF(I48&gt;0,I48*0.2,"")</f>
        <v/>
      </c>
      <c r="L48" s="6" t="s">
        <v>6</v>
      </c>
      <c r="M48" s="27"/>
      <c r="N48" s="34"/>
    </row>
    <row r="49" spans="1:14" ht="18.75" customHeight="1" x14ac:dyDescent="0.15">
      <c r="A49" s="11">
        <v>42</v>
      </c>
      <c r="B49" s="2"/>
      <c r="C49" s="88"/>
      <c r="D49" s="93"/>
      <c r="E49" s="7"/>
      <c r="F49" s="4" t="str">
        <f t="shared" si="3"/>
        <v/>
      </c>
      <c r="G49" s="5"/>
      <c r="H49" s="5" t="str">
        <f t="shared" si="4"/>
        <v/>
      </c>
      <c r="I49" s="35"/>
      <c r="J49" s="36" t="s">
        <v>19</v>
      </c>
      <c r="K49" s="37" t="str">
        <f t="shared" si="5"/>
        <v/>
      </c>
      <c r="L49" s="6" t="s">
        <v>6</v>
      </c>
      <c r="M49" s="27"/>
      <c r="N49" s="27"/>
    </row>
    <row r="50" spans="1:14" ht="18.75" customHeight="1" x14ac:dyDescent="0.15">
      <c r="A50" s="11">
        <v>43</v>
      </c>
      <c r="B50" s="2"/>
      <c r="C50" s="88"/>
      <c r="D50" s="93"/>
      <c r="E50" s="3"/>
      <c r="F50" s="4" t="str">
        <f t="shared" si="3"/>
        <v/>
      </c>
      <c r="G50" s="5"/>
      <c r="H50" s="5" t="str">
        <f t="shared" si="4"/>
        <v/>
      </c>
      <c r="I50" s="38"/>
      <c r="J50" s="8" t="s">
        <v>19</v>
      </c>
      <c r="K50" s="39" t="str">
        <f t="shared" si="5"/>
        <v/>
      </c>
      <c r="L50" s="9" t="s">
        <v>6</v>
      </c>
      <c r="M50" s="40"/>
      <c r="N50" s="27"/>
    </row>
    <row r="51" spans="1:14" ht="18.75" customHeight="1" x14ac:dyDescent="0.15">
      <c r="A51" s="11">
        <v>44</v>
      </c>
      <c r="B51" s="2"/>
      <c r="C51" s="88"/>
      <c r="D51" s="93"/>
      <c r="E51" s="3"/>
      <c r="F51" s="4" t="str">
        <f t="shared" si="3"/>
        <v/>
      </c>
      <c r="G51" s="5"/>
      <c r="H51" s="5" t="str">
        <f t="shared" si="4"/>
        <v/>
      </c>
      <c r="I51" s="35"/>
      <c r="J51" s="6" t="s">
        <v>19</v>
      </c>
      <c r="K51" s="33" t="str">
        <f t="shared" si="5"/>
        <v/>
      </c>
      <c r="L51" s="6" t="s">
        <v>6</v>
      </c>
      <c r="M51" s="27"/>
      <c r="N51" s="27"/>
    </row>
    <row r="52" spans="1:14" ht="18.75" customHeight="1" x14ac:dyDescent="0.15">
      <c r="A52" s="11">
        <v>45</v>
      </c>
      <c r="B52" s="2"/>
      <c r="C52" s="88"/>
      <c r="D52" s="93"/>
      <c r="E52" s="3"/>
      <c r="F52" s="4" t="str">
        <f t="shared" si="3"/>
        <v/>
      </c>
      <c r="G52" s="5"/>
      <c r="H52" s="5" t="str">
        <f t="shared" si="4"/>
        <v/>
      </c>
      <c r="I52" s="35"/>
      <c r="J52" s="6" t="s">
        <v>19</v>
      </c>
      <c r="K52" s="33" t="str">
        <f t="shared" si="5"/>
        <v/>
      </c>
      <c r="L52" s="6" t="s">
        <v>6</v>
      </c>
      <c r="M52" s="27"/>
      <c r="N52" s="27"/>
    </row>
    <row r="53" spans="1:14" ht="18.75" customHeight="1" x14ac:dyDescent="0.15">
      <c r="A53" s="11">
        <v>46</v>
      </c>
      <c r="B53" s="2"/>
      <c r="C53" s="88"/>
      <c r="D53" s="93"/>
      <c r="E53" s="3"/>
      <c r="F53" s="4" t="str">
        <f t="shared" si="3"/>
        <v/>
      </c>
      <c r="G53" s="5"/>
      <c r="H53" s="5" t="str">
        <f t="shared" si="4"/>
        <v/>
      </c>
      <c r="I53" s="35"/>
      <c r="J53" s="6" t="s">
        <v>19</v>
      </c>
      <c r="K53" s="33" t="str">
        <f t="shared" si="5"/>
        <v/>
      </c>
      <c r="L53" s="6" t="s">
        <v>6</v>
      </c>
      <c r="M53" s="27"/>
      <c r="N53" s="27"/>
    </row>
    <row r="54" spans="1:14" ht="18.75" customHeight="1" x14ac:dyDescent="0.15">
      <c r="A54" s="11">
        <v>47</v>
      </c>
      <c r="B54" s="2"/>
      <c r="C54" s="88"/>
      <c r="D54" s="93"/>
      <c r="E54" s="3"/>
      <c r="F54" s="4" t="str">
        <f t="shared" si="3"/>
        <v/>
      </c>
      <c r="G54" s="5"/>
      <c r="H54" s="5" t="str">
        <f t="shared" si="4"/>
        <v/>
      </c>
      <c r="I54" s="35"/>
      <c r="J54" s="6" t="s">
        <v>19</v>
      </c>
      <c r="K54" s="33" t="str">
        <f t="shared" si="5"/>
        <v/>
      </c>
      <c r="L54" s="6" t="s">
        <v>6</v>
      </c>
      <c r="M54" s="27"/>
      <c r="N54" s="27"/>
    </row>
    <row r="55" spans="1:14" ht="18.75" customHeight="1" x14ac:dyDescent="0.15">
      <c r="A55" s="11">
        <v>48</v>
      </c>
      <c r="B55" s="2"/>
      <c r="C55" s="88"/>
      <c r="D55" s="93"/>
      <c r="E55" s="3"/>
      <c r="F55" s="4" t="str">
        <f t="shared" si="3"/>
        <v/>
      </c>
      <c r="G55" s="5"/>
      <c r="H55" s="5" t="str">
        <f t="shared" si="4"/>
        <v/>
      </c>
      <c r="I55" s="41"/>
      <c r="J55" s="8" t="s">
        <v>19</v>
      </c>
      <c r="K55" s="33" t="str">
        <f t="shared" si="5"/>
        <v/>
      </c>
      <c r="L55" s="9" t="s">
        <v>6</v>
      </c>
      <c r="M55" s="27"/>
      <c r="N55" s="27"/>
    </row>
    <row r="56" spans="1:14" ht="18.75" customHeight="1" x14ac:dyDescent="0.15">
      <c r="A56" s="11">
        <v>49</v>
      </c>
      <c r="B56" s="2"/>
      <c r="C56" s="88"/>
      <c r="D56" s="93"/>
      <c r="E56" s="3"/>
      <c r="F56" s="4" t="str">
        <f t="shared" si="3"/>
        <v/>
      </c>
      <c r="G56" s="5"/>
      <c r="H56" s="5" t="str">
        <f t="shared" si="4"/>
        <v/>
      </c>
      <c r="I56" s="35"/>
      <c r="J56" s="6" t="s">
        <v>19</v>
      </c>
      <c r="K56" s="33" t="str">
        <f t="shared" si="5"/>
        <v/>
      </c>
      <c r="L56" s="6" t="s">
        <v>6</v>
      </c>
      <c r="M56" s="27"/>
      <c r="N56" s="27"/>
    </row>
    <row r="57" spans="1:14" ht="18.75" customHeight="1" x14ac:dyDescent="0.15">
      <c r="A57" s="11">
        <v>50</v>
      </c>
      <c r="B57" s="2"/>
      <c r="C57" s="88"/>
      <c r="D57" s="93"/>
      <c r="E57" s="3"/>
      <c r="F57" s="4" t="str">
        <f t="shared" si="3"/>
        <v/>
      </c>
      <c r="G57" s="5"/>
      <c r="H57" s="5" t="str">
        <f t="shared" si="4"/>
        <v/>
      </c>
      <c r="I57" s="41"/>
      <c r="J57" s="8" t="s">
        <v>19</v>
      </c>
      <c r="K57" s="33" t="str">
        <f t="shared" si="5"/>
        <v/>
      </c>
      <c r="L57" s="9" t="s">
        <v>6</v>
      </c>
      <c r="M57" s="27"/>
      <c r="N57" s="27"/>
    </row>
    <row r="58" spans="1:14" ht="18.75" customHeight="1" x14ac:dyDescent="0.15">
      <c r="A58" s="11">
        <v>51</v>
      </c>
      <c r="B58" s="2"/>
      <c r="C58" s="88"/>
      <c r="D58" s="93"/>
      <c r="E58" s="3"/>
      <c r="F58" s="4" t="str">
        <f t="shared" si="3"/>
        <v/>
      </c>
      <c r="G58" s="5"/>
      <c r="H58" s="5" t="str">
        <f t="shared" si="4"/>
        <v/>
      </c>
      <c r="I58" s="35"/>
      <c r="J58" s="6" t="s">
        <v>19</v>
      </c>
      <c r="K58" s="33" t="str">
        <f t="shared" si="5"/>
        <v/>
      </c>
      <c r="L58" s="6" t="s">
        <v>6</v>
      </c>
      <c r="M58" s="27"/>
      <c r="N58" s="27"/>
    </row>
    <row r="59" spans="1:14" ht="18.75" customHeight="1" x14ac:dyDescent="0.15">
      <c r="A59" s="11">
        <v>52</v>
      </c>
      <c r="B59" s="2"/>
      <c r="C59" s="88"/>
      <c r="D59" s="93"/>
      <c r="E59" s="3"/>
      <c r="F59" s="4" t="str">
        <f t="shared" si="3"/>
        <v/>
      </c>
      <c r="G59" s="5"/>
      <c r="H59" s="5" t="str">
        <f t="shared" si="4"/>
        <v/>
      </c>
      <c r="I59" s="42"/>
      <c r="J59" s="8" t="s">
        <v>20</v>
      </c>
      <c r="K59" s="33" t="str">
        <f t="shared" si="5"/>
        <v/>
      </c>
      <c r="L59" s="6" t="s">
        <v>6</v>
      </c>
      <c r="M59" s="27"/>
      <c r="N59" s="27"/>
    </row>
    <row r="60" spans="1:14" ht="18.75" customHeight="1" x14ac:dyDescent="0.15">
      <c r="A60" s="11">
        <v>53</v>
      </c>
      <c r="B60" s="2"/>
      <c r="C60" s="88"/>
      <c r="D60" s="93"/>
      <c r="E60" s="3"/>
      <c r="F60" s="4" t="str">
        <f t="shared" si="3"/>
        <v/>
      </c>
      <c r="G60" s="5"/>
      <c r="H60" s="5" t="str">
        <f t="shared" si="4"/>
        <v/>
      </c>
      <c r="I60" s="35"/>
      <c r="J60" s="6" t="s">
        <v>19</v>
      </c>
      <c r="K60" s="33" t="str">
        <f t="shared" si="5"/>
        <v/>
      </c>
      <c r="L60" s="6" t="s">
        <v>6</v>
      </c>
      <c r="M60" s="27"/>
      <c r="N60" s="27"/>
    </row>
    <row r="61" spans="1:14" ht="18.75" customHeight="1" x14ac:dyDescent="0.15">
      <c r="A61" s="11">
        <v>54</v>
      </c>
      <c r="B61" s="2"/>
      <c r="C61" s="88"/>
      <c r="D61" s="93"/>
      <c r="E61" s="3"/>
      <c r="F61" s="4" t="str">
        <f t="shared" si="3"/>
        <v/>
      </c>
      <c r="G61" s="5"/>
      <c r="H61" s="5" t="str">
        <f t="shared" si="4"/>
        <v/>
      </c>
      <c r="I61" s="35"/>
      <c r="J61" s="6" t="s">
        <v>19</v>
      </c>
      <c r="K61" s="33" t="str">
        <f t="shared" si="5"/>
        <v/>
      </c>
      <c r="L61" s="6" t="s">
        <v>6</v>
      </c>
      <c r="M61" s="27"/>
      <c r="N61" s="27"/>
    </row>
    <row r="62" spans="1:14" ht="18.75" customHeight="1" x14ac:dyDescent="0.15">
      <c r="A62" s="11">
        <v>55</v>
      </c>
      <c r="B62" s="2"/>
      <c r="C62" s="88"/>
      <c r="D62" s="93"/>
      <c r="E62" s="3"/>
      <c r="F62" s="4" t="str">
        <f t="shared" si="3"/>
        <v/>
      </c>
      <c r="G62" s="5"/>
      <c r="H62" s="5" t="str">
        <f t="shared" si="4"/>
        <v/>
      </c>
      <c r="I62" s="41"/>
      <c r="J62" s="6" t="s">
        <v>19</v>
      </c>
      <c r="K62" s="33" t="str">
        <f t="shared" si="5"/>
        <v/>
      </c>
      <c r="L62" s="9" t="s">
        <v>6</v>
      </c>
      <c r="M62" s="27"/>
      <c r="N62" s="27"/>
    </row>
    <row r="63" spans="1:14" ht="18.75" customHeight="1" x14ac:dyDescent="0.15">
      <c r="A63" s="11">
        <v>56</v>
      </c>
      <c r="B63" s="2"/>
      <c r="C63" s="88"/>
      <c r="D63" s="93"/>
      <c r="E63" s="3"/>
      <c r="F63" s="4" t="str">
        <f t="shared" si="3"/>
        <v/>
      </c>
      <c r="G63" s="5"/>
      <c r="H63" s="5" t="str">
        <f t="shared" si="4"/>
        <v/>
      </c>
      <c r="I63" s="35"/>
      <c r="J63" s="6" t="s">
        <v>19</v>
      </c>
      <c r="K63" s="33" t="str">
        <f t="shared" si="5"/>
        <v/>
      </c>
      <c r="L63" s="6" t="s">
        <v>6</v>
      </c>
      <c r="M63" s="27"/>
      <c r="N63" s="27"/>
    </row>
    <row r="64" spans="1:14" ht="18.75" customHeight="1" x14ac:dyDescent="0.15">
      <c r="A64" s="11">
        <v>57</v>
      </c>
      <c r="B64" s="2"/>
      <c r="C64" s="88"/>
      <c r="D64" s="93"/>
      <c r="E64" s="7"/>
      <c r="F64" s="4" t="str">
        <f t="shared" si="3"/>
        <v/>
      </c>
      <c r="G64" s="5"/>
      <c r="H64" s="5" t="str">
        <f t="shared" si="4"/>
        <v/>
      </c>
      <c r="I64" s="42"/>
      <c r="J64" s="8" t="s">
        <v>19</v>
      </c>
      <c r="K64" s="33" t="str">
        <f t="shared" si="5"/>
        <v/>
      </c>
      <c r="L64" s="6" t="s">
        <v>6</v>
      </c>
      <c r="M64" s="27"/>
      <c r="N64" s="34"/>
    </row>
    <row r="65" spans="1:14" ht="18.75" customHeight="1" x14ac:dyDescent="0.15">
      <c r="A65" s="11">
        <v>58</v>
      </c>
      <c r="B65" s="2"/>
      <c r="C65" s="88"/>
      <c r="D65" s="93"/>
      <c r="E65" s="3"/>
      <c r="F65" s="4" t="str">
        <f t="shared" si="3"/>
        <v/>
      </c>
      <c r="G65" s="5"/>
      <c r="H65" s="5" t="str">
        <f t="shared" si="4"/>
        <v/>
      </c>
      <c r="I65" s="35"/>
      <c r="J65" s="6" t="s">
        <v>19</v>
      </c>
      <c r="K65" s="33" t="str">
        <f t="shared" si="5"/>
        <v/>
      </c>
      <c r="L65" s="6" t="s">
        <v>6</v>
      </c>
      <c r="M65" s="27"/>
      <c r="N65" s="27"/>
    </row>
    <row r="66" spans="1:14" ht="18.75" customHeight="1" x14ac:dyDescent="0.15">
      <c r="A66" s="11">
        <v>59</v>
      </c>
      <c r="B66" s="2"/>
      <c r="C66" s="88"/>
      <c r="D66" s="93"/>
      <c r="E66" s="3"/>
      <c r="F66" s="4" t="str">
        <f t="shared" si="3"/>
        <v/>
      </c>
      <c r="G66" s="5"/>
      <c r="H66" s="5" t="str">
        <f t="shared" si="4"/>
        <v/>
      </c>
      <c r="I66" s="35"/>
      <c r="J66" s="6" t="s">
        <v>19</v>
      </c>
      <c r="K66" s="33" t="str">
        <f t="shared" si="5"/>
        <v/>
      </c>
      <c r="L66" s="6" t="s">
        <v>6</v>
      </c>
      <c r="M66" s="27"/>
      <c r="N66" s="27"/>
    </row>
    <row r="67" spans="1:14" ht="18.75" customHeight="1" x14ac:dyDescent="0.15">
      <c r="A67" s="11">
        <v>60</v>
      </c>
      <c r="B67" s="2"/>
      <c r="C67" s="88"/>
      <c r="D67" s="93"/>
      <c r="E67" s="3"/>
      <c r="F67" s="4" t="str">
        <f t="shared" si="3"/>
        <v/>
      </c>
      <c r="G67" s="5"/>
      <c r="H67" s="5" t="str">
        <f t="shared" si="4"/>
        <v/>
      </c>
      <c r="I67" s="35"/>
      <c r="J67" s="6" t="s">
        <v>11</v>
      </c>
      <c r="K67" s="33" t="str">
        <f t="shared" si="5"/>
        <v/>
      </c>
      <c r="L67" s="6" t="s">
        <v>6</v>
      </c>
      <c r="M67" s="27"/>
      <c r="N67" s="27"/>
    </row>
    <row r="68" spans="1:14" ht="18.75" customHeight="1" x14ac:dyDescent="0.15">
      <c r="A68" s="11">
        <v>61</v>
      </c>
      <c r="B68" s="2"/>
      <c r="C68" s="88"/>
      <c r="D68" s="93"/>
      <c r="E68" s="3"/>
      <c r="F68" s="4" t="str">
        <f t="shared" si="3"/>
        <v/>
      </c>
      <c r="G68" s="5"/>
      <c r="H68" s="5" t="str">
        <f t="shared" si="4"/>
        <v/>
      </c>
      <c r="I68" s="35"/>
      <c r="J68" s="8" t="s">
        <v>11</v>
      </c>
      <c r="K68" s="33" t="str">
        <f t="shared" si="5"/>
        <v/>
      </c>
      <c r="L68" s="6" t="s">
        <v>6</v>
      </c>
      <c r="M68" s="27"/>
      <c r="N68" s="27"/>
    </row>
    <row r="69" spans="1:14" ht="18.75" customHeight="1" x14ac:dyDescent="0.15">
      <c r="A69" s="11">
        <v>62</v>
      </c>
      <c r="B69" s="2"/>
      <c r="C69" s="88"/>
      <c r="D69" s="93"/>
      <c r="E69" s="3"/>
      <c r="F69" s="4" t="str">
        <f t="shared" si="3"/>
        <v/>
      </c>
      <c r="G69" s="5"/>
      <c r="H69" s="5" t="str">
        <f t="shared" si="4"/>
        <v/>
      </c>
      <c r="I69" s="41"/>
      <c r="J69" s="6" t="s">
        <v>11</v>
      </c>
      <c r="K69" s="33" t="str">
        <f t="shared" si="5"/>
        <v/>
      </c>
      <c r="L69" s="6" t="s">
        <v>6</v>
      </c>
      <c r="M69" s="27"/>
      <c r="N69" s="27"/>
    </row>
    <row r="70" spans="1:14" ht="18.75" customHeight="1" x14ac:dyDescent="0.15">
      <c r="A70" s="11">
        <v>63</v>
      </c>
      <c r="B70" s="2"/>
      <c r="C70" s="88"/>
      <c r="D70" s="93"/>
      <c r="E70" s="3"/>
      <c r="F70" s="4" t="str">
        <f t="shared" si="3"/>
        <v/>
      </c>
      <c r="G70" s="5"/>
      <c r="H70" s="5" t="str">
        <f t="shared" si="4"/>
        <v/>
      </c>
      <c r="I70" s="41"/>
      <c r="J70" s="6" t="s">
        <v>19</v>
      </c>
      <c r="K70" s="33" t="str">
        <f t="shared" si="5"/>
        <v/>
      </c>
      <c r="L70" s="6" t="s">
        <v>6</v>
      </c>
      <c r="M70" s="27"/>
      <c r="N70" s="27"/>
    </row>
    <row r="71" spans="1:14" ht="18.75" customHeight="1" x14ac:dyDescent="0.15">
      <c r="A71" s="11">
        <v>64</v>
      </c>
      <c r="B71" s="2"/>
      <c r="C71" s="88"/>
      <c r="D71" s="93"/>
      <c r="E71" s="3"/>
      <c r="F71" s="4" t="str">
        <f t="shared" si="3"/>
        <v/>
      </c>
      <c r="G71" s="5"/>
      <c r="H71" s="5" t="str">
        <f t="shared" si="4"/>
        <v/>
      </c>
      <c r="I71" s="35"/>
      <c r="J71" s="8" t="s">
        <v>19</v>
      </c>
      <c r="K71" s="33" t="str">
        <f t="shared" si="5"/>
        <v/>
      </c>
      <c r="L71" s="6" t="s">
        <v>6</v>
      </c>
      <c r="M71" s="27"/>
      <c r="N71" s="27"/>
    </row>
    <row r="72" spans="1:14" ht="18.75" customHeight="1" x14ac:dyDescent="0.15">
      <c r="A72" s="11">
        <v>65</v>
      </c>
      <c r="B72" s="2"/>
      <c r="C72" s="88"/>
      <c r="D72" s="93"/>
      <c r="E72" s="3"/>
      <c r="F72" s="4" t="str">
        <f t="shared" si="3"/>
        <v/>
      </c>
      <c r="G72" s="5"/>
      <c r="H72" s="5" t="str">
        <f t="shared" si="4"/>
        <v/>
      </c>
      <c r="I72" s="35"/>
      <c r="J72" s="6" t="s">
        <v>19</v>
      </c>
      <c r="K72" s="33" t="str">
        <f t="shared" si="5"/>
        <v/>
      </c>
      <c r="L72" s="6" t="s">
        <v>6</v>
      </c>
      <c r="M72" s="27"/>
      <c r="N72" s="27"/>
    </row>
    <row r="73" spans="1:14" ht="18.75" customHeight="1" x14ac:dyDescent="0.15">
      <c r="A73" s="11">
        <v>66</v>
      </c>
      <c r="B73" s="2"/>
      <c r="C73" s="88"/>
      <c r="D73" s="93"/>
      <c r="E73" s="3"/>
      <c r="F73" s="4" t="str">
        <f t="shared" si="3"/>
        <v/>
      </c>
      <c r="G73" s="5"/>
      <c r="H73" s="5" t="str">
        <f t="shared" si="4"/>
        <v/>
      </c>
      <c r="I73" s="35"/>
      <c r="J73" s="6" t="s">
        <v>19</v>
      </c>
      <c r="K73" s="33" t="str">
        <f t="shared" si="5"/>
        <v/>
      </c>
      <c r="L73" s="6" t="s">
        <v>6</v>
      </c>
      <c r="M73" s="27"/>
      <c r="N73" s="27"/>
    </row>
    <row r="74" spans="1:14" ht="18.75" customHeight="1" x14ac:dyDescent="0.15">
      <c r="A74" s="11">
        <v>67</v>
      </c>
      <c r="B74" s="2"/>
      <c r="C74" s="88"/>
      <c r="D74" s="93"/>
      <c r="E74" s="3"/>
      <c r="F74" s="4" t="str">
        <f t="shared" si="3"/>
        <v/>
      </c>
      <c r="G74" s="5"/>
      <c r="H74" s="5" t="str">
        <f t="shared" si="4"/>
        <v/>
      </c>
      <c r="I74" s="35"/>
      <c r="J74" s="8" t="s">
        <v>19</v>
      </c>
      <c r="K74" s="33" t="str">
        <f t="shared" si="5"/>
        <v/>
      </c>
      <c r="L74" s="6" t="s">
        <v>6</v>
      </c>
      <c r="M74" s="27"/>
      <c r="N74" s="27"/>
    </row>
    <row r="75" spans="1:14" ht="18.75" customHeight="1" x14ac:dyDescent="0.15">
      <c r="A75" s="11">
        <v>68</v>
      </c>
      <c r="B75" s="2"/>
      <c r="C75" s="88"/>
      <c r="D75" s="93"/>
      <c r="E75" s="7"/>
      <c r="F75" s="4" t="str">
        <f t="shared" si="3"/>
        <v/>
      </c>
      <c r="G75" s="5"/>
      <c r="H75" s="5" t="str">
        <f t="shared" si="4"/>
        <v/>
      </c>
      <c r="I75" s="41"/>
      <c r="J75" s="6" t="s">
        <v>19</v>
      </c>
      <c r="K75" s="33" t="str">
        <f t="shared" si="5"/>
        <v/>
      </c>
      <c r="L75" s="6" t="s">
        <v>6</v>
      </c>
      <c r="M75" s="27"/>
      <c r="N75" s="27"/>
    </row>
    <row r="76" spans="1:14" ht="18.75" customHeight="1" x14ac:dyDescent="0.15">
      <c r="A76" s="11">
        <v>69</v>
      </c>
      <c r="B76" s="2"/>
      <c r="C76" s="88"/>
      <c r="D76" s="93"/>
      <c r="E76" s="3"/>
      <c r="F76" s="4" t="str">
        <f t="shared" si="3"/>
        <v/>
      </c>
      <c r="G76" s="5"/>
      <c r="H76" s="5" t="str">
        <f t="shared" si="4"/>
        <v/>
      </c>
      <c r="I76" s="35"/>
      <c r="J76" s="6" t="s">
        <v>19</v>
      </c>
      <c r="K76" s="33" t="str">
        <f t="shared" si="5"/>
        <v/>
      </c>
      <c r="L76" s="6" t="s">
        <v>6</v>
      </c>
      <c r="M76" s="27"/>
      <c r="N76" s="27"/>
    </row>
    <row r="77" spans="1:14" ht="18.75" customHeight="1" x14ac:dyDescent="0.15">
      <c r="A77" s="11">
        <v>70</v>
      </c>
      <c r="B77" s="2"/>
      <c r="C77" s="88"/>
      <c r="D77" s="93"/>
      <c r="E77" s="3"/>
      <c r="F77" s="4" t="str">
        <f t="shared" si="3"/>
        <v/>
      </c>
      <c r="G77" s="5"/>
      <c r="H77" s="5" t="str">
        <f t="shared" si="4"/>
        <v/>
      </c>
      <c r="I77" s="35"/>
      <c r="J77" s="6" t="s">
        <v>19</v>
      </c>
      <c r="K77" s="33" t="str">
        <f t="shared" si="5"/>
        <v/>
      </c>
      <c r="L77" s="6" t="s">
        <v>6</v>
      </c>
      <c r="M77" s="27"/>
      <c r="N77" s="27"/>
    </row>
    <row r="78" spans="1:14" ht="18.75" customHeight="1" x14ac:dyDescent="0.15">
      <c r="A78" s="11">
        <v>71</v>
      </c>
      <c r="B78" s="2"/>
      <c r="C78" s="88"/>
      <c r="D78" s="93"/>
      <c r="E78" s="3"/>
      <c r="F78" s="4" t="str">
        <f t="shared" si="3"/>
        <v/>
      </c>
      <c r="G78" s="5"/>
      <c r="H78" s="5" t="str">
        <f t="shared" si="4"/>
        <v/>
      </c>
      <c r="I78" s="42"/>
      <c r="J78" s="6" t="s">
        <v>16</v>
      </c>
      <c r="K78" s="33" t="str">
        <f t="shared" si="5"/>
        <v/>
      </c>
      <c r="L78" s="6" t="s">
        <v>6</v>
      </c>
      <c r="M78" s="27"/>
      <c r="N78" s="27"/>
    </row>
    <row r="79" spans="1:14" ht="18.75" customHeight="1" x14ac:dyDescent="0.15">
      <c r="A79" s="11">
        <v>72</v>
      </c>
      <c r="B79" s="2"/>
      <c r="C79" s="88"/>
      <c r="D79" s="93"/>
      <c r="E79" s="7"/>
      <c r="F79" s="4" t="str">
        <f t="shared" si="3"/>
        <v/>
      </c>
      <c r="G79" s="5"/>
      <c r="H79" s="5" t="str">
        <f t="shared" si="4"/>
        <v/>
      </c>
      <c r="I79" s="35"/>
      <c r="J79" s="6" t="s">
        <v>16</v>
      </c>
      <c r="K79" s="33" t="str">
        <f t="shared" si="5"/>
        <v/>
      </c>
      <c r="L79" s="6" t="s">
        <v>6</v>
      </c>
      <c r="M79" s="27"/>
      <c r="N79" s="27"/>
    </row>
    <row r="80" spans="1:14" ht="18.75" customHeight="1" x14ac:dyDescent="0.15">
      <c r="A80" s="11">
        <v>73</v>
      </c>
      <c r="B80" s="2"/>
      <c r="C80" s="88"/>
      <c r="D80" s="93"/>
      <c r="E80" s="3"/>
      <c r="F80" s="4" t="str">
        <f t="shared" si="3"/>
        <v/>
      </c>
      <c r="G80" s="5"/>
      <c r="H80" s="5" t="str">
        <f t="shared" si="4"/>
        <v/>
      </c>
      <c r="I80" s="43"/>
      <c r="J80" s="6" t="s">
        <v>16</v>
      </c>
      <c r="K80" s="33" t="str">
        <f t="shared" si="5"/>
        <v/>
      </c>
      <c r="L80" s="6" t="s">
        <v>6</v>
      </c>
      <c r="M80" s="27"/>
      <c r="N80" s="27"/>
    </row>
    <row r="81" spans="1:14" ht="18.75" customHeight="1" x14ac:dyDescent="0.15">
      <c r="A81" s="11">
        <v>74</v>
      </c>
      <c r="B81" s="2"/>
      <c r="C81" s="88"/>
      <c r="D81" s="93"/>
      <c r="E81" s="3"/>
      <c r="F81" s="4" t="str">
        <f t="shared" si="3"/>
        <v/>
      </c>
      <c r="G81" s="5"/>
      <c r="H81" s="5" t="str">
        <f t="shared" si="4"/>
        <v/>
      </c>
      <c r="I81" s="35"/>
      <c r="J81" s="6" t="s">
        <v>16</v>
      </c>
      <c r="K81" s="33" t="str">
        <f t="shared" si="5"/>
        <v/>
      </c>
      <c r="L81" s="6" t="s">
        <v>6</v>
      </c>
      <c r="M81" s="27"/>
      <c r="N81" s="27"/>
    </row>
    <row r="82" spans="1:14" ht="18.75" customHeight="1" x14ac:dyDescent="0.15">
      <c r="A82" s="11">
        <v>75</v>
      </c>
      <c r="B82" s="2"/>
      <c r="C82" s="88"/>
      <c r="D82" s="93"/>
      <c r="E82" s="7"/>
      <c r="F82" s="4" t="str">
        <f t="shared" si="3"/>
        <v/>
      </c>
      <c r="G82" s="5"/>
      <c r="H82" s="5" t="str">
        <f t="shared" si="4"/>
        <v/>
      </c>
      <c r="I82" s="42"/>
      <c r="J82" s="6" t="s">
        <v>16</v>
      </c>
      <c r="K82" s="33" t="str">
        <f t="shared" si="5"/>
        <v/>
      </c>
      <c r="L82" s="6" t="s">
        <v>6</v>
      </c>
      <c r="M82" s="27"/>
      <c r="N82" s="27"/>
    </row>
    <row r="83" spans="1:14" ht="18.75" customHeight="1" x14ac:dyDescent="0.15">
      <c r="A83" s="11">
        <v>76</v>
      </c>
      <c r="B83" s="2"/>
      <c r="C83" s="88"/>
      <c r="D83" s="93"/>
      <c r="E83" s="3"/>
      <c r="F83" s="4" t="str">
        <f t="shared" si="3"/>
        <v/>
      </c>
      <c r="G83" s="5"/>
      <c r="H83" s="5" t="str">
        <f t="shared" si="4"/>
        <v/>
      </c>
      <c r="I83" s="35"/>
      <c r="J83" s="6" t="s">
        <v>16</v>
      </c>
      <c r="K83" s="33" t="str">
        <f t="shared" si="5"/>
        <v/>
      </c>
      <c r="L83" s="6" t="s">
        <v>6</v>
      </c>
      <c r="M83" s="27"/>
      <c r="N83" s="27"/>
    </row>
    <row r="84" spans="1:14" ht="18.75" customHeight="1" x14ac:dyDescent="0.15">
      <c r="A84" s="11">
        <v>77</v>
      </c>
      <c r="B84" s="2"/>
      <c r="C84" s="88"/>
      <c r="D84" s="93"/>
      <c r="E84" s="3"/>
      <c r="F84" s="4" t="str">
        <f t="shared" si="3"/>
        <v/>
      </c>
      <c r="G84" s="5"/>
      <c r="H84" s="5" t="str">
        <f t="shared" si="4"/>
        <v/>
      </c>
      <c r="I84" s="35"/>
      <c r="J84" s="6" t="s">
        <v>16</v>
      </c>
      <c r="K84" s="33" t="str">
        <f t="shared" si="5"/>
        <v/>
      </c>
      <c r="L84" s="6" t="s">
        <v>6</v>
      </c>
      <c r="M84" s="27"/>
      <c r="N84" s="27"/>
    </row>
    <row r="85" spans="1:14" ht="18.75" customHeight="1" x14ac:dyDescent="0.15">
      <c r="A85" s="11">
        <v>78</v>
      </c>
      <c r="B85" s="2"/>
      <c r="C85" s="88"/>
      <c r="D85" s="93"/>
      <c r="E85" s="3"/>
      <c r="F85" s="4" t="str">
        <f t="shared" si="3"/>
        <v/>
      </c>
      <c r="G85" s="5"/>
      <c r="H85" s="5" t="str">
        <f t="shared" si="4"/>
        <v/>
      </c>
      <c r="I85" s="35"/>
      <c r="J85" s="6" t="s">
        <v>16</v>
      </c>
      <c r="K85" s="37" t="str">
        <f t="shared" si="5"/>
        <v/>
      </c>
      <c r="L85" s="6" t="s">
        <v>6</v>
      </c>
      <c r="M85" s="27"/>
      <c r="N85" s="27"/>
    </row>
    <row r="86" spans="1:14" ht="18.75" customHeight="1" x14ac:dyDescent="0.15">
      <c r="A86" s="11">
        <v>79</v>
      </c>
      <c r="B86" s="2"/>
      <c r="C86" s="88"/>
      <c r="D86" s="93"/>
      <c r="E86" s="3"/>
      <c r="F86" s="4"/>
      <c r="G86" s="5"/>
      <c r="H86" s="5"/>
      <c r="I86" s="35"/>
      <c r="J86" s="6" t="s">
        <v>16</v>
      </c>
      <c r="K86" s="37"/>
      <c r="L86" s="6" t="s">
        <v>6</v>
      </c>
      <c r="M86" s="27"/>
      <c r="N86" s="27"/>
    </row>
    <row r="87" spans="1:14" ht="18.75" customHeight="1" x14ac:dyDescent="0.15">
      <c r="A87" s="11">
        <v>80</v>
      </c>
      <c r="B87" s="2"/>
      <c r="C87" s="88"/>
      <c r="D87" s="93"/>
      <c r="E87" s="3"/>
      <c r="F87" s="4" t="str">
        <f t="shared" si="3"/>
        <v/>
      </c>
      <c r="G87" s="5"/>
      <c r="H87" s="5" t="str">
        <f t="shared" si="4"/>
        <v/>
      </c>
      <c r="I87" s="35"/>
      <c r="J87" s="6" t="s">
        <v>16</v>
      </c>
      <c r="K87" s="37" t="str">
        <f>IF(I87&gt;0,I87*0.2,"")</f>
        <v/>
      </c>
      <c r="L87" s="6" t="s">
        <v>6</v>
      </c>
      <c r="M87" s="27"/>
      <c r="N87" s="27"/>
    </row>
    <row r="88" spans="1:14" ht="18.75" customHeight="1" x14ac:dyDescent="0.15">
      <c r="B88" s="44"/>
      <c r="C88" s="44"/>
      <c r="D88" s="45"/>
      <c r="E88" s="44"/>
      <c r="F88" s="44" t="str">
        <f t="shared" si="3"/>
        <v/>
      </c>
      <c r="G88" s="46"/>
      <c r="H88" s="46" t="str">
        <f t="shared" si="4"/>
        <v/>
      </c>
      <c r="I88" s="61">
        <f>SUM(I48:I87)+I44</f>
        <v>0</v>
      </c>
      <c r="J88" s="8" t="s">
        <v>16</v>
      </c>
      <c r="K88" s="47">
        <f>SUM(K48:K87)+K44</f>
        <v>0</v>
      </c>
      <c r="L88" s="8" t="s">
        <v>6</v>
      </c>
      <c r="M88" s="48"/>
      <c r="N88" s="48"/>
    </row>
  </sheetData>
  <mergeCells count="12">
    <mergeCell ref="B45:M45"/>
    <mergeCell ref="B46:M46"/>
    <mergeCell ref="C47:D47"/>
    <mergeCell ref="E47:F47"/>
    <mergeCell ref="I47:J47"/>
    <mergeCell ref="K47:L47"/>
    <mergeCell ref="B1:M1"/>
    <mergeCell ref="B2:M2"/>
    <mergeCell ref="C3:D3"/>
    <mergeCell ref="E3:F3"/>
    <mergeCell ref="I3:J3"/>
    <mergeCell ref="K3:L3"/>
  </mergeCells>
  <phoneticPr fontId="2"/>
  <dataValidations count="6">
    <dataValidation imeMode="on" allowBlank="1" showInputMessage="1" showErrorMessage="1" sqref="B44:C44 B88:C88" xr:uid="{94FE5007-334D-4E36-BEEE-A88C8F5A49B1}"/>
    <dataValidation imeMode="disabled" allowBlank="1" showInputMessage="1" showErrorMessage="1" sqref="G4:G40 N21:N42 H4:M42 N49:N63 N5:N19 G48:G84 E48:E88 N65:N88 H48:M88 E4:E44 M44:N44 H43:L44" xr:uid="{DA2E98DC-F2C3-4AEB-9A55-FA4519F438BA}"/>
    <dataValidation type="list" imeMode="on" allowBlank="1" showInputMessage="1" prompt="なければ直接入力" sqref="D44 D88" xr:uid="{1699BC0F-FB3B-4DB1-B0A6-9C1585886443}">
      <formula1>"利尻島国保中央病院,福士水産㈱,高橋水産㈱"</formula1>
    </dataValidation>
    <dataValidation imeMode="disabled" allowBlank="1" showInputMessage="1" sqref="G85:G88 G41:G44" xr:uid="{41B9CBD6-5181-4B58-ACA2-9EF3BB0EC7F7}"/>
    <dataValidation type="list" imeMode="on" allowBlank="1" showInputMessage="1" prompt="なければ直接入力" sqref="D4:D43 D48:D87" xr:uid="{81E3374D-2DF7-4EFB-B573-95AA2D47424E}">
      <formula1>"利尻島国保中央病院,道立鬼脇診療所,カムイウィスキー,福士水産㈱,糀谷商店,米田商店"</formula1>
    </dataValidation>
    <dataValidation type="list" imeMode="on" allowBlank="1" showInputMessage="1" showErrorMessage="1" sqref="B4:C43 B48:C87" xr:uid="{05908A0C-98EF-4391-B453-155CF099761C}">
      <formula1>"水産系燃え殻,医療系燃え殻"</formula1>
    </dataValidation>
  </dataValidations>
  <printOptions horizontalCentered="1" verticalCentered="1"/>
  <pageMargins left="0.59055118110236227" right="0.59055118110236227" top="0.59055118110236227" bottom="0.59055118110236227" header="0" footer="0"/>
  <pageSetup paperSize="9" orientation="portrait" horizontalDpi="4294967293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FACEF-F3FC-400D-AB37-DC571B14D6F9}">
  <dimension ref="A1:O88"/>
  <sheetViews>
    <sheetView workbookViewId="0">
      <selection sqref="A1:XFD1048576"/>
    </sheetView>
  </sheetViews>
  <sheetFormatPr defaultRowHeight="13.5" x14ac:dyDescent="0.15"/>
  <cols>
    <col min="1" max="1" width="3.375" style="12" customWidth="1"/>
    <col min="2" max="2" width="12.25" style="10" customWidth="1"/>
    <col min="3" max="3" width="1" style="10" customWidth="1"/>
    <col min="4" max="4" width="17.625" style="12" customWidth="1"/>
    <col min="5" max="5" width="10.625" style="10" customWidth="1"/>
    <col min="6" max="6" width="2.125" style="10" customWidth="1"/>
    <col min="7" max="8" width="8.125" style="10" customWidth="1"/>
    <col min="9" max="9" width="6" style="13" customWidth="1"/>
    <col min="10" max="10" width="2.375" style="10" customWidth="1"/>
    <col min="11" max="11" width="5.5" style="10" customWidth="1"/>
    <col min="12" max="12" width="2.25" style="10" customWidth="1"/>
    <col min="13" max="13" width="6.25" style="49" customWidth="1"/>
    <col min="14" max="14" width="6.25" style="10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 x14ac:dyDescent="0.15">
      <c r="B1" s="95" t="s">
        <v>9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5" ht="21" customHeight="1" x14ac:dyDescent="0.15"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spans="1:15" ht="27" customHeight="1" x14ac:dyDescent="0.15">
      <c r="A3" s="11"/>
      <c r="B3" s="29" t="s">
        <v>1</v>
      </c>
      <c r="C3" s="102" t="s">
        <v>2</v>
      </c>
      <c r="D3" s="103"/>
      <c r="E3" s="104" t="s">
        <v>3</v>
      </c>
      <c r="F3" s="105"/>
      <c r="G3" s="87" t="s">
        <v>4</v>
      </c>
      <c r="H3" s="87" t="s">
        <v>7</v>
      </c>
      <c r="I3" s="106" t="s">
        <v>8</v>
      </c>
      <c r="J3" s="107"/>
      <c r="K3" s="106" t="s">
        <v>5</v>
      </c>
      <c r="L3" s="106"/>
      <c r="M3" s="30" t="s">
        <v>10</v>
      </c>
      <c r="N3" s="31" t="s">
        <v>18</v>
      </c>
    </row>
    <row r="4" spans="1:15" ht="18.75" customHeight="1" x14ac:dyDescent="0.15">
      <c r="A4" s="11">
        <v>1</v>
      </c>
      <c r="B4" s="2"/>
      <c r="C4" s="88"/>
      <c r="D4" s="93"/>
      <c r="E4" s="88"/>
      <c r="F4" s="89" t="str">
        <f t="shared" ref="F4:F41" si="0">IF(E4="","",E4-INT(E4/7)*7)</f>
        <v/>
      </c>
      <c r="G4" s="5"/>
      <c r="H4" s="5" t="str">
        <f t="shared" ref="H4:H41" si="1">IF(G4="","",G4)</f>
        <v/>
      </c>
      <c r="I4" s="32"/>
      <c r="J4" s="6" t="s">
        <v>15</v>
      </c>
      <c r="K4" s="33" t="str">
        <f t="shared" ref="K4:K41" si="2">IF(I4&gt;0,I4*0.2,"")</f>
        <v/>
      </c>
      <c r="L4" s="6" t="s">
        <v>6</v>
      </c>
      <c r="M4" s="27"/>
      <c r="N4" s="34"/>
    </row>
    <row r="5" spans="1:15" ht="18.75" customHeight="1" x14ac:dyDescent="0.15">
      <c r="A5" s="11">
        <v>2</v>
      </c>
      <c r="B5" s="2"/>
      <c r="C5" s="88"/>
      <c r="D5" s="93"/>
      <c r="E5" s="7"/>
      <c r="F5" s="89" t="str">
        <f t="shared" si="0"/>
        <v/>
      </c>
      <c r="G5" s="5"/>
      <c r="H5" s="5" t="str">
        <f t="shared" si="1"/>
        <v/>
      </c>
      <c r="I5" s="35"/>
      <c r="J5" s="36" t="s">
        <v>15</v>
      </c>
      <c r="K5" s="37" t="str">
        <f t="shared" si="2"/>
        <v/>
      </c>
      <c r="L5" s="6" t="s">
        <v>6</v>
      </c>
      <c r="M5" s="27"/>
      <c r="N5" s="27"/>
    </row>
    <row r="6" spans="1:15" ht="18.75" customHeight="1" x14ac:dyDescent="0.15">
      <c r="A6" s="11">
        <v>3</v>
      </c>
      <c r="B6" s="2"/>
      <c r="C6" s="88"/>
      <c r="D6" s="93"/>
      <c r="E6" s="88"/>
      <c r="F6" s="89" t="str">
        <f t="shared" si="0"/>
        <v/>
      </c>
      <c r="G6" s="5"/>
      <c r="H6" s="5" t="str">
        <f t="shared" si="1"/>
        <v/>
      </c>
      <c r="I6" s="38"/>
      <c r="J6" s="8" t="s">
        <v>15</v>
      </c>
      <c r="K6" s="39" t="str">
        <f t="shared" si="2"/>
        <v/>
      </c>
      <c r="L6" s="9" t="s">
        <v>6</v>
      </c>
      <c r="M6" s="40"/>
      <c r="N6" s="27"/>
    </row>
    <row r="7" spans="1:15" ht="18.75" customHeight="1" x14ac:dyDescent="0.15">
      <c r="A7" s="11">
        <v>4</v>
      </c>
      <c r="B7" s="2"/>
      <c r="C7" s="88"/>
      <c r="D7" s="93"/>
      <c r="E7" s="88"/>
      <c r="F7" s="89" t="str">
        <f t="shared" si="0"/>
        <v/>
      </c>
      <c r="G7" s="5"/>
      <c r="H7" s="5" t="str">
        <f t="shared" si="1"/>
        <v/>
      </c>
      <c r="I7" s="35"/>
      <c r="J7" s="6" t="s">
        <v>15</v>
      </c>
      <c r="K7" s="33" t="str">
        <f t="shared" si="2"/>
        <v/>
      </c>
      <c r="L7" s="6" t="s">
        <v>6</v>
      </c>
      <c r="M7" s="27"/>
      <c r="N7" s="27"/>
    </row>
    <row r="8" spans="1:15" ht="18.75" customHeight="1" x14ac:dyDescent="0.15">
      <c r="A8" s="11">
        <v>5</v>
      </c>
      <c r="B8" s="2"/>
      <c r="C8" s="88"/>
      <c r="D8" s="93"/>
      <c r="E8" s="88"/>
      <c r="F8" s="89" t="str">
        <f t="shared" si="0"/>
        <v/>
      </c>
      <c r="G8" s="5"/>
      <c r="H8" s="5" t="str">
        <f t="shared" si="1"/>
        <v/>
      </c>
      <c r="I8" s="35"/>
      <c r="J8" s="6" t="s">
        <v>15</v>
      </c>
      <c r="K8" s="33" t="str">
        <f t="shared" si="2"/>
        <v/>
      </c>
      <c r="L8" s="6" t="s">
        <v>6</v>
      </c>
      <c r="M8" s="27"/>
      <c r="N8" s="27"/>
    </row>
    <row r="9" spans="1:15" ht="18.75" customHeight="1" x14ac:dyDescent="0.15">
      <c r="A9" s="11">
        <v>6</v>
      </c>
      <c r="B9" s="2"/>
      <c r="C9" s="88"/>
      <c r="D9" s="93"/>
      <c r="E9" s="88"/>
      <c r="F9" s="89" t="str">
        <f t="shared" si="0"/>
        <v/>
      </c>
      <c r="G9" s="5"/>
      <c r="H9" s="5" t="str">
        <f t="shared" si="1"/>
        <v/>
      </c>
      <c r="I9" s="35"/>
      <c r="J9" s="6" t="s">
        <v>15</v>
      </c>
      <c r="K9" s="33" t="str">
        <f t="shared" si="2"/>
        <v/>
      </c>
      <c r="L9" s="6" t="s">
        <v>6</v>
      </c>
      <c r="M9" s="27"/>
      <c r="N9" s="27"/>
    </row>
    <row r="10" spans="1:15" ht="18.75" customHeight="1" x14ac:dyDescent="0.15">
      <c r="A10" s="11">
        <v>7</v>
      </c>
      <c r="B10" s="2"/>
      <c r="C10" s="88"/>
      <c r="D10" s="93"/>
      <c r="E10" s="88"/>
      <c r="F10" s="89" t="str">
        <f t="shared" si="0"/>
        <v/>
      </c>
      <c r="G10" s="5"/>
      <c r="H10" s="5" t="str">
        <f t="shared" si="1"/>
        <v/>
      </c>
      <c r="I10" s="35"/>
      <c r="J10" s="6" t="s">
        <v>15</v>
      </c>
      <c r="K10" s="33" t="str">
        <f t="shared" si="2"/>
        <v/>
      </c>
      <c r="L10" s="6" t="s">
        <v>6</v>
      </c>
      <c r="M10" s="27"/>
      <c r="N10" s="27"/>
    </row>
    <row r="11" spans="1:15" ht="18.75" customHeight="1" x14ac:dyDescent="0.15">
      <c r="A11" s="11">
        <v>8</v>
      </c>
      <c r="B11" s="2"/>
      <c r="C11" s="88"/>
      <c r="D11" s="93"/>
      <c r="E11" s="88"/>
      <c r="F11" s="89" t="str">
        <f t="shared" si="0"/>
        <v/>
      </c>
      <c r="G11" s="5"/>
      <c r="H11" s="5" t="str">
        <f t="shared" si="1"/>
        <v/>
      </c>
      <c r="I11" s="41"/>
      <c r="J11" s="8" t="s">
        <v>15</v>
      </c>
      <c r="K11" s="33" t="str">
        <f t="shared" si="2"/>
        <v/>
      </c>
      <c r="L11" s="9" t="s">
        <v>6</v>
      </c>
      <c r="M11" s="27"/>
      <c r="N11" s="27"/>
    </row>
    <row r="12" spans="1:15" ht="18.75" customHeight="1" x14ac:dyDescent="0.15">
      <c r="A12" s="11">
        <v>9</v>
      </c>
      <c r="B12" s="2"/>
      <c r="C12" s="88"/>
      <c r="D12" s="93"/>
      <c r="E12" s="88"/>
      <c r="F12" s="89" t="str">
        <f t="shared" si="0"/>
        <v/>
      </c>
      <c r="G12" s="5"/>
      <c r="H12" s="5" t="str">
        <f t="shared" si="1"/>
        <v/>
      </c>
      <c r="I12" s="35"/>
      <c r="J12" s="6" t="s">
        <v>15</v>
      </c>
      <c r="K12" s="33" t="str">
        <f t="shared" si="2"/>
        <v/>
      </c>
      <c r="L12" s="6" t="s">
        <v>6</v>
      </c>
      <c r="M12" s="27"/>
      <c r="N12" s="27"/>
    </row>
    <row r="13" spans="1:15" ht="18.75" customHeight="1" x14ac:dyDescent="0.15">
      <c r="A13" s="11">
        <v>10</v>
      </c>
      <c r="B13" s="2"/>
      <c r="C13" s="88"/>
      <c r="D13" s="93"/>
      <c r="E13" s="88"/>
      <c r="F13" s="89" t="str">
        <f t="shared" si="0"/>
        <v/>
      </c>
      <c r="G13" s="5"/>
      <c r="H13" s="5" t="str">
        <f t="shared" si="1"/>
        <v/>
      </c>
      <c r="I13" s="41"/>
      <c r="J13" s="8" t="s">
        <v>15</v>
      </c>
      <c r="K13" s="33" t="str">
        <f t="shared" si="2"/>
        <v/>
      </c>
      <c r="L13" s="9" t="s">
        <v>6</v>
      </c>
      <c r="M13" s="27"/>
      <c r="N13" s="27"/>
    </row>
    <row r="14" spans="1:15" ht="18.75" customHeight="1" x14ac:dyDescent="0.15">
      <c r="A14" s="11">
        <v>11</v>
      </c>
      <c r="B14" s="2"/>
      <c r="C14" s="88"/>
      <c r="D14" s="93"/>
      <c r="E14" s="88"/>
      <c r="F14" s="89" t="str">
        <f t="shared" si="0"/>
        <v/>
      </c>
      <c r="G14" s="5"/>
      <c r="H14" s="5" t="str">
        <f t="shared" si="1"/>
        <v/>
      </c>
      <c r="I14" s="35"/>
      <c r="J14" s="6" t="s">
        <v>15</v>
      </c>
      <c r="K14" s="33" t="str">
        <f t="shared" si="2"/>
        <v/>
      </c>
      <c r="L14" s="6" t="s">
        <v>6</v>
      </c>
      <c r="M14" s="27"/>
      <c r="N14" s="27"/>
      <c r="O14" s="59"/>
    </row>
    <row r="15" spans="1:15" ht="18.75" customHeight="1" x14ac:dyDescent="0.15">
      <c r="A15" s="11">
        <v>12</v>
      </c>
      <c r="B15" s="2"/>
      <c r="C15" s="88"/>
      <c r="D15" s="93"/>
      <c r="E15" s="88"/>
      <c r="F15" s="89" t="str">
        <f t="shared" si="0"/>
        <v/>
      </c>
      <c r="G15" s="5"/>
      <c r="H15" s="5" t="str">
        <f t="shared" si="1"/>
        <v/>
      </c>
      <c r="I15" s="42"/>
      <c r="J15" s="8" t="s">
        <v>15</v>
      </c>
      <c r="K15" s="33" t="str">
        <f t="shared" si="2"/>
        <v/>
      </c>
      <c r="L15" s="6" t="s">
        <v>6</v>
      </c>
      <c r="M15" s="27"/>
      <c r="N15" s="27"/>
    </row>
    <row r="16" spans="1:15" ht="18.75" customHeight="1" x14ac:dyDescent="0.15">
      <c r="A16" s="11">
        <v>13</v>
      </c>
      <c r="B16" s="2"/>
      <c r="C16" s="88"/>
      <c r="D16" s="93"/>
      <c r="E16" s="88"/>
      <c r="F16" s="89" t="str">
        <f t="shared" si="0"/>
        <v/>
      </c>
      <c r="G16" s="5"/>
      <c r="H16" s="5" t="str">
        <f t="shared" si="1"/>
        <v/>
      </c>
      <c r="I16" s="35"/>
      <c r="J16" s="6" t="s">
        <v>15</v>
      </c>
      <c r="K16" s="33" t="str">
        <f t="shared" si="2"/>
        <v/>
      </c>
      <c r="L16" s="6" t="s">
        <v>6</v>
      </c>
      <c r="M16" s="27"/>
      <c r="N16" s="27"/>
    </row>
    <row r="17" spans="1:15" ht="18.75" customHeight="1" x14ac:dyDescent="0.15">
      <c r="A17" s="11">
        <v>14</v>
      </c>
      <c r="B17" s="2"/>
      <c r="C17" s="88"/>
      <c r="D17" s="93"/>
      <c r="E17" s="88"/>
      <c r="F17" s="89" t="str">
        <f t="shared" si="0"/>
        <v/>
      </c>
      <c r="G17" s="5"/>
      <c r="H17" s="5" t="str">
        <f t="shared" si="1"/>
        <v/>
      </c>
      <c r="I17" s="35"/>
      <c r="J17" s="6" t="s">
        <v>15</v>
      </c>
      <c r="K17" s="33" t="str">
        <f t="shared" si="2"/>
        <v/>
      </c>
      <c r="L17" s="6" t="s">
        <v>6</v>
      </c>
      <c r="M17" s="27"/>
      <c r="N17" s="27"/>
    </row>
    <row r="18" spans="1:15" ht="18.75" customHeight="1" x14ac:dyDescent="0.15">
      <c r="A18" s="11">
        <v>15</v>
      </c>
      <c r="B18" s="2"/>
      <c r="C18" s="88"/>
      <c r="D18" s="93"/>
      <c r="E18" s="88"/>
      <c r="F18" s="89" t="str">
        <f t="shared" si="0"/>
        <v/>
      </c>
      <c r="G18" s="5"/>
      <c r="H18" s="5" t="str">
        <f t="shared" si="1"/>
        <v/>
      </c>
      <c r="I18" s="41"/>
      <c r="J18" s="6" t="s">
        <v>15</v>
      </c>
      <c r="K18" s="33" t="str">
        <f t="shared" si="2"/>
        <v/>
      </c>
      <c r="L18" s="9" t="s">
        <v>6</v>
      </c>
      <c r="M18" s="27"/>
      <c r="N18" s="27"/>
    </row>
    <row r="19" spans="1:15" ht="18.75" customHeight="1" x14ac:dyDescent="0.15">
      <c r="A19" s="11">
        <v>16</v>
      </c>
      <c r="B19" s="2"/>
      <c r="C19" s="88"/>
      <c r="D19" s="93"/>
      <c r="E19" s="88"/>
      <c r="F19" s="89" t="str">
        <f t="shared" si="0"/>
        <v/>
      </c>
      <c r="G19" s="5"/>
      <c r="H19" s="5" t="str">
        <f t="shared" si="1"/>
        <v/>
      </c>
      <c r="I19" s="35"/>
      <c r="J19" s="6" t="s">
        <v>15</v>
      </c>
      <c r="K19" s="33" t="str">
        <f t="shared" si="2"/>
        <v/>
      </c>
      <c r="L19" s="6" t="s">
        <v>6</v>
      </c>
      <c r="M19" s="27"/>
      <c r="N19" s="27"/>
    </row>
    <row r="20" spans="1:15" ht="18.75" customHeight="1" x14ac:dyDescent="0.15">
      <c r="A20" s="11">
        <v>17</v>
      </c>
      <c r="B20" s="2"/>
      <c r="C20" s="88"/>
      <c r="D20" s="93"/>
      <c r="E20" s="7"/>
      <c r="F20" s="89" t="str">
        <f t="shared" si="0"/>
        <v/>
      </c>
      <c r="G20" s="5"/>
      <c r="H20" s="5" t="str">
        <f t="shared" si="1"/>
        <v/>
      </c>
      <c r="I20" s="42"/>
      <c r="J20" s="8" t="s">
        <v>15</v>
      </c>
      <c r="K20" s="33" t="str">
        <f t="shared" si="2"/>
        <v/>
      </c>
      <c r="L20" s="6" t="s">
        <v>6</v>
      </c>
      <c r="M20" s="27"/>
      <c r="N20" s="34"/>
    </row>
    <row r="21" spans="1:15" ht="18.75" customHeight="1" x14ac:dyDescent="0.15">
      <c r="A21" s="11">
        <v>18</v>
      </c>
      <c r="B21" s="2"/>
      <c r="C21" s="88"/>
      <c r="D21" s="93"/>
      <c r="E21" s="88"/>
      <c r="F21" s="89" t="str">
        <f t="shared" si="0"/>
        <v/>
      </c>
      <c r="G21" s="5"/>
      <c r="H21" s="5" t="str">
        <f t="shared" si="1"/>
        <v/>
      </c>
      <c r="I21" s="35"/>
      <c r="J21" s="6" t="s">
        <v>15</v>
      </c>
      <c r="K21" s="33" t="str">
        <f t="shared" si="2"/>
        <v/>
      </c>
      <c r="L21" s="6" t="s">
        <v>6</v>
      </c>
      <c r="M21" s="27"/>
      <c r="N21" s="27"/>
    </row>
    <row r="22" spans="1:15" ht="18.75" customHeight="1" x14ac:dyDescent="0.15">
      <c r="A22" s="11">
        <v>19</v>
      </c>
      <c r="B22" s="2"/>
      <c r="C22" s="88"/>
      <c r="D22" s="93"/>
      <c r="E22" s="88"/>
      <c r="F22" s="89" t="str">
        <f t="shared" si="0"/>
        <v/>
      </c>
      <c r="G22" s="5"/>
      <c r="H22" s="5" t="str">
        <f t="shared" si="1"/>
        <v/>
      </c>
      <c r="I22" s="35"/>
      <c r="J22" s="6" t="s">
        <v>15</v>
      </c>
      <c r="K22" s="33" t="str">
        <f t="shared" si="2"/>
        <v/>
      </c>
      <c r="L22" s="6" t="s">
        <v>6</v>
      </c>
      <c r="M22" s="27"/>
      <c r="N22" s="27"/>
    </row>
    <row r="23" spans="1:15" ht="18.75" customHeight="1" x14ac:dyDescent="0.15">
      <c r="A23" s="11">
        <v>20</v>
      </c>
      <c r="B23" s="2"/>
      <c r="C23" s="88"/>
      <c r="D23" s="93"/>
      <c r="E23" s="88"/>
      <c r="F23" s="89" t="str">
        <f t="shared" si="0"/>
        <v/>
      </c>
      <c r="G23" s="5"/>
      <c r="H23" s="5" t="str">
        <f t="shared" si="1"/>
        <v/>
      </c>
      <c r="I23" s="35"/>
      <c r="J23" s="6" t="s">
        <v>11</v>
      </c>
      <c r="K23" s="33" t="str">
        <f t="shared" si="2"/>
        <v/>
      </c>
      <c r="L23" s="6" t="s">
        <v>6</v>
      </c>
      <c r="M23" s="27"/>
      <c r="N23" s="27"/>
    </row>
    <row r="24" spans="1:15" ht="18.75" customHeight="1" x14ac:dyDescent="0.15">
      <c r="A24" s="11">
        <v>21</v>
      </c>
      <c r="B24" s="2"/>
      <c r="C24" s="88"/>
      <c r="D24" s="93"/>
      <c r="E24" s="88"/>
      <c r="F24" s="89" t="str">
        <f t="shared" si="0"/>
        <v/>
      </c>
      <c r="G24" s="5"/>
      <c r="H24" s="5" t="str">
        <f t="shared" si="1"/>
        <v/>
      </c>
      <c r="I24" s="35"/>
      <c r="J24" s="8" t="s">
        <v>11</v>
      </c>
      <c r="K24" s="33" t="str">
        <f t="shared" si="2"/>
        <v/>
      </c>
      <c r="L24" s="6" t="s">
        <v>6</v>
      </c>
      <c r="M24" s="27"/>
      <c r="N24" s="27"/>
    </row>
    <row r="25" spans="1:15" ht="18.75" customHeight="1" x14ac:dyDescent="0.15">
      <c r="A25" s="11">
        <v>22</v>
      </c>
      <c r="B25" s="2"/>
      <c r="C25" s="88"/>
      <c r="D25" s="93"/>
      <c r="E25" s="88"/>
      <c r="F25" s="89" t="str">
        <f t="shared" si="0"/>
        <v/>
      </c>
      <c r="G25" s="5"/>
      <c r="H25" s="5" t="str">
        <f t="shared" si="1"/>
        <v/>
      </c>
      <c r="I25" s="41"/>
      <c r="J25" s="6" t="s">
        <v>11</v>
      </c>
      <c r="K25" s="33" t="str">
        <f t="shared" si="2"/>
        <v/>
      </c>
      <c r="L25" s="6" t="s">
        <v>6</v>
      </c>
      <c r="M25" s="27"/>
      <c r="N25" s="27"/>
    </row>
    <row r="26" spans="1:15" ht="18.75" customHeight="1" x14ac:dyDescent="0.15">
      <c r="A26" s="11">
        <v>23</v>
      </c>
      <c r="B26" s="2"/>
      <c r="C26" s="88"/>
      <c r="D26" s="93"/>
      <c r="E26" s="88"/>
      <c r="F26" s="89" t="str">
        <f t="shared" si="0"/>
        <v/>
      </c>
      <c r="G26" s="5"/>
      <c r="H26" s="5" t="str">
        <f t="shared" si="1"/>
        <v/>
      </c>
      <c r="I26" s="41"/>
      <c r="J26" s="6" t="s">
        <v>15</v>
      </c>
      <c r="K26" s="33" t="str">
        <f t="shared" si="2"/>
        <v/>
      </c>
      <c r="L26" s="6" t="s">
        <v>6</v>
      </c>
      <c r="M26" s="27"/>
      <c r="N26" s="27"/>
    </row>
    <row r="27" spans="1:15" ht="18.75" customHeight="1" x14ac:dyDescent="0.15">
      <c r="A27" s="11">
        <v>24</v>
      </c>
      <c r="B27" s="2"/>
      <c r="C27" s="88"/>
      <c r="D27" s="93"/>
      <c r="E27" s="88"/>
      <c r="F27" s="89" t="str">
        <f t="shared" si="0"/>
        <v/>
      </c>
      <c r="G27" s="5"/>
      <c r="H27" s="5" t="str">
        <f t="shared" si="1"/>
        <v/>
      </c>
      <c r="I27" s="35"/>
      <c r="J27" s="8" t="s">
        <v>15</v>
      </c>
      <c r="K27" s="33" t="str">
        <f t="shared" si="2"/>
        <v/>
      </c>
      <c r="L27" s="6" t="s">
        <v>6</v>
      </c>
      <c r="M27" s="27"/>
      <c r="N27" s="27"/>
      <c r="O27" s="59"/>
    </row>
    <row r="28" spans="1:15" ht="18.75" customHeight="1" x14ac:dyDescent="0.15">
      <c r="A28" s="11">
        <v>25</v>
      </c>
      <c r="B28" s="2"/>
      <c r="C28" s="88"/>
      <c r="D28" s="93"/>
      <c r="E28" s="88"/>
      <c r="F28" s="89" t="str">
        <f t="shared" si="0"/>
        <v/>
      </c>
      <c r="G28" s="5"/>
      <c r="H28" s="5" t="str">
        <f t="shared" si="1"/>
        <v/>
      </c>
      <c r="I28" s="35"/>
      <c r="J28" s="6" t="s">
        <v>15</v>
      </c>
      <c r="K28" s="33" t="str">
        <f t="shared" si="2"/>
        <v/>
      </c>
      <c r="L28" s="6" t="s">
        <v>6</v>
      </c>
      <c r="M28" s="27"/>
      <c r="N28" s="27"/>
    </row>
    <row r="29" spans="1:15" ht="18.75" customHeight="1" x14ac:dyDescent="0.15">
      <c r="A29" s="11">
        <v>26</v>
      </c>
      <c r="B29" s="2"/>
      <c r="C29" s="88"/>
      <c r="D29" s="93"/>
      <c r="E29" s="88"/>
      <c r="F29" s="89" t="str">
        <f t="shared" si="0"/>
        <v/>
      </c>
      <c r="G29" s="5"/>
      <c r="H29" s="5" t="str">
        <f t="shared" si="1"/>
        <v/>
      </c>
      <c r="I29" s="35"/>
      <c r="J29" s="6" t="s">
        <v>15</v>
      </c>
      <c r="K29" s="33" t="str">
        <f t="shared" si="2"/>
        <v/>
      </c>
      <c r="L29" s="6" t="s">
        <v>6</v>
      </c>
      <c r="M29" s="27"/>
      <c r="N29" s="27"/>
    </row>
    <row r="30" spans="1:15" ht="18.75" customHeight="1" x14ac:dyDescent="0.15">
      <c r="A30" s="11">
        <v>27</v>
      </c>
      <c r="B30" s="2"/>
      <c r="C30" s="88"/>
      <c r="D30" s="93"/>
      <c r="E30" s="88"/>
      <c r="F30" s="89" t="str">
        <f t="shared" si="0"/>
        <v/>
      </c>
      <c r="G30" s="5"/>
      <c r="H30" s="5" t="str">
        <f t="shared" si="1"/>
        <v/>
      </c>
      <c r="I30" s="35"/>
      <c r="J30" s="8" t="s">
        <v>15</v>
      </c>
      <c r="K30" s="33" t="str">
        <f t="shared" si="2"/>
        <v/>
      </c>
      <c r="L30" s="6" t="s">
        <v>6</v>
      </c>
      <c r="M30" s="27"/>
      <c r="N30" s="27"/>
    </row>
    <row r="31" spans="1:15" ht="18.75" customHeight="1" x14ac:dyDescent="0.15">
      <c r="A31" s="11">
        <v>28</v>
      </c>
      <c r="B31" s="2"/>
      <c r="C31" s="88"/>
      <c r="D31" s="93"/>
      <c r="E31" s="7"/>
      <c r="F31" s="89" t="str">
        <f t="shared" si="0"/>
        <v/>
      </c>
      <c r="G31" s="5"/>
      <c r="H31" s="5" t="str">
        <f t="shared" si="1"/>
        <v/>
      </c>
      <c r="I31" s="41"/>
      <c r="J31" s="6" t="s">
        <v>15</v>
      </c>
      <c r="K31" s="33" t="str">
        <f t="shared" si="2"/>
        <v/>
      </c>
      <c r="L31" s="6" t="s">
        <v>6</v>
      </c>
      <c r="M31" s="27"/>
      <c r="N31" s="27"/>
    </row>
    <row r="32" spans="1:15" ht="18.75" customHeight="1" x14ac:dyDescent="0.15">
      <c r="A32" s="11">
        <v>29</v>
      </c>
      <c r="B32" s="2"/>
      <c r="C32" s="88"/>
      <c r="D32" s="93"/>
      <c r="E32" s="88"/>
      <c r="F32" s="89" t="str">
        <f t="shared" si="0"/>
        <v/>
      </c>
      <c r="G32" s="5"/>
      <c r="H32" s="5" t="str">
        <f t="shared" si="1"/>
        <v/>
      </c>
      <c r="I32" s="35"/>
      <c r="J32" s="6" t="s">
        <v>15</v>
      </c>
      <c r="K32" s="33" t="str">
        <f t="shared" si="2"/>
        <v/>
      </c>
      <c r="L32" s="6" t="s">
        <v>6</v>
      </c>
      <c r="M32" s="27"/>
      <c r="N32" s="27"/>
    </row>
    <row r="33" spans="1:15" ht="18.75" customHeight="1" x14ac:dyDescent="0.15">
      <c r="A33" s="11">
        <v>30</v>
      </c>
      <c r="B33" s="2"/>
      <c r="C33" s="88"/>
      <c r="D33" s="93"/>
      <c r="E33" s="88"/>
      <c r="F33" s="89" t="str">
        <f t="shared" si="0"/>
        <v/>
      </c>
      <c r="G33" s="5"/>
      <c r="H33" s="5" t="str">
        <f t="shared" si="1"/>
        <v/>
      </c>
      <c r="I33" s="35"/>
      <c r="J33" s="6" t="s">
        <v>15</v>
      </c>
      <c r="K33" s="33" t="str">
        <f t="shared" si="2"/>
        <v/>
      </c>
      <c r="L33" s="6" t="s">
        <v>6</v>
      </c>
      <c r="M33" s="27"/>
      <c r="N33" s="27"/>
    </row>
    <row r="34" spans="1:15" ht="18.75" customHeight="1" x14ac:dyDescent="0.15">
      <c r="A34" s="11">
        <v>31</v>
      </c>
      <c r="B34" s="2"/>
      <c r="C34" s="88"/>
      <c r="D34" s="93"/>
      <c r="E34" s="88"/>
      <c r="F34" s="89" t="str">
        <f t="shared" si="0"/>
        <v/>
      </c>
      <c r="G34" s="5"/>
      <c r="H34" s="5" t="str">
        <f t="shared" si="1"/>
        <v/>
      </c>
      <c r="I34" s="42"/>
      <c r="J34" s="6" t="s">
        <v>15</v>
      </c>
      <c r="K34" s="33" t="str">
        <f t="shared" si="2"/>
        <v/>
      </c>
      <c r="L34" s="6" t="s">
        <v>6</v>
      </c>
      <c r="M34" s="27"/>
      <c r="N34" s="27"/>
      <c r="O34" s="59"/>
    </row>
    <row r="35" spans="1:15" ht="18.75" customHeight="1" x14ac:dyDescent="0.15">
      <c r="A35" s="11">
        <v>32</v>
      </c>
      <c r="B35" s="2"/>
      <c r="C35" s="88"/>
      <c r="D35" s="93"/>
      <c r="E35" s="7"/>
      <c r="F35" s="89" t="str">
        <f t="shared" si="0"/>
        <v/>
      </c>
      <c r="G35" s="5"/>
      <c r="H35" s="5" t="str">
        <f t="shared" si="1"/>
        <v/>
      </c>
      <c r="I35" s="35"/>
      <c r="J35" s="6" t="s">
        <v>15</v>
      </c>
      <c r="K35" s="33" t="str">
        <f t="shared" si="2"/>
        <v/>
      </c>
      <c r="L35" s="6" t="s">
        <v>6</v>
      </c>
      <c r="M35" s="27"/>
      <c r="N35" s="27"/>
    </row>
    <row r="36" spans="1:15" ht="18.75" customHeight="1" x14ac:dyDescent="0.15">
      <c r="A36" s="11">
        <v>33</v>
      </c>
      <c r="B36" s="2"/>
      <c r="C36" s="88"/>
      <c r="D36" s="93"/>
      <c r="E36" s="88"/>
      <c r="F36" s="89" t="str">
        <f t="shared" si="0"/>
        <v/>
      </c>
      <c r="G36" s="5"/>
      <c r="H36" s="5" t="str">
        <f t="shared" si="1"/>
        <v/>
      </c>
      <c r="I36" s="43"/>
      <c r="J36" s="6" t="s">
        <v>15</v>
      </c>
      <c r="K36" s="33" t="str">
        <f t="shared" si="2"/>
        <v/>
      </c>
      <c r="L36" s="6" t="s">
        <v>6</v>
      </c>
      <c r="M36" s="27"/>
      <c r="N36" s="27"/>
    </row>
    <row r="37" spans="1:15" ht="18.75" customHeight="1" x14ac:dyDescent="0.15">
      <c r="A37" s="11">
        <v>34</v>
      </c>
      <c r="B37" s="2"/>
      <c r="C37" s="88"/>
      <c r="D37" s="93"/>
      <c r="E37" s="88"/>
      <c r="F37" s="89" t="str">
        <f t="shared" si="0"/>
        <v/>
      </c>
      <c r="G37" s="5"/>
      <c r="H37" s="5" t="str">
        <f t="shared" si="1"/>
        <v/>
      </c>
      <c r="I37" s="35"/>
      <c r="J37" s="6" t="s">
        <v>15</v>
      </c>
      <c r="K37" s="33" t="str">
        <f t="shared" si="2"/>
        <v/>
      </c>
      <c r="L37" s="6" t="s">
        <v>6</v>
      </c>
      <c r="M37" s="27"/>
      <c r="N37" s="27"/>
    </row>
    <row r="38" spans="1:15" ht="18.75" customHeight="1" x14ac:dyDescent="0.15">
      <c r="A38" s="11">
        <v>35</v>
      </c>
      <c r="B38" s="2"/>
      <c r="C38" s="88"/>
      <c r="D38" s="93"/>
      <c r="E38" s="7"/>
      <c r="F38" s="89" t="str">
        <f t="shared" si="0"/>
        <v/>
      </c>
      <c r="G38" s="5"/>
      <c r="H38" s="5" t="str">
        <f t="shared" si="1"/>
        <v/>
      </c>
      <c r="I38" s="42"/>
      <c r="J38" s="6" t="s">
        <v>15</v>
      </c>
      <c r="K38" s="33" t="str">
        <f t="shared" si="2"/>
        <v/>
      </c>
      <c r="L38" s="6" t="s">
        <v>6</v>
      </c>
      <c r="M38" s="27"/>
      <c r="N38" s="27"/>
    </row>
    <row r="39" spans="1:15" ht="18.75" customHeight="1" x14ac:dyDescent="0.15">
      <c r="A39" s="11">
        <v>36</v>
      </c>
      <c r="B39" s="2"/>
      <c r="C39" s="88"/>
      <c r="D39" s="93"/>
      <c r="E39" s="88"/>
      <c r="F39" s="89" t="str">
        <f t="shared" si="0"/>
        <v/>
      </c>
      <c r="G39" s="5"/>
      <c r="H39" s="5" t="str">
        <f t="shared" si="1"/>
        <v/>
      </c>
      <c r="I39" s="35"/>
      <c r="J39" s="6" t="s">
        <v>15</v>
      </c>
      <c r="K39" s="33" t="str">
        <f t="shared" si="2"/>
        <v/>
      </c>
      <c r="L39" s="6" t="s">
        <v>6</v>
      </c>
      <c r="M39" s="27"/>
      <c r="N39" s="27"/>
    </row>
    <row r="40" spans="1:15" ht="18.75" customHeight="1" x14ac:dyDescent="0.15">
      <c r="A40" s="11">
        <v>37</v>
      </c>
      <c r="B40" s="2"/>
      <c r="C40" s="88"/>
      <c r="D40" s="93"/>
      <c r="E40" s="88"/>
      <c r="F40" s="89" t="str">
        <f t="shared" si="0"/>
        <v/>
      </c>
      <c r="G40" s="5"/>
      <c r="H40" s="5" t="str">
        <f t="shared" si="1"/>
        <v/>
      </c>
      <c r="I40" s="35"/>
      <c r="J40" s="6" t="s">
        <v>15</v>
      </c>
      <c r="K40" s="33" t="str">
        <f t="shared" si="2"/>
        <v/>
      </c>
      <c r="L40" s="6" t="s">
        <v>6</v>
      </c>
      <c r="M40" s="27"/>
      <c r="N40" s="27"/>
    </row>
    <row r="41" spans="1:15" ht="18.75" customHeight="1" x14ac:dyDescent="0.15">
      <c r="A41" s="11">
        <v>38</v>
      </c>
      <c r="B41" s="2"/>
      <c r="C41" s="88"/>
      <c r="D41" s="93"/>
      <c r="E41" s="88"/>
      <c r="F41" s="89" t="str">
        <f t="shared" si="0"/>
        <v/>
      </c>
      <c r="G41" s="5"/>
      <c r="H41" s="5" t="str">
        <f t="shared" si="1"/>
        <v/>
      </c>
      <c r="I41" s="35"/>
      <c r="J41" s="6" t="s">
        <v>15</v>
      </c>
      <c r="K41" s="37" t="str">
        <f t="shared" si="2"/>
        <v/>
      </c>
      <c r="L41" s="6" t="s">
        <v>6</v>
      </c>
      <c r="M41" s="27"/>
      <c r="N41" s="27"/>
    </row>
    <row r="42" spans="1:15" ht="18.75" customHeight="1" x14ac:dyDescent="0.15">
      <c r="A42" s="11">
        <v>39</v>
      </c>
      <c r="B42" s="2"/>
      <c r="C42" s="88"/>
      <c r="D42" s="93"/>
      <c r="E42" s="88"/>
      <c r="F42" s="89"/>
      <c r="G42" s="5"/>
      <c r="H42" s="5"/>
      <c r="I42" s="35"/>
      <c r="J42" s="6" t="s">
        <v>15</v>
      </c>
      <c r="K42" s="37"/>
      <c r="L42" s="6" t="s">
        <v>6</v>
      </c>
      <c r="M42" s="27"/>
      <c r="N42" s="27"/>
    </row>
    <row r="43" spans="1:15" ht="18.75" customHeight="1" thickBot="1" x14ac:dyDescent="0.2">
      <c r="A43" s="50">
        <v>40</v>
      </c>
      <c r="B43" s="51"/>
      <c r="C43" s="52"/>
      <c r="D43" s="94"/>
      <c r="E43" s="52"/>
      <c r="F43" s="53"/>
      <c r="G43" s="54"/>
      <c r="H43" s="54"/>
      <c r="I43" s="55"/>
      <c r="J43" s="56" t="s">
        <v>15</v>
      </c>
      <c r="K43" s="57"/>
      <c r="L43" s="56" t="s">
        <v>6</v>
      </c>
      <c r="M43" s="86" t="s">
        <v>21</v>
      </c>
      <c r="N43" s="86" t="s">
        <v>22</v>
      </c>
    </row>
    <row r="44" spans="1:15" ht="18.75" customHeight="1" thickTop="1" x14ac:dyDescent="0.15">
      <c r="B44" s="44"/>
      <c r="C44" s="44"/>
      <c r="D44" s="45"/>
      <c r="E44" s="44"/>
      <c r="F44" s="44" t="str">
        <f>IF(E44="","",E44-INT(E44/7)*7)</f>
        <v/>
      </c>
      <c r="G44" s="46"/>
      <c r="H44" s="46" t="str">
        <f>IF(G44="","",G44)</f>
        <v/>
      </c>
      <c r="I44" s="61">
        <f>SUM(I4:I43)</f>
        <v>0</v>
      </c>
      <c r="J44" s="8" t="s">
        <v>15</v>
      </c>
      <c r="K44" s="47">
        <f>SUM(K4:K43)</f>
        <v>0</v>
      </c>
      <c r="L44" s="8" t="s">
        <v>6</v>
      </c>
      <c r="M44" s="48">
        <f>SUM(K44)-N44</f>
        <v>0</v>
      </c>
      <c r="N44" s="72">
        <f>SUMIF(M4:M42,"",K4:K43)</f>
        <v>0</v>
      </c>
    </row>
    <row r="45" spans="1:15" ht="20.25" customHeight="1" x14ac:dyDescent="0.15">
      <c r="B45" s="95" t="s">
        <v>9</v>
      </c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</row>
    <row r="46" spans="1:15" ht="21" customHeight="1" x14ac:dyDescent="0.15">
      <c r="B46" s="96" t="s">
        <v>0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</row>
    <row r="47" spans="1:15" ht="27" customHeight="1" x14ac:dyDescent="0.15">
      <c r="A47" s="11"/>
      <c r="B47" s="29" t="s">
        <v>1</v>
      </c>
      <c r="C47" s="102" t="s">
        <v>2</v>
      </c>
      <c r="D47" s="103"/>
      <c r="E47" s="104" t="s">
        <v>3</v>
      </c>
      <c r="F47" s="105"/>
      <c r="G47" s="87" t="s">
        <v>4</v>
      </c>
      <c r="H47" s="87" t="s">
        <v>7</v>
      </c>
      <c r="I47" s="106" t="s">
        <v>8</v>
      </c>
      <c r="J47" s="107"/>
      <c r="K47" s="106" t="s">
        <v>5</v>
      </c>
      <c r="L47" s="106"/>
      <c r="M47" s="30" t="s">
        <v>10</v>
      </c>
      <c r="N47" s="31" t="s">
        <v>18</v>
      </c>
    </row>
    <row r="48" spans="1:15" ht="18.75" customHeight="1" x14ac:dyDescent="0.15">
      <c r="A48" s="11">
        <v>41</v>
      </c>
      <c r="B48" s="2"/>
      <c r="C48" s="88"/>
      <c r="D48" s="93"/>
      <c r="E48" s="88"/>
      <c r="F48" s="89" t="str">
        <f t="shared" ref="F48:F88" si="3">IF(E48="","",E48-INT(E48/7)*7)</f>
        <v/>
      </c>
      <c r="G48" s="5"/>
      <c r="H48" s="5" t="str">
        <f t="shared" ref="H48:H88" si="4">IF(G48="","",G48)</f>
        <v/>
      </c>
      <c r="I48" s="32"/>
      <c r="J48" s="6" t="s">
        <v>15</v>
      </c>
      <c r="K48" s="33" t="str">
        <f t="shared" ref="K48:K85" si="5">IF(I48&gt;0,I48*0.2,"")</f>
        <v/>
      </c>
      <c r="L48" s="6" t="s">
        <v>6</v>
      </c>
      <c r="M48" s="27"/>
      <c r="N48" s="34"/>
    </row>
    <row r="49" spans="1:14" ht="18.75" customHeight="1" x14ac:dyDescent="0.15">
      <c r="A49" s="11">
        <v>42</v>
      </c>
      <c r="B49" s="2"/>
      <c r="C49" s="88"/>
      <c r="D49" s="93"/>
      <c r="E49" s="7"/>
      <c r="F49" s="89" t="str">
        <f t="shared" si="3"/>
        <v/>
      </c>
      <c r="G49" s="5"/>
      <c r="H49" s="5" t="str">
        <f t="shared" si="4"/>
        <v/>
      </c>
      <c r="I49" s="35"/>
      <c r="J49" s="36" t="s">
        <v>15</v>
      </c>
      <c r="K49" s="37" t="str">
        <f t="shared" si="5"/>
        <v/>
      </c>
      <c r="L49" s="6" t="s">
        <v>6</v>
      </c>
      <c r="M49" s="27"/>
      <c r="N49" s="27"/>
    </row>
    <row r="50" spans="1:14" ht="18.75" customHeight="1" x14ac:dyDescent="0.15">
      <c r="A50" s="11">
        <v>43</v>
      </c>
      <c r="B50" s="2"/>
      <c r="C50" s="88"/>
      <c r="D50" s="93"/>
      <c r="E50" s="88"/>
      <c r="F50" s="89" t="str">
        <f t="shared" si="3"/>
        <v/>
      </c>
      <c r="G50" s="5"/>
      <c r="H50" s="5" t="str">
        <f t="shared" si="4"/>
        <v/>
      </c>
      <c r="I50" s="38"/>
      <c r="J50" s="8" t="s">
        <v>15</v>
      </c>
      <c r="K50" s="39" t="str">
        <f t="shared" si="5"/>
        <v/>
      </c>
      <c r="L50" s="9" t="s">
        <v>6</v>
      </c>
      <c r="M50" s="40"/>
      <c r="N50" s="27"/>
    </row>
    <row r="51" spans="1:14" ht="18.75" customHeight="1" x14ac:dyDescent="0.15">
      <c r="A51" s="11">
        <v>44</v>
      </c>
      <c r="B51" s="2"/>
      <c r="C51" s="88"/>
      <c r="D51" s="93"/>
      <c r="E51" s="88"/>
      <c r="F51" s="89" t="str">
        <f t="shared" si="3"/>
        <v/>
      </c>
      <c r="G51" s="5"/>
      <c r="H51" s="5" t="str">
        <f t="shared" si="4"/>
        <v/>
      </c>
      <c r="I51" s="35"/>
      <c r="J51" s="6" t="s">
        <v>15</v>
      </c>
      <c r="K51" s="33" t="str">
        <f t="shared" si="5"/>
        <v/>
      </c>
      <c r="L51" s="6" t="s">
        <v>6</v>
      </c>
      <c r="M51" s="27"/>
      <c r="N51" s="27"/>
    </row>
    <row r="52" spans="1:14" ht="18.75" customHeight="1" x14ac:dyDescent="0.15">
      <c r="A52" s="11">
        <v>45</v>
      </c>
      <c r="B52" s="2"/>
      <c r="C52" s="88"/>
      <c r="D52" s="93"/>
      <c r="E52" s="88"/>
      <c r="F52" s="89" t="str">
        <f t="shared" si="3"/>
        <v/>
      </c>
      <c r="G52" s="5"/>
      <c r="H52" s="5" t="str">
        <f t="shared" si="4"/>
        <v/>
      </c>
      <c r="I52" s="35"/>
      <c r="J52" s="6" t="s">
        <v>15</v>
      </c>
      <c r="K52" s="33" t="str">
        <f t="shared" si="5"/>
        <v/>
      </c>
      <c r="L52" s="6" t="s">
        <v>6</v>
      </c>
      <c r="M52" s="27"/>
      <c r="N52" s="27"/>
    </row>
    <row r="53" spans="1:14" ht="18.75" customHeight="1" x14ac:dyDescent="0.15">
      <c r="A53" s="11">
        <v>46</v>
      </c>
      <c r="B53" s="2"/>
      <c r="C53" s="88"/>
      <c r="D53" s="93"/>
      <c r="E53" s="88"/>
      <c r="F53" s="89" t="str">
        <f t="shared" si="3"/>
        <v/>
      </c>
      <c r="G53" s="5"/>
      <c r="H53" s="5" t="str">
        <f t="shared" si="4"/>
        <v/>
      </c>
      <c r="I53" s="35"/>
      <c r="J53" s="6" t="s">
        <v>15</v>
      </c>
      <c r="K53" s="33" t="str">
        <f t="shared" si="5"/>
        <v/>
      </c>
      <c r="L53" s="6" t="s">
        <v>6</v>
      </c>
      <c r="M53" s="27"/>
      <c r="N53" s="27"/>
    </row>
    <row r="54" spans="1:14" ht="18.75" customHeight="1" x14ac:dyDescent="0.15">
      <c r="A54" s="11">
        <v>47</v>
      </c>
      <c r="B54" s="2"/>
      <c r="C54" s="88"/>
      <c r="D54" s="93"/>
      <c r="E54" s="88"/>
      <c r="F54" s="89" t="str">
        <f t="shared" si="3"/>
        <v/>
      </c>
      <c r="G54" s="5"/>
      <c r="H54" s="5" t="str">
        <f t="shared" si="4"/>
        <v/>
      </c>
      <c r="I54" s="35"/>
      <c r="J54" s="6" t="s">
        <v>15</v>
      </c>
      <c r="K54" s="33" t="str">
        <f t="shared" si="5"/>
        <v/>
      </c>
      <c r="L54" s="6" t="s">
        <v>6</v>
      </c>
      <c r="M54" s="27"/>
      <c r="N54" s="27"/>
    </row>
    <row r="55" spans="1:14" ht="18.75" customHeight="1" x14ac:dyDescent="0.15">
      <c r="A55" s="11">
        <v>48</v>
      </c>
      <c r="B55" s="2"/>
      <c r="C55" s="88"/>
      <c r="D55" s="93"/>
      <c r="E55" s="88"/>
      <c r="F55" s="89" t="str">
        <f t="shared" si="3"/>
        <v/>
      </c>
      <c r="G55" s="5"/>
      <c r="H55" s="5" t="str">
        <f t="shared" si="4"/>
        <v/>
      </c>
      <c r="I55" s="41"/>
      <c r="J55" s="8" t="s">
        <v>15</v>
      </c>
      <c r="K55" s="33" t="str">
        <f t="shared" si="5"/>
        <v/>
      </c>
      <c r="L55" s="9" t="s">
        <v>6</v>
      </c>
      <c r="M55" s="27"/>
      <c r="N55" s="27"/>
    </row>
    <row r="56" spans="1:14" ht="18.75" customHeight="1" x14ac:dyDescent="0.15">
      <c r="A56" s="11">
        <v>49</v>
      </c>
      <c r="B56" s="2"/>
      <c r="C56" s="88"/>
      <c r="D56" s="93"/>
      <c r="E56" s="88"/>
      <c r="F56" s="89" t="str">
        <f t="shared" si="3"/>
        <v/>
      </c>
      <c r="G56" s="5"/>
      <c r="H56" s="5" t="str">
        <f t="shared" si="4"/>
        <v/>
      </c>
      <c r="I56" s="35"/>
      <c r="J56" s="6" t="s">
        <v>15</v>
      </c>
      <c r="K56" s="33" t="str">
        <f t="shared" si="5"/>
        <v/>
      </c>
      <c r="L56" s="6" t="s">
        <v>6</v>
      </c>
      <c r="M56" s="27"/>
      <c r="N56" s="27"/>
    </row>
    <row r="57" spans="1:14" ht="18.75" customHeight="1" x14ac:dyDescent="0.15">
      <c r="A57" s="11">
        <v>50</v>
      </c>
      <c r="B57" s="2"/>
      <c r="C57" s="88"/>
      <c r="D57" s="93"/>
      <c r="E57" s="88"/>
      <c r="F57" s="89" t="str">
        <f t="shared" si="3"/>
        <v/>
      </c>
      <c r="G57" s="5"/>
      <c r="H57" s="5" t="str">
        <f t="shared" si="4"/>
        <v/>
      </c>
      <c r="I57" s="41"/>
      <c r="J57" s="8" t="s">
        <v>15</v>
      </c>
      <c r="K57" s="33" t="str">
        <f t="shared" si="5"/>
        <v/>
      </c>
      <c r="L57" s="9" t="s">
        <v>6</v>
      </c>
      <c r="M57" s="27"/>
      <c r="N57" s="27"/>
    </row>
    <row r="58" spans="1:14" ht="18.75" customHeight="1" x14ac:dyDescent="0.15">
      <c r="A58" s="11">
        <v>51</v>
      </c>
      <c r="B58" s="2"/>
      <c r="C58" s="88"/>
      <c r="D58" s="93"/>
      <c r="E58" s="88"/>
      <c r="F58" s="89" t="str">
        <f t="shared" si="3"/>
        <v/>
      </c>
      <c r="G58" s="5"/>
      <c r="H58" s="5" t="str">
        <f t="shared" si="4"/>
        <v/>
      </c>
      <c r="I58" s="35"/>
      <c r="J58" s="6" t="s">
        <v>15</v>
      </c>
      <c r="K58" s="33" t="str">
        <f t="shared" si="5"/>
        <v/>
      </c>
      <c r="L58" s="6" t="s">
        <v>6</v>
      </c>
      <c r="M58" s="27"/>
      <c r="N58" s="27"/>
    </row>
    <row r="59" spans="1:14" ht="18.75" customHeight="1" x14ac:dyDescent="0.15">
      <c r="A59" s="11">
        <v>52</v>
      </c>
      <c r="B59" s="2"/>
      <c r="C59" s="88"/>
      <c r="D59" s="93"/>
      <c r="E59" s="88"/>
      <c r="F59" s="89" t="str">
        <f t="shared" si="3"/>
        <v/>
      </c>
      <c r="G59" s="5"/>
      <c r="H59" s="5" t="str">
        <f t="shared" si="4"/>
        <v/>
      </c>
      <c r="I59" s="42"/>
      <c r="J59" s="8" t="s">
        <v>15</v>
      </c>
      <c r="K59" s="33" t="str">
        <f t="shared" si="5"/>
        <v/>
      </c>
      <c r="L59" s="6" t="s">
        <v>6</v>
      </c>
      <c r="M59" s="27"/>
      <c r="N59" s="27"/>
    </row>
    <row r="60" spans="1:14" ht="18.75" customHeight="1" x14ac:dyDescent="0.15">
      <c r="A60" s="11">
        <v>53</v>
      </c>
      <c r="B60" s="2"/>
      <c r="C60" s="88"/>
      <c r="D60" s="93"/>
      <c r="E60" s="88"/>
      <c r="F60" s="89" t="str">
        <f t="shared" si="3"/>
        <v/>
      </c>
      <c r="G60" s="5"/>
      <c r="H60" s="5" t="str">
        <f t="shared" si="4"/>
        <v/>
      </c>
      <c r="I60" s="35"/>
      <c r="J60" s="6" t="s">
        <v>15</v>
      </c>
      <c r="K60" s="33" t="str">
        <f t="shared" si="5"/>
        <v/>
      </c>
      <c r="L60" s="6" t="s">
        <v>6</v>
      </c>
      <c r="M60" s="27"/>
      <c r="N60" s="27"/>
    </row>
    <row r="61" spans="1:14" ht="18.75" customHeight="1" x14ac:dyDescent="0.15">
      <c r="A61" s="11">
        <v>54</v>
      </c>
      <c r="B61" s="2"/>
      <c r="C61" s="88"/>
      <c r="D61" s="93"/>
      <c r="E61" s="88"/>
      <c r="F61" s="89" t="str">
        <f t="shared" si="3"/>
        <v/>
      </c>
      <c r="G61" s="5"/>
      <c r="H61" s="5" t="str">
        <f t="shared" si="4"/>
        <v/>
      </c>
      <c r="I61" s="35"/>
      <c r="J61" s="6" t="s">
        <v>15</v>
      </c>
      <c r="K61" s="33" t="str">
        <f t="shared" si="5"/>
        <v/>
      </c>
      <c r="L61" s="6" t="s">
        <v>6</v>
      </c>
      <c r="M61" s="27"/>
      <c r="N61" s="27"/>
    </row>
    <row r="62" spans="1:14" ht="18.75" customHeight="1" x14ac:dyDescent="0.15">
      <c r="A62" s="11">
        <v>55</v>
      </c>
      <c r="B62" s="2"/>
      <c r="C62" s="88"/>
      <c r="D62" s="93"/>
      <c r="E62" s="88"/>
      <c r="F62" s="89" t="str">
        <f t="shared" si="3"/>
        <v/>
      </c>
      <c r="G62" s="5"/>
      <c r="H62" s="5" t="str">
        <f t="shared" si="4"/>
        <v/>
      </c>
      <c r="I62" s="41"/>
      <c r="J62" s="6" t="s">
        <v>15</v>
      </c>
      <c r="K62" s="33" t="str">
        <f t="shared" si="5"/>
        <v/>
      </c>
      <c r="L62" s="9" t="s">
        <v>6</v>
      </c>
      <c r="M62" s="27"/>
      <c r="N62" s="27"/>
    </row>
    <row r="63" spans="1:14" ht="18.75" customHeight="1" x14ac:dyDescent="0.15">
      <c r="A63" s="11">
        <v>56</v>
      </c>
      <c r="B63" s="2"/>
      <c r="C63" s="88"/>
      <c r="D63" s="93"/>
      <c r="E63" s="88"/>
      <c r="F63" s="89" t="str">
        <f t="shared" si="3"/>
        <v/>
      </c>
      <c r="G63" s="5"/>
      <c r="H63" s="5" t="str">
        <f t="shared" si="4"/>
        <v/>
      </c>
      <c r="I63" s="35"/>
      <c r="J63" s="6" t="s">
        <v>15</v>
      </c>
      <c r="K63" s="33" t="str">
        <f t="shared" si="5"/>
        <v/>
      </c>
      <c r="L63" s="6" t="s">
        <v>6</v>
      </c>
      <c r="M63" s="27"/>
      <c r="N63" s="27"/>
    </row>
    <row r="64" spans="1:14" ht="18.75" customHeight="1" x14ac:dyDescent="0.15">
      <c r="A64" s="11">
        <v>57</v>
      </c>
      <c r="B64" s="2"/>
      <c r="C64" s="88"/>
      <c r="D64" s="93"/>
      <c r="E64" s="7"/>
      <c r="F64" s="89" t="str">
        <f t="shared" si="3"/>
        <v/>
      </c>
      <c r="G64" s="5"/>
      <c r="H64" s="5" t="str">
        <f t="shared" si="4"/>
        <v/>
      </c>
      <c r="I64" s="42"/>
      <c r="J64" s="8" t="s">
        <v>15</v>
      </c>
      <c r="K64" s="33" t="str">
        <f t="shared" si="5"/>
        <v/>
      </c>
      <c r="L64" s="6" t="s">
        <v>6</v>
      </c>
      <c r="M64" s="27"/>
      <c r="N64" s="34"/>
    </row>
    <row r="65" spans="1:14" ht="18.75" customHeight="1" x14ac:dyDescent="0.15">
      <c r="A65" s="11">
        <v>58</v>
      </c>
      <c r="B65" s="2"/>
      <c r="C65" s="88"/>
      <c r="D65" s="93"/>
      <c r="E65" s="88"/>
      <c r="F65" s="89" t="str">
        <f t="shared" si="3"/>
        <v/>
      </c>
      <c r="G65" s="5"/>
      <c r="H65" s="5" t="str">
        <f t="shared" si="4"/>
        <v/>
      </c>
      <c r="I65" s="35"/>
      <c r="J65" s="6" t="s">
        <v>15</v>
      </c>
      <c r="K65" s="33" t="str">
        <f t="shared" si="5"/>
        <v/>
      </c>
      <c r="L65" s="6" t="s">
        <v>6</v>
      </c>
      <c r="M65" s="27"/>
      <c r="N65" s="27"/>
    </row>
    <row r="66" spans="1:14" ht="18.75" customHeight="1" x14ac:dyDescent="0.15">
      <c r="A66" s="11">
        <v>59</v>
      </c>
      <c r="B66" s="2"/>
      <c r="C66" s="88"/>
      <c r="D66" s="93"/>
      <c r="E66" s="88"/>
      <c r="F66" s="89" t="str">
        <f t="shared" si="3"/>
        <v/>
      </c>
      <c r="G66" s="5"/>
      <c r="H66" s="5" t="str">
        <f t="shared" si="4"/>
        <v/>
      </c>
      <c r="I66" s="35"/>
      <c r="J66" s="6" t="s">
        <v>15</v>
      </c>
      <c r="K66" s="33" t="str">
        <f t="shared" si="5"/>
        <v/>
      </c>
      <c r="L66" s="6" t="s">
        <v>6</v>
      </c>
      <c r="M66" s="27"/>
      <c r="N66" s="27"/>
    </row>
    <row r="67" spans="1:14" ht="18.75" customHeight="1" x14ac:dyDescent="0.15">
      <c r="A67" s="11">
        <v>60</v>
      </c>
      <c r="B67" s="2"/>
      <c r="C67" s="88"/>
      <c r="D67" s="93"/>
      <c r="E67" s="88"/>
      <c r="F67" s="89" t="str">
        <f t="shared" si="3"/>
        <v/>
      </c>
      <c r="G67" s="5"/>
      <c r="H67" s="5" t="str">
        <f t="shared" si="4"/>
        <v/>
      </c>
      <c r="I67" s="35"/>
      <c r="J67" s="6" t="s">
        <v>11</v>
      </c>
      <c r="K67" s="33" t="str">
        <f t="shared" si="5"/>
        <v/>
      </c>
      <c r="L67" s="6" t="s">
        <v>6</v>
      </c>
      <c r="M67" s="27"/>
      <c r="N67" s="27"/>
    </row>
    <row r="68" spans="1:14" ht="18.75" customHeight="1" x14ac:dyDescent="0.15">
      <c r="A68" s="11">
        <v>61</v>
      </c>
      <c r="B68" s="2"/>
      <c r="C68" s="88"/>
      <c r="D68" s="93"/>
      <c r="E68" s="88"/>
      <c r="F68" s="89" t="str">
        <f t="shared" si="3"/>
        <v/>
      </c>
      <c r="G68" s="5"/>
      <c r="H68" s="5" t="str">
        <f t="shared" si="4"/>
        <v/>
      </c>
      <c r="I68" s="35"/>
      <c r="J68" s="8" t="s">
        <v>11</v>
      </c>
      <c r="K68" s="33" t="str">
        <f t="shared" si="5"/>
        <v/>
      </c>
      <c r="L68" s="6" t="s">
        <v>6</v>
      </c>
      <c r="M68" s="27"/>
      <c r="N68" s="27"/>
    </row>
    <row r="69" spans="1:14" ht="18.75" customHeight="1" x14ac:dyDescent="0.15">
      <c r="A69" s="11">
        <v>62</v>
      </c>
      <c r="B69" s="2"/>
      <c r="C69" s="88"/>
      <c r="D69" s="93"/>
      <c r="E69" s="88"/>
      <c r="F69" s="89" t="str">
        <f t="shared" si="3"/>
        <v/>
      </c>
      <c r="G69" s="5"/>
      <c r="H69" s="5" t="str">
        <f t="shared" si="4"/>
        <v/>
      </c>
      <c r="I69" s="41"/>
      <c r="J69" s="6" t="s">
        <v>11</v>
      </c>
      <c r="K69" s="33" t="str">
        <f t="shared" si="5"/>
        <v/>
      </c>
      <c r="L69" s="6" t="s">
        <v>6</v>
      </c>
      <c r="M69" s="27"/>
      <c r="N69" s="27"/>
    </row>
    <row r="70" spans="1:14" ht="18.75" customHeight="1" x14ac:dyDescent="0.15">
      <c r="A70" s="11">
        <v>63</v>
      </c>
      <c r="B70" s="2"/>
      <c r="C70" s="88"/>
      <c r="D70" s="93"/>
      <c r="E70" s="88"/>
      <c r="F70" s="89" t="str">
        <f t="shared" si="3"/>
        <v/>
      </c>
      <c r="G70" s="5"/>
      <c r="H70" s="5" t="str">
        <f t="shared" si="4"/>
        <v/>
      </c>
      <c r="I70" s="41"/>
      <c r="J70" s="6" t="s">
        <v>15</v>
      </c>
      <c r="K70" s="33" t="str">
        <f t="shared" si="5"/>
        <v/>
      </c>
      <c r="L70" s="6" t="s">
        <v>6</v>
      </c>
      <c r="M70" s="27"/>
      <c r="N70" s="27"/>
    </row>
    <row r="71" spans="1:14" ht="18.75" customHeight="1" x14ac:dyDescent="0.15">
      <c r="A71" s="11">
        <v>64</v>
      </c>
      <c r="B71" s="2"/>
      <c r="C71" s="88"/>
      <c r="D71" s="93"/>
      <c r="E71" s="88"/>
      <c r="F71" s="89" t="str">
        <f t="shared" si="3"/>
        <v/>
      </c>
      <c r="G71" s="5"/>
      <c r="H71" s="5" t="str">
        <f t="shared" si="4"/>
        <v/>
      </c>
      <c r="I71" s="35"/>
      <c r="J71" s="8" t="s">
        <v>15</v>
      </c>
      <c r="K71" s="33" t="str">
        <f t="shared" si="5"/>
        <v/>
      </c>
      <c r="L71" s="6" t="s">
        <v>6</v>
      </c>
      <c r="M71" s="27"/>
      <c r="N71" s="27"/>
    </row>
    <row r="72" spans="1:14" ht="18.75" customHeight="1" x14ac:dyDescent="0.15">
      <c r="A72" s="11">
        <v>65</v>
      </c>
      <c r="B72" s="2"/>
      <c r="C72" s="88"/>
      <c r="D72" s="93"/>
      <c r="E72" s="88"/>
      <c r="F72" s="89" t="str">
        <f t="shared" si="3"/>
        <v/>
      </c>
      <c r="G72" s="5"/>
      <c r="H72" s="5" t="str">
        <f t="shared" si="4"/>
        <v/>
      </c>
      <c r="I72" s="35"/>
      <c r="J72" s="6" t="s">
        <v>15</v>
      </c>
      <c r="K72" s="33" t="str">
        <f t="shared" si="5"/>
        <v/>
      </c>
      <c r="L72" s="6" t="s">
        <v>6</v>
      </c>
      <c r="M72" s="27"/>
      <c r="N72" s="27"/>
    </row>
    <row r="73" spans="1:14" ht="18.75" customHeight="1" x14ac:dyDescent="0.15">
      <c r="A73" s="11">
        <v>66</v>
      </c>
      <c r="B73" s="2"/>
      <c r="C73" s="88"/>
      <c r="D73" s="93"/>
      <c r="E73" s="88"/>
      <c r="F73" s="89" t="str">
        <f t="shared" si="3"/>
        <v/>
      </c>
      <c r="G73" s="5"/>
      <c r="H73" s="5" t="str">
        <f t="shared" si="4"/>
        <v/>
      </c>
      <c r="I73" s="35"/>
      <c r="J73" s="6" t="s">
        <v>15</v>
      </c>
      <c r="K73" s="33" t="str">
        <f t="shared" si="5"/>
        <v/>
      </c>
      <c r="L73" s="6" t="s">
        <v>6</v>
      </c>
      <c r="M73" s="27"/>
      <c r="N73" s="27"/>
    </row>
    <row r="74" spans="1:14" ht="18.75" customHeight="1" x14ac:dyDescent="0.15">
      <c r="A74" s="11">
        <v>67</v>
      </c>
      <c r="B74" s="2"/>
      <c r="C74" s="88"/>
      <c r="D74" s="93"/>
      <c r="E74" s="88"/>
      <c r="F74" s="89" t="str">
        <f t="shared" si="3"/>
        <v/>
      </c>
      <c r="G74" s="5"/>
      <c r="H74" s="5" t="str">
        <f t="shared" si="4"/>
        <v/>
      </c>
      <c r="I74" s="35"/>
      <c r="J74" s="8" t="s">
        <v>15</v>
      </c>
      <c r="K74" s="33" t="str">
        <f t="shared" si="5"/>
        <v/>
      </c>
      <c r="L74" s="6" t="s">
        <v>6</v>
      </c>
      <c r="M74" s="27"/>
      <c r="N74" s="27"/>
    </row>
    <row r="75" spans="1:14" ht="18.75" customHeight="1" x14ac:dyDescent="0.15">
      <c r="A75" s="11">
        <v>68</v>
      </c>
      <c r="B75" s="2"/>
      <c r="C75" s="88"/>
      <c r="D75" s="93"/>
      <c r="E75" s="7"/>
      <c r="F75" s="89" t="str">
        <f t="shared" si="3"/>
        <v/>
      </c>
      <c r="G75" s="5"/>
      <c r="H75" s="5" t="str">
        <f t="shared" si="4"/>
        <v/>
      </c>
      <c r="I75" s="41"/>
      <c r="J75" s="6" t="s">
        <v>15</v>
      </c>
      <c r="K75" s="33" t="str">
        <f t="shared" si="5"/>
        <v/>
      </c>
      <c r="L75" s="6" t="s">
        <v>6</v>
      </c>
      <c r="M75" s="27"/>
      <c r="N75" s="27"/>
    </row>
    <row r="76" spans="1:14" ht="18.75" customHeight="1" x14ac:dyDescent="0.15">
      <c r="A76" s="11">
        <v>69</v>
      </c>
      <c r="B76" s="2"/>
      <c r="C76" s="88"/>
      <c r="D76" s="93"/>
      <c r="E76" s="88"/>
      <c r="F76" s="89" t="str">
        <f t="shared" si="3"/>
        <v/>
      </c>
      <c r="G76" s="5"/>
      <c r="H76" s="5" t="str">
        <f t="shared" si="4"/>
        <v/>
      </c>
      <c r="I76" s="35"/>
      <c r="J76" s="6" t="s">
        <v>15</v>
      </c>
      <c r="K76" s="33" t="str">
        <f t="shared" si="5"/>
        <v/>
      </c>
      <c r="L76" s="6" t="s">
        <v>6</v>
      </c>
      <c r="M76" s="27"/>
      <c r="N76" s="27"/>
    </row>
    <row r="77" spans="1:14" ht="18.75" customHeight="1" x14ac:dyDescent="0.15">
      <c r="A77" s="11">
        <v>70</v>
      </c>
      <c r="B77" s="2"/>
      <c r="C77" s="88"/>
      <c r="D77" s="93"/>
      <c r="E77" s="88"/>
      <c r="F77" s="89" t="str">
        <f t="shared" si="3"/>
        <v/>
      </c>
      <c r="G77" s="5"/>
      <c r="H77" s="5" t="str">
        <f t="shared" si="4"/>
        <v/>
      </c>
      <c r="I77" s="35"/>
      <c r="J77" s="6" t="s">
        <v>15</v>
      </c>
      <c r="K77" s="33" t="str">
        <f t="shared" si="5"/>
        <v/>
      </c>
      <c r="L77" s="6" t="s">
        <v>6</v>
      </c>
      <c r="M77" s="27"/>
      <c r="N77" s="27"/>
    </row>
    <row r="78" spans="1:14" ht="18.75" customHeight="1" x14ac:dyDescent="0.15">
      <c r="A78" s="11">
        <v>71</v>
      </c>
      <c r="B78" s="2"/>
      <c r="C78" s="88"/>
      <c r="D78" s="93"/>
      <c r="E78" s="88"/>
      <c r="F78" s="89" t="str">
        <f t="shared" si="3"/>
        <v/>
      </c>
      <c r="G78" s="5"/>
      <c r="H78" s="5" t="str">
        <f t="shared" si="4"/>
        <v/>
      </c>
      <c r="I78" s="42"/>
      <c r="J78" s="6" t="s">
        <v>15</v>
      </c>
      <c r="K78" s="33" t="str">
        <f t="shared" si="5"/>
        <v/>
      </c>
      <c r="L78" s="6" t="s">
        <v>6</v>
      </c>
      <c r="M78" s="27"/>
      <c r="N78" s="27"/>
    </row>
    <row r="79" spans="1:14" ht="18.75" customHeight="1" x14ac:dyDescent="0.15">
      <c r="A79" s="11">
        <v>72</v>
      </c>
      <c r="B79" s="2"/>
      <c r="C79" s="88"/>
      <c r="D79" s="93"/>
      <c r="E79" s="7"/>
      <c r="F79" s="89" t="str">
        <f t="shared" si="3"/>
        <v/>
      </c>
      <c r="G79" s="5"/>
      <c r="H79" s="5" t="str">
        <f t="shared" si="4"/>
        <v/>
      </c>
      <c r="I79" s="35"/>
      <c r="J79" s="6" t="s">
        <v>15</v>
      </c>
      <c r="K79" s="33" t="str">
        <f t="shared" si="5"/>
        <v/>
      </c>
      <c r="L79" s="6" t="s">
        <v>6</v>
      </c>
      <c r="M79" s="27"/>
      <c r="N79" s="27"/>
    </row>
    <row r="80" spans="1:14" ht="18.75" customHeight="1" x14ac:dyDescent="0.15">
      <c r="A80" s="11">
        <v>73</v>
      </c>
      <c r="B80" s="2"/>
      <c r="C80" s="88"/>
      <c r="D80" s="93"/>
      <c r="E80" s="88"/>
      <c r="F80" s="89" t="str">
        <f t="shared" si="3"/>
        <v/>
      </c>
      <c r="G80" s="5"/>
      <c r="H80" s="5" t="str">
        <f t="shared" si="4"/>
        <v/>
      </c>
      <c r="I80" s="43"/>
      <c r="J80" s="6" t="s">
        <v>15</v>
      </c>
      <c r="K80" s="33" t="str">
        <f t="shared" si="5"/>
        <v/>
      </c>
      <c r="L80" s="6" t="s">
        <v>6</v>
      </c>
      <c r="M80" s="27"/>
      <c r="N80" s="27"/>
    </row>
    <row r="81" spans="1:14" ht="18.75" customHeight="1" x14ac:dyDescent="0.15">
      <c r="A81" s="11">
        <v>74</v>
      </c>
      <c r="B81" s="2"/>
      <c r="C81" s="88"/>
      <c r="D81" s="93"/>
      <c r="E81" s="88"/>
      <c r="F81" s="89" t="str">
        <f t="shared" si="3"/>
        <v/>
      </c>
      <c r="G81" s="5"/>
      <c r="H81" s="5" t="str">
        <f t="shared" si="4"/>
        <v/>
      </c>
      <c r="I81" s="35"/>
      <c r="J81" s="6" t="s">
        <v>15</v>
      </c>
      <c r="K81" s="33" t="str">
        <f t="shared" si="5"/>
        <v/>
      </c>
      <c r="L81" s="6" t="s">
        <v>6</v>
      </c>
      <c r="M81" s="27"/>
      <c r="N81" s="27"/>
    </row>
    <row r="82" spans="1:14" ht="18.75" customHeight="1" x14ac:dyDescent="0.15">
      <c r="A82" s="11">
        <v>75</v>
      </c>
      <c r="B82" s="2"/>
      <c r="C82" s="88"/>
      <c r="D82" s="93"/>
      <c r="E82" s="7"/>
      <c r="F82" s="89" t="str">
        <f t="shared" si="3"/>
        <v/>
      </c>
      <c r="G82" s="5"/>
      <c r="H82" s="5" t="str">
        <f t="shared" si="4"/>
        <v/>
      </c>
      <c r="I82" s="42"/>
      <c r="J82" s="6" t="s">
        <v>15</v>
      </c>
      <c r="K82" s="33" t="str">
        <f t="shared" si="5"/>
        <v/>
      </c>
      <c r="L82" s="6" t="s">
        <v>6</v>
      </c>
      <c r="M82" s="27"/>
      <c r="N82" s="27"/>
    </row>
    <row r="83" spans="1:14" ht="18.75" customHeight="1" x14ac:dyDescent="0.15">
      <c r="A83" s="11">
        <v>76</v>
      </c>
      <c r="B83" s="2"/>
      <c r="C83" s="88"/>
      <c r="D83" s="93"/>
      <c r="E83" s="88"/>
      <c r="F83" s="89" t="str">
        <f t="shared" si="3"/>
        <v/>
      </c>
      <c r="G83" s="5"/>
      <c r="H83" s="5" t="str">
        <f t="shared" si="4"/>
        <v/>
      </c>
      <c r="I83" s="35"/>
      <c r="J83" s="6" t="s">
        <v>15</v>
      </c>
      <c r="K83" s="33" t="str">
        <f t="shared" si="5"/>
        <v/>
      </c>
      <c r="L83" s="6" t="s">
        <v>6</v>
      </c>
      <c r="M83" s="27"/>
      <c r="N83" s="27"/>
    </row>
    <row r="84" spans="1:14" ht="18.75" customHeight="1" x14ac:dyDescent="0.15">
      <c r="A84" s="11">
        <v>77</v>
      </c>
      <c r="B84" s="2"/>
      <c r="C84" s="88"/>
      <c r="D84" s="93"/>
      <c r="E84" s="88"/>
      <c r="F84" s="89" t="str">
        <f t="shared" si="3"/>
        <v/>
      </c>
      <c r="G84" s="5"/>
      <c r="H84" s="5" t="str">
        <f t="shared" si="4"/>
        <v/>
      </c>
      <c r="I84" s="35"/>
      <c r="J84" s="6" t="s">
        <v>15</v>
      </c>
      <c r="K84" s="33" t="str">
        <f t="shared" si="5"/>
        <v/>
      </c>
      <c r="L84" s="6" t="s">
        <v>6</v>
      </c>
      <c r="M84" s="27"/>
      <c r="N84" s="27"/>
    </row>
    <row r="85" spans="1:14" ht="18.75" customHeight="1" x14ac:dyDescent="0.15">
      <c r="A85" s="11">
        <v>78</v>
      </c>
      <c r="B85" s="2"/>
      <c r="C85" s="88"/>
      <c r="D85" s="93"/>
      <c r="E85" s="88"/>
      <c r="F85" s="89" t="str">
        <f t="shared" si="3"/>
        <v/>
      </c>
      <c r="G85" s="5"/>
      <c r="H85" s="5" t="str">
        <f t="shared" si="4"/>
        <v/>
      </c>
      <c r="I85" s="35"/>
      <c r="J85" s="6" t="s">
        <v>15</v>
      </c>
      <c r="K85" s="37" t="str">
        <f t="shared" si="5"/>
        <v/>
      </c>
      <c r="L85" s="6" t="s">
        <v>6</v>
      </c>
      <c r="M85" s="27"/>
      <c r="N85" s="27"/>
    </row>
    <row r="86" spans="1:14" ht="18.75" customHeight="1" x14ac:dyDescent="0.15">
      <c r="A86" s="11">
        <v>79</v>
      </c>
      <c r="B86" s="2"/>
      <c r="C86" s="88"/>
      <c r="D86" s="93"/>
      <c r="E86" s="88"/>
      <c r="F86" s="89"/>
      <c r="G86" s="5"/>
      <c r="H86" s="5"/>
      <c r="I86" s="35"/>
      <c r="J86" s="6" t="s">
        <v>15</v>
      </c>
      <c r="K86" s="37"/>
      <c r="L86" s="6" t="s">
        <v>6</v>
      </c>
      <c r="M86" s="27"/>
      <c r="N86" s="27"/>
    </row>
    <row r="87" spans="1:14" ht="18.75" customHeight="1" x14ac:dyDescent="0.15">
      <c r="A87" s="11">
        <v>80</v>
      </c>
      <c r="B87" s="2"/>
      <c r="C87" s="88"/>
      <c r="D87" s="93"/>
      <c r="E87" s="88"/>
      <c r="F87" s="89" t="str">
        <f t="shared" si="3"/>
        <v/>
      </c>
      <c r="G87" s="5"/>
      <c r="H87" s="5" t="str">
        <f t="shared" si="4"/>
        <v/>
      </c>
      <c r="I87" s="35"/>
      <c r="J87" s="6" t="s">
        <v>15</v>
      </c>
      <c r="K87" s="37" t="str">
        <f>IF(I87&gt;0,I87*0.2,"")</f>
        <v/>
      </c>
      <c r="L87" s="6" t="s">
        <v>6</v>
      </c>
      <c r="M87" s="27"/>
      <c r="N87" s="27"/>
    </row>
    <row r="88" spans="1:14" ht="18.75" customHeight="1" x14ac:dyDescent="0.15">
      <c r="B88" s="44"/>
      <c r="C88" s="44"/>
      <c r="D88" s="45"/>
      <c r="E88" s="44"/>
      <c r="F88" s="44" t="str">
        <f t="shared" si="3"/>
        <v/>
      </c>
      <c r="G88" s="46"/>
      <c r="H88" s="46" t="str">
        <f t="shared" si="4"/>
        <v/>
      </c>
      <c r="I88" s="61">
        <f>SUM(I48:I87)+I44</f>
        <v>0</v>
      </c>
      <c r="J88" s="8" t="s">
        <v>15</v>
      </c>
      <c r="K88" s="47">
        <f>SUM(K48:K87)+K44</f>
        <v>0</v>
      </c>
      <c r="L88" s="8" t="s">
        <v>6</v>
      </c>
      <c r="M88" s="48"/>
      <c r="N88" s="48"/>
    </row>
  </sheetData>
  <mergeCells count="12">
    <mergeCell ref="B1:M1"/>
    <mergeCell ref="B2:M2"/>
    <mergeCell ref="C3:D3"/>
    <mergeCell ref="E3:F3"/>
    <mergeCell ref="I3:J3"/>
    <mergeCell ref="K3:L3"/>
    <mergeCell ref="B45:M45"/>
    <mergeCell ref="B46:M46"/>
    <mergeCell ref="C47:D47"/>
    <mergeCell ref="E47:F47"/>
    <mergeCell ref="I47:J47"/>
    <mergeCell ref="K47:L47"/>
  </mergeCells>
  <phoneticPr fontId="2"/>
  <dataValidations count="6">
    <dataValidation imeMode="on" allowBlank="1" showInputMessage="1" showErrorMessage="1" sqref="B44:C44 B88:C88" xr:uid="{1D464DAA-4EFA-4500-8851-06BE9171E3DE}"/>
    <dataValidation imeMode="disabled" allowBlank="1" showInputMessage="1" showErrorMessage="1" sqref="G4:G40 N21:N42 H4:M42 N49:N63 N5:N19 G48:G84 E48:E88 N65:N88 H48:M88 E4:E44 M44:N44 H43:L44" xr:uid="{3368F23D-E105-44DA-94AC-8A46BE68C28C}"/>
    <dataValidation type="list" imeMode="on" allowBlank="1" showInputMessage="1" prompt="なければ直接入力" sqref="D44 D88" xr:uid="{B2750921-05A2-4A08-A0A4-3DFC824E28E0}">
      <formula1>"利尻島国保中央病院,福士水産㈱,高橋水産㈱"</formula1>
    </dataValidation>
    <dataValidation imeMode="disabled" allowBlank="1" showInputMessage="1" sqref="G85:G88 G41:G44" xr:uid="{E340867F-0B03-4E85-90FC-902854F56BB2}"/>
    <dataValidation type="list" imeMode="on" allowBlank="1" showInputMessage="1" showErrorMessage="1" sqref="B4:C43 B48:C87" xr:uid="{EFB9DD80-BEAE-49C5-82E0-7D0C5D13318F}">
      <formula1>"水産系燃え殻,医療系燃え殻"</formula1>
    </dataValidation>
    <dataValidation type="list" imeMode="on" allowBlank="1" showInputMessage="1" prompt="なければ直接入力" sqref="D4:D43 D48:D87" xr:uid="{C63E5AB4-1635-44F8-848A-148CABABBF15}">
      <formula1>"利尻島国保中央病院,道立鬼脇診療所,カムイウィスキー,福士水産㈱,糀谷商店,米田商店"</formula1>
    </dataValidation>
  </dataValidations>
  <printOptions horizontalCentered="1" verticalCentered="1"/>
  <pageMargins left="0.59055118110236227" right="0.59055118110236227" top="0.59055118110236227" bottom="0.59055118110236227" header="0" footer="0"/>
  <pageSetup paperSize="9" orientation="portrait" horizontalDpi="4294967293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69C0F-7058-4CF7-B3F3-CDDD1428A9BA}">
  <dimension ref="A1:O88"/>
  <sheetViews>
    <sheetView topLeftCell="A36" workbookViewId="0">
      <selection activeCell="A36" sqref="A1:XFD1048576"/>
    </sheetView>
  </sheetViews>
  <sheetFormatPr defaultRowHeight="13.5" x14ac:dyDescent="0.15"/>
  <cols>
    <col min="1" max="1" width="3.375" style="12" customWidth="1"/>
    <col min="2" max="2" width="12.25" style="10" customWidth="1"/>
    <col min="3" max="3" width="1" style="10" customWidth="1"/>
    <col min="4" max="4" width="17.625" style="12" customWidth="1"/>
    <col min="5" max="5" width="10.625" style="10" customWidth="1"/>
    <col min="6" max="6" width="2.125" style="10" customWidth="1"/>
    <col min="7" max="8" width="8.125" style="10" customWidth="1"/>
    <col min="9" max="9" width="6" style="13" customWidth="1"/>
    <col min="10" max="10" width="2.375" style="10" customWidth="1"/>
    <col min="11" max="11" width="5.5" style="10" customWidth="1"/>
    <col min="12" max="12" width="2.25" style="10" customWidth="1"/>
    <col min="13" max="13" width="6.25" style="49" customWidth="1"/>
    <col min="14" max="14" width="6.25" style="10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 x14ac:dyDescent="0.15">
      <c r="B1" s="95" t="s">
        <v>9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5" ht="21" customHeight="1" x14ac:dyDescent="0.15"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spans="1:15" ht="27" customHeight="1" x14ac:dyDescent="0.15">
      <c r="A3" s="11"/>
      <c r="B3" s="29" t="s">
        <v>1</v>
      </c>
      <c r="C3" s="102" t="s">
        <v>2</v>
      </c>
      <c r="D3" s="103"/>
      <c r="E3" s="104" t="s">
        <v>3</v>
      </c>
      <c r="F3" s="105"/>
      <c r="G3" s="87" t="s">
        <v>4</v>
      </c>
      <c r="H3" s="87" t="s">
        <v>7</v>
      </c>
      <c r="I3" s="106" t="s">
        <v>8</v>
      </c>
      <c r="J3" s="107"/>
      <c r="K3" s="106" t="s">
        <v>5</v>
      </c>
      <c r="L3" s="106"/>
      <c r="M3" s="30" t="s">
        <v>10</v>
      </c>
      <c r="N3" s="31" t="s">
        <v>18</v>
      </c>
    </row>
    <row r="4" spans="1:15" ht="18.75" customHeight="1" x14ac:dyDescent="0.15">
      <c r="A4" s="11">
        <v>1</v>
      </c>
      <c r="B4" s="2"/>
      <c r="C4" s="88"/>
      <c r="D4" s="93"/>
      <c r="E4" s="88"/>
      <c r="F4" s="89" t="str">
        <f t="shared" ref="F4:F41" si="0">IF(E4="","",E4-INT(E4/7)*7)</f>
        <v/>
      </c>
      <c r="G4" s="5"/>
      <c r="H4" s="5" t="str">
        <f t="shared" ref="H4:H41" si="1">IF(G4="","",G4)</f>
        <v/>
      </c>
      <c r="I4" s="32"/>
      <c r="J4" s="6" t="s">
        <v>15</v>
      </c>
      <c r="K4" s="33" t="str">
        <f t="shared" ref="K4:K41" si="2">IF(I4&gt;0,I4*0.2,"")</f>
        <v/>
      </c>
      <c r="L4" s="6" t="s">
        <v>6</v>
      </c>
      <c r="M4" s="27"/>
      <c r="N4" s="34"/>
    </row>
    <row r="5" spans="1:15" ht="18.75" customHeight="1" x14ac:dyDescent="0.15">
      <c r="A5" s="11">
        <v>2</v>
      </c>
      <c r="B5" s="2"/>
      <c r="C5" s="88"/>
      <c r="D5" s="93"/>
      <c r="E5" s="7"/>
      <c r="F5" s="89" t="str">
        <f t="shared" si="0"/>
        <v/>
      </c>
      <c r="G5" s="5"/>
      <c r="H5" s="5" t="str">
        <f t="shared" si="1"/>
        <v/>
      </c>
      <c r="I5" s="35"/>
      <c r="J5" s="36" t="s">
        <v>15</v>
      </c>
      <c r="K5" s="37" t="str">
        <f t="shared" si="2"/>
        <v/>
      </c>
      <c r="L5" s="6" t="s">
        <v>6</v>
      </c>
      <c r="M5" s="27"/>
      <c r="N5" s="27"/>
    </row>
    <row r="6" spans="1:15" ht="18.75" customHeight="1" x14ac:dyDescent="0.15">
      <c r="A6" s="11">
        <v>3</v>
      </c>
      <c r="B6" s="2"/>
      <c r="C6" s="88"/>
      <c r="D6" s="93"/>
      <c r="E6" s="88"/>
      <c r="F6" s="89" t="str">
        <f t="shared" si="0"/>
        <v/>
      </c>
      <c r="G6" s="5"/>
      <c r="H6" s="5" t="str">
        <f t="shared" si="1"/>
        <v/>
      </c>
      <c r="I6" s="38"/>
      <c r="J6" s="8" t="s">
        <v>15</v>
      </c>
      <c r="K6" s="39" t="str">
        <f t="shared" si="2"/>
        <v/>
      </c>
      <c r="L6" s="9" t="s">
        <v>6</v>
      </c>
      <c r="M6" s="40"/>
      <c r="N6" s="27"/>
    </row>
    <row r="7" spans="1:15" ht="18.75" customHeight="1" x14ac:dyDescent="0.15">
      <c r="A7" s="11">
        <v>4</v>
      </c>
      <c r="B7" s="2"/>
      <c r="C7" s="88"/>
      <c r="D7" s="93"/>
      <c r="E7" s="88"/>
      <c r="F7" s="89" t="str">
        <f t="shared" si="0"/>
        <v/>
      </c>
      <c r="G7" s="5"/>
      <c r="H7" s="5" t="str">
        <f t="shared" si="1"/>
        <v/>
      </c>
      <c r="I7" s="35"/>
      <c r="J7" s="6" t="s">
        <v>15</v>
      </c>
      <c r="K7" s="33" t="str">
        <f t="shared" si="2"/>
        <v/>
      </c>
      <c r="L7" s="6" t="s">
        <v>6</v>
      </c>
      <c r="M7" s="27"/>
      <c r="N7" s="27"/>
    </row>
    <row r="8" spans="1:15" ht="18.75" customHeight="1" x14ac:dyDescent="0.15">
      <c r="A8" s="11">
        <v>5</v>
      </c>
      <c r="B8" s="2"/>
      <c r="C8" s="88"/>
      <c r="D8" s="93"/>
      <c r="E8" s="88"/>
      <c r="F8" s="89" t="str">
        <f t="shared" si="0"/>
        <v/>
      </c>
      <c r="G8" s="5"/>
      <c r="H8" s="5" t="str">
        <f t="shared" si="1"/>
        <v/>
      </c>
      <c r="I8" s="35"/>
      <c r="J8" s="6" t="s">
        <v>15</v>
      </c>
      <c r="K8" s="33" t="str">
        <f t="shared" si="2"/>
        <v/>
      </c>
      <c r="L8" s="6" t="s">
        <v>6</v>
      </c>
      <c r="M8" s="27"/>
      <c r="N8" s="27"/>
    </row>
    <row r="9" spans="1:15" ht="18.75" customHeight="1" x14ac:dyDescent="0.15">
      <c r="A9" s="11">
        <v>6</v>
      </c>
      <c r="B9" s="2"/>
      <c r="C9" s="88"/>
      <c r="D9" s="93"/>
      <c r="E9" s="88"/>
      <c r="F9" s="89" t="str">
        <f t="shared" si="0"/>
        <v/>
      </c>
      <c r="G9" s="5"/>
      <c r="H9" s="5" t="str">
        <f t="shared" si="1"/>
        <v/>
      </c>
      <c r="I9" s="35"/>
      <c r="J9" s="6" t="s">
        <v>15</v>
      </c>
      <c r="K9" s="33" t="str">
        <f t="shared" si="2"/>
        <v/>
      </c>
      <c r="L9" s="6" t="s">
        <v>6</v>
      </c>
      <c r="M9" s="27"/>
      <c r="N9" s="27"/>
    </row>
    <row r="10" spans="1:15" ht="18.75" customHeight="1" x14ac:dyDescent="0.15">
      <c r="A10" s="11">
        <v>7</v>
      </c>
      <c r="B10" s="2"/>
      <c r="C10" s="88"/>
      <c r="D10" s="93"/>
      <c r="E10" s="88"/>
      <c r="F10" s="89" t="str">
        <f t="shared" si="0"/>
        <v/>
      </c>
      <c r="G10" s="5"/>
      <c r="H10" s="5" t="str">
        <f t="shared" si="1"/>
        <v/>
      </c>
      <c r="I10" s="35"/>
      <c r="J10" s="6" t="s">
        <v>15</v>
      </c>
      <c r="K10" s="33" t="str">
        <f t="shared" si="2"/>
        <v/>
      </c>
      <c r="L10" s="6" t="s">
        <v>6</v>
      </c>
      <c r="M10" s="27"/>
      <c r="N10" s="27"/>
    </row>
    <row r="11" spans="1:15" ht="18.75" customHeight="1" x14ac:dyDescent="0.15">
      <c r="A11" s="11">
        <v>8</v>
      </c>
      <c r="B11" s="2"/>
      <c r="C11" s="88"/>
      <c r="D11" s="93"/>
      <c r="E11" s="88"/>
      <c r="F11" s="89" t="str">
        <f t="shared" si="0"/>
        <v/>
      </c>
      <c r="G11" s="5"/>
      <c r="H11" s="5" t="str">
        <f t="shared" si="1"/>
        <v/>
      </c>
      <c r="I11" s="41"/>
      <c r="J11" s="8" t="s">
        <v>15</v>
      </c>
      <c r="K11" s="33" t="str">
        <f t="shared" si="2"/>
        <v/>
      </c>
      <c r="L11" s="9" t="s">
        <v>6</v>
      </c>
      <c r="M11" s="27"/>
      <c r="N11" s="27"/>
    </row>
    <row r="12" spans="1:15" ht="18.75" customHeight="1" x14ac:dyDescent="0.15">
      <c r="A12" s="11">
        <v>9</v>
      </c>
      <c r="B12" s="2"/>
      <c r="C12" s="88"/>
      <c r="D12" s="93"/>
      <c r="E12" s="88"/>
      <c r="F12" s="89" t="str">
        <f t="shared" si="0"/>
        <v/>
      </c>
      <c r="G12" s="5"/>
      <c r="H12" s="5" t="str">
        <f t="shared" si="1"/>
        <v/>
      </c>
      <c r="I12" s="35"/>
      <c r="J12" s="6" t="s">
        <v>15</v>
      </c>
      <c r="K12" s="33" t="str">
        <f t="shared" si="2"/>
        <v/>
      </c>
      <c r="L12" s="6" t="s">
        <v>6</v>
      </c>
      <c r="M12" s="27"/>
      <c r="N12" s="27"/>
    </row>
    <row r="13" spans="1:15" ht="18.75" customHeight="1" x14ac:dyDescent="0.15">
      <c r="A13" s="11">
        <v>10</v>
      </c>
      <c r="B13" s="2"/>
      <c r="C13" s="88"/>
      <c r="D13" s="93"/>
      <c r="E13" s="88"/>
      <c r="F13" s="89" t="str">
        <f t="shared" si="0"/>
        <v/>
      </c>
      <c r="G13" s="5"/>
      <c r="H13" s="5" t="str">
        <f t="shared" si="1"/>
        <v/>
      </c>
      <c r="I13" s="41"/>
      <c r="J13" s="8" t="s">
        <v>15</v>
      </c>
      <c r="K13" s="33" t="str">
        <f t="shared" si="2"/>
        <v/>
      </c>
      <c r="L13" s="9" t="s">
        <v>6</v>
      </c>
      <c r="M13" s="27"/>
      <c r="N13" s="27"/>
    </row>
    <row r="14" spans="1:15" ht="18.75" customHeight="1" x14ac:dyDescent="0.15">
      <c r="A14" s="11">
        <v>11</v>
      </c>
      <c r="B14" s="2"/>
      <c r="C14" s="88"/>
      <c r="D14" s="93"/>
      <c r="E14" s="88"/>
      <c r="F14" s="89" t="str">
        <f t="shared" si="0"/>
        <v/>
      </c>
      <c r="G14" s="5"/>
      <c r="H14" s="5" t="str">
        <f t="shared" si="1"/>
        <v/>
      </c>
      <c r="I14" s="35"/>
      <c r="J14" s="6" t="s">
        <v>15</v>
      </c>
      <c r="K14" s="33" t="str">
        <f t="shared" si="2"/>
        <v/>
      </c>
      <c r="L14" s="6" t="s">
        <v>6</v>
      </c>
      <c r="M14" s="27"/>
      <c r="N14" s="27"/>
      <c r="O14" s="59"/>
    </row>
    <row r="15" spans="1:15" ht="18.75" customHeight="1" x14ac:dyDescent="0.15">
      <c r="A15" s="11">
        <v>12</v>
      </c>
      <c r="B15" s="2"/>
      <c r="C15" s="88"/>
      <c r="D15" s="93"/>
      <c r="E15" s="88"/>
      <c r="F15" s="89" t="str">
        <f t="shared" si="0"/>
        <v/>
      </c>
      <c r="G15" s="5"/>
      <c r="H15" s="5" t="str">
        <f t="shared" si="1"/>
        <v/>
      </c>
      <c r="I15" s="42"/>
      <c r="J15" s="8" t="s">
        <v>15</v>
      </c>
      <c r="K15" s="33" t="str">
        <f t="shared" si="2"/>
        <v/>
      </c>
      <c r="L15" s="6" t="s">
        <v>6</v>
      </c>
      <c r="M15" s="27"/>
      <c r="N15" s="27"/>
    </row>
    <row r="16" spans="1:15" ht="18.75" customHeight="1" x14ac:dyDescent="0.15">
      <c r="A16" s="11">
        <v>13</v>
      </c>
      <c r="B16" s="2"/>
      <c r="C16" s="88"/>
      <c r="D16" s="93"/>
      <c r="E16" s="88"/>
      <c r="F16" s="89" t="str">
        <f t="shared" si="0"/>
        <v/>
      </c>
      <c r="G16" s="5"/>
      <c r="H16" s="5" t="str">
        <f t="shared" si="1"/>
        <v/>
      </c>
      <c r="I16" s="35"/>
      <c r="J16" s="6" t="s">
        <v>15</v>
      </c>
      <c r="K16" s="33" t="str">
        <f t="shared" si="2"/>
        <v/>
      </c>
      <c r="L16" s="6" t="s">
        <v>6</v>
      </c>
      <c r="M16" s="27"/>
      <c r="N16" s="27"/>
    </row>
    <row r="17" spans="1:15" ht="18.75" customHeight="1" x14ac:dyDescent="0.15">
      <c r="A17" s="11">
        <v>14</v>
      </c>
      <c r="B17" s="2"/>
      <c r="C17" s="88"/>
      <c r="D17" s="93"/>
      <c r="E17" s="88"/>
      <c r="F17" s="89" t="str">
        <f t="shared" si="0"/>
        <v/>
      </c>
      <c r="G17" s="5"/>
      <c r="H17" s="5" t="str">
        <f t="shared" si="1"/>
        <v/>
      </c>
      <c r="I17" s="35"/>
      <c r="J17" s="6" t="s">
        <v>15</v>
      </c>
      <c r="K17" s="33" t="str">
        <f t="shared" si="2"/>
        <v/>
      </c>
      <c r="L17" s="6" t="s">
        <v>6</v>
      </c>
      <c r="M17" s="27"/>
      <c r="N17" s="27"/>
    </row>
    <row r="18" spans="1:15" ht="18.75" customHeight="1" x14ac:dyDescent="0.15">
      <c r="A18" s="11">
        <v>15</v>
      </c>
      <c r="B18" s="2"/>
      <c r="C18" s="88"/>
      <c r="D18" s="93"/>
      <c r="E18" s="88"/>
      <c r="F18" s="89" t="str">
        <f t="shared" si="0"/>
        <v/>
      </c>
      <c r="G18" s="5"/>
      <c r="H18" s="5" t="str">
        <f t="shared" si="1"/>
        <v/>
      </c>
      <c r="I18" s="41"/>
      <c r="J18" s="6" t="s">
        <v>15</v>
      </c>
      <c r="K18" s="33" t="str">
        <f t="shared" si="2"/>
        <v/>
      </c>
      <c r="L18" s="9" t="s">
        <v>6</v>
      </c>
      <c r="M18" s="27"/>
      <c r="N18" s="27"/>
    </row>
    <row r="19" spans="1:15" ht="18.75" customHeight="1" x14ac:dyDescent="0.15">
      <c r="A19" s="11">
        <v>16</v>
      </c>
      <c r="B19" s="2"/>
      <c r="C19" s="88"/>
      <c r="D19" s="93"/>
      <c r="E19" s="88"/>
      <c r="F19" s="89" t="str">
        <f t="shared" si="0"/>
        <v/>
      </c>
      <c r="G19" s="5"/>
      <c r="H19" s="5" t="str">
        <f t="shared" si="1"/>
        <v/>
      </c>
      <c r="I19" s="35"/>
      <c r="J19" s="6" t="s">
        <v>15</v>
      </c>
      <c r="K19" s="33" t="str">
        <f t="shared" si="2"/>
        <v/>
      </c>
      <c r="L19" s="6" t="s">
        <v>6</v>
      </c>
      <c r="M19" s="27"/>
      <c r="N19" s="27"/>
    </row>
    <row r="20" spans="1:15" ht="18.75" customHeight="1" x14ac:dyDescent="0.15">
      <c r="A20" s="11">
        <v>17</v>
      </c>
      <c r="B20" s="2"/>
      <c r="C20" s="88"/>
      <c r="D20" s="93"/>
      <c r="E20" s="7"/>
      <c r="F20" s="89" t="str">
        <f t="shared" si="0"/>
        <v/>
      </c>
      <c r="G20" s="5"/>
      <c r="H20" s="5" t="str">
        <f t="shared" si="1"/>
        <v/>
      </c>
      <c r="I20" s="42"/>
      <c r="J20" s="8" t="s">
        <v>15</v>
      </c>
      <c r="K20" s="33" t="str">
        <f t="shared" si="2"/>
        <v/>
      </c>
      <c r="L20" s="6" t="s">
        <v>6</v>
      </c>
      <c r="M20" s="27"/>
      <c r="N20" s="34"/>
    </row>
    <row r="21" spans="1:15" ht="18.75" customHeight="1" x14ac:dyDescent="0.15">
      <c r="A21" s="11">
        <v>18</v>
      </c>
      <c r="B21" s="2"/>
      <c r="C21" s="88"/>
      <c r="D21" s="93"/>
      <c r="E21" s="88"/>
      <c r="F21" s="89" t="str">
        <f t="shared" si="0"/>
        <v/>
      </c>
      <c r="G21" s="5"/>
      <c r="H21" s="5" t="str">
        <f t="shared" si="1"/>
        <v/>
      </c>
      <c r="I21" s="35"/>
      <c r="J21" s="6" t="s">
        <v>15</v>
      </c>
      <c r="K21" s="33" t="str">
        <f t="shared" si="2"/>
        <v/>
      </c>
      <c r="L21" s="6" t="s">
        <v>6</v>
      </c>
      <c r="M21" s="27"/>
      <c r="N21" s="27"/>
    </row>
    <row r="22" spans="1:15" ht="18.75" customHeight="1" x14ac:dyDescent="0.15">
      <c r="A22" s="11">
        <v>19</v>
      </c>
      <c r="B22" s="2"/>
      <c r="C22" s="88"/>
      <c r="D22" s="93"/>
      <c r="E22" s="88"/>
      <c r="F22" s="89" t="str">
        <f t="shared" si="0"/>
        <v/>
      </c>
      <c r="G22" s="5"/>
      <c r="H22" s="5" t="str">
        <f t="shared" si="1"/>
        <v/>
      </c>
      <c r="I22" s="35"/>
      <c r="J22" s="6" t="s">
        <v>15</v>
      </c>
      <c r="K22" s="33" t="str">
        <f t="shared" si="2"/>
        <v/>
      </c>
      <c r="L22" s="6" t="s">
        <v>6</v>
      </c>
      <c r="M22" s="27"/>
      <c r="N22" s="27"/>
    </row>
    <row r="23" spans="1:15" ht="18.75" customHeight="1" x14ac:dyDescent="0.15">
      <c r="A23" s="11">
        <v>20</v>
      </c>
      <c r="B23" s="2"/>
      <c r="C23" s="88"/>
      <c r="D23" s="93"/>
      <c r="E23" s="88"/>
      <c r="F23" s="89" t="str">
        <f t="shared" si="0"/>
        <v/>
      </c>
      <c r="G23" s="5"/>
      <c r="H23" s="5" t="str">
        <f t="shared" si="1"/>
        <v/>
      </c>
      <c r="I23" s="35"/>
      <c r="J23" s="6" t="s">
        <v>11</v>
      </c>
      <c r="K23" s="33" t="str">
        <f t="shared" si="2"/>
        <v/>
      </c>
      <c r="L23" s="6" t="s">
        <v>6</v>
      </c>
      <c r="M23" s="27"/>
      <c r="N23" s="27"/>
    </row>
    <row r="24" spans="1:15" ht="18.75" customHeight="1" x14ac:dyDescent="0.15">
      <c r="A24" s="11">
        <v>21</v>
      </c>
      <c r="B24" s="2"/>
      <c r="C24" s="88"/>
      <c r="D24" s="93"/>
      <c r="E24" s="88"/>
      <c r="F24" s="89" t="str">
        <f t="shared" si="0"/>
        <v/>
      </c>
      <c r="G24" s="5"/>
      <c r="H24" s="5" t="str">
        <f t="shared" si="1"/>
        <v/>
      </c>
      <c r="I24" s="35"/>
      <c r="J24" s="8" t="s">
        <v>11</v>
      </c>
      <c r="K24" s="33" t="str">
        <f t="shared" si="2"/>
        <v/>
      </c>
      <c r="L24" s="6" t="s">
        <v>6</v>
      </c>
      <c r="M24" s="27"/>
      <c r="N24" s="27"/>
    </row>
    <row r="25" spans="1:15" ht="18.75" customHeight="1" x14ac:dyDescent="0.15">
      <c r="A25" s="11">
        <v>22</v>
      </c>
      <c r="B25" s="2"/>
      <c r="C25" s="88"/>
      <c r="D25" s="93"/>
      <c r="E25" s="88"/>
      <c r="F25" s="89" t="str">
        <f t="shared" si="0"/>
        <v/>
      </c>
      <c r="G25" s="5"/>
      <c r="H25" s="5" t="str">
        <f t="shared" si="1"/>
        <v/>
      </c>
      <c r="I25" s="41"/>
      <c r="J25" s="6" t="s">
        <v>11</v>
      </c>
      <c r="K25" s="33" t="str">
        <f t="shared" si="2"/>
        <v/>
      </c>
      <c r="L25" s="6" t="s">
        <v>6</v>
      </c>
      <c r="M25" s="27"/>
      <c r="N25" s="27"/>
    </row>
    <row r="26" spans="1:15" ht="18.75" customHeight="1" x14ac:dyDescent="0.15">
      <c r="A26" s="11">
        <v>23</v>
      </c>
      <c r="B26" s="2"/>
      <c r="C26" s="88"/>
      <c r="D26" s="93"/>
      <c r="E26" s="88"/>
      <c r="F26" s="89" t="str">
        <f t="shared" si="0"/>
        <v/>
      </c>
      <c r="G26" s="5"/>
      <c r="H26" s="5" t="str">
        <f t="shared" si="1"/>
        <v/>
      </c>
      <c r="I26" s="41"/>
      <c r="J26" s="6" t="s">
        <v>15</v>
      </c>
      <c r="K26" s="33" t="str">
        <f t="shared" si="2"/>
        <v/>
      </c>
      <c r="L26" s="6" t="s">
        <v>6</v>
      </c>
      <c r="M26" s="27"/>
      <c r="N26" s="27"/>
    </row>
    <row r="27" spans="1:15" ht="18.75" customHeight="1" x14ac:dyDescent="0.15">
      <c r="A27" s="11">
        <v>24</v>
      </c>
      <c r="B27" s="2"/>
      <c r="C27" s="88"/>
      <c r="D27" s="93"/>
      <c r="E27" s="88"/>
      <c r="F27" s="89" t="str">
        <f t="shared" si="0"/>
        <v/>
      </c>
      <c r="G27" s="5"/>
      <c r="H27" s="5" t="str">
        <f t="shared" si="1"/>
        <v/>
      </c>
      <c r="I27" s="35"/>
      <c r="J27" s="8" t="s">
        <v>15</v>
      </c>
      <c r="K27" s="33" t="str">
        <f t="shared" si="2"/>
        <v/>
      </c>
      <c r="L27" s="6" t="s">
        <v>6</v>
      </c>
      <c r="M27" s="27"/>
      <c r="N27" s="27"/>
      <c r="O27" s="59"/>
    </row>
    <row r="28" spans="1:15" ht="18.75" customHeight="1" x14ac:dyDescent="0.15">
      <c r="A28" s="11">
        <v>25</v>
      </c>
      <c r="B28" s="2"/>
      <c r="C28" s="88"/>
      <c r="D28" s="93"/>
      <c r="E28" s="88"/>
      <c r="F28" s="89" t="str">
        <f t="shared" si="0"/>
        <v/>
      </c>
      <c r="G28" s="5"/>
      <c r="H28" s="5" t="str">
        <f t="shared" si="1"/>
        <v/>
      </c>
      <c r="I28" s="35"/>
      <c r="J28" s="6" t="s">
        <v>15</v>
      </c>
      <c r="K28" s="33" t="str">
        <f t="shared" si="2"/>
        <v/>
      </c>
      <c r="L28" s="6" t="s">
        <v>6</v>
      </c>
      <c r="M28" s="27"/>
      <c r="N28" s="27"/>
    </row>
    <row r="29" spans="1:15" ht="18.75" customHeight="1" x14ac:dyDescent="0.15">
      <c r="A29" s="11">
        <v>26</v>
      </c>
      <c r="B29" s="2"/>
      <c r="C29" s="88"/>
      <c r="D29" s="93"/>
      <c r="E29" s="88"/>
      <c r="F29" s="89" t="str">
        <f t="shared" si="0"/>
        <v/>
      </c>
      <c r="G29" s="5"/>
      <c r="H29" s="5" t="str">
        <f t="shared" si="1"/>
        <v/>
      </c>
      <c r="I29" s="35"/>
      <c r="J29" s="6" t="s">
        <v>15</v>
      </c>
      <c r="K29" s="33" t="str">
        <f t="shared" si="2"/>
        <v/>
      </c>
      <c r="L29" s="6" t="s">
        <v>6</v>
      </c>
      <c r="M29" s="27"/>
      <c r="N29" s="27"/>
    </row>
    <row r="30" spans="1:15" ht="18.75" customHeight="1" x14ac:dyDescent="0.15">
      <c r="A30" s="11">
        <v>27</v>
      </c>
      <c r="B30" s="2"/>
      <c r="C30" s="88"/>
      <c r="D30" s="93"/>
      <c r="E30" s="88"/>
      <c r="F30" s="89" t="str">
        <f t="shared" si="0"/>
        <v/>
      </c>
      <c r="G30" s="5"/>
      <c r="H30" s="5" t="str">
        <f t="shared" si="1"/>
        <v/>
      </c>
      <c r="I30" s="35"/>
      <c r="J30" s="8" t="s">
        <v>15</v>
      </c>
      <c r="K30" s="33" t="str">
        <f t="shared" si="2"/>
        <v/>
      </c>
      <c r="L30" s="6" t="s">
        <v>6</v>
      </c>
      <c r="M30" s="27"/>
      <c r="N30" s="27"/>
    </row>
    <row r="31" spans="1:15" ht="18.75" customHeight="1" x14ac:dyDescent="0.15">
      <c r="A31" s="11">
        <v>28</v>
      </c>
      <c r="B31" s="2"/>
      <c r="C31" s="88"/>
      <c r="D31" s="93"/>
      <c r="E31" s="7"/>
      <c r="F31" s="89" t="str">
        <f t="shared" si="0"/>
        <v/>
      </c>
      <c r="G31" s="5"/>
      <c r="H31" s="5" t="str">
        <f t="shared" si="1"/>
        <v/>
      </c>
      <c r="I31" s="41"/>
      <c r="J31" s="6" t="s">
        <v>15</v>
      </c>
      <c r="K31" s="33" t="str">
        <f t="shared" si="2"/>
        <v/>
      </c>
      <c r="L31" s="6" t="s">
        <v>6</v>
      </c>
      <c r="M31" s="27"/>
      <c r="N31" s="27"/>
    </row>
    <row r="32" spans="1:15" ht="18.75" customHeight="1" x14ac:dyDescent="0.15">
      <c r="A32" s="11">
        <v>29</v>
      </c>
      <c r="B32" s="2"/>
      <c r="C32" s="88"/>
      <c r="D32" s="93"/>
      <c r="E32" s="88"/>
      <c r="F32" s="89" t="str">
        <f t="shared" si="0"/>
        <v/>
      </c>
      <c r="G32" s="5"/>
      <c r="H32" s="5" t="str">
        <f t="shared" si="1"/>
        <v/>
      </c>
      <c r="I32" s="35"/>
      <c r="J32" s="6" t="s">
        <v>15</v>
      </c>
      <c r="K32" s="33" t="str">
        <f t="shared" si="2"/>
        <v/>
      </c>
      <c r="L32" s="6" t="s">
        <v>6</v>
      </c>
      <c r="M32" s="27"/>
      <c r="N32" s="27"/>
    </row>
    <row r="33" spans="1:15" ht="18.75" customHeight="1" x14ac:dyDescent="0.15">
      <c r="A33" s="11">
        <v>30</v>
      </c>
      <c r="B33" s="2"/>
      <c r="C33" s="88"/>
      <c r="D33" s="93"/>
      <c r="E33" s="88"/>
      <c r="F33" s="89" t="str">
        <f t="shared" si="0"/>
        <v/>
      </c>
      <c r="G33" s="5"/>
      <c r="H33" s="5" t="str">
        <f t="shared" si="1"/>
        <v/>
      </c>
      <c r="I33" s="35"/>
      <c r="J33" s="6" t="s">
        <v>15</v>
      </c>
      <c r="K33" s="33" t="str">
        <f t="shared" si="2"/>
        <v/>
      </c>
      <c r="L33" s="6" t="s">
        <v>6</v>
      </c>
      <c r="M33" s="27"/>
      <c r="N33" s="27"/>
    </row>
    <row r="34" spans="1:15" ht="18.75" customHeight="1" x14ac:dyDescent="0.15">
      <c r="A34" s="11">
        <v>31</v>
      </c>
      <c r="B34" s="2"/>
      <c r="C34" s="88"/>
      <c r="D34" s="93"/>
      <c r="E34" s="88"/>
      <c r="F34" s="89" t="str">
        <f t="shared" si="0"/>
        <v/>
      </c>
      <c r="G34" s="5"/>
      <c r="H34" s="5" t="str">
        <f t="shared" si="1"/>
        <v/>
      </c>
      <c r="I34" s="42"/>
      <c r="J34" s="6" t="s">
        <v>15</v>
      </c>
      <c r="K34" s="33" t="str">
        <f t="shared" si="2"/>
        <v/>
      </c>
      <c r="L34" s="6" t="s">
        <v>6</v>
      </c>
      <c r="M34" s="27"/>
      <c r="N34" s="27"/>
      <c r="O34" s="59"/>
    </row>
    <row r="35" spans="1:15" ht="18.75" customHeight="1" x14ac:dyDescent="0.15">
      <c r="A35" s="11">
        <v>32</v>
      </c>
      <c r="B35" s="2"/>
      <c r="C35" s="88"/>
      <c r="D35" s="93"/>
      <c r="E35" s="7"/>
      <c r="F35" s="89" t="str">
        <f t="shared" si="0"/>
        <v/>
      </c>
      <c r="G35" s="5"/>
      <c r="H35" s="5" t="str">
        <f t="shared" si="1"/>
        <v/>
      </c>
      <c r="I35" s="35"/>
      <c r="J35" s="6" t="s">
        <v>15</v>
      </c>
      <c r="K35" s="33" t="str">
        <f t="shared" si="2"/>
        <v/>
      </c>
      <c r="L35" s="6" t="s">
        <v>6</v>
      </c>
      <c r="M35" s="27"/>
      <c r="N35" s="27"/>
    </row>
    <row r="36" spans="1:15" ht="18.75" customHeight="1" x14ac:dyDescent="0.15">
      <c r="A36" s="11">
        <v>33</v>
      </c>
      <c r="B36" s="2"/>
      <c r="C36" s="88"/>
      <c r="D36" s="93"/>
      <c r="E36" s="88"/>
      <c r="F36" s="89" t="str">
        <f t="shared" si="0"/>
        <v/>
      </c>
      <c r="G36" s="5"/>
      <c r="H36" s="5" t="str">
        <f t="shared" si="1"/>
        <v/>
      </c>
      <c r="I36" s="43"/>
      <c r="J36" s="6" t="s">
        <v>15</v>
      </c>
      <c r="K36" s="33" t="str">
        <f t="shared" si="2"/>
        <v/>
      </c>
      <c r="L36" s="6" t="s">
        <v>6</v>
      </c>
      <c r="M36" s="27"/>
      <c r="N36" s="27"/>
    </row>
    <row r="37" spans="1:15" ht="18.75" customHeight="1" x14ac:dyDescent="0.15">
      <c r="A37" s="11">
        <v>34</v>
      </c>
      <c r="B37" s="2"/>
      <c r="C37" s="88"/>
      <c r="D37" s="93"/>
      <c r="E37" s="88"/>
      <c r="F37" s="89" t="str">
        <f t="shared" si="0"/>
        <v/>
      </c>
      <c r="G37" s="5"/>
      <c r="H37" s="5" t="str">
        <f t="shared" si="1"/>
        <v/>
      </c>
      <c r="I37" s="35"/>
      <c r="J37" s="6" t="s">
        <v>15</v>
      </c>
      <c r="K37" s="33" t="str">
        <f t="shared" si="2"/>
        <v/>
      </c>
      <c r="L37" s="6" t="s">
        <v>6</v>
      </c>
      <c r="M37" s="27"/>
      <c r="N37" s="27"/>
    </row>
    <row r="38" spans="1:15" ht="18.75" customHeight="1" x14ac:dyDescent="0.15">
      <c r="A38" s="11">
        <v>35</v>
      </c>
      <c r="B38" s="2"/>
      <c r="C38" s="88"/>
      <c r="D38" s="93"/>
      <c r="E38" s="7"/>
      <c r="F38" s="89" t="str">
        <f t="shared" si="0"/>
        <v/>
      </c>
      <c r="G38" s="5"/>
      <c r="H38" s="5" t="str">
        <f t="shared" si="1"/>
        <v/>
      </c>
      <c r="I38" s="42"/>
      <c r="J38" s="6" t="s">
        <v>15</v>
      </c>
      <c r="K38" s="33" t="str">
        <f t="shared" si="2"/>
        <v/>
      </c>
      <c r="L38" s="6" t="s">
        <v>6</v>
      </c>
      <c r="M38" s="27"/>
      <c r="N38" s="27"/>
    </row>
    <row r="39" spans="1:15" ht="18.75" customHeight="1" x14ac:dyDescent="0.15">
      <c r="A39" s="11">
        <v>36</v>
      </c>
      <c r="B39" s="2"/>
      <c r="C39" s="88"/>
      <c r="D39" s="93"/>
      <c r="E39" s="88"/>
      <c r="F39" s="89" t="str">
        <f t="shared" si="0"/>
        <v/>
      </c>
      <c r="G39" s="5"/>
      <c r="H39" s="5" t="str">
        <f t="shared" si="1"/>
        <v/>
      </c>
      <c r="I39" s="35"/>
      <c r="J39" s="6" t="s">
        <v>15</v>
      </c>
      <c r="K39" s="33" t="str">
        <f t="shared" si="2"/>
        <v/>
      </c>
      <c r="L39" s="6" t="s">
        <v>6</v>
      </c>
      <c r="M39" s="27"/>
      <c r="N39" s="27"/>
    </row>
    <row r="40" spans="1:15" ht="18.75" customHeight="1" x14ac:dyDescent="0.15">
      <c r="A40" s="11">
        <v>37</v>
      </c>
      <c r="B40" s="2"/>
      <c r="C40" s="88"/>
      <c r="D40" s="93"/>
      <c r="E40" s="88"/>
      <c r="F40" s="89" t="str">
        <f t="shared" si="0"/>
        <v/>
      </c>
      <c r="G40" s="5"/>
      <c r="H40" s="5" t="str">
        <f t="shared" si="1"/>
        <v/>
      </c>
      <c r="I40" s="35"/>
      <c r="J40" s="6" t="s">
        <v>15</v>
      </c>
      <c r="K40" s="33" t="str">
        <f t="shared" si="2"/>
        <v/>
      </c>
      <c r="L40" s="6" t="s">
        <v>6</v>
      </c>
      <c r="M40" s="27"/>
      <c r="N40" s="27"/>
    </row>
    <row r="41" spans="1:15" ht="18.75" customHeight="1" x14ac:dyDescent="0.15">
      <c r="A41" s="11">
        <v>38</v>
      </c>
      <c r="B41" s="2"/>
      <c r="C41" s="88"/>
      <c r="D41" s="93"/>
      <c r="E41" s="88"/>
      <c r="F41" s="89" t="str">
        <f t="shared" si="0"/>
        <v/>
      </c>
      <c r="G41" s="5"/>
      <c r="H41" s="5" t="str">
        <f t="shared" si="1"/>
        <v/>
      </c>
      <c r="I41" s="35"/>
      <c r="J41" s="6" t="s">
        <v>15</v>
      </c>
      <c r="K41" s="37" t="str">
        <f t="shared" si="2"/>
        <v/>
      </c>
      <c r="L41" s="6" t="s">
        <v>6</v>
      </c>
      <c r="M41" s="27"/>
      <c r="N41" s="27"/>
    </row>
    <row r="42" spans="1:15" ht="18.75" customHeight="1" x14ac:dyDescent="0.15">
      <c r="A42" s="11">
        <v>39</v>
      </c>
      <c r="B42" s="2"/>
      <c r="C42" s="88"/>
      <c r="D42" s="93"/>
      <c r="E42" s="88"/>
      <c r="F42" s="89"/>
      <c r="G42" s="5"/>
      <c r="H42" s="5"/>
      <c r="I42" s="35"/>
      <c r="J42" s="6" t="s">
        <v>15</v>
      </c>
      <c r="K42" s="37"/>
      <c r="L42" s="6" t="s">
        <v>6</v>
      </c>
      <c r="M42" s="27"/>
      <c r="N42" s="27"/>
    </row>
    <row r="43" spans="1:15" ht="18.75" customHeight="1" thickBot="1" x14ac:dyDescent="0.2">
      <c r="A43" s="50">
        <v>40</v>
      </c>
      <c r="B43" s="51"/>
      <c r="C43" s="52"/>
      <c r="D43" s="94"/>
      <c r="E43" s="52"/>
      <c r="F43" s="53"/>
      <c r="G43" s="54"/>
      <c r="H43" s="54"/>
      <c r="I43" s="55"/>
      <c r="J43" s="56" t="s">
        <v>15</v>
      </c>
      <c r="K43" s="57"/>
      <c r="L43" s="56" t="s">
        <v>6</v>
      </c>
      <c r="M43" s="86" t="s">
        <v>21</v>
      </c>
      <c r="N43" s="86" t="s">
        <v>22</v>
      </c>
    </row>
    <row r="44" spans="1:15" ht="18.75" customHeight="1" thickTop="1" x14ac:dyDescent="0.15">
      <c r="B44" s="44"/>
      <c r="C44" s="44"/>
      <c r="D44" s="45"/>
      <c r="E44" s="44"/>
      <c r="F44" s="44" t="str">
        <f>IF(E44="","",E44-INT(E44/7)*7)</f>
        <v/>
      </c>
      <c r="G44" s="46"/>
      <c r="H44" s="46" t="str">
        <f>IF(G44="","",G44)</f>
        <v/>
      </c>
      <c r="I44" s="61">
        <f>SUM(I4:I43)</f>
        <v>0</v>
      </c>
      <c r="J44" s="8" t="s">
        <v>15</v>
      </c>
      <c r="K44" s="47">
        <f>SUM(K4:K43)</f>
        <v>0</v>
      </c>
      <c r="L44" s="8" t="s">
        <v>6</v>
      </c>
      <c r="M44" s="48">
        <f>SUM(K44)-N44</f>
        <v>0</v>
      </c>
      <c r="N44" s="72">
        <f>SUMIF(M4:M42,"",K4:K43)</f>
        <v>0</v>
      </c>
    </row>
    <row r="45" spans="1:15" ht="20.25" customHeight="1" x14ac:dyDescent="0.15">
      <c r="B45" s="95" t="s">
        <v>9</v>
      </c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</row>
    <row r="46" spans="1:15" ht="21" customHeight="1" x14ac:dyDescent="0.15">
      <c r="B46" s="96" t="s">
        <v>0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</row>
    <row r="47" spans="1:15" ht="27" customHeight="1" x14ac:dyDescent="0.15">
      <c r="A47" s="11"/>
      <c r="B47" s="29" t="s">
        <v>1</v>
      </c>
      <c r="C47" s="102" t="s">
        <v>2</v>
      </c>
      <c r="D47" s="103"/>
      <c r="E47" s="104" t="s">
        <v>3</v>
      </c>
      <c r="F47" s="105"/>
      <c r="G47" s="87" t="s">
        <v>4</v>
      </c>
      <c r="H47" s="87" t="s">
        <v>7</v>
      </c>
      <c r="I47" s="106" t="s">
        <v>8</v>
      </c>
      <c r="J47" s="107"/>
      <c r="K47" s="106" t="s">
        <v>5</v>
      </c>
      <c r="L47" s="106"/>
      <c r="M47" s="30" t="s">
        <v>10</v>
      </c>
      <c r="N47" s="31" t="s">
        <v>18</v>
      </c>
    </row>
    <row r="48" spans="1:15" ht="18.75" customHeight="1" x14ac:dyDescent="0.15">
      <c r="A48" s="11">
        <v>41</v>
      </c>
      <c r="B48" s="2"/>
      <c r="C48" s="88"/>
      <c r="D48" s="93"/>
      <c r="E48" s="88"/>
      <c r="F48" s="89" t="str">
        <f t="shared" ref="F48:F88" si="3">IF(E48="","",E48-INT(E48/7)*7)</f>
        <v/>
      </c>
      <c r="G48" s="5"/>
      <c r="H48" s="5" t="str">
        <f t="shared" ref="H48:H88" si="4">IF(G48="","",G48)</f>
        <v/>
      </c>
      <c r="I48" s="32"/>
      <c r="J48" s="6" t="s">
        <v>15</v>
      </c>
      <c r="K48" s="33" t="str">
        <f t="shared" ref="K48:K85" si="5">IF(I48&gt;0,I48*0.2,"")</f>
        <v/>
      </c>
      <c r="L48" s="6" t="s">
        <v>6</v>
      </c>
      <c r="M48" s="27"/>
      <c r="N48" s="34"/>
    </row>
    <row r="49" spans="1:14" ht="18.75" customHeight="1" x14ac:dyDescent="0.15">
      <c r="A49" s="11">
        <v>42</v>
      </c>
      <c r="B49" s="2"/>
      <c r="C49" s="88"/>
      <c r="D49" s="93"/>
      <c r="E49" s="7"/>
      <c r="F49" s="89" t="str">
        <f t="shared" si="3"/>
        <v/>
      </c>
      <c r="G49" s="5"/>
      <c r="H49" s="5" t="str">
        <f t="shared" si="4"/>
        <v/>
      </c>
      <c r="I49" s="35"/>
      <c r="J49" s="36" t="s">
        <v>15</v>
      </c>
      <c r="K49" s="37" t="str">
        <f t="shared" si="5"/>
        <v/>
      </c>
      <c r="L49" s="6" t="s">
        <v>6</v>
      </c>
      <c r="M49" s="27"/>
      <c r="N49" s="27"/>
    </row>
    <row r="50" spans="1:14" ht="18.75" customHeight="1" x14ac:dyDescent="0.15">
      <c r="A50" s="11">
        <v>43</v>
      </c>
      <c r="B50" s="2"/>
      <c r="C50" s="88"/>
      <c r="D50" s="93"/>
      <c r="E50" s="88"/>
      <c r="F50" s="89" t="str">
        <f t="shared" si="3"/>
        <v/>
      </c>
      <c r="G50" s="5"/>
      <c r="H50" s="5" t="str">
        <f t="shared" si="4"/>
        <v/>
      </c>
      <c r="I50" s="38"/>
      <c r="J50" s="8" t="s">
        <v>15</v>
      </c>
      <c r="K50" s="39" t="str">
        <f t="shared" si="5"/>
        <v/>
      </c>
      <c r="L50" s="9" t="s">
        <v>6</v>
      </c>
      <c r="M50" s="40"/>
      <c r="N50" s="27"/>
    </row>
    <row r="51" spans="1:14" ht="18.75" customHeight="1" x14ac:dyDescent="0.15">
      <c r="A51" s="11">
        <v>44</v>
      </c>
      <c r="B51" s="2"/>
      <c r="C51" s="88"/>
      <c r="D51" s="93"/>
      <c r="E51" s="88"/>
      <c r="F51" s="89" t="str">
        <f t="shared" si="3"/>
        <v/>
      </c>
      <c r="G51" s="5"/>
      <c r="H51" s="5" t="str">
        <f t="shared" si="4"/>
        <v/>
      </c>
      <c r="I51" s="35"/>
      <c r="J51" s="6" t="s">
        <v>15</v>
      </c>
      <c r="K51" s="33" t="str">
        <f t="shared" si="5"/>
        <v/>
      </c>
      <c r="L51" s="6" t="s">
        <v>6</v>
      </c>
      <c r="M51" s="27"/>
      <c r="N51" s="27"/>
    </row>
    <row r="52" spans="1:14" ht="18.75" customHeight="1" x14ac:dyDescent="0.15">
      <c r="A52" s="11">
        <v>45</v>
      </c>
      <c r="B52" s="2"/>
      <c r="C52" s="88"/>
      <c r="D52" s="93"/>
      <c r="E52" s="88"/>
      <c r="F52" s="89" t="str">
        <f t="shared" si="3"/>
        <v/>
      </c>
      <c r="G52" s="5"/>
      <c r="H52" s="5" t="str">
        <f t="shared" si="4"/>
        <v/>
      </c>
      <c r="I52" s="35"/>
      <c r="J52" s="6" t="s">
        <v>15</v>
      </c>
      <c r="K52" s="33" t="str">
        <f t="shared" si="5"/>
        <v/>
      </c>
      <c r="L52" s="6" t="s">
        <v>6</v>
      </c>
      <c r="M52" s="27"/>
      <c r="N52" s="27"/>
    </row>
    <row r="53" spans="1:14" ht="18.75" customHeight="1" x14ac:dyDescent="0.15">
      <c r="A53" s="11">
        <v>46</v>
      </c>
      <c r="B53" s="2"/>
      <c r="C53" s="88"/>
      <c r="D53" s="93"/>
      <c r="E53" s="88"/>
      <c r="F53" s="89" t="str">
        <f t="shared" si="3"/>
        <v/>
      </c>
      <c r="G53" s="5"/>
      <c r="H53" s="5" t="str">
        <f t="shared" si="4"/>
        <v/>
      </c>
      <c r="I53" s="35"/>
      <c r="J53" s="6" t="s">
        <v>15</v>
      </c>
      <c r="K53" s="33" t="str">
        <f t="shared" si="5"/>
        <v/>
      </c>
      <c r="L53" s="6" t="s">
        <v>6</v>
      </c>
      <c r="M53" s="27"/>
      <c r="N53" s="27"/>
    </row>
    <row r="54" spans="1:14" ht="18.75" customHeight="1" x14ac:dyDescent="0.15">
      <c r="A54" s="11">
        <v>47</v>
      </c>
      <c r="B54" s="2"/>
      <c r="C54" s="88"/>
      <c r="D54" s="93"/>
      <c r="E54" s="88"/>
      <c r="F54" s="89" t="str">
        <f t="shared" si="3"/>
        <v/>
      </c>
      <c r="G54" s="5"/>
      <c r="H54" s="5" t="str">
        <f t="shared" si="4"/>
        <v/>
      </c>
      <c r="I54" s="35"/>
      <c r="J54" s="6" t="s">
        <v>15</v>
      </c>
      <c r="K54" s="33" t="str">
        <f t="shared" si="5"/>
        <v/>
      </c>
      <c r="L54" s="6" t="s">
        <v>6</v>
      </c>
      <c r="M54" s="27"/>
      <c r="N54" s="27"/>
    </row>
    <row r="55" spans="1:14" ht="18.75" customHeight="1" x14ac:dyDescent="0.15">
      <c r="A55" s="11">
        <v>48</v>
      </c>
      <c r="B55" s="2"/>
      <c r="C55" s="88"/>
      <c r="D55" s="93"/>
      <c r="E55" s="88"/>
      <c r="F55" s="89" t="str">
        <f t="shared" si="3"/>
        <v/>
      </c>
      <c r="G55" s="5"/>
      <c r="H55" s="5" t="str">
        <f t="shared" si="4"/>
        <v/>
      </c>
      <c r="I55" s="41"/>
      <c r="J55" s="8" t="s">
        <v>15</v>
      </c>
      <c r="K55" s="33" t="str">
        <f t="shared" si="5"/>
        <v/>
      </c>
      <c r="L55" s="9" t="s">
        <v>6</v>
      </c>
      <c r="M55" s="27"/>
      <c r="N55" s="27"/>
    </row>
    <row r="56" spans="1:14" ht="18.75" customHeight="1" x14ac:dyDescent="0.15">
      <c r="A56" s="11">
        <v>49</v>
      </c>
      <c r="B56" s="2"/>
      <c r="C56" s="88"/>
      <c r="D56" s="93"/>
      <c r="E56" s="88"/>
      <c r="F56" s="89" t="str">
        <f t="shared" si="3"/>
        <v/>
      </c>
      <c r="G56" s="5"/>
      <c r="H56" s="5" t="str">
        <f t="shared" si="4"/>
        <v/>
      </c>
      <c r="I56" s="35"/>
      <c r="J56" s="6" t="s">
        <v>15</v>
      </c>
      <c r="K56" s="33" t="str">
        <f t="shared" si="5"/>
        <v/>
      </c>
      <c r="L56" s="6" t="s">
        <v>6</v>
      </c>
      <c r="M56" s="27"/>
      <c r="N56" s="27"/>
    </row>
    <row r="57" spans="1:14" ht="18.75" customHeight="1" x14ac:dyDescent="0.15">
      <c r="A57" s="11">
        <v>50</v>
      </c>
      <c r="B57" s="2"/>
      <c r="C57" s="88"/>
      <c r="D57" s="93"/>
      <c r="E57" s="88"/>
      <c r="F57" s="89" t="str">
        <f t="shared" si="3"/>
        <v/>
      </c>
      <c r="G57" s="5"/>
      <c r="H57" s="5" t="str">
        <f t="shared" si="4"/>
        <v/>
      </c>
      <c r="I57" s="41"/>
      <c r="J57" s="8" t="s">
        <v>15</v>
      </c>
      <c r="K57" s="33" t="str">
        <f t="shared" si="5"/>
        <v/>
      </c>
      <c r="L57" s="9" t="s">
        <v>6</v>
      </c>
      <c r="M57" s="27"/>
      <c r="N57" s="27"/>
    </row>
    <row r="58" spans="1:14" ht="18.75" customHeight="1" x14ac:dyDescent="0.15">
      <c r="A58" s="11">
        <v>51</v>
      </c>
      <c r="B58" s="2"/>
      <c r="C58" s="88"/>
      <c r="D58" s="93"/>
      <c r="E58" s="88"/>
      <c r="F58" s="89" t="str">
        <f t="shared" si="3"/>
        <v/>
      </c>
      <c r="G58" s="5"/>
      <c r="H58" s="5" t="str">
        <f t="shared" si="4"/>
        <v/>
      </c>
      <c r="I58" s="35"/>
      <c r="J58" s="6" t="s">
        <v>15</v>
      </c>
      <c r="K58" s="33" t="str">
        <f t="shared" si="5"/>
        <v/>
      </c>
      <c r="L58" s="6" t="s">
        <v>6</v>
      </c>
      <c r="M58" s="27"/>
      <c r="N58" s="27"/>
    </row>
    <row r="59" spans="1:14" ht="18.75" customHeight="1" x14ac:dyDescent="0.15">
      <c r="A59" s="11">
        <v>52</v>
      </c>
      <c r="B59" s="2"/>
      <c r="C59" s="88"/>
      <c r="D59" s="93"/>
      <c r="E59" s="88"/>
      <c r="F59" s="89" t="str">
        <f t="shared" si="3"/>
        <v/>
      </c>
      <c r="G59" s="5"/>
      <c r="H59" s="5" t="str">
        <f t="shared" si="4"/>
        <v/>
      </c>
      <c r="I59" s="42"/>
      <c r="J59" s="8" t="s">
        <v>15</v>
      </c>
      <c r="K59" s="33" t="str">
        <f t="shared" si="5"/>
        <v/>
      </c>
      <c r="L59" s="6" t="s">
        <v>6</v>
      </c>
      <c r="M59" s="27"/>
      <c r="N59" s="27"/>
    </row>
    <row r="60" spans="1:14" ht="18.75" customHeight="1" x14ac:dyDescent="0.15">
      <c r="A60" s="11">
        <v>53</v>
      </c>
      <c r="B60" s="2"/>
      <c r="C60" s="88"/>
      <c r="D60" s="93"/>
      <c r="E60" s="88"/>
      <c r="F60" s="89" t="str">
        <f t="shared" si="3"/>
        <v/>
      </c>
      <c r="G60" s="5"/>
      <c r="H60" s="5" t="str">
        <f t="shared" si="4"/>
        <v/>
      </c>
      <c r="I60" s="35"/>
      <c r="J60" s="6" t="s">
        <v>15</v>
      </c>
      <c r="K60" s="33" t="str">
        <f t="shared" si="5"/>
        <v/>
      </c>
      <c r="L60" s="6" t="s">
        <v>6</v>
      </c>
      <c r="M60" s="27"/>
      <c r="N60" s="27"/>
    </row>
    <row r="61" spans="1:14" ht="18.75" customHeight="1" x14ac:dyDescent="0.15">
      <c r="A61" s="11">
        <v>54</v>
      </c>
      <c r="B61" s="2"/>
      <c r="C61" s="88"/>
      <c r="D61" s="93"/>
      <c r="E61" s="88"/>
      <c r="F61" s="89" t="str">
        <f t="shared" si="3"/>
        <v/>
      </c>
      <c r="G61" s="5"/>
      <c r="H61" s="5" t="str">
        <f t="shared" si="4"/>
        <v/>
      </c>
      <c r="I61" s="35"/>
      <c r="J61" s="6" t="s">
        <v>15</v>
      </c>
      <c r="K61" s="33" t="str">
        <f t="shared" si="5"/>
        <v/>
      </c>
      <c r="L61" s="6" t="s">
        <v>6</v>
      </c>
      <c r="M61" s="27"/>
      <c r="N61" s="27"/>
    </row>
    <row r="62" spans="1:14" ht="18.75" customHeight="1" x14ac:dyDescent="0.15">
      <c r="A62" s="11">
        <v>55</v>
      </c>
      <c r="B62" s="2"/>
      <c r="C62" s="88"/>
      <c r="D62" s="93"/>
      <c r="E62" s="88"/>
      <c r="F62" s="89" t="str">
        <f t="shared" si="3"/>
        <v/>
      </c>
      <c r="G62" s="5"/>
      <c r="H62" s="5" t="str">
        <f t="shared" si="4"/>
        <v/>
      </c>
      <c r="I62" s="41"/>
      <c r="J62" s="6" t="s">
        <v>15</v>
      </c>
      <c r="K62" s="33" t="str">
        <f t="shared" si="5"/>
        <v/>
      </c>
      <c r="L62" s="9" t="s">
        <v>6</v>
      </c>
      <c r="M62" s="27"/>
      <c r="N62" s="27"/>
    </row>
    <row r="63" spans="1:14" ht="18.75" customHeight="1" x14ac:dyDescent="0.15">
      <c r="A63" s="11">
        <v>56</v>
      </c>
      <c r="B63" s="2"/>
      <c r="C63" s="88"/>
      <c r="D63" s="93"/>
      <c r="E63" s="88"/>
      <c r="F63" s="89" t="str">
        <f t="shared" si="3"/>
        <v/>
      </c>
      <c r="G63" s="5"/>
      <c r="H63" s="5" t="str">
        <f t="shared" si="4"/>
        <v/>
      </c>
      <c r="I63" s="35"/>
      <c r="J63" s="6" t="s">
        <v>15</v>
      </c>
      <c r="K63" s="33" t="str">
        <f t="shared" si="5"/>
        <v/>
      </c>
      <c r="L63" s="6" t="s">
        <v>6</v>
      </c>
      <c r="M63" s="27"/>
      <c r="N63" s="27"/>
    </row>
    <row r="64" spans="1:14" ht="18.75" customHeight="1" x14ac:dyDescent="0.15">
      <c r="A64" s="11">
        <v>57</v>
      </c>
      <c r="B64" s="2"/>
      <c r="C64" s="88"/>
      <c r="D64" s="93"/>
      <c r="E64" s="7"/>
      <c r="F64" s="89" t="str">
        <f t="shared" si="3"/>
        <v/>
      </c>
      <c r="G64" s="5"/>
      <c r="H64" s="5" t="str">
        <f t="shared" si="4"/>
        <v/>
      </c>
      <c r="I64" s="42"/>
      <c r="J64" s="8" t="s">
        <v>15</v>
      </c>
      <c r="K64" s="33" t="str">
        <f t="shared" si="5"/>
        <v/>
      </c>
      <c r="L64" s="6" t="s">
        <v>6</v>
      </c>
      <c r="M64" s="27"/>
      <c r="N64" s="34"/>
    </row>
    <row r="65" spans="1:14" ht="18.75" customHeight="1" x14ac:dyDescent="0.15">
      <c r="A65" s="11">
        <v>58</v>
      </c>
      <c r="B65" s="2"/>
      <c r="C65" s="88"/>
      <c r="D65" s="93"/>
      <c r="E65" s="88"/>
      <c r="F65" s="89" t="str">
        <f t="shared" si="3"/>
        <v/>
      </c>
      <c r="G65" s="5"/>
      <c r="H65" s="5" t="str">
        <f t="shared" si="4"/>
        <v/>
      </c>
      <c r="I65" s="35"/>
      <c r="J65" s="6" t="s">
        <v>15</v>
      </c>
      <c r="K65" s="33" t="str">
        <f t="shared" si="5"/>
        <v/>
      </c>
      <c r="L65" s="6" t="s">
        <v>6</v>
      </c>
      <c r="M65" s="27"/>
      <c r="N65" s="27"/>
    </row>
    <row r="66" spans="1:14" ht="18.75" customHeight="1" x14ac:dyDescent="0.15">
      <c r="A66" s="11">
        <v>59</v>
      </c>
      <c r="B66" s="2"/>
      <c r="C66" s="88"/>
      <c r="D66" s="93"/>
      <c r="E66" s="88"/>
      <c r="F66" s="89" t="str">
        <f t="shared" si="3"/>
        <v/>
      </c>
      <c r="G66" s="5"/>
      <c r="H66" s="5" t="str">
        <f t="shared" si="4"/>
        <v/>
      </c>
      <c r="I66" s="35"/>
      <c r="J66" s="6" t="s">
        <v>15</v>
      </c>
      <c r="K66" s="33" t="str">
        <f t="shared" si="5"/>
        <v/>
      </c>
      <c r="L66" s="6" t="s">
        <v>6</v>
      </c>
      <c r="M66" s="27"/>
      <c r="N66" s="27"/>
    </row>
    <row r="67" spans="1:14" ht="18.75" customHeight="1" x14ac:dyDescent="0.15">
      <c r="A67" s="11">
        <v>60</v>
      </c>
      <c r="B67" s="2"/>
      <c r="C67" s="88"/>
      <c r="D67" s="93"/>
      <c r="E67" s="88"/>
      <c r="F67" s="89" t="str">
        <f t="shared" si="3"/>
        <v/>
      </c>
      <c r="G67" s="5"/>
      <c r="H67" s="5" t="str">
        <f t="shared" si="4"/>
        <v/>
      </c>
      <c r="I67" s="35"/>
      <c r="J67" s="6" t="s">
        <v>11</v>
      </c>
      <c r="K67" s="33" t="str">
        <f t="shared" si="5"/>
        <v/>
      </c>
      <c r="L67" s="6" t="s">
        <v>6</v>
      </c>
      <c r="M67" s="27"/>
      <c r="N67" s="27"/>
    </row>
    <row r="68" spans="1:14" ht="18.75" customHeight="1" x14ac:dyDescent="0.15">
      <c r="A68" s="11">
        <v>61</v>
      </c>
      <c r="B68" s="2"/>
      <c r="C68" s="88"/>
      <c r="D68" s="93"/>
      <c r="E68" s="88"/>
      <c r="F68" s="89" t="str">
        <f t="shared" si="3"/>
        <v/>
      </c>
      <c r="G68" s="5"/>
      <c r="H68" s="5" t="str">
        <f t="shared" si="4"/>
        <v/>
      </c>
      <c r="I68" s="35"/>
      <c r="J68" s="8" t="s">
        <v>11</v>
      </c>
      <c r="K68" s="33" t="str">
        <f t="shared" si="5"/>
        <v/>
      </c>
      <c r="L68" s="6" t="s">
        <v>6</v>
      </c>
      <c r="M68" s="27"/>
      <c r="N68" s="27"/>
    </row>
    <row r="69" spans="1:14" ht="18.75" customHeight="1" x14ac:dyDescent="0.15">
      <c r="A69" s="11">
        <v>62</v>
      </c>
      <c r="B69" s="2"/>
      <c r="C69" s="88"/>
      <c r="D69" s="93"/>
      <c r="E69" s="88"/>
      <c r="F69" s="89" t="str">
        <f t="shared" si="3"/>
        <v/>
      </c>
      <c r="G69" s="5"/>
      <c r="H69" s="5" t="str">
        <f t="shared" si="4"/>
        <v/>
      </c>
      <c r="I69" s="41"/>
      <c r="J69" s="6" t="s">
        <v>11</v>
      </c>
      <c r="K69" s="33" t="str">
        <f t="shared" si="5"/>
        <v/>
      </c>
      <c r="L69" s="6" t="s">
        <v>6</v>
      </c>
      <c r="M69" s="27"/>
      <c r="N69" s="27"/>
    </row>
    <row r="70" spans="1:14" ht="18.75" customHeight="1" x14ac:dyDescent="0.15">
      <c r="A70" s="11">
        <v>63</v>
      </c>
      <c r="B70" s="2"/>
      <c r="C70" s="88"/>
      <c r="D70" s="93"/>
      <c r="E70" s="88"/>
      <c r="F70" s="89" t="str">
        <f t="shared" si="3"/>
        <v/>
      </c>
      <c r="G70" s="5"/>
      <c r="H70" s="5" t="str">
        <f t="shared" si="4"/>
        <v/>
      </c>
      <c r="I70" s="41"/>
      <c r="J70" s="6" t="s">
        <v>15</v>
      </c>
      <c r="K70" s="33" t="str">
        <f t="shared" si="5"/>
        <v/>
      </c>
      <c r="L70" s="6" t="s">
        <v>6</v>
      </c>
      <c r="M70" s="27"/>
      <c r="N70" s="27"/>
    </row>
    <row r="71" spans="1:14" ht="18.75" customHeight="1" x14ac:dyDescent="0.15">
      <c r="A71" s="11">
        <v>64</v>
      </c>
      <c r="B71" s="2"/>
      <c r="C71" s="88"/>
      <c r="D71" s="93"/>
      <c r="E71" s="88"/>
      <c r="F71" s="89" t="str">
        <f t="shared" si="3"/>
        <v/>
      </c>
      <c r="G71" s="5"/>
      <c r="H71" s="5" t="str">
        <f t="shared" si="4"/>
        <v/>
      </c>
      <c r="I71" s="35"/>
      <c r="J71" s="8" t="s">
        <v>15</v>
      </c>
      <c r="K71" s="33" t="str">
        <f t="shared" si="5"/>
        <v/>
      </c>
      <c r="L71" s="6" t="s">
        <v>6</v>
      </c>
      <c r="M71" s="27"/>
      <c r="N71" s="27"/>
    </row>
    <row r="72" spans="1:14" ht="18.75" customHeight="1" x14ac:dyDescent="0.15">
      <c r="A72" s="11">
        <v>65</v>
      </c>
      <c r="B72" s="2"/>
      <c r="C72" s="88"/>
      <c r="D72" s="93"/>
      <c r="E72" s="88"/>
      <c r="F72" s="89" t="str">
        <f t="shared" si="3"/>
        <v/>
      </c>
      <c r="G72" s="5"/>
      <c r="H72" s="5" t="str">
        <f t="shared" si="4"/>
        <v/>
      </c>
      <c r="I72" s="35"/>
      <c r="J72" s="6" t="s">
        <v>15</v>
      </c>
      <c r="K72" s="33" t="str">
        <f t="shared" si="5"/>
        <v/>
      </c>
      <c r="L72" s="6" t="s">
        <v>6</v>
      </c>
      <c r="M72" s="27"/>
      <c r="N72" s="27"/>
    </row>
    <row r="73" spans="1:14" ht="18.75" customHeight="1" x14ac:dyDescent="0.15">
      <c r="A73" s="11">
        <v>66</v>
      </c>
      <c r="B73" s="2"/>
      <c r="C73" s="88"/>
      <c r="D73" s="93"/>
      <c r="E73" s="88"/>
      <c r="F73" s="89" t="str">
        <f t="shared" si="3"/>
        <v/>
      </c>
      <c r="G73" s="5"/>
      <c r="H73" s="5" t="str">
        <f t="shared" si="4"/>
        <v/>
      </c>
      <c r="I73" s="35"/>
      <c r="J73" s="6" t="s">
        <v>15</v>
      </c>
      <c r="K73" s="33" t="str">
        <f t="shared" si="5"/>
        <v/>
      </c>
      <c r="L73" s="6" t="s">
        <v>6</v>
      </c>
      <c r="M73" s="27"/>
      <c r="N73" s="27"/>
    </row>
    <row r="74" spans="1:14" ht="18.75" customHeight="1" x14ac:dyDescent="0.15">
      <c r="A74" s="11">
        <v>67</v>
      </c>
      <c r="B74" s="2"/>
      <c r="C74" s="88"/>
      <c r="D74" s="93"/>
      <c r="E74" s="88"/>
      <c r="F74" s="89" t="str">
        <f t="shared" si="3"/>
        <v/>
      </c>
      <c r="G74" s="5"/>
      <c r="H74" s="5" t="str">
        <f t="shared" si="4"/>
        <v/>
      </c>
      <c r="I74" s="35"/>
      <c r="J74" s="8" t="s">
        <v>15</v>
      </c>
      <c r="K74" s="33" t="str">
        <f t="shared" si="5"/>
        <v/>
      </c>
      <c r="L74" s="6" t="s">
        <v>6</v>
      </c>
      <c r="M74" s="27"/>
      <c r="N74" s="27"/>
    </row>
    <row r="75" spans="1:14" ht="18.75" customHeight="1" x14ac:dyDescent="0.15">
      <c r="A75" s="11">
        <v>68</v>
      </c>
      <c r="B75" s="2"/>
      <c r="C75" s="88"/>
      <c r="D75" s="93"/>
      <c r="E75" s="7"/>
      <c r="F75" s="89" t="str">
        <f t="shared" si="3"/>
        <v/>
      </c>
      <c r="G75" s="5"/>
      <c r="H75" s="5" t="str">
        <f t="shared" si="4"/>
        <v/>
      </c>
      <c r="I75" s="41"/>
      <c r="J75" s="6" t="s">
        <v>15</v>
      </c>
      <c r="K75" s="33" t="str">
        <f t="shared" si="5"/>
        <v/>
      </c>
      <c r="L75" s="6" t="s">
        <v>6</v>
      </c>
      <c r="M75" s="27"/>
      <c r="N75" s="27"/>
    </row>
    <row r="76" spans="1:14" ht="18.75" customHeight="1" x14ac:dyDescent="0.15">
      <c r="A76" s="11">
        <v>69</v>
      </c>
      <c r="B76" s="2"/>
      <c r="C76" s="88"/>
      <c r="D76" s="93"/>
      <c r="E76" s="88"/>
      <c r="F76" s="89" t="str">
        <f t="shared" si="3"/>
        <v/>
      </c>
      <c r="G76" s="5"/>
      <c r="H76" s="5" t="str">
        <f t="shared" si="4"/>
        <v/>
      </c>
      <c r="I76" s="35"/>
      <c r="J76" s="6" t="s">
        <v>15</v>
      </c>
      <c r="K76" s="33" t="str">
        <f t="shared" si="5"/>
        <v/>
      </c>
      <c r="L76" s="6" t="s">
        <v>6</v>
      </c>
      <c r="M76" s="27"/>
      <c r="N76" s="27"/>
    </row>
    <row r="77" spans="1:14" ht="18.75" customHeight="1" x14ac:dyDescent="0.15">
      <c r="A77" s="11">
        <v>70</v>
      </c>
      <c r="B77" s="2"/>
      <c r="C77" s="88"/>
      <c r="D77" s="93"/>
      <c r="E77" s="88"/>
      <c r="F77" s="89" t="str">
        <f t="shared" si="3"/>
        <v/>
      </c>
      <c r="G77" s="5"/>
      <c r="H77" s="5" t="str">
        <f t="shared" si="4"/>
        <v/>
      </c>
      <c r="I77" s="35"/>
      <c r="J77" s="6" t="s">
        <v>15</v>
      </c>
      <c r="K77" s="33" t="str">
        <f t="shared" si="5"/>
        <v/>
      </c>
      <c r="L77" s="6" t="s">
        <v>6</v>
      </c>
      <c r="M77" s="27"/>
      <c r="N77" s="27"/>
    </row>
    <row r="78" spans="1:14" ht="18.75" customHeight="1" x14ac:dyDescent="0.15">
      <c r="A78" s="11">
        <v>71</v>
      </c>
      <c r="B78" s="2"/>
      <c r="C78" s="88"/>
      <c r="D78" s="93"/>
      <c r="E78" s="88"/>
      <c r="F78" s="89" t="str">
        <f t="shared" si="3"/>
        <v/>
      </c>
      <c r="G78" s="5"/>
      <c r="H78" s="5" t="str">
        <f t="shared" si="4"/>
        <v/>
      </c>
      <c r="I78" s="42"/>
      <c r="J78" s="6" t="s">
        <v>15</v>
      </c>
      <c r="K78" s="33" t="str">
        <f t="shared" si="5"/>
        <v/>
      </c>
      <c r="L78" s="6" t="s">
        <v>6</v>
      </c>
      <c r="M78" s="27"/>
      <c r="N78" s="27"/>
    </row>
    <row r="79" spans="1:14" ht="18.75" customHeight="1" x14ac:dyDescent="0.15">
      <c r="A79" s="11">
        <v>72</v>
      </c>
      <c r="B79" s="2"/>
      <c r="C79" s="88"/>
      <c r="D79" s="93"/>
      <c r="E79" s="7"/>
      <c r="F79" s="89" t="str">
        <f t="shared" si="3"/>
        <v/>
      </c>
      <c r="G79" s="5"/>
      <c r="H79" s="5" t="str">
        <f t="shared" si="4"/>
        <v/>
      </c>
      <c r="I79" s="35"/>
      <c r="J79" s="6" t="s">
        <v>15</v>
      </c>
      <c r="K79" s="33" t="str">
        <f t="shared" si="5"/>
        <v/>
      </c>
      <c r="L79" s="6" t="s">
        <v>6</v>
      </c>
      <c r="M79" s="27"/>
      <c r="N79" s="27"/>
    </row>
    <row r="80" spans="1:14" ht="18.75" customHeight="1" x14ac:dyDescent="0.15">
      <c r="A80" s="11">
        <v>73</v>
      </c>
      <c r="B80" s="2"/>
      <c r="C80" s="88"/>
      <c r="D80" s="93"/>
      <c r="E80" s="88"/>
      <c r="F80" s="89" t="str">
        <f t="shared" si="3"/>
        <v/>
      </c>
      <c r="G80" s="5"/>
      <c r="H80" s="5" t="str">
        <f t="shared" si="4"/>
        <v/>
      </c>
      <c r="I80" s="43"/>
      <c r="J80" s="6" t="s">
        <v>15</v>
      </c>
      <c r="K80" s="33" t="str">
        <f t="shared" si="5"/>
        <v/>
      </c>
      <c r="L80" s="6" t="s">
        <v>6</v>
      </c>
      <c r="M80" s="27"/>
      <c r="N80" s="27"/>
    </row>
    <row r="81" spans="1:14" ht="18.75" customHeight="1" x14ac:dyDescent="0.15">
      <c r="A81" s="11">
        <v>74</v>
      </c>
      <c r="B81" s="2"/>
      <c r="C81" s="88"/>
      <c r="D81" s="93"/>
      <c r="E81" s="88"/>
      <c r="F81" s="89" t="str">
        <f t="shared" si="3"/>
        <v/>
      </c>
      <c r="G81" s="5"/>
      <c r="H81" s="5" t="str">
        <f t="shared" si="4"/>
        <v/>
      </c>
      <c r="I81" s="35"/>
      <c r="J81" s="6" t="s">
        <v>15</v>
      </c>
      <c r="K81" s="33" t="str">
        <f t="shared" si="5"/>
        <v/>
      </c>
      <c r="L81" s="6" t="s">
        <v>6</v>
      </c>
      <c r="M81" s="27"/>
      <c r="N81" s="27"/>
    </row>
    <row r="82" spans="1:14" ht="18.75" customHeight="1" x14ac:dyDescent="0.15">
      <c r="A82" s="11">
        <v>75</v>
      </c>
      <c r="B82" s="2"/>
      <c r="C82" s="88"/>
      <c r="D82" s="93"/>
      <c r="E82" s="7"/>
      <c r="F82" s="89" t="str">
        <f t="shared" si="3"/>
        <v/>
      </c>
      <c r="G82" s="5"/>
      <c r="H82" s="5" t="str">
        <f t="shared" si="4"/>
        <v/>
      </c>
      <c r="I82" s="42"/>
      <c r="J82" s="6" t="s">
        <v>15</v>
      </c>
      <c r="K82" s="33" t="str">
        <f t="shared" si="5"/>
        <v/>
      </c>
      <c r="L82" s="6" t="s">
        <v>6</v>
      </c>
      <c r="M82" s="27"/>
      <c r="N82" s="27"/>
    </row>
    <row r="83" spans="1:14" ht="18.75" customHeight="1" x14ac:dyDescent="0.15">
      <c r="A83" s="11">
        <v>76</v>
      </c>
      <c r="B83" s="2"/>
      <c r="C83" s="88"/>
      <c r="D83" s="93"/>
      <c r="E83" s="88"/>
      <c r="F83" s="89" t="str">
        <f t="shared" si="3"/>
        <v/>
      </c>
      <c r="G83" s="5"/>
      <c r="H83" s="5" t="str">
        <f t="shared" si="4"/>
        <v/>
      </c>
      <c r="I83" s="35"/>
      <c r="J83" s="6" t="s">
        <v>15</v>
      </c>
      <c r="K83" s="33" t="str">
        <f t="shared" si="5"/>
        <v/>
      </c>
      <c r="L83" s="6" t="s">
        <v>6</v>
      </c>
      <c r="M83" s="27"/>
      <c r="N83" s="27"/>
    </row>
    <row r="84" spans="1:14" ht="18.75" customHeight="1" x14ac:dyDescent="0.15">
      <c r="A84" s="11">
        <v>77</v>
      </c>
      <c r="B84" s="2"/>
      <c r="C84" s="88"/>
      <c r="D84" s="93"/>
      <c r="E84" s="88"/>
      <c r="F84" s="89" t="str">
        <f t="shared" si="3"/>
        <v/>
      </c>
      <c r="G84" s="5"/>
      <c r="H84" s="5" t="str">
        <f t="shared" si="4"/>
        <v/>
      </c>
      <c r="I84" s="35"/>
      <c r="J84" s="6" t="s">
        <v>15</v>
      </c>
      <c r="K84" s="33" t="str">
        <f t="shared" si="5"/>
        <v/>
      </c>
      <c r="L84" s="6" t="s">
        <v>6</v>
      </c>
      <c r="M84" s="27"/>
      <c r="N84" s="27"/>
    </row>
    <row r="85" spans="1:14" ht="18.75" customHeight="1" x14ac:dyDescent="0.15">
      <c r="A85" s="11">
        <v>78</v>
      </c>
      <c r="B85" s="2"/>
      <c r="C85" s="88"/>
      <c r="D85" s="93"/>
      <c r="E85" s="88"/>
      <c r="F85" s="89" t="str">
        <f t="shared" si="3"/>
        <v/>
      </c>
      <c r="G85" s="5"/>
      <c r="H85" s="5" t="str">
        <f t="shared" si="4"/>
        <v/>
      </c>
      <c r="I85" s="35"/>
      <c r="J85" s="6" t="s">
        <v>15</v>
      </c>
      <c r="K85" s="37" t="str">
        <f t="shared" si="5"/>
        <v/>
      </c>
      <c r="L85" s="6" t="s">
        <v>6</v>
      </c>
      <c r="M85" s="27"/>
      <c r="N85" s="27"/>
    </row>
    <row r="86" spans="1:14" ht="18.75" customHeight="1" x14ac:dyDescent="0.15">
      <c r="A86" s="11">
        <v>79</v>
      </c>
      <c r="B86" s="2"/>
      <c r="C86" s="88"/>
      <c r="D86" s="93"/>
      <c r="E86" s="88"/>
      <c r="F86" s="89"/>
      <c r="G86" s="5"/>
      <c r="H86" s="5"/>
      <c r="I86" s="35"/>
      <c r="J86" s="6" t="s">
        <v>15</v>
      </c>
      <c r="K86" s="37"/>
      <c r="L86" s="6" t="s">
        <v>6</v>
      </c>
      <c r="M86" s="27"/>
      <c r="N86" s="27"/>
    </row>
    <row r="87" spans="1:14" ht="18.75" customHeight="1" x14ac:dyDescent="0.15">
      <c r="A87" s="11">
        <v>80</v>
      </c>
      <c r="B87" s="2"/>
      <c r="C87" s="88"/>
      <c r="D87" s="93"/>
      <c r="E87" s="88"/>
      <c r="F87" s="89" t="str">
        <f t="shared" si="3"/>
        <v/>
      </c>
      <c r="G87" s="5"/>
      <c r="H87" s="5" t="str">
        <f t="shared" si="4"/>
        <v/>
      </c>
      <c r="I87" s="35"/>
      <c r="J87" s="6" t="s">
        <v>15</v>
      </c>
      <c r="K87" s="37" t="str">
        <f>IF(I87&gt;0,I87*0.2,"")</f>
        <v/>
      </c>
      <c r="L87" s="6" t="s">
        <v>6</v>
      </c>
      <c r="M87" s="27"/>
      <c r="N87" s="27"/>
    </row>
    <row r="88" spans="1:14" ht="18.75" customHeight="1" x14ac:dyDescent="0.15">
      <c r="B88" s="44"/>
      <c r="C88" s="44"/>
      <c r="D88" s="45"/>
      <c r="E88" s="44"/>
      <c r="F88" s="44" t="str">
        <f t="shared" si="3"/>
        <v/>
      </c>
      <c r="G88" s="46"/>
      <c r="H88" s="46" t="str">
        <f t="shared" si="4"/>
        <v/>
      </c>
      <c r="I88" s="61">
        <f>SUM(I48:I87)+I44</f>
        <v>0</v>
      </c>
      <c r="J88" s="8" t="s">
        <v>15</v>
      </c>
      <c r="K88" s="47">
        <f>SUM(K48:K87)+K44</f>
        <v>0</v>
      </c>
      <c r="L88" s="8" t="s">
        <v>6</v>
      </c>
      <c r="M88" s="48"/>
      <c r="N88" s="48"/>
    </row>
  </sheetData>
  <mergeCells count="12">
    <mergeCell ref="B45:M45"/>
    <mergeCell ref="B46:M46"/>
    <mergeCell ref="C47:D47"/>
    <mergeCell ref="E47:F47"/>
    <mergeCell ref="I47:J47"/>
    <mergeCell ref="K47:L47"/>
    <mergeCell ref="B1:M1"/>
    <mergeCell ref="B2:M2"/>
    <mergeCell ref="C3:D3"/>
    <mergeCell ref="E3:F3"/>
    <mergeCell ref="I3:J3"/>
    <mergeCell ref="K3:L3"/>
  </mergeCells>
  <phoneticPr fontId="2"/>
  <dataValidations count="6">
    <dataValidation imeMode="on" allowBlank="1" showInputMessage="1" showErrorMessage="1" sqref="B44:C44 B88:C88" xr:uid="{93DF9731-90C0-4E45-992E-4788E89DAFC8}"/>
    <dataValidation imeMode="disabled" allowBlank="1" showInputMessage="1" showErrorMessage="1" sqref="G4:G40 N21:N42 H4:M42 N49:N63 N5:N19 G48:G84 E48:E88 N65:N88 H48:M88 E4:E44 M44:N44 H43:L44" xr:uid="{488A63FF-7123-4DF5-A738-74747BCB3BF0}"/>
    <dataValidation type="list" imeMode="on" allowBlank="1" showInputMessage="1" prompt="なければ直接入力" sqref="D44 D88" xr:uid="{03991E43-6D5B-42DD-AA22-CB93B3FDC6BF}">
      <formula1>"利尻島国保中央病院,福士水産㈱,高橋水産㈱"</formula1>
    </dataValidation>
    <dataValidation imeMode="disabled" allowBlank="1" showInputMessage="1" sqref="G85:G88 G41:G44" xr:uid="{0EADACD6-7BCC-4358-9000-AD70E3220F20}"/>
    <dataValidation type="list" imeMode="on" allowBlank="1" showInputMessage="1" showErrorMessage="1" sqref="B4:C43 B48:C87" xr:uid="{3F3FBAF2-8EBF-4F7D-92D0-9DBBA06A0221}">
      <formula1>"水産系燃え殻,医療系燃え殻"</formula1>
    </dataValidation>
    <dataValidation type="list" imeMode="on" allowBlank="1" showInputMessage="1" prompt="なければ直接入力" sqref="D4:D43 D48:D87" xr:uid="{01B45121-8EB0-416B-B9F5-3EA157045D27}">
      <formula1>"利尻島国保中央病院,道立鬼脇診療所,カムイウィスキー,福士水産㈱,糀谷商店,米田商店"</formula1>
    </dataValidation>
  </dataValidations>
  <printOptions horizontalCentered="1" verticalCentered="1"/>
  <pageMargins left="0.59055118110236227" right="0.59055118110236227" top="0.59055118110236227" bottom="0.59055118110236227" header="0" footer="0"/>
  <pageSetup paperSize="9" orientation="portrait" horizontalDpi="4294967293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98161-F75E-4EBA-8639-8FB885590B23}">
  <dimension ref="A1:O88"/>
  <sheetViews>
    <sheetView topLeftCell="A26" workbookViewId="0">
      <selection activeCell="A26" sqref="A1:XFD1048576"/>
    </sheetView>
  </sheetViews>
  <sheetFormatPr defaultRowHeight="13.5" x14ac:dyDescent="0.15"/>
  <cols>
    <col min="1" max="1" width="3.375" style="12" customWidth="1"/>
    <col min="2" max="2" width="12.25" style="10" customWidth="1"/>
    <col min="3" max="3" width="1" style="10" customWidth="1"/>
    <col min="4" max="4" width="17.625" style="12" customWidth="1"/>
    <col min="5" max="5" width="10.625" style="10" customWidth="1"/>
    <col min="6" max="6" width="2.125" style="10" customWidth="1"/>
    <col min="7" max="8" width="8.125" style="10" customWidth="1"/>
    <col min="9" max="9" width="6" style="13" customWidth="1"/>
    <col min="10" max="10" width="2.375" style="10" customWidth="1"/>
    <col min="11" max="11" width="5.5" style="10" customWidth="1"/>
    <col min="12" max="12" width="2.25" style="10" customWidth="1"/>
    <col min="13" max="13" width="6.25" style="49" customWidth="1"/>
    <col min="14" max="14" width="6.25" style="10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 x14ac:dyDescent="0.15">
      <c r="B1" s="95" t="s">
        <v>9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5" ht="21" customHeight="1" x14ac:dyDescent="0.15"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spans="1:15" ht="27" customHeight="1" x14ac:dyDescent="0.15">
      <c r="A3" s="11"/>
      <c r="B3" s="29" t="s">
        <v>1</v>
      </c>
      <c r="C3" s="102" t="s">
        <v>2</v>
      </c>
      <c r="D3" s="103"/>
      <c r="E3" s="104" t="s">
        <v>3</v>
      </c>
      <c r="F3" s="105"/>
      <c r="G3" s="87" t="s">
        <v>4</v>
      </c>
      <c r="H3" s="87" t="s">
        <v>7</v>
      </c>
      <c r="I3" s="106" t="s">
        <v>8</v>
      </c>
      <c r="J3" s="107"/>
      <c r="K3" s="106" t="s">
        <v>5</v>
      </c>
      <c r="L3" s="106"/>
      <c r="M3" s="30" t="s">
        <v>10</v>
      </c>
      <c r="N3" s="31" t="s">
        <v>18</v>
      </c>
    </row>
    <row r="4" spans="1:15" ht="18.75" customHeight="1" x14ac:dyDescent="0.15">
      <c r="A4" s="11">
        <v>1</v>
      </c>
      <c r="B4" s="2"/>
      <c r="C4" s="88"/>
      <c r="D4" s="93"/>
      <c r="E4" s="88"/>
      <c r="F4" s="89" t="str">
        <f t="shared" ref="F4:F41" si="0">IF(E4="","",E4-INT(E4/7)*7)</f>
        <v/>
      </c>
      <c r="G4" s="5"/>
      <c r="H4" s="5" t="str">
        <f t="shared" ref="H4:H41" si="1">IF(G4="","",G4)</f>
        <v/>
      </c>
      <c r="I4" s="32"/>
      <c r="J4" s="6" t="s">
        <v>15</v>
      </c>
      <c r="K4" s="33" t="str">
        <f t="shared" ref="K4:K41" si="2">IF(I4&gt;0,I4*0.2,"")</f>
        <v/>
      </c>
      <c r="L4" s="6" t="s">
        <v>6</v>
      </c>
      <c r="M4" s="27"/>
      <c r="N4" s="34"/>
    </row>
    <row r="5" spans="1:15" ht="18.75" customHeight="1" x14ac:dyDescent="0.15">
      <c r="A5" s="11">
        <v>2</v>
      </c>
      <c r="B5" s="2"/>
      <c r="C5" s="88"/>
      <c r="D5" s="93"/>
      <c r="E5" s="7"/>
      <c r="F5" s="89" t="str">
        <f t="shared" si="0"/>
        <v/>
      </c>
      <c r="G5" s="5"/>
      <c r="H5" s="5" t="str">
        <f t="shared" si="1"/>
        <v/>
      </c>
      <c r="I5" s="35"/>
      <c r="J5" s="36" t="s">
        <v>15</v>
      </c>
      <c r="K5" s="37" t="str">
        <f t="shared" si="2"/>
        <v/>
      </c>
      <c r="L5" s="6" t="s">
        <v>6</v>
      </c>
      <c r="M5" s="27"/>
      <c r="N5" s="27"/>
    </row>
    <row r="6" spans="1:15" ht="18.75" customHeight="1" x14ac:dyDescent="0.15">
      <c r="A6" s="11">
        <v>3</v>
      </c>
      <c r="B6" s="2"/>
      <c r="C6" s="88"/>
      <c r="D6" s="93"/>
      <c r="E6" s="88"/>
      <c r="F6" s="89" t="str">
        <f t="shared" si="0"/>
        <v/>
      </c>
      <c r="G6" s="5"/>
      <c r="H6" s="5" t="str">
        <f t="shared" si="1"/>
        <v/>
      </c>
      <c r="I6" s="38"/>
      <c r="J6" s="8" t="s">
        <v>15</v>
      </c>
      <c r="K6" s="39" t="str">
        <f t="shared" si="2"/>
        <v/>
      </c>
      <c r="L6" s="9" t="s">
        <v>6</v>
      </c>
      <c r="M6" s="40"/>
      <c r="N6" s="27"/>
    </row>
    <row r="7" spans="1:15" ht="18.75" customHeight="1" x14ac:dyDescent="0.15">
      <c r="A7" s="11">
        <v>4</v>
      </c>
      <c r="B7" s="2"/>
      <c r="C7" s="88"/>
      <c r="D7" s="93"/>
      <c r="E7" s="88"/>
      <c r="F7" s="89" t="str">
        <f t="shared" si="0"/>
        <v/>
      </c>
      <c r="G7" s="5"/>
      <c r="H7" s="5" t="str">
        <f t="shared" si="1"/>
        <v/>
      </c>
      <c r="I7" s="35"/>
      <c r="J7" s="6" t="s">
        <v>15</v>
      </c>
      <c r="K7" s="33" t="str">
        <f t="shared" si="2"/>
        <v/>
      </c>
      <c r="L7" s="6" t="s">
        <v>6</v>
      </c>
      <c r="M7" s="27"/>
      <c r="N7" s="27"/>
    </row>
    <row r="8" spans="1:15" ht="18.75" customHeight="1" x14ac:dyDescent="0.15">
      <c r="A8" s="11">
        <v>5</v>
      </c>
      <c r="B8" s="2"/>
      <c r="C8" s="88"/>
      <c r="D8" s="93"/>
      <c r="E8" s="88"/>
      <c r="F8" s="89" t="str">
        <f t="shared" si="0"/>
        <v/>
      </c>
      <c r="G8" s="5"/>
      <c r="H8" s="5" t="str">
        <f t="shared" si="1"/>
        <v/>
      </c>
      <c r="I8" s="35"/>
      <c r="J8" s="6" t="s">
        <v>15</v>
      </c>
      <c r="K8" s="33" t="str">
        <f t="shared" si="2"/>
        <v/>
      </c>
      <c r="L8" s="6" t="s">
        <v>6</v>
      </c>
      <c r="M8" s="27"/>
      <c r="N8" s="27"/>
    </row>
    <row r="9" spans="1:15" ht="18.75" customHeight="1" x14ac:dyDescent="0.15">
      <c r="A9" s="11">
        <v>6</v>
      </c>
      <c r="B9" s="2"/>
      <c r="C9" s="88"/>
      <c r="D9" s="93"/>
      <c r="E9" s="88"/>
      <c r="F9" s="89" t="str">
        <f t="shared" si="0"/>
        <v/>
      </c>
      <c r="G9" s="5"/>
      <c r="H9" s="5" t="str">
        <f t="shared" si="1"/>
        <v/>
      </c>
      <c r="I9" s="35"/>
      <c r="J9" s="6" t="s">
        <v>15</v>
      </c>
      <c r="K9" s="33" t="str">
        <f t="shared" si="2"/>
        <v/>
      </c>
      <c r="L9" s="6" t="s">
        <v>6</v>
      </c>
      <c r="M9" s="27"/>
      <c r="N9" s="27"/>
    </row>
    <row r="10" spans="1:15" ht="18.75" customHeight="1" x14ac:dyDescent="0.15">
      <c r="A10" s="11">
        <v>7</v>
      </c>
      <c r="B10" s="2"/>
      <c r="C10" s="88"/>
      <c r="D10" s="93"/>
      <c r="E10" s="88"/>
      <c r="F10" s="89" t="str">
        <f t="shared" si="0"/>
        <v/>
      </c>
      <c r="G10" s="5"/>
      <c r="H10" s="5" t="str">
        <f t="shared" si="1"/>
        <v/>
      </c>
      <c r="I10" s="35"/>
      <c r="J10" s="6" t="s">
        <v>15</v>
      </c>
      <c r="K10" s="33" t="str">
        <f t="shared" si="2"/>
        <v/>
      </c>
      <c r="L10" s="6" t="s">
        <v>6</v>
      </c>
      <c r="M10" s="27"/>
      <c r="N10" s="27"/>
    </row>
    <row r="11" spans="1:15" ht="18.75" customHeight="1" x14ac:dyDescent="0.15">
      <c r="A11" s="11">
        <v>8</v>
      </c>
      <c r="B11" s="2"/>
      <c r="C11" s="88"/>
      <c r="D11" s="93"/>
      <c r="E11" s="88"/>
      <c r="F11" s="89" t="str">
        <f t="shared" si="0"/>
        <v/>
      </c>
      <c r="G11" s="5"/>
      <c r="H11" s="5" t="str">
        <f t="shared" si="1"/>
        <v/>
      </c>
      <c r="I11" s="41"/>
      <c r="J11" s="8" t="s">
        <v>15</v>
      </c>
      <c r="K11" s="33" t="str">
        <f t="shared" si="2"/>
        <v/>
      </c>
      <c r="L11" s="9" t="s">
        <v>6</v>
      </c>
      <c r="M11" s="27"/>
      <c r="N11" s="27"/>
    </row>
    <row r="12" spans="1:15" ht="18.75" customHeight="1" x14ac:dyDescent="0.15">
      <c r="A12" s="11">
        <v>9</v>
      </c>
      <c r="B12" s="2"/>
      <c r="C12" s="88"/>
      <c r="D12" s="93"/>
      <c r="E12" s="88"/>
      <c r="F12" s="89" t="str">
        <f t="shared" si="0"/>
        <v/>
      </c>
      <c r="G12" s="5"/>
      <c r="H12" s="5" t="str">
        <f t="shared" si="1"/>
        <v/>
      </c>
      <c r="I12" s="35"/>
      <c r="J12" s="6" t="s">
        <v>15</v>
      </c>
      <c r="K12" s="33" t="str">
        <f t="shared" si="2"/>
        <v/>
      </c>
      <c r="L12" s="6" t="s">
        <v>6</v>
      </c>
      <c r="M12" s="27"/>
      <c r="N12" s="27"/>
    </row>
    <row r="13" spans="1:15" ht="18.75" customHeight="1" x14ac:dyDescent="0.15">
      <c r="A13" s="11">
        <v>10</v>
      </c>
      <c r="B13" s="2"/>
      <c r="C13" s="88"/>
      <c r="D13" s="93"/>
      <c r="E13" s="88"/>
      <c r="F13" s="89" t="str">
        <f t="shared" si="0"/>
        <v/>
      </c>
      <c r="G13" s="5"/>
      <c r="H13" s="5" t="str">
        <f t="shared" si="1"/>
        <v/>
      </c>
      <c r="I13" s="41"/>
      <c r="J13" s="8" t="s">
        <v>15</v>
      </c>
      <c r="K13" s="33" t="str">
        <f t="shared" si="2"/>
        <v/>
      </c>
      <c r="L13" s="9" t="s">
        <v>6</v>
      </c>
      <c r="M13" s="27"/>
      <c r="N13" s="27"/>
    </row>
    <row r="14" spans="1:15" ht="18.75" customHeight="1" x14ac:dyDescent="0.15">
      <c r="A14" s="11">
        <v>11</v>
      </c>
      <c r="B14" s="2"/>
      <c r="C14" s="88"/>
      <c r="D14" s="93"/>
      <c r="E14" s="88"/>
      <c r="F14" s="89" t="str">
        <f t="shared" si="0"/>
        <v/>
      </c>
      <c r="G14" s="5"/>
      <c r="H14" s="5" t="str">
        <f t="shared" si="1"/>
        <v/>
      </c>
      <c r="I14" s="35"/>
      <c r="J14" s="6" t="s">
        <v>15</v>
      </c>
      <c r="K14" s="33" t="str">
        <f t="shared" si="2"/>
        <v/>
      </c>
      <c r="L14" s="6" t="s">
        <v>6</v>
      </c>
      <c r="M14" s="27"/>
      <c r="N14" s="27"/>
      <c r="O14" s="59"/>
    </row>
    <row r="15" spans="1:15" ht="18.75" customHeight="1" x14ac:dyDescent="0.15">
      <c r="A15" s="11">
        <v>12</v>
      </c>
      <c r="B15" s="2"/>
      <c r="C15" s="88"/>
      <c r="D15" s="93"/>
      <c r="E15" s="88"/>
      <c r="F15" s="89" t="str">
        <f t="shared" si="0"/>
        <v/>
      </c>
      <c r="G15" s="5"/>
      <c r="H15" s="5" t="str">
        <f t="shared" si="1"/>
        <v/>
      </c>
      <c r="I15" s="42"/>
      <c r="J15" s="8" t="s">
        <v>15</v>
      </c>
      <c r="K15" s="33" t="str">
        <f t="shared" si="2"/>
        <v/>
      </c>
      <c r="L15" s="6" t="s">
        <v>6</v>
      </c>
      <c r="M15" s="27"/>
      <c r="N15" s="27"/>
    </row>
    <row r="16" spans="1:15" ht="18.75" customHeight="1" x14ac:dyDescent="0.15">
      <c r="A16" s="11">
        <v>13</v>
      </c>
      <c r="B16" s="2"/>
      <c r="C16" s="88"/>
      <c r="D16" s="93"/>
      <c r="E16" s="88"/>
      <c r="F16" s="89" t="str">
        <f t="shared" si="0"/>
        <v/>
      </c>
      <c r="G16" s="5"/>
      <c r="H16" s="5" t="str">
        <f t="shared" si="1"/>
        <v/>
      </c>
      <c r="I16" s="35"/>
      <c r="J16" s="6" t="s">
        <v>15</v>
      </c>
      <c r="K16" s="33" t="str">
        <f t="shared" si="2"/>
        <v/>
      </c>
      <c r="L16" s="6" t="s">
        <v>6</v>
      </c>
      <c r="M16" s="27"/>
      <c r="N16" s="27"/>
    </row>
    <row r="17" spans="1:15" ht="18.75" customHeight="1" x14ac:dyDescent="0.15">
      <c r="A17" s="11">
        <v>14</v>
      </c>
      <c r="B17" s="2"/>
      <c r="C17" s="88"/>
      <c r="D17" s="93"/>
      <c r="E17" s="88"/>
      <c r="F17" s="89" t="str">
        <f t="shared" si="0"/>
        <v/>
      </c>
      <c r="G17" s="5"/>
      <c r="H17" s="5" t="str">
        <f t="shared" si="1"/>
        <v/>
      </c>
      <c r="I17" s="35"/>
      <c r="J17" s="6" t="s">
        <v>15</v>
      </c>
      <c r="K17" s="33" t="str">
        <f t="shared" si="2"/>
        <v/>
      </c>
      <c r="L17" s="6" t="s">
        <v>6</v>
      </c>
      <c r="M17" s="27"/>
      <c r="N17" s="27"/>
    </row>
    <row r="18" spans="1:15" ht="18.75" customHeight="1" x14ac:dyDescent="0.15">
      <c r="A18" s="11">
        <v>15</v>
      </c>
      <c r="B18" s="2"/>
      <c r="C18" s="88"/>
      <c r="D18" s="93"/>
      <c r="E18" s="88"/>
      <c r="F18" s="89" t="str">
        <f t="shared" si="0"/>
        <v/>
      </c>
      <c r="G18" s="5"/>
      <c r="H18" s="5" t="str">
        <f t="shared" si="1"/>
        <v/>
      </c>
      <c r="I18" s="41"/>
      <c r="J18" s="6" t="s">
        <v>15</v>
      </c>
      <c r="K18" s="33" t="str">
        <f t="shared" si="2"/>
        <v/>
      </c>
      <c r="L18" s="9" t="s">
        <v>6</v>
      </c>
      <c r="M18" s="27"/>
      <c r="N18" s="27"/>
    </row>
    <row r="19" spans="1:15" ht="18.75" customHeight="1" x14ac:dyDescent="0.15">
      <c r="A19" s="11">
        <v>16</v>
      </c>
      <c r="B19" s="2"/>
      <c r="C19" s="88"/>
      <c r="D19" s="93"/>
      <c r="E19" s="88"/>
      <c r="F19" s="89" t="str">
        <f t="shared" si="0"/>
        <v/>
      </c>
      <c r="G19" s="5"/>
      <c r="H19" s="5" t="str">
        <f t="shared" si="1"/>
        <v/>
      </c>
      <c r="I19" s="35"/>
      <c r="J19" s="6" t="s">
        <v>15</v>
      </c>
      <c r="K19" s="33" t="str">
        <f t="shared" si="2"/>
        <v/>
      </c>
      <c r="L19" s="6" t="s">
        <v>6</v>
      </c>
      <c r="M19" s="27"/>
      <c r="N19" s="27"/>
    </row>
    <row r="20" spans="1:15" ht="18.75" customHeight="1" x14ac:dyDescent="0.15">
      <c r="A20" s="11">
        <v>17</v>
      </c>
      <c r="B20" s="2"/>
      <c r="C20" s="88"/>
      <c r="D20" s="93"/>
      <c r="E20" s="7"/>
      <c r="F20" s="89" t="str">
        <f t="shared" si="0"/>
        <v/>
      </c>
      <c r="G20" s="5"/>
      <c r="H20" s="5" t="str">
        <f t="shared" si="1"/>
        <v/>
      </c>
      <c r="I20" s="42"/>
      <c r="J20" s="8" t="s">
        <v>15</v>
      </c>
      <c r="K20" s="33" t="str">
        <f t="shared" si="2"/>
        <v/>
      </c>
      <c r="L20" s="6" t="s">
        <v>6</v>
      </c>
      <c r="M20" s="27"/>
      <c r="N20" s="34"/>
    </row>
    <row r="21" spans="1:15" ht="18.75" customHeight="1" x14ac:dyDescent="0.15">
      <c r="A21" s="11">
        <v>18</v>
      </c>
      <c r="B21" s="2"/>
      <c r="C21" s="88"/>
      <c r="D21" s="93"/>
      <c r="E21" s="88"/>
      <c r="F21" s="89" t="str">
        <f t="shared" si="0"/>
        <v/>
      </c>
      <c r="G21" s="5"/>
      <c r="H21" s="5" t="str">
        <f t="shared" si="1"/>
        <v/>
      </c>
      <c r="I21" s="35"/>
      <c r="J21" s="6" t="s">
        <v>15</v>
      </c>
      <c r="K21" s="33" t="str">
        <f t="shared" si="2"/>
        <v/>
      </c>
      <c r="L21" s="6" t="s">
        <v>6</v>
      </c>
      <c r="M21" s="27"/>
      <c r="N21" s="27"/>
    </row>
    <row r="22" spans="1:15" ht="18.75" customHeight="1" x14ac:dyDescent="0.15">
      <c r="A22" s="11">
        <v>19</v>
      </c>
      <c r="B22" s="2"/>
      <c r="C22" s="88"/>
      <c r="D22" s="93"/>
      <c r="E22" s="88"/>
      <c r="F22" s="89" t="str">
        <f t="shared" si="0"/>
        <v/>
      </c>
      <c r="G22" s="5"/>
      <c r="H22" s="5" t="str">
        <f t="shared" si="1"/>
        <v/>
      </c>
      <c r="I22" s="35"/>
      <c r="J22" s="6" t="s">
        <v>15</v>
      </c>
      <c r="K22" s="33" t="str">
        <f t="shared" si="2"/>
        <v/>
      </c>
      <c r="L22" s="6" t="s">
        <v>6</v>
      </c>
      <c r="M22" s="27"/>
      <c r="N22" s="27"/>
    </row>
    <row r="23" spans="1:15" ht="18.75" customHeight="1" x14ac:dyDescent="0.15">
      <c r="A23" s="11">
        <v>20</v>
      </c>
      <c r="B23" s="2"/>
      <c r="C23" s="88"/>
      <c r="D23" s="93"/>
      <c r="E23" s="88"/>
      <c r="F23" s="89" t="str">
        <f t="shared" si="0"/>
        <v/>
      </c>
      <c r="G23" s="5"/>
      <c r="H23" s="5" t="str">
        <f t="shared" si="1"/>
        <v/>
      </c>
      <c r="I23" s="35"/>
      <c r="J23" s="6" t="s">
        <v>11</v>
      </c>
      <c r="K23" s="33" t="str">
        <f t="shared" si="2"/>
        <v/>
      </c>
      <c r="L23" s="6" t="s">
        <v>6</v>
      </c>
      <c r="M23" s="27"/>
      <c r="N23" s="27"/>
    </row>
    <row r="24" spans="1:15" ht="18.75" customHeight="1" x14ac:dyDescent="0.15">
      <c r="A24" s="11">
        <v>21</v>
      </c>
      <c r="B24" s="2"/>
      <c r="C24" s="88"/>
      <c r="D24" s="93"/>
      <c r="E24" s="88"/>
      <c r="F24" s="89" t="str">
        <f t="shared" si="0"/>
        <v/>
      </c>
      <c r="G24" s="5"/>
      <c r="H24" s="5" t="str">
        <f t="shared" si="1"/>
        <v/>
      </c>
      <c r="I24" s="35"/>
      <c r="J24" s="8" t="s">
        <v>11</v>
      </c>
      <c r="K24" s="33" t="str">
        <f t="shared" si="2"/>
        <v/>
      </c>
      <c r="L24" s="6" t="s">
        <v>6</v>
      </c>
      <c r="M24" s="27"/>
      <c r="N24" s="27"/>
    </row>
    <row r="25" spans="1:15" ht="18.75" customHeight="1" x14ac:dyDescent="0.15">
      <c r="A25" s="11">
        <v>22</v>
      </c>
      <c r="B25" s="2"/>
      <c r="C25" s="88"/>
      <c r="D25" s="93"/>
      <c r="E25" s="88"/>
      <c r="F25" s="89" t="str">
        <f t="shared" si="0"/>
        <v/>
      </c>
      <c r="G25" s="5"/>
      <c r="H25" s="5" t="str">
        <f t="shared" si="1"/>
        <v/>
      </c>
      <c r="I25" s="41"/>
      <c r="J25" s="6" t="s">
        <v>11</v>
      </c>
      <c r="K25" s="33" t="str">
        <f t="shared" si="2"/>
        <v/>
      </c>
      <c r="L25" s="6" t="s">
        <v>6</v>
      </c>
      <c r="M25" s="27"/>
      <c r="N25" s="27"/>
    </row>
    <row r="26" spans="1:15" ht="18.75" customHeight="1" x14ac:dyDescent="0.15">
      <c r="A26" s="11">
        <v>23</v>
      </c>
      <c r="B26" s="2"/>
      <c r="C26" s="88"/>
      <c r="D26" s="93"/>
      <c r="E26" s="88"/>
      <c r="F26" s="89" t="str">
        <f t="shared" si="0"/>
        <v/>
      </c>
      <c r="G26" s="5"/>
      <c r="H26" s="5" t="str">
        <f t="shared" si="1"/>
        <v/>
      </c>
      <c r="I26" s="41"/>
      <c r="J26" s="6" t="s">
        <v>15</v>
      </c>
      <c r="K26" s="33" t="str">
        <f t="shared" si="2"/>
        <v/>
      </c>
      <c r="L26" s="6" t="s">
        <v>6</v>
      </c>
      <c r="M26" s="27"/>
      <c r="N26" s="27"/>
    </row>
    <row r="27" spans="1:15" ht="18.75" customHeight="1" x14ac:dyDescent="0.15">
      <c r="A27" s="11">
        <v>24</v>
      </c>
      <c r="B27" s="2"/>
      <c r="C27" s="88"/>
      <c r="D27" s="93"/>
      <c r="E27" s="88"/>
      <c r="F27" s="89" t="str">
        <f t="shared" si="0"/>
        <v/>
      </c>
      <c r="G27" s="5"/>
      <c r="H27" s="5" t="str">
        <f t="shared" si="1"/>
        <v/>
      </c>
      <c r="I27" s="35"/>
      <c r="J27" s="8" t="s">
        <v>15</v>
      </c>
      <c r="K27" s="33" t="str">
        <f t="shared" si="2"/>
        <v/>
      </c>
      <c r="L27" s="6" t="s">
        <v>6</v>
      </c>
      <c r="M27" s="27"/>
      <c r="N27" s="27"/>
      <c r="O27" s="59"/>
    </row>
    <row r="28" spans="1:15" ht="18.75" customHeight="1" x14ac:dyDescent="0.15">
      <c r="A28" s="11">
        <v>25</v>
      </c>
      <c r="B28" s="2"/>
      <c r="C28" s="88"/>
      <c r="D28" s="93"/>
      <c r="E28" s="88"/>
      <c r="F28" s="89" t="str">
        <f t="shared" si="0"/>
        <v/>
      </c>
      <c r="G28" s="5"/>
      <c r="H28" s="5" t="str">
        <f t="shared" si="1"/>
        <v/>
      </c>
      <c r="I28" s="35"/>
      <c r="J28" s="6" t="s">
        <v>15</v>
      </c>
      <c r="K28" s="33" t="str">
        <f t="shared" si="2"/>
        <v/>
      </c>
      <c r="L28" s="6" t="s">
        <v>6</v>
      </c>
      <c r="M28" s="27"/>
      <c r="N28" s="27"/>
    </row>
    <row r="29" spans="1:15" ht="18.75" customHeight="1" x14ac:dyDescent="0.15">
      <c r="A29" s="11">
        <v>26</v>
      </c>
      <c r="B29" s="2"/>
      <c r="C29" s="88"/>
      <c r="D29" s="93"/>
      <c r="E29" s="88"/>
      <c r="F29" s="89" t="str">
        <f t="shared" si="0"/>
        <v/>
      </c>
      <c r="G29" s="5"/>
      <c r="H29" s="5" t="str">
        <f t="shared" si="1"/>
        <v/>
      </c>
      <c r="I29" s="35"/>
      <c r="J29" s="6" t="s">
        <v>15</v>
      </c>
      <c r="K29" s="33" t="str">
        <f t="shared" si="2"/>
        <v/>
      </c>
      <c r="L29" s="6" t="s">
        <v>6</v>
      </c>
      <c r="M29" s="27"/>
      <c r="N29" s="27"/>
    </row>
    <row r="30" spans="1:15" ht="18.75" customHeight="1" x14ac:dyDescent="0.15">
      <c r="A30" s="11">
        <v>27</v>
      </c>
      <c r="B30" s="2"/>
      <c r="C30" s="88"/>
      <c r="D30" s="93"/>
      <c r="E30" s="88"/>
      <c r="F30" s="89" t="str">
        <f t="shared" si="0"/>
        <v/>
      </c>
      <c r="G30" s="5"/>
      <c r="H30" s="5" t="str">
        <f t="shared" si="1"/>
        <v/>
      </c>
      <c r="I30" s="35"/>
      <c r="J30" s="8" t="s">
        <v>15</v>
      </c>
      <c r="K30" s="33" t="str">
        <f t="shared" si="2"/>
        <v/>
      </c>
      <c r="L30" s="6" t="s">
        <v>6</v>
      </c>
      <c r="M30" s="27"/>
      <c r="N30" s="27"/>
    </row>
    <row r="31" spans="1:15" ht="18.75" customHeight="1" x14ac:dyDescent="0.15">
      <c r="A31" s="11">
        <v>28</v>
      </c>
      <c r="B31" s="2"/>
      <c r="C31" s="88"/>
      <c r="D31" s="93"/>
      <c r="E31" s="7"/>
      <c r="F31" s="89" t="str">
        <f t="shared" si="0"/>
        <v/>
      </c>
      <c r="G31" s="5"/>
      <c r="H31" s="5" t="str">
        <f t="shared" si="1"/>
        <v/>
      </c>
      <c r="I31" s="41"/>
      <c r="J31" s="6" t="s">
        <v>15</v>
      </c>
      <c r="K31" s="33" t="str">
        <f t="shared" si="2"/>
        <v/>
      </c>
      <c r="L31" s="6" t="s">
        <v>6</v>
      </c>
      <c r="M31" s="27"/>
      <c r="N31" s="27"/>
    </row>
    <row r="32" spans="1:15" ht="18.75" customHeight="1" x14ac:dyDescent="0.15">
      <c r="A32" s="11">
        <v>29</v>
      </c>
      <c r="B32" s="2"/>
      <c r="C32" s="88"/>
      <c r="D32" s="93"/>
      <c r="E32" s="88"/>
      <c r="F32" s="89" t="str">
        <f t="shared" si="0"/>
        <v/>
      </c>
      <c r="G32" s="5"/>
      <c r="H32" s="5" t="str">
        <f t="shared" si="1"/>
        <v/>
      </c>
      <c r="I32" s="35"/>
      <c r="J32" s="6" t="s">
        <v>15</v>
      </c>
      <c r="K32" s="33" t="str">
        <f t="shared" si="2"/>
        <v/>
      </c>
      <c r="L32" s="6" t="s">
        <v>6</v>
      </c>
      <c r="M32" s="27"/>
      <c r="N32" s="27"/>
    </row>
    <row r="33" spans="1:15" ht="18.75" customHeight="1" x14ac:dyDescent="0.15">
      <c r="A33" s="11">
        <v>30</v>
      </c>
      <c r="B33" s="2"/>
      <c r="C33" s="88"/>
      <c r="D33" s="93"/>
      <c r="E33" s="88"/>
      <c r="F33" s="89" t="str">
        <f t="shared" si="0"/>
        <v/>
      </c>
      <c r="G33" s="5"/>
      <c r="H33" s="5" t="str">
        <f t="shared" si="1"/>
        <v/>
      </c>
      <c r="I33" s="35"/>
      <c r="J33" s="6" t="s">
        <v>15</v>
      </c>
      <c r="K33" s="33" t="str">
        <f t="shared" si="2"/>
        <v/>
      </c>
      <c r="L33" s="6" t="s">
        <v>6</v>
      </c>
      <c r="M33" s="27"/>
      <c r="N33" s="27"/>
    </row>
    <row r="34" spans="1:15" ht="18.75" customHeight="1" x14ac:dyDescent="0.15">
      <c r="A34" s="11">
        <v>31</v>
      </c>
      <c r="B34" s="2"/>
      <c r="C34" s="88"/>
      <c r="D34" s="93"/>
      <c r="E34" s="88"/>
      <c r="F34" s="89" t="str">
        <f t="shared" si="0"/>
        <v/>
      </c>
      <c r="G34" s="5"/>
      <c r="H34" s="5" t="str">
        <f t="shared" si="1"/>
        <v/>
      </c>
      <c r="I34" s="42"/>
      <c r="J34" s="6" t="s">
        <v>15</v>
      </c>
      <c r="K34" s="33" t="str">
        <f t="shared" si="2"/>
        <v/>
      </c>
      <c r="L34" s="6" t="s">
        <v>6</v>
      </c>
      <c r="M34" s="27"/>
      <c r="N34" s="27"/>
      <c r="O34" s="59"/>
    </row>
    <row r="35" spans="1:15" ht="18.75" customHeight="1" x14ac:dyDescent="0.15">
      <c r="A35" s="11">
        <v>32</v>
      </c>
      <c r="B35" s="2"/>
      <c r="C35" s="88"/>
      <c r="D35" s="93"/>
      <c r="E35" s="7"/>
      <c r="F35" s="89" t="str">
        <f t="shared" si="0"/>
        <v/>
      </c>
      <c r="G35" s="5"/>
      <c r="H35" s="5" t="str">
        <f t="shared" si="1"/>
        <v/>
      </c>
      <c r="I35" s="35"/>
      <c r="J35" s="6" t="s">
        <v>15</v>
      </c>
      <c r="K35" s="33" t="str">
        <f t="shared" si="2"/>
        <v/>
      </c>
      <c r="L35" s="6" t="s">
        <v>6</v>
      </c>
      <c r="M35" s="27"/>
      <c r="N35" s="27"/>
    </row>
    <row r="36" spans="1:15" ht="18.75" customHeight="1" x14ac:dyDescent="0.15">
      <c r="A36" s="11">
        <v>33</v>
      </c>
      <c r="B36" s="2"/>
      <c r="C36" s="88"/>
      <c r="D36" s="93"/>
      <c r="E36" s="88"/>
      <c r="F36" s="89" t="str">
        <f t="shared" si="0"/>
        <v/>
      </c>
      <c r="G36" s="5"/>
      <c r="H36" s="5" t="str">
        <f t="shared" si="1"/>
        <v/>
      </c>
      <c r="I36" s="43"/>
      <c r="J36" s="6" t="s">
        <v>15</v>
      </c>
      <c r="K36" s="33" t="str">
        <f t="shared" si="2"/>
        <v/>
      </c>
      <c r="L36" s="6" t="s">
        <v>6</v>
      </c>
      <c r="M36" s="27"/>
      <c r="N36" s="27"/>
    </row>
    <row r="37" spans="1:15" ht="18.75" customHeight="1" x14ac:dyDescent="0.15">
      <c r="A37" s="11">
        <v>34</v>
      </c>
      <c r="B37" s="2"/>
      <c r="C37" s="88"/>
      <c r="D37" s="93"/>
      <c r="E37" s="88"/>
      <c r="F37" s="89" t="str">
        <f t="shared" si="0"/>
        <v/>
      </c>
      <c r="G37" s="5"/>
      <c r="H37" s="5" t="str">
        <f t="shared" si="1"/>
        <v/>
      </c>
      <c r="I37" s="35"/>
      <c r="J37" s="6" t="s">
        <v>15</v>
      </c>
      <c r="K37" s="33" t="str">
        <f t="shared" si="2"/>
        <v/>
      </c>
      <c r="L37" s="6" t="s">
        <v>6</v>
      </c>
      <c r="M37" s="27"/>
      <c r="N37" s="27"/>
    </row>
    <row r="38" spans="1:15" ht="18.75" customHeight="1" x14ac:dyDescent="0.15">
      <c r="A38" s="11">
        <v>35</v>
      </c>
      <c r="B38" s="2"/>
      <c r="C38" s="88"/>
      <c r="D38" s="93"/>
      <c r="E38" s="7"/>
      <c r="F38" s="89" t="str">
        <f t="shared" si="0"/>
        <v/>
      </c>
      <c r="G38" s="5"/>
      <c r="H38" s="5" t="str">
        <f t="shared" si="1"/>
        <v/>
      </c>
      <c r="I38" s="42"/>
      <c r="J38" s="6" t="s">
        <v>15</v>
      </c>
      <c r="K38" s="33" t="str">
        <f t="shared" si="2"/>
        <v/>
      </c>
      <c r="L38" s="6" t="s">
        <v>6</v>
      </c>
      <c r="M38" s="27"/>
      <c r="N38" s="27"/>
    </row>
    <row r="39" spans="1:15" ht="18.75" customHeight="1" x14ac:dyDescent="0.15">
      <c r="A39" s="11">
        <v>36</v>
      </c>
      <c r="B39" s="2"/>
      <c r="C39" s="88"/>
      <c r="D39" s="93"/>
      <c r="E39" s="88"/>
      <c r="F39" s="89" t="str">
        <f t="shared" si="0"/>
        <v/>
      </c>
      <c r="G39" s="5"/>
      <c r="H39" s="5" t="str">
        <f t="shared" si="1"/>
        <v/>
      </c>
      <c r="I39" s="35"/>
      <c r="J39" s="6" t="s">
        <v>15</v>
      </c>
      <c r="K39" s="33" t="str">
        <f t="shared" si="2"/>
        <v/>
      </c>
      <c r="L39" s="6" t="s">
        <v>6</v>
      </c>
      <c r="M39" s="27"/>
      <c r="N39" s="27"/>
    </row>
    <row r="40" spans="1:15" ht="18.75" customHeight="1" x14ac:dyDescent="0.15">
      <c r="A40" s="11">
        <v>37</v>
      </c>
      <c r="B40" s="2"/>
      <c r="C40" s="88"/>
      <c r="D40" s="93"/>
      <c r="E40" s="88"/>
      <c r="F40" s="89" t="str">
        <f t="shared" si="0"/>
        <v/>
      </c>
      <c r="G40" s="5"/>
      <c r="H40" s="5" t="str">
        <f t="shared" si="1"/>
        <v/>
      </c>
      <c r="I40" s="35"/>
      <c r="J40" s="6" t="s">
        <v>15</v>
      </c>
      <c r="K40" s="33" t="str">
        <f t="shared" si="2"/>
        <v/>
      </c>
      <c r="L40" s="6" t="s">
        <v>6</v>
      </c>
      <c r="M40" s="27"/>
      <c r="N40" s="27"/>
    </row>
    <row r="41" spans="1:15" ht="18.75" customHeight="1" x14ac:dyDescent="0.15">
      <c r="A41" s="11">
        <v>38</v>
      </c>
      <c r="B41" s="2"/>
      <c r="C41" s="88"/>
      <c r="D41" s="93"/>
      <c r="E41" s="88"/>
      <c r="F41" s="89" t="str">
        <f t="shared" si="0"/>
        <v/>
      </c>
      <c r="G41" s="5"/>
      <c r="H41" s="5" t="str">
        <f t="shared" si="1"/>
        <v/>
      </c>
      <c r="I41" s="35"/>
      <c r="J41" s="6" t="s">
        <v>15</v>
      </c>
      <c r="K41" s="37" t="str">
        <f t="shared" si="2"/>
        <v/>
      </c>
      <c r="L41" s="6" t="s">
        <v>6</v>
      </c>
      <c r="M41" s="27"/>
      <c r="N41" s="27"/>
    </row>
    <row r="42" spans="1:15" ht="18.75" customHeight="1" x14ac:dyDescent="0.15">
      <c r="A42" s="11">
        <v>39</v>
      </c>
      <c r="B42" s="2"/>
      <c r="C42" s="88"/>
      <c r="D42" s="93"/>
      <c r="E42" s="88"/>
      <c r="F42" s="89"/>
      <c r="G42" s="5"/>
      <c r="H42" s="5"/>
      <c r="I42" s="35"/>
      <c r="J42" s="6" t="s">
        <v>15</v>
      </c>
      <c r="K42" s="37"/>
      <c r="L42" s="6" t="s">
        <v>6</v>
      </c>
      <c r="M42" s="27"/>
      <c r="N42" s="27"/>
    </row>
    <row r="43" spans="1:15" ht="18.75" customHeight="1" thickBot="1" x14ac:dyDescent="0.2">
      <c r="A43" s="50">
        <v>40</v>
      </c>
      <c r="B43" s="51"/>
      <c r="C43" s="52"/>
      <c r="D43" s="94"/>
      <c r="E43" s="52"/>
      <c r="F43" s="53"/>
      <c r="G43" s="54"/>
      <c r="H43" s="54"/>
      <c r="I43" s="55"/>
      <c r="J43" s="56" t="s">
        <v>15</v>
      </c>
      <c r="K43" s="57"/>
      <c r="L43" s="56" t="s">
        <v>6</v>
      </c>
      <c r="M43" s="86" t="s">
        <v>21</v>
      </c>
      <c r="N43" s="86" t="s">
        <v>22</v>
      </c>
    </row>
    <row r="44" spans="1:15" ht="18.75" customHeight="1" thickTop="1" x14ac:dyDescent="0.15">
      <c r="B44" s="44"/>
      <c r="C44" s="44"/>
      <c r="D44" s="45"/>
      <c r="E44" s="44"/>
      <c r="F44" s="44" t="str">
        <f>IF(E44="","",E44-INT(E44/7)*7)</f>
        <v/>
      </c>
      <c r="G44" s="46"/>
      <c r="H44" s="46" t="str">
        <f>IF(G44="","",G44)</f>
        <v/>
      </c>
      <c r="I44" s="61">
        <f>SUM(I4:I43)</f>
        <v>0</v>
      </c>
      <c r="J44" s="8" t="s">
        <v>15</v>
      </c>
      <c r="K44" s="47">
        <f>SUM(K4:K43)</f>
        <v>0</v>
      </c>
      <c r="L44" s="8" t="s">
        <v>6</v>
      </c>
      <c r="M44" s="48">
        <f>SUM(K44)-N44</f>
        <v>0</v>
      </c>
      <c r="N44" s="72">
        <f>SUMIF(M4:M42,"",K4:K43)</f>
        <v>0</v>
      </c>
    </row>
    <row r="45" spans="1:15" ht="20.25" customHeight="1" x14ac:dyDescent="0.15">
      <c r="B45" s="95" t="s">
        <v>9</v>
      </c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</row>
    <row r="46" spans="1:15" ht="21" customHeight="1" x14ac:dyDescent="0.15">
      <c r="B46" s="96" t="s">
        <v>0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</row>
    <row r="47" spans="1:15" ht="27" customHeight="1" x14ac:dyDescent="0.15">
      <c r="A47" s="11"/>
      <c r="B47" s="29" t="s">
        <v>1</v>
      </c>
      <c r="C47" s="102" t="s">
        <v>2</v>
      </c>
      <c r="D47" s="103"/>
      <c r="E47" s="104" t="s">
        <v>3</v>
      </c>
      <c r="F47" s="105"/>
      <c r="G47" s="87" t="s">
        <v>4</v>
      </c>
      <c r="H47" s="87" t="s">
        <v>7</v>
      </c>
      <c r="I47" s="106" t="s">
        <v>8</v>
      </c>
      <c r="J47" s="107"/>
      <c r="K47" s="106" t="s">
        <v>5</v>
      </c>
      <c r="L47" s="106"/>
      <c r="M47" s="30" t="s">
        <v>10</v>
      </c>
      <c r="N47" s="31" t="s">
        <v>18</v>
      </c>
    </row>
    <row r="48" spans="1:15" ht="18.75" customHeight="1" x14ac:dyDescent="0.15">
      <c r="A48" s="11">
        <v>41</v>
      </c>
      <c r="B48" s="2"/>
      <c r="C48" s="88"/>
      <c r="D48" s="93"/>
      <c r="E48" s="88"/>
      <c r="F48" s="89" t="str">
        <f t="shared" ref="F48:F88" si="3">IF(E48="","",E48-INT(E48/7)*7)</f>
        <v/>
      </c>
      <c r="G48" s="5"/>
      <c r="H48" s="5" t="str">
        <f t="shared" ref="H48:H88" si="4">IF(G48="","",G48)</f>
        <v/>
      </c>
      <c r="I48" s="32"/>
      <c r="J48" s="6" t="s">
        <v>15</v>
      </c>
      <c r="K48" s="33" t="str">
        <f t="shared" ref="K48:K85" si="5">IF(I48&gt;0,I48*0.2,"")</f>
        <v/>
      </c>
      <c r="L48" s="6" t="s">
        <v>6</v>
      </c>
      <c r="M48" s="27"/>
      <c r="N48" s="34"/>
    </row>
    <row r="49" spans="1:14" ht="18.75" customHeight="1" x14ac:dyDescent="0.15">
      <c r="A49" s="11">
        <v>42</v>
      </c>
      <c r="B49" s="2"/>
      <c r="C49" s="88"/>
      <c r="D49" s="93"/>
      <c r="E49" s="7"/>
      <c r="F49" s="89" t="str">
        <f t="shared" si="3"/>
        <v/>
      </c>
      <c r="G49" s="5"/>
      <c r="H49" s="5" t="str">
        <f t="shared" si="4"/>
        <v/>
      </c>
      <c r="I49" s="35"/>
      <c r="J49" s="36" t="s">
        <v>15</v>
      </c>
      <c r="K49" s="37" t="str">
        <f t="shared" si="5"/>
        <v/>
      </c>
      <c r="L49" s="6" t="s">
        <v>6</v>
      </c>
      <c r="M49" s="27"/>
      <c r="N49" s="27"/>
    </row>
    <row r="50" spans="1:14" ht="18.75" customHeight="1" x14ac:dyDescent="0.15">
      <c r="A50" s="11">
        <v>43</v>
      </c>
      <c r="B50" s="2"/>
      <c r="C50" s="88"/>
      <c r="D50" s="93"/>
      <c r="E50" s="88"/>
      <c r="F50" s="89" t="str">
        <f t="shared" si="3"/>
        <v/>
      </c>
      <c r="G50" s="5"/>
      <c r="H50" s="5" t="str">
        <f t="shared" si="4"/>
        <v/>
      </c>
      <c r="I50" s="38"/>
      <c r="J50" s="8" t="s">
        <v>15</v>
      </c>
      <c r="K50" s="39" t="str">
        <f t="shared" si="5"/>
        <v/>
      </c>
      <c r="L50" s="9" t="s">
        <v>6</v>
      </c>
      <c r="M50" s="40"/>
      <c r="N50" s="27"/>
    </row>
    <row r="51" spans="1:14" ht="18.75" customHeight="1" x14ac:dyDescent="0.15">
      <c r="A51" s="11">
        <v>44</v>
      </c>
      <c r="B51" s="2"/>
      <c r="C51" s="88"/>
      <c r="D51" s="93"/>
      <c r="E51" s="88"/>
      <c r="F51" s="89" t="str">
        <f t="shared" si="3"/>
        <v/>
      </c>
      <c r="G51" s="5"/>
      <c r="H51" s="5" t="str">
        <f t="shared" si="4"/>
        <v/>
      </c>
      <c r="I51" s="35"/>
      <c r="J51" s="6" t="s">
        <v>15</v>
      </c>
      <c r="K51" s="33" t="str">
        <f t="shared" si="5"/>
        <v/>
      </c>
      <c r="L51" s="6" t="s">
        <v>6</v>
      </c>
      <c r="M51" s="27"/>
      <c r="N51" s="27"/>
    </row>
    <row r="52" spans="1:14" ht="18.75" customHeight="1" x14ac:dyDescent="0.15">
      <c r="A52" s="11">
        <v>45</v>
      </c>
      <c r="B52" s="2"/>
      <c r="C52" s="88"/>
      <c r="D52" s="93"/>
      <c r="E52" s="88"/>
      <c r="F52" s="89" t="str">
        <f t="shared" si="3"/>
        <v/>
      </c>
      <c r="G52" s="5"/>
      <c r="H52" s="5" t="str">
        <f t="shared" si="4"/>
        <v/>
      </c>
      <c r="I52" s="35"/>
      <c r="J52" s="6" t="s">
        <v>15</v>
      </c>
      <c r="K52" s="33" t="str">
        <f t="shared" si="5"/>
        <v/>
      </c>
      <c r="L52" s="6" t="s">
        <v>6</v>
      </c>
      <c r="M52" s="27"/>
      <c r="N52" s="27"/>
    </row>
    <row r="53" spans="1:14" ht="18.75" customHeight="1" x14ac:dyDescent="0.15">
      <c r="A53" s="11">
        <v>46</v>
      </c>
      <c r="B53" s="2"/>
      <c r="C53" s="88"/>
      <c r="D53" s="93"/>
      <c r="E53" s="88"/>
      <c r="F53" s="89" t="str">
        <f t="shared" si="3"/>
        <v/>
      </c>
      <c r="G53" s="5"/>
      <c r="H53" s="5" t="str">
        <f t="shared" si="4"/>
        <v/>
      </c>
      <c r="I53" s="35"/>
      <c r="J53" s="6" t="s">
        <v>15</v>
      </c>
      <c r="K53" s="33" t="str">
        <f t="shared" si="5"/>
        <v/>
      </c>
      <c r="L53" s="6" t="s">
        <v>6</v>
      </c>
      <c r="M53" s="27"/>
      <c r="N53" s="27"/>
    </row>
    <row r="54" spans="1:14" ht="18.75" customHeight="1" x14ac:dyDescent="0.15">
      <c r="A54" s="11">
        <v>47</v>
      </c>
      <c r="B54" s="2"/>
      <c r="C54" s="88"/>
      <c r="D54" s="93"/>
      <c r="E54" s="88"/>
      <c r="F54" s="89" t="str">
        <f t="shared" si="3"/>
        <v/>
      </c>
      <c r="G54" s="5"/>
      <c r="H54" s="5" t="str">
        <f t="shared" si="4"/>
        <v/>
      </c>
      <c r="I54" s="35"/>
      <c r="J54" s="6" t="s">
        <v>15</v>
      </c>
      <c r="K54" s="33" t="str">
        <f t="shared" si="5"/>
        <v/>
      </c>
      <c r="L54" s="6" t="s">
        <v>6</v>
      </c>
      <c r="M54" s="27"/>
      <c r="N54" s="27"/>
    </row>
    <row r="55" spans="1:14" ht="18.75" customHeight="1" x14ac:dyDescent="0.15">
      <c r="A55" s="11">
        <v>48</v>
      </c>
      <c r="B55" s="2"/>
      <c r="C55" s="88"/>
      <c r="D55" s="93"/>
      <c r="E55" s="88"/>
      <c r="F55" s="89" t="str">
        <f t="shared" si="3"/>
        <v/>
      </c>
      <c r="G55" s="5"/>
      <c r="H55" s="5" t="str">
        <f t="shared" si="4"/>
        <v/>
      </c>
      <c r="I55" s="41"/>
      <c r="J55" s="8" t="s">
        <v>15</v>
      </c>
      <c r="K55" s="33" t="str">
        <f t="shared" si="5"/>
        <v/>
      </c>
      <c r="L55" s="9" t="s">
        <v>6</v>
      </c>
      <c r="M55" s="27"/>
      <c r="N55" s="27"/>
    </row>
    <row r="56" spans="1:14" ht="18.75" customHeight="1" x14ac:dyDescent="0.15">
      <c r="A56" s="11">
        <v>49</v>
      </c>
      <c r="B56" s="2"/>
      <c r="C56" s="88"/>
      <c r="D56" s="93"/>
      <c r="E56" s="88"/>
      <c r="F56" s="89" t="str">
        <f t="shared" si="3"/>
        <v/>
      </c>
      <c r="G56" s="5"/>
      <c r="H56" s="5" t="str">
        <f t="shared" si="4"/>
        <v/>
      </c>
      <c r="I56" s="35"/>
      <c r="J56" s="6" t="s">
        <v>15</v>
      </c>
      <c r="K56" s="33" t="str">
        <f t="shared" si="5"/>
        <v/>
      </c>
      <c r="L56" s="6" t="s">
        <v>6</v>
      </c>
      <c r="M56" s="27"/>
      <c r="N56" s="27"/>
    </row>
    <row r="57" spans="1:14" ht="18.75" customHeight="1" x14ac:dyDescent="0.15">
      <c r="A57" s="11">
        <v>50</v>
      </c>
      <c r="B57" s="2"/>
      <c r="C57" s="88"/>
      <c r="D57" s="93"/>
      <c r="E57" s="88"/>
      <c r="F57" s="89" t="str">
        <f t="shared" si="3"/>
        <v/>
      </c>
      <c r="G57" s="5"/>
      <c r="H57" s="5" t="str">
        <f t="shared" si="4"/>
        <v/>
      </c>
      <c r="I57" s="41"/>
      <c r="J57" s="8" t="s">
        <v>15</v>
      </c>
      <c r="K57" s="33" t="str">
        <f t="shared" si="5"/>
        <v/>
      </c>
      <c r="L57" s="9" t="s">
        <v>6</v>
      </c>
      <c r="M57" s="27"/>
      <c r="N57" s="27"/>
    </row>
    <row r="58" spans="1:14" ht="18.75" customHeight="1" x14ac:dyDescent="0.15">
      <c r="A58" s="11">
        <v>51</v>
      </c>
      <c r="B58" s="2"/>
      <c r="C58" s="88"/>
      <c r="D58" s="93"/>
      <c r="E58" s="88"/>
      <c r="F58" s="89" t="str">
        <f t="shared" si="3"/>
        <v/>
      </c>
      <c r="G58" s="5"/>
      <c r="H58" s="5" t="str">
        <f t="shared" si="4"/>
        <v/>
      </c>
      <c r="I58" s="35"/>
      <c r="J58" s="6" t="s">
        <v>15</v>
      </c>
      <c r="K58" s="33" t="str">
        <f t="shared" si="5"/>
        <v/>
      </c>
      <c r="L58" s="6" t="s">
        <v>6</v>
      </c>
      <c r="M58" s="27"/>
      <c r="N58" s="27"/>
    </row>
    <row r="59" spans="1:14" ht="18.75" customHeight="1" x14ac:dyDescent="0.15">
      <c r="A59" s="11">
        <v>52</v>
      </c>
      <c r="B59" s="2"/>
      <c r="C59" s="88"/>
      <c r="D59" s="93"/>
      <c r="E59" s="88"/>
      <c r="F59" s="89" t="str">
        <f t="shared" si="3"/>
        <v/>
      </c>
      <c r="G59" s="5"/>
      <c r="H59" s="5" t="str">
        <f t="shared" si="4"/>
        <v/>
      </c>
      <c r="I59" s="42"/>
      <c r="J59" s="8" t="s">
        <v>15</v>
      </c>
      <c r="K59" s="33" t="str">
        <f t="shared" si="5"/>
        <v/>
      </c>
      <c r="L59" s="6" t="s">
        <v>6</v>
      </c>
      <c r="M59" s="27"/>
      <c r="N59" s="27"/>
    </row>
    <row r="60" spans="1:14" ht="18.75" customHeight="1" x14ac:dyDescent="0.15">
      <c r="A60" s="11">
        <v>53</v>
      </c>
      <c r="B60" s="2"/>
      <c r="C60" s="88"/>
      <c r="D60" s="93"/>
      <c r="E60" s="88"/>
      <c r="F60" s="89" t="str">
        <f t="shared" si="3"/>
        <v/>
      </c>
      <c r="G60" s="5"/>
      <c r="H60" s="5" t="str">
        <f t="shared" si="4"/>
        <v/>
      </c>
      <c r="I60" s="35"/>
      <c r="J60" s="6" t="s">
        <v>15</v>
      </c>
      <c r="K60" s="33" t="str">
        <f t="shared" si="5"/>
        <v/>
      </c>
      <c r="L60" s="6" t="s">
        <v>6</v>
      </c>
      <c r="M60" s="27"/>
      <c r="N60" s="27"/>
    </row>
    <row r="61" spans="1:14" ht="18.75" customHeight="1" x14ac:dyDescent="0.15">
      <c r="A61" s="11">
        <v>54</v>
      </c>
      <c r="B61" s="2"/>
      <c r="C61" s="88"/>
      <c r="D61" s="93"/>
      <c r="E61" s="88"/>
      <c r="F61" s="89" t="str">
        <f t="shared" si="3"/>
        <v/>
      </c>
      <c r="G61" s="5"/>
      <c r="H61" s="5" t="str">
        <f t="shared" si="4"/>
        <v/>
      </c>
      <c r="I61" s="35"/>
      <c r="J61" s="6" t="s">
        <v>15</v>
      </c>
      <c r="K61" s="33" t="str">
        <f t="shared" si="5"/>
        <v/>
      </c>
      <c r="L61" s="6" t="s">
        <v>6</v>
      </c>
      <c r="M61" s="27"/>
      <c r="N61" s="27"/>
    </row>
    <row r="62" spans="1:14" ht="18.75" customHeight="1" x14ac:dyDescent="0.15">
      <c r="A62" s="11">
        <v>55</v>
      </c>
      <c r="B62" s="2"/>
      <c r="C62" s="88"/>
      <c r="D62" s="93"/>
      <c r="E62" s="88"/>
      <c r="F62" s="89" t="str">
        <f t="shared" si="3"/>
        <v/>
      </c>
      <c r="G62" s="5"/>
      <c r="H62" s="5" t="str">
        <f t="shared" si="4"/>
        <v/>
      </c>
      <c r="I62" s="41"/>
      <c r="J62" s="6" t="s">
        <v>15</v>
      </c>
      <c r="K62" s="33" t="str">
        <f t="shared" si="5"/>
        <v/>
      </c>
      <c r="L62" s="9" t="s">
        <v>6</v>
      </c>
      <c r="M62" s="27"/>
      <c r="N62" s="27"/>
    </row>
    <row r="63" spans="1:14" ht="18.75" customHeight="1" x14ac:dyDescent="0.15">
      <c r="A63" s="11">
        <v>56</v>
      </c>
      <c r="B63" s="2"/>
      <c r="C63" s="88"/>
      <c r="D63" s="93"/>
      <c r="E63" s="88"/>
      <c r="F63" s="89" t="str">
        <f t="shared" si="3"/>
        <v/>
      </c>
      <c r="G63" s="5"/>
      <c r="H63" s="5" t="str">
        <f t="shared" si="4"/>
        <v/>
      </c>
      <c r="I63" s="35"/>
      <c r="J63" s="6" t="s">
        <v>15</v>
      </c>
      <c r="K63" s="33" t="str">
        <f t="shared" si="5"/>
        <v/>
      </c>
      <c r="L63" s="6" t="s">
        <v>6</v>
      </c>
      <c r="M63" s="27"/>
      <c r="N63" s="27"/>
    </row>
    <row r="64" spans="1:14" ht="18.75" customHeight="1" x14ac:dyDescent="0.15">
      <c r="A64" s="11">
        <v>57</v>
      </c>
      <c r="B64" s="2"/>
      <c r="C64" s="88"/>
      <c r="D64" s="93"/>
      <c r="E64" s="7"/>
      <c r="F64" s="89" t="str">
        <f t="shared" si="3"/>
        <v/>
      </c>
      <c r="G64" s="5"/>
      <c r="H64" s="5" t="str">
        <f t="shared" si="4"/>
        <v/>
      </c>
      <c r="I64" s="42"/>
      <c r="J64" s="8" t="s">
        <v>15</v>
      </c>
      <c r="K64" s="33" t="str">
        <f t="shared" si="5"/>
        <v/>
      </c>
      <c r="L64" s="6" t="s">
        <v>6</v>
      </c>
      <c r="M64" s="27"/>
      <c r="N64" s="34"/>
    </row>
    <row r="65" spans="1:14" ht="18.75" customHeight="1" x14ac:dyDescent="0.15">
      <c r="A65" s="11">
        <v>58</v>
      </c>
      <c r="B65" s="2"/>
      <c r="C65" s="88"/>
      <c r="D65" s="93"/>
      <c r="E65" s="88"/>
      <c r="F65" s="89" t="str">
        <f t="shared" si="3"/>
        <v/>
      </c>
      <c r="G65" s="5"/>
      <c r="H65" s="5" t="str">
        <f t="shared" si="4"/>
        <v/>
      </c>
      <c r="I65" s="35"/>
      <c r="J65" s="6" t="s">
        <v>15</v>
      </c>
      <c r="K65" s="33" t="str">
        <f t="shared" si="5"/>
        <v/>
      </c>
      <c r="L65" s="6" t="s">
        <v>6</v>
      </c>
      <c r="M65" s="27"/>
      <c r="N65" s="27"/>
    </row>
    <row r="66" spans="1:14" ht="18.75" customHeight="1" x14ac:dyDescent="0.15">
      <c r="A66" s="11">
        <v>59</v>
      </c>
      <c r="B66" s="2"/>
      <c r="C66" s="88"/>
      <c r="D66" s="93"/>
      <c r="E66" s="88"/>
      <c r="F66" s="89" t="str">
        <f t="shared" si="3"/>
        <v/>
      </c>
      <c r="G66" s="5"/>
      <c r="H66" s="5" t="str">
        <f t="shared" si="4"/>
        <v/>
      </c>
      <c r="I66" s="35"/>
      <c r="J66" s="6" t="s">
        <v>15</v>
      </c>
      <c r="K66" s="33" t="str">
        <f t="shared" si="5"/>
        <v/>
      </c>
      <c r="L66" s="6" t="s">
        <v>6</v>
      </c>
      <c r="M66" s="27"/>
      <c r="N66" s="27"/>
    </row>
    <row r="67" spans="1:14" ht="18.75" customHeight="1" x14ac:dyDescent="0.15">
      <c r="A67" s="11">
        <v>60</v>
      </c>
      <c r="B67" s="2"/>
      <c r="C67" s="88"/>
      <c r="D67" s="93"/>
      <c r="E67" s="88"/>
      <c r="F67" s="89" t="str">
        <f t="shared" si="3"/>
        <v/>
      </c>
      <c r="G67" s="5"/>
      <c r="H67" s="5" t="str">
        <f t="shared" si="4"/>
        <v/>
      </c>
      <c r="I67" s="35"/>
      <c r="J67" s="6" t="s">
        <v>11</v>
      </c>
      <c r="K67" s="33" t="str">
        <f t="shared" si="5"/>
        <v/>
      </c>
      <c r="L67" s="6" t="s">
        <v>6</v>
      </c>
      <c r="M67" s="27"/>
      <c r="N67" s="27"/>
    </row>
    <row r="68" spans="1:14" ht="18.75" customHeight="1" x14ac:dyDescent="0.15">
      <c r="A68" s="11">
        <v>61</v>
      </c>
      <c r="B68" s="2"/>
      <c r="C68" s="88"/>
      <c r="D68" s="93"/>
      <c r="E68" s="88"/>
      <c r="F68" s="89" t="str">
        <f t="shared" si="3"/>
        <v/>
      </c>
      <c r="G68" s="5"/>
      <c r="H68" s="5" t="str">
        <f t="shared" si="4"/>
        <v/>
      </c>
      <c r="I68" s="35"/>
      <c r="J68" s="8" t="s">
        <v>11</v>
      </c>
      <c r="K68" s="33" t="str">
        <f t="shared" si="5"/>
        <v/>
      </c>
      <c r="L68" s="6" t="s">
        <v>6</v>
      </c>
      <c r="M68" s="27"/>
      <c r="N68" s="27"/>
    </row>
    <row r="69" spans="1:14" ht="18.75" customHeight="1" x14ac:dyDescent="0.15">
      <c r="A69" s="11">
        <v>62</v>
      </c>
      <c r="B69" s="2"/>
      <c r="C69" s="88"/>
      <c r="D69" s="93"/>
      <c r="E69" s="88"/>
      <c r="F69" s="89" t="str">
        <f t="shared" si="3"/>
        <v/>
      </c>
      <c r="G69" s="5"/>
      <c r="H69" s="5" t="str">
        <f t="shared" si="4"/>
        <v/>
      </c>
      <c r="I69" s="41"/>
      <c r="J69" s="6" t="s">
        <v>11</v>
      </c>
      <c r="K69" s="33" t="str">
        <f t="shared" si="5"/>
        <v/>
      </c>
      <c r="L69" s="6" t="s">
        <v>6</v>
      </c>
      <c r="M69" s="27"/>
      <c r="N69" s="27"/>
    </row>
    <row r="70" spans="1:14" ht="18.75" customHeight="1" x14ac:dyDescent="0.15">
      <c r="A70" s="11">
        <v>63</v>
      </c>
      <c r="B70" s="2"/>
      <c r="C70" s="88"/>
      <c r="D70" s="93"/>
      <c r="E70" s="88"/>
      <c r="F70" s="89" t="str">
        <f t="shared" si="3"/>
        <v/>
      </c>
      <c r="G70" s="5"/>
      <c r="H70" s="5" t="str">
        <f t="shared" si="4"/>
        <v/>
      </c>
      <c r="I70" s="41"/>
      <c r="J70" s="6" t="s">
        <v>15</v>
      </c>
      <c r="K70" s="33" t="str">
        <f t="shared" si="5"/>
        <v/>
      </c>
      <c r="L70" s="6" t="s">
        <v>6</v>
      </c>
      <c r="M70" s="27"/>
      <c r="N70" s="27"/>
    </row>
    <row r="71" spans="1:14" ht="18.75" customHeight="1" x14ac:dyDescent="0.15">
      <c r="A71" s="11">
        <v>64</v>
      </c>
      <c r="B71" s="2"/>
      <c r="C71" s="88"/>
      <c r="D71" s="93"/>
      <c r="E71" s="88"/>
      <c r="F71" s="89" t="str">
        <f t="shared" si="3"/>
        <v/>
      </c>
      <c r="G71" s="5"/>
      <c r="H71" s="5" t="str">
        <f t="shared" si="4"/>
        <v/>
      </c>
      <c r="I71" s="35"/>
      <c r="J71" s="8" t="s">
        <v>15</v>
      </c>
      <c r="K71" s="33" t="str">
        <f t="shared" si="5"/>
        <v/>
      </c>
      <c r="L71" s="6" t="s">
        <v>6</v>
      </c>
      <c r="M71" s="27"/>
      <c r="N71" s="27"/>
    </row>
    <row r="72" spans="1:14" ht="18.75" customHeight="1" x14ac:dyDescent="0.15">
      <c r="A72" s="11">
        <v>65</v>
      </c>
      <c r="B72" s="2"/>
      <c r="C72" s="88"/>
      <c r="D72" s="93"/>
      <c r="E72" s="88"/>
      <c r="F72" s="89" t="str">
        <f t="shared" si="3"/>
        <v/>
      </c>
      <c r="G72" s="5"/>
      <c r="H72" s="5" t="str">
        <f t="shared" si="4"/>
        <v/>
      </c>
      <c r="I72" s="35"/>
      <c r="J72" s="6" t="s">
        <v>15</v>
      </c>
      <c r="K72" s="33" t="str">
        <f t="shared" si="5"/>
        <v/>
      </c>
      <c r="L72" s="6" t="s">
        <v>6</v>
      </c>
      <c r="M72" s="27"/>
      <c r="N72" s="27"/>
    </row>
    <row r="73" spans="1:14" ht="18.75" customHeight="1" x14ac:dyDescent="0.15">
      <c r="A73" s="11">
        <v>66</v>
      </c>
      <c r="B73" s="2"/>
      <c r="C73" s="88"/>
      <c r="D73" s="93"/>
      <c r="E73" s="88"/>
      <c r="F73" s="89" t="str">
        <f t="shared" si="3"/>
        <v/>
      </c>
      <c r="G73" s="5"/>
      <c r="H73" s="5" t="str">
        <f t="shared" si="4"/>
        <v/>
      </c>
      <c r="I73" s="35"/>
      <c r="J73" s="6" t="s">
        <v>15</v>
      </c>
      <c r="K73" s="33" t="str">
        <f t="shared" si="5"/>
        <v/>
      </c>
      <c r="L73" s="6" t="s">
        <v>6</v>
      </c>
      <c r="M73" s="27"/>
      <c r="N73" s="27"/>
    </row>
    <row r="74" spans="1:14" ht="18.75" customHeight="1" x14ac:dyDescent="0.15">
      <c r="A74" s="11">
        <v>67</v>
      </c>
      <c r="B74" s="2"/>
      <c r="C74" s="88"/>
      <c r="D74" s="93"/>
      <c r="E74" s="88"/>
      <c r="F74" s="89" t="str">
        <f t="shared" si="3"/>
        <v/>
      </c>
      <c r="G74" s="5"/>
      <c r="H74" s="5" t="str">
        <f t="shared" si="4"/>
        <v/>
      </c>
      <c r="I74" s="35"/>
      <c r="J74" s="8" t="s">
        <v>15</v>
      </c>
      <c r="K74" s="33" t="str">
        <f t="shared" si="5"/>
        <v/>
      </c>
      <c r="L74" s="6" t="s">
        <v>6</v>
      </c>
      <c r="M74" s="27"/>
      <c r="N74" s="27"/>
    </row>
    <row r="75" spans="1:14" ht="18.75" customHeight="1" x14ac:dyDescent="0.15">
      <c r="A75" s="11">
        <v>68</v>
      </c>
      <c r="B75" s="2"/>
      <c r="C75" s="88"/>
      <c r="D75" s="93"/>
      <c r="E75" s="7"/>
      <c r="F75" s="89" t="str">
        <f t="shared" si="3"/>
        <v/>
      </c>
      <c r="G75" s="5"/>
      <c r="H75" s="5" t="str">
        <f t="shared" si="4"/>
        <v/>
      </c>
      <c r="I75" s="41"/>
      <c r="J75" s="6" t="s">
        <v>15</v>
      </c>
      <c r="K75" s="33" t="str">
        <f t="shared" si="5"/>
        <v/>
      </c>
      <c r="L75" s="6" t="s">
        <v>6</v>
      </c>
      <c r="M75" s="27"/>
      <c r="N75" s="27"/>
    </row>
    <row r="76" spans="1:14" ht="18.75" customHeight="1" x14ac:dyDescent="0.15">
      <c r="A76" s="11">
        <v>69</v>
      </c>
      <c r="B76" s="2"/>
      <c r="C76" s="88"/>
      <c r="D76" s="93"/>
      <c r="E76" s="88"/>
      <c r="F76" s="89" t="str">
        <f t="shared" si="3"/>
        <v/>
      </c>
      <c r="G76" s="5"/>
      <c r="H76" s="5" t="str">
        <f t="shared" si="4"/>
        <v/>
      </c>
      <c r="I76" s="35"/>
      <c r="J76" s="6" t="s">
        <v>15</v>
      </c>
      <c r="K76" s="33" t="str">
        <f t="shared" si="5"/>
        <v/>
      </c>
      <c r="L76" s="6" t="s">
        <v>6</v>
      </c>
      <c r="M76" s="27"/>
      <c r="N76" s="27"/>
    </row>
    <row r="77" spans="1:14" ht="18.75" customHeight="1" x14ac:dyDescent="0.15">
      <c r="A77" s="11">
        <v>70</v>
      </c>
      <c r="B77" s="2"/>
      <c r="C77" s="88"/>
      <c r="D77" s="93"/>
      <c r="E77" s="88"/>
      <c r="F77" s="89" t="str">
        <f t="shared" si="3"/>
        <v/>
      </c>
      <c r="G77" s="5"/>
      <c r="H77" s="5" t="str">
        <f t="shared" si="4"/>
        <v/>
      </c>
      <c r="I77" s="35"/>
      <c r="J77" s="6" t="s">
        <v>15</v>
      </c>
      <c r="K77" s="33" t="str">
        <f t="shared" si="5"/>
        <v/>
      </c>
      <c r="L77" s="6" t="s">
        <v>6</v>
      </c>
      <c r="M77" s="27"/>
      <c r="N77" s="27"/>
    </row>
    <row r="78" spans="1:14" ht="18.75" customHeight="1" x14ac:dyDescent="0.15">
      <c r="A78" s="11">
        <v>71</v>
      </c>
      <c r="B78" s="2"/>
      <c r="C78" s="88"/>
      <c r="D78" s="93"/>
      <c r="E78" s="88"/>
      <c r="F78" s="89" t="str">
        <f t="shared" si="3"/>
        <v/>
      </c>
      <c r="G78" s="5"/>
      <c r="H78" s="5" t="str">
        <f t="shared" si="4"/>
        <v/>
      </c>
      <c r="I78" s="42"/>
      <c r="J78" s="6" t="s">
        <v>15</v>
      </c>
      <c r="K78" s="33" t="str">
        <f t="shared" si="5"/>
        <v/>
      </c>
      <c r="L78" s="6" t="s">
        <v>6</v>
      </c>
      <c r="M78" s="27"/>
      <c r="N78" s="27"/>
    </row>
    <row r="79" spans="1:14" ht="18.75" customHeight="1" x14ac:dyDescent="0.15">
      <c r="A79" s="11">
        <v>72</v>
      </c>
      <c r="B79" s="2"/>
      <c r="C79" s="88"/>
      <c r="D79" s="93"/>
      <c r="E79" s="7"/>
      <c r="F79" s="89" t="str">
        <f t="shared" si="3"/>
        <v/>
      </c>
      <c r="G79" s="5"/>
      <c r="H79" s="5" t="str">
        <f t="shared" si="4"/>
        <v/>
      </c>
      <c r="I79" s="35"/>
      <c r="J79" s="6" t="s">
        <v>15</v>
      </c>
      <c r="K79" s="33" t="str">
        <f t="shared" si="5"/>
        <v/>
      </c>
      <c r="L79" s="6" t="s">
        <v>6</v>
      </c>
      <c r="M79" s="27"/>
      <c r="N79" s="27"/>
    </row>
    <row r="80" spans="1:14" ht="18.75" customHeight="1" x14ac:dyDescent="0.15">
      <c r="A80" s="11">
        <v>73</v>
      </c>
      <c r="B80" s="2"/>
      <c r="C80" s="88"/>
      <c r="D80" s="93"/>
      <c r="E80" s="88"/>
      <c r="F80" s="89" t="str">
        <f t="shared" si="3"/>
        <v/>
      </c>
      <c r="G80" s="5"/>
      <c r="H80" s="5" t="str">
        <f t="shared" si="4"/>
        <v/>
      </c>
      <c r="I80" s="43"/>
      <c r="J80" s="6" t="s">
        <v>15</v>
      </c>
      <c r="K80" s="33" t="str">
        <f t="shared" si="5"/>
        <v/>
      </c>
      <c r="L80" s="6" t="s">
        <v>6</v>
      </c>
      <c r="M80" s="27"/>
      <c r="N80" s="27"/>
    </row>
    <row r="81" spans="1:14" ht="18.75" customHeight="1" x14ac:dyDescent="0.15">
      <c r="A81" s="11">
        <v>74</v>
      </c>
      <c r="B81" s="2"/>
      <c r="C81" s="88"/>
      <c r="D81" s="93"/>
      <c r="E81" s="88"/>
      <c r="F81" s="89" t="str">
        <f t="shared" si="3"/>
        <v/>
      </c>
      <c r="G81" s="5"/>
      <c r="H81" s="5" t="str">
        <f t="shared" si="4"/>
        <v/>
      </c>
      <c r="I81" s="35"/>
      <c r="J81" s="6" t="s">
        <v>15</v>
      </c>
      <c r="K81" s="33" t="str">
        <f t="shared" si="5"/>
        <v/>
      </c>
      <c r="L81" s="6" t="s">
        <v>6</v>
      </c>
      <c r="M81" s="27"/>
      <c r="N81" s="27"/>
    </row>
    <row r="82" spans="1:14" ht="18.75" customHeight="1" x14ac:dyDescent="0.15">
      <c r="A82" s="11">
        <v>75</v>
      </c>
      <c r="B82" s="2"/>
      <c r="C82" s="88"/>
      <c r="D82" s="93"/>
      <c r="E82" s="7"/>
      <c r="F82" s="89" t="str">
        <f t="shared" si="3"/>
        <v/>
      </c>
      <c r="G82" s="5"/>
      <c r="H82" s="5" t="str">
        <f t="shared" si="4"/>
        <v/>
      </c>
      <c r="I82" s="42"/>
      <c r="J82" s="6" t="s">
        <v>15</v>
      </c>
      <c r="K82" s="33" t="str">
        <f t="shared" si="5"/>
        <v/>
      </c>
      <c r="L82" s="6" t="s">
        <v>6</v>
      </c>
      <c r="M82" s="27"/>
      <c r="N82" s="27"/>
    </row>
    <row r="83" spans="1:14" ht="18.75" customHeight="1" x14ac:dyDescent="0.15">
      <c r="A83" s="11">
        <v>76</v>
      </c>
      <c r="B83" s="2"/>
      <c r="C83" s="88"/>
      <c r="D83" s="93"/>
      <c r="E83" s="88"/>
      <c r="F83" s="89" t="str">
        <f t="shared" si="3"/>
        <v/>
      </c>
      <c r="G83" s="5"/>
      <c r="H83" s="5" t="str">
        <f t="shared" si="4"/>
        <v/>
      </c>
      <c r="I83" s="35"/>
      <c r="J83" s="6" t="s">
        <v>15</v>
      </c>
      <c r="K83" s="33" t="str">
        <f t="shared" si="5"/>
        <v/>
      </c>
      <c r="L83" s="6" t="s">
        <v>6</v>
      </c>
      <c r="M83" s="27"/>
      <c r="N83" s="27"/>
    </row>
    <row r="84" spans="1:14" ht="18.75" customHeight="1" x14ac:dyDescent="0.15">
      <c r="A84" s="11">
        <v>77</v>
      </c>
      <c r="B84" s="2"/>
      <c r="C84" s="88"/>
      <c r="D84" s="93"/>
      <c r="E84" s="88"/>
      <c r="F84" s="89" t="str">
        <f t="shared" si="3"/>
        <v/>
      </c>
      <c r="G84" s="5"/>
      <c r="H84" s="5" t="str">
        <f t="shared" si="4"/>
        <v/>
      </c>
      <c r="I84" s="35"/>
      <c r="J84" s="6" t="s">
        <v>15</v>
      </c>
      <c r="K84" s="33" t="str">
        <f t="shared" si="5"/>
        <v/>
      </c>
      <c r="L84" s="6" t="s">
        <v>6</v>
      </c>
      <c r="M84" s="27"/>
      <c r="N84" s="27"/>
    </row>
    <row r="85" spans="1:14" ht="18.75" customHeight="1" x14ac:dyDescent="0.15">
      <c r="A85" s="11">
        <v>78</v>
      </c>
      <c r="B85" s="2"/>
      <c r="C85" s="88"/>
      <c r="D85" s="93"/>
      <c r="E85" s="88"/>
      <c r="F85" s="89" t="str">
        <f t="shared" si="3"/>
        <v/>
      </c>
      <c r="G85" s="5"/>
      <c r="H85" s="5" t="str">
        <f t="shared" si="4"/>
        <v/>
      </c>
      <c r="I85" s="35"/>
      <c r="J85" s="6" t="s">
        <v>15</v>
      </c>
      <c r="K85" s="37" t="str">
        <f t="shared" si="5"/>
        <v/>
      </c>
      <c r="L85" s="6" t="s">
        <v>6</v>
      </c>
      <c r="M85" s="27"/>
      <c r="N85" s="27"/>
    </row>
    <row r="86" spans="1:14" ht="18.75" customHeight="1" x14ac:dyDescent="0.15">
      <c r="A86" s="11">
        <v>79</v>
      </c>
      <c r="B86" s="2"/>
      <c r="C86" s="88"/>
      <c r="D86" s="93"/>
      <c r="E86" s="88"/>
      <c r="F86" s="89"/>
      <c r="G86" s="5"/>
      <c r="H86" s="5"/>
      <c r="I86" s="35"/>
      <c r="J86" s="6" t="s">
        <v>15</v>
      </c>
      <c r="K86" s="37"/>
      <c r="L86" s="6" t="s">
        <v>6</v>
      </c>
      <c r="M86" s="27"/>
      <c r="N86" s="27"/>
    </row>
    <row r="87" spans="1:14" ht="18.75" customHeight="1" x14ac:dyDescent="0.15">
      <c r="A87" s="11">
        <v>80</v>
      </c>
      <c r="B87" s="2"/>
      <c r="C87" s="88"/>
      <c r="D87" s="93"/>
      <c r="E87" s="88"/>
      <c r="F87" s="89" t="str">
        <f t="shared" si="3"/>
        <v/>
      </c>
      <c r="G87" s="5"/>
      <c r="H87" s="5" t="str">
        <f t="shared" si="4"/>
        <v/>
      </c>
      <c r="I87" s="35"/>
      <c r="J87" s="6" t="s">
        <v>15</v>
      </c>
      <c r="K87" s="37" t="str">
        <f>IF(I87&gt;0,I87*0.2,"")</f>
        <v/>
      </c>
      <c r="L87" s="6" t="s">
        <v>6</v>
      </c>
      <c r="M87" s="27"/>
      <c r="N87" s="27"/>
    </row>
    <row r="88" spans="1:14" ht="18.75" customHeight="1" x14ac:dyDescent="0.15">
      <c r="B88" s="44"/>
      <c r="C88" s="44"/>
      <c r="D88" s="45"/>
      <c r="E88" s="44"/>
      <c r="F88" s="44" t="str">
        <f t="shared" si="3"/>
        <v/>
      </c>
      <c r="G88" s="46"/>
      <c r="H88" s="46" t="str">
        <f t="shared" si="4"/>
        <v/>
      </c>
      <c r="I88" s="61">
        <f>SUM(I48:I87)+I44</f>
        <v>0</v>
      </c>
      <c r="J88" s="8" t="s">
        <v>15</v>
      </c>
      <c r="K88" s="47">
        <f>SUM(K48:K87)+K44</f>
        <v>0</v>
      </c>
      <c r="L88" s="8" t="s">
        <v>6</v>
      </c>
      <c r="M88" s="48"/>
      <c r="N88" s="48"/>
    </row>
  </sheetData>
  <mergeCells count="12">
    <mergeCell ref="B1:M1"/>
    <mergeCell ref="B2:M2"/>
    <mergeCell ref="C3:D3"/>
    <mergeCell ref="E3:F3"/>
    <mergeCell ref="I3:J3"/>
    <mergeCell ref="K3:L3"/>
    <mergeCell ref="B45:M45"/>
    <mergeCell ref="B46:M46"/>
    <mergeCell ref="C47:D47"/>
    <mergeCell ref="E47:F47"/>
    <mergeCell ref="I47:J47"/>
    <mergeCell ref="K47:L47"/>
  </mergeCells>
  <phoneticPr fontId="2"/>
  <dataValidations count="6">
    <dataValidation imeMode="on" allowBlank="1" showInputMessage="1" showErrorMessage="1" sqref="B44:C44 B88:C88" xr:uid="{4EB1C9EF-0328-422B-A70D-CCFE01F36406}"/>
    <dataValidation imeMode="disabled" allowBlank="1" showInputMessage="1" showErrorMessage="1" sqref="G4:G40 N21:N42 H4:M42 N49:N63 N5:N19 G48:G84 E48:E88 N65:N88 H48:M88 E4:E44 M44:N44 H43:L44" xr:uid="{94767BF1-81A2-44B0-87D3-774C2D638892}"/>
    <dataValidation type="list" imeMode="on" allowBlank="1" showInputMessage="1" prompt="なければ直接入力" sqref="D44 D88" xr:uid="{473CAD1B-2062-4F84-9362-BD8CF5A4D997}">
      <formula1>"利尻島国保中央病院,福士水産㈱,高橋水産㈱"</formula1>
    </dataValidation>
    <dataValidation imeMode="disabled" allowBlank="1" showInputMessage="1" sqref="G85:G88 G41:G44" xr:uid="{7AC7A6E4-51B3-43AC-BD2B-C629DC0CCF99}"/>
    <dataValidation type="list" imeMode="on" allowBlank="1" showInputMessage="1" showErrorMessage="1" sqref="B4:C43 B48:C87" xr:uid="{41C580E3-9121-4489-8ABE-4E8827AAC286}">
      <formula1>"水産系燃え殻,医療系燃え殻"</formula1>
    </dataValidation>
    <dataValidation type="list" imeMode="on" allowBlank="1" showInputMessage="1" prompt="なければ直接入力" sqref="D4:D43 D48:D87" xr:uid="{CE3E4803-8AB4-4390-9476-EAF9024DCC86}">
      <formula1>"利尻島国保中央病院,道立鬼脇診療所,カムイウィスキー,福士水産㈱,糀谷商店,米田商店"</formula1>
    </dataValidation>
  </dataValidations>
  <printOptions horizontalCentered="1" verticalCentered="1"/>
  <pageMargins left="0.59055118110236227" right="0.59055118110236227" top="0.59055118110236227" bottom="0.59055118110236227" header="0" footer="0"/>
  <pageSetup paperSize="9" orientation="portrait" horizontalDpi="4294967293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892BD-DCAD-4C92-B4A8-9BCC4B3005C7}">
  <dimension ref="A1:O88"/>
  <sheetViews>
    <sheetView workbookViewId="0">
      <selection sqref="A1:XFD1048576"/>
    </sheetView>
  </sheetViews>
  <sheetFormatPr defaultRowHeight="13.5" x14ac:dyDescent="0.15"/>
  <cols>
    <col min="1" max="1" width="3.375" style="12" customWidth="1"/>
    <col min="2" max="2" width="12.25" style="10" customWidth="1"/>
    <col min="3" max="3" width="1" style="10" customWidth="1"/>
    <col min="4" max="4" width="17.625" style="12" customWidth="1"/>
    <col min="5" max="5" width="10.625" style="10" customWidth="1"/>
    <col min="6" max="6" width="2.125" style="10" customWidth="1"/>
    <col min="7" max="8" width="8.125" style="10" customWidth="1"/>
    <col min="9" max="9" width="6" style="13" customWidth="1"/>
    <col min="10" max="10" width="2.375" style="10" customWidth="1"/>
    <col min="11" max="11" width="5.5" style="10" customWidth="1"/>
    <col min="12" max="12" width="2.25" style="10" customWidth="1"/>
    <col min="13" max="13" width="6.25" style="49" customWidth="1"/>
    <col min="14" max="14" width="6.25" style="10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 x14ac:dyDescent="0.15">
      <c r="B1" s="95" t="s">
        <v>9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5" ht="21" customHeight="1" x14ac:dyDescent="0.15"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spans="1:15" ht="27" customHeight="1" x14ac:dyDescent="0.15">
      <c r="A3" s="11"/>
      <c r="B3" s="29" t="s">
        <v>1</v>
      </c>
      <c r="C3" s="102" t="s">
        <v>2</v>
      </c>
      <c r="D3" s="103"/>
      <c r="E3" s="104" t="s">
        <v>3</v>
      </c>
      <c r="F3" s="105"/>
      <c r="G3" s="87" t="s">
        <v>4</v>
      </c>
      <c r="H3" s="87" t="s">
        <v>7</v>
      </c>
      <c r="I3" s="106" t="s">
        <v>8</v>
      </c>
      <c r="J3" s="107"/>
      <c r="K3" s="106" t="s">
        <v>5</v>
      </c>
      <c r="L3" s="106"/>
      <c r="M3" s="30" t="s">
        <v>10</v>
      </c>
      <c r="N3" s="31" t="s">
        <v>18</v>
      </c>
    </row>
    <row r="4" spans="1:15" ht="18.75" customHeight="1" x14ac:dyDescent="0.15">
      <c r="A4" s="11">
        <v>1</v>
      </c>
      <c r="B4" s="2"/>
      <c r="C4" s="88"/>
      <c r="D4" s="93"/>
      <c r="E4" s="88"/>
      <c r="F4" s="89" t="str">
        <f t="shared" ref="F4:F41" si="0">IF(E4="","",E4-INT(E4/7)*7)</f>
        <v/>
      </c>
      <c r="G4" s="5"/>
      <c r="H4" s="5" t="str">
        <f t="shared" ref="H4:H41" si="1">IF(G4="","",G4)</f>
        <v/>
      </c>
      <c r="I4" s="32"/>
      <c r="J4" s="6" t="s">
        <v>15</v>
      </c>
      <c r="K4" s="33" t="str">
        <f t="shared" ref="K4:K41" si="2">IF(I4&gt;0,I4*0.2,"")</f>
        <v/>
      </c>
      <c r="L4" s="6" t="s">
        <v>6</v>
      </c>
      <c r="M4" s="27"/>
      <c r="N4" s="34"/>
    </row>
    <row r="5" spans="1:15" ht="18.75" customHeight="1" x14ac:dyDescent="0.15">
      <c r="A5" s="11">
        <v>2</v>
      </c>
      <c r="B5" s="2"/>
      <c r="C5" s="88"/>
      <c r="D5" s="93"/>
      <c r="E5" s="7"/>
      <c r="F5" s="89" t="str">
        <f t="shared" si="0"/>
        <v/>
      </c>
      <c r="G5" s="5"/>
      <c r="H5" s="5" t="str">
        <f t="shared" si="1"/>
        <v/>
      </c>
      <c r="I5" s="35"/>
      <c r="J5" s="36" t="s">
        <v>15</v>
      </c>
      <c r="K5" s="37" t="str">
        <f t="shared" si="2"/>
        <v/>
      </c>
      <c r="L5" s="6" t="s">
        <v>6</v>
      </c>
      <c r="M5" s="27"/>
      <c r="N5" s="27"/>
    </row>
    <row r="6" spans="1:15" ht="18.75" customHeight="1" x14ac:dyDescent="0.15">
      <c r="A6" s="11">
        <v>3</v>
      </c>
      <c r="B6" s="2"/>
      <c r="C6" s="88"/>
      <c r="D6" s="93"/>
      <c r="E6" s="88"/>
      <c r="F6" s="89" t="str">
        <f t="shared" si="0"/>
        <v/>
      </c>
      <c r="G6" s="5"/>
      <c r="H6" s="5" t="str">
        <f t="shared" si="1"/>
        <v/>
      </c>
      <c r="I6" s="38"/>
      <c r="J6" s="8" t="s">
        <v>15</v>
      </c>
      <c r="K6" s="39" t="str">
        <f t="shared" si="2"/>
        <v/>
      </c>
      <c r="L6" s="9" t="s">
        <v>6</v>
      </c>
      <c r="M6" s="40"/>
      <c r="N6" s="27"/>
    </row>
    <row r="7" spans="1:15" ht="18.75" customHeight="1" x14ac:dyDescent="0.15">
      <c r="A7" s="11">
        <v>4</v>
      </c>
      <c r="B7" s="2"/>
      <c r="C7" s="88"/>
      <c r="D7" s="93"/>
      <c r="E7" s="88"/>
      <c r="F7" s="89" t="str">
        <f t="shared" si="0"/>
        <v/>
      </c>
      <c r="G7" s="5"/>
      <c r="H7" s="5" t="str">
        <f t="shared" si="1"/>
        <v/>
      </c>
      <c r="I7" s="35"/>
      <c r="J7" s="6" t="s">
        <v>15</v>
      </c>
      <c r="K7" s="33" t="str">
        <f t="shared" si="2"/>
        <v/>
      </c>
      <c r="L7" s="6" t="s">
        <v>6</v>
      </c>
      <c r="M7" s="27"/>
      <c r="N7" s="27"/>
    </row>
    <row r="8" spans="1:15" ht="18.75" customHeight="1" x14ac:dyDescent="0.15">
      <c r="A8" s="11">
        <v>5</v>
      </c>
      <c r="B8" s="2"/>
      <c r="C8" s="88"/>
      <c r="D8" s="93"/>
      <c r="E8" s="88"/>
      <c r="F8" s="89" t="str">
        <f t="shared" si="0"/>
        <v/>
      </c>
      <c r="G8" s="5"/>
      <c r="H8" s="5" t="str">
        <f t="shared" si="1"/>
        <v/>
      </c>
      <c r="I8" s="35"/>
      <c r="J8" s="6" t="s">
        <v>15</v>
      </c>
      <c r="K8" s="33" t="str">
        <f t="shared" si="2"/>
        <v/>
      </c>
      <c r="L8" s="6" t="s">
        <v>6</v>
      </c>
      <c r="M8" s="27"/>
      <c r="N8" s="27"/>
    </row>
    <row r="9" spans="1:15" ht="18.75" customHeight="1" x14ac:dyDescent="0.15">
      <c r="A9" s="11">
        <v>6</v>
      </c>
      <c r="B9" s="2"/>
      <c r="C9" s="88"/>
      <c r="D9" s="93"/>
      <c r="E9" s="88"/>
      <c r="F9" s="89" t="str">
        <f t="shared" si="0"/>
        <v/>
      </c>
      <c r="G9" s="5"/>
      <c r="H9" s="5" t="str">
        <f t="shared" si="1"/>
        <v/>
      </c>
      <c r="I9" s="35"/>
      <c r="J9" s="6" t="s">
        <v>15</v>
      </c>
      <c r="K9" s="33" t="str">
        <f t="shared" si="2"/>
        <v/>
      </c>
      <c r="L9" s="6" t="s">
        <v>6</v>
      </c>
      <c r="M9" s="27"/>
      <c r="N9" s="27"/>
    </row>
    <row r="10" spans="1:15" ht="18.75" customHeight="1" x14ac:dyDescent="0.15">
      <c r="A10" s="11">
        <v>7</v>
      </c>
      <c r="B10" s="2"/>
      <c r="C10" s="88"/>
      <c r="D10" s="93"/>
      <c r="E10" s="88"/>
      <c r="F10" s="89" t="str">
        <f t="shared" si="0"/>
        <v/>
      </c>
      <c r="G10" s="5"/>
      <c r="H10" s="5" t="str">
        <f t="shared" si="1"/>
        <v/>
      </c>
      <c r="I10" s="35"/>
      <c r="J10" s="6" t="s">
        <v>15</v>
      </c>
      <c r="K10" s="33" t="str">
        <f t="shared" si="2"/>
        <v/>
      </c>
      <c r="L10" s="6" t="s">
        <v>6</v>
      </c>
      <c r="M10" s="27"/>
      <c r="N10" s="27"/>
    </row>
    <row r="11" spans="1:15" ht="18.75" customHeight="1" x14ac:dyDescent="0.15">
      <c r="A11" s="11">
        <v>8</v>
      </c>
      <c r="B11" s="2"/>
      <c r="C11" s="88"/>
      <c r="D11" s="93"/>
      <c r="E11" s="88"/>
      <c r="F11" s="89" t="str">
        <f t="shared" si="0"/>
        <v/>
      </c>
      <c r="G11" s="5"/>
      <c r="H11" s="5" t="str">
        <f t="shared" si="1"/>
        <v/>
      </c>
      <c r="I11" s="41"/>
      <c r="J11" s="8" t="s">
        <v>15</v>
      </c>
      <c r="K11" s="33" t="str">
        <f t="shared" si="2"/>
        <v/>
      </c>
      <c r="L11" s="9" t="s">
        <v>6</v>
      </c>
      <c r="M11" s="27"/>
      <c r="N11" s="27"/>
    </row>
    <row r="12" spans="1:15" ht="18.75" customHeight="1" x14ac:dyDescent="0.15">
      <c r="A12" s="11">
        <v>9</v>
      </c>
      <c r="B12" s="2"/>
      <c r="C12" s="88"/>
      <c r="D12" s="93"/>
      <c r="E12" s="88"/>
      <c r="F12" s="89" t="str">
        <f t="shared" si="0"/>
        <v/>
      </c>
      <c r="G12" s="5"/>
      <c r="H12" s="5" t="str">
        <f t="shared" si="1"/>
        <v/>
      </c>
      <c r="I12" s="35"/>
      <c r="J12" s="6" t="s">
        <v>15</v>
      </c>
      <c r="K12" s="33" t="str">
        <f t="shared" si="2"/>
        <v/>
      </c>
      <c r="L12" s="6" t="s">
        <v>6</v>
      </c>
      <c r="M12" s="27"/>
      <c r="N12" s="27"/>
    </row>
    <row r="13" spans="1:15" ht="18.75" customHeight="1" x14ac:dyDescent="0.15">
      <c r="A13" s="11">
        <v>10</v>
      </c>
      <c r="B13" s="2"/>
      <c r="C13" s="88"/>
      <c r="D13" s="93"/>
      <c r="E13" s="88"/>
      <c r="F13" s="89" t="str">
        <f t="shared" si="0"/>
        <v/>
      </c>
      <c r="G13" s="5"/>
      <c r="H13" s="5" t="str">
        <f t="shared" si="1"/>
        <v/>
      </c>
      <c r="I13" s="41"/>
      <c r="J13" s="8" t="s">
        <v>15</v>
      </c>
      <c r="K13" s="33" t="str">
        <f t="shared" si="2"/>
        <v/>
      </c>
      <c r="L13" s="9" t="s">
        <v>6</v>
      </c>
      <c r="M13" s="27"/>
      <c r="N13" s="27"/>
    </row>
    <row r="14" spans="1:15" ht="18.75" customHeight="1" x14ac:dyDescent="0.15">
      <c r="A14" s="11">
        <v>11</v>
      </c>
      <c r="B14" s="2"/>
      <c r="C14" s="88"/>
      <c r="D14" s="93"/>
      <c r="E14" s="88"/>
      <c r="F14" s="89" t="str">
        <f t="shared" si="0"/>
        <v/>
      </c>
      <c r="G14" s="5"/>
      <c r="H14" s="5" t="str">
        <f t="shared" si="1"/>
        <v/>
      </c>
      <c r="I14" s="35"/>
      <c r="J14" s="6" t="s">
        <v>15</v>
      </c>
      <c r="K14" s="33" t="str">
        <f t="shared" si="2"/>
        <v/>
      </c>
      <c r="L14" s="6" t="s">
        <v>6</v>
      </c>
      <c r="M14" s="27"/>
      <c r="N14" s="27"/>
      <c r="O14" s="59"/>
    </row>
    <row r="15" spans="1:15" ht="18.75" customHeight="1" x14ac:dyDescent="0.15">
      <c r="A15" s="11">
        <v>12</v>
      </c>
      <c r="B15" s="2"/>
      <c r="C15" s="88"/>
      <c r="D15" s="93"/>
      <c r="E15" s="88"/>
      <c r="F15" s="89" t="str">
        <f t="shared" si="0"/>
        <v/>
      </c>
      <c r="G15" s="5"/>
      <c r="H15" s="5" t="str">
        <f t="shared" si="1"/>
        <v/>
      </c>
      <c r="I15" s="42"/>
      <c r="J15" s="8" t="s">
        <v>15</v>
      </c>
      <c r="K15" s="33" t="str">
        <f t="shared" si="2"/>
        <v/>
      </c>
      <c r="L15" s="6" t="s">
        <v>6</v>
      </c>
      <c r="M15" s="27"/>
      <c r="N15" s="27"/>
    </row>
    <row r="16" spans="1:15" ht="18.75" customHeight="1" x14ac:dyDescent="0.15">
      <c r="A16" s="11">
        <v>13</v>
      </c>
      <c r="B16" s="2"/>
      <c r="C16" s="88"/>
      <c r="D16" s="93"/>
      <c r="E16" s="88"/>
      <c r="F16" s="89" t="str">
        <f t="shared" si="0"/>
        <v/>
      </c>
      <c r="G16" s="5"/>
      <c r="H16" s="5" t="str">
        <f t="shared" si="1"/>
        <v/>
      </c>
      <c r="I16" s="35"/>
      <c r="J16" s="6" t="s">
        <v>15</v>
      </c>
      <c r="K16" s="33" t="str">
        <f t="shared" si="2"/>
        <v/>
      </c>
      <c r="L16" s="6" t="s">
        <v>6</v>
      </c>
      <c r="M16" s="27"/>
      <c r="N16" s="27"/>
    </row>
    <row r="17" spans="1:15" ht="18.75" customHeight="1" x14ac:dyDescent="0.15">
      <c r="A17" s="11">
        <v>14</v>
      </c>
      <c r="B17" s="2"/>
      <c r="C17" s="88"/>
      <c r="D17" s="93"/>
      <c r="E17" s="88"/>
      <c r="F17" s="89" t="str">
        <f t="shared" si="0"/>
        <v/>
      </c>
      <c r="G17" s="5"/>
      <c r="H17" s="5" t="str">
        <f t="shared" si="1"/>
        <v/>
      </c>
      <c r="I17" s="35"/>
      <c r="J17" s="6" t="s">
        <v>15</v>
      </c>
      <c r="K17" s="33" t="str">
        <f t="shared" si="2"/>
        <v/>
      </c>
      <c r="L17" s="6" t="s">
        <v>6</v>
      </c>
      <c r="M17" s="27"/>
      <c r="N17" s="27"/>
    </row>
    <row r="18" spans="1:15" ht="18.75" customHeight="1" x14ac:dyDescent="0.15">
      <c r="A18" s="11">
        <v>15</v>
      </c>
      <c r="B18" s="2"/>
      <c r="C18" s="88"/>
      <c r="D18" s="93"/>
      <c r="E18" s="88"/>
      <c r="F18" s="89" t="str">
        <f t="shared" si="0"/>
        <v/>
      </c>
      <c r="G18" s="5"/>
      <c r="H18" s="5" t="str">
        <f t="shared" si="1"/>
        <v/>
      </c>
      <c r="I18" s="41"/>
      <c r="J18" s="6" t="s">
        <v>15</v>
      </c>
      <c r="K18" s="33" t="str">
        <f t="shared" si="2"/>
        <v/>
      </c>
      <c r="L18" s="9" t="s">
        <v>6</v>
      </c>
      <c r="M18" s="27"/>
      <c r="N18" s="27"/>
    </row>
    <row r="19" spans="1:15" ht="18.75" customHeight="1" x14ac:dyDescent="0.15">
      <c r="A19" s="11">
        <v>16</v>
      </c>
      <c r="B19" s="2"/>
      <c r="C19" s="88"/>
      <c r="D19" s="93"/>
      <c r="E19" s="88"/>
      <c r="F19" s="89" t="str">
        <f t="shared" si="0"/>
        <v/>
      </c>
      <c r="G19" s="5"/>
      <c r="H19" s="5" t="str">
        <f t="shared" si="1"/>
        <v/>
      </c>
      <c r="I19" s="35"/>
      <c r="J19" s="6" t="s">
        <v>15</v>
      </c>
      <c r="K19" s="33" t="str">
        <f t="shared" si="2"/>
        <v/>
      </c>
      <c r="L19" s="6" t="s">
        <v>6</v>
      </c>
      <c r="M19" s="27"/>
      <c r="N19" s="27"/>
    </row>
    <row r="20" spans="1:15" ht="18.75" customHeight="1" x14ac:dyDescent="0.15">
      <c r="A20" s="11">
        <v>17</v>
      </c>
      <c r="B20" s="2"/>
      <c r="C20" s="88"/>
      <c r="D20" s="93"/>
      <c r="E20" s="7"/>
      <c r="F20" s="89" t="str">
        <f t="shared" si="0"/>
        <v/>
      </c>
      <c r="G20" s="5"/>
      <c r="H20" s="5" t="str">
        <f t="shared" si="1"/>
        <v/>
      </c>
      <c r="I20" s="42"/>
      <c r="J20" s="8" t="s">
        <v>15</v>
      </c>
      <c r="K20" s="33" t="str">
        <f t="shared" si="2"/>
        <v/>
      </c>
      <c r="L20" s="6" t="s">
        <v>6</v>
      </c>
      <c r="M20" s="27"/>
      <c r="N20" s="34"/>
    </row>
    <row r="21" spans="1:15" ht="18.75" customHeight="1" x14ac:dyDescent="0.15">
      <c r="A21" s="11">
        <v>18</v>
      </c>
      <c r="B21" s="2"/>
      <c r="C21" s="88"/>
      <c r="D21" s="93"/>
      <c r="E21" s="88"/>
      <c r="F21" s="89" t="str">
        <f t="shared" si="0"/>
        <v/>
      </c>
      <c r="G21" s="5"/>
      <c r="H21" s="5" t="str">
        <f t="shared" si="1"/>
        <v/>
      </c>
      <c r="I21" s="35"/>
      <c r="J21" s="6" t="s">
        <v>15</v>
      </c>
      <c r="K21" s="33" t="str">
        <f t="shared" si="2"/>
        <v/>
      </c>
      <c r="L21" s="6" t="s">
        <v>6</v>
      </c>
      <c r="M21" s="27"/>
      <c r="N21" s="27"/>
    </row>
    <row r="22" spans="1:15" ht="18.75" customHeight="1" x14ac:dyDescent="0.15">
      <c r="A22" s="11">
        <v>19</v>
      </c>
      <c r="B22" s="2"/>
      <c r="C22" s="88"/>
      <c r="D22" s="93"/>
      <c r="E22" s="88"/>
      <c r="F22" s="89" t="str">
        <f t="shared" si="0"/>
        <v/>
      </c>
      <c r="G22" s="5"/>
      <c r="H22" s="5" t="str">
        <f t="shared" si="1"/>
        <v/>
      </c>
      <c r="I22" s="35"/>
      <c r="J22" s="6" t="s">
        <v>15</v>
      </c>
      <c r="K22" s="33" t="str">
        <f t="shared" si="2"/>
        <v/>
      </c>
      <c r="L22" s="6" t="s">
        <v>6</v>
      </c>
      <c r="M22" s="27"/>
      <c r="N22" s="27"/>
    </row>
    <row r="23" spans="1:15" ht="18.75" customHeight="1" x14ac:dyDescent="0.15">
      <c r="A23" s="11">
        <v>20</v>
      </c>
      <c r="B23" s="2"/>
      <c r="C23" s="88"/>
      <c r="D23" s="93"/>
      <c r="E23" s="88"/>
      <c r="F23" s="89" t="str">
        <f t="shared" si="0"/>
        <v/>
      </c>
      <c r="G23" s="5"/>
      <c r="H23" s="5" t="str">
        <f t="shared" si="1"/>
        <v/>
      </c>
      <c r="I23" s="35"/>
      <c r="J23" s="6" t="s">
        <v>11</v>
      </c>
      <c r="K23" s="33" t="str">
        <f t="shared" si="2"/>
        <v/>
      </c>
      <c r="L23" s="6" t="s">
        <v>6</v>
      </c>
      <c r="M23" s="27"/>
      <c r="N23" s="27"/>
    </row>
    <row r="24" spans="1:15" ht="18.75" customHeight="1" x14ac:dyDescent="0.15">
      <c r="A24" s="11">
        <v>21</v>
      </c>
      <c r="B24" s="2"/>
      <c r="C24" s="88"/>
      <c r="D24" s="93"/>
      <c r="E24" s="88"/>
      <c r="F24" s="89" t="str">
        <f t="shared" si="0"/>
        <v/>
      </c>
      <c r="G24" s="5"/>
      <c r="H24" s="5" t="str">
        <f t="shared" si="1"/>
        <v/>
      </c>
      <c r="I24" s="35"/>
      <c r="J24" s="8" t="s">
        <v>11</v>
      </c>
      <c r="K24" s="33" t="str">
        <f t="shared" si="2"/>
        <v/>
      </c>
      <c r="L24" s="6" t="s">
        <v>6</v>
      </c>
      <c r="M24" s="27"/>
      <c r="N24" s="27"/>
    </row>
    <row r="25" spans="1:15" ht="18.75" customHeight="1" x14ac:dyDescent="0.15">
      <c r="A25" s="11">
        <v>22</v>
      </c>
      <c r="B25" s="2"/>
      <c r="C25" s="88"/>
      <c r="D25" s="93"/>
      <c r="E25" s="88"/>
      <c r="F25" s="89" t="str">
        <f t="shared" si="0"/>
        <v/>
      </c>
      <c r="G25" s="5"/>
      <c r="H25" s="5" t="str">
        <f t="shared" si="1"/>
        <v/>
      </c>
      <c r="I25" s="41"/>
      <c r="J25" s="6" t="s">
        <v>11</v>
      </c>
      <c r="K25" s="33" t="str">
        <f t="shared" si="2"/>
        <v/>
      </c>
      <c r="L25" s="6" t="s">
        <v>6</v>
      </c>
      <c r="M25" s="27"/>
      <c r="N25" s="27"/>
    </row>
    <row r="26" spans="1:15" ht="18.75" customHeight="1" x14ac:dyDescent="0.15">
      <c r="A26" s="11">
        <v>23</v>
      </c>
      <c r="B26" s="2"/>
      <c r="C26" s="88"/>
      <c r="D26" s="93"/>
      <c r="E26" s="88"/>
      <c r="F26" s="89" t="str">
        <f t="shared" si="0"/>
        <v/>
      </c>
      <c r="G26" s="5"/>
      <c r="H26" s="5" t="str">
        <f t="shared" si="1"/>
        <v/>
      </c>
      <c r="I26" s="41"/>
      <c r="J26" s="6" t="s">
        <v>15</v>
      </c>
      <c r="K26" s="33" t="str">
        <f t="shared" si="2"/>
        <v/>
      </c>
      <c r="L26" s="6" t="s">
        <v>6</v>
      </c>
      <c r="M26" s="27"/>
      <c r="N26" s="27"/>
    </row>
    <row r="27" spans="1:15" ht="18.75" customHeight="1" x14ac:dyDescent="0.15">
      <c r="A27" s="11">
        <v>24</v>
      </c>
      <c r="B27" s="2"/>
      <c r="C27" s="88"/>
      <c r="D27" s="93"/>
      <c r="E27" s="88"/>
      <c r="F27" s="89" t="str">
        <f t="shared" si="0"/>
        <v/>
      </c>
      <c r="G27" s="5"/>
      <c r="H27" s="5" t="str">
        <f t="shared" si="1"/>
        <v/>
      </c>
      <c r="I27" s="35"/>
      <c r="J27" s="8" t="s">
        <v>15</v>
      </c>
      <c r="K27" s="33" t="str">
        <f t="shared" si="2"/>
        <v/>
      </c>
      <c r="L27" s="6" t="s">
        <v>6</v>
      </c>
      <c r="M27" s="27"/>
      <c r="N27" s="27"/>
      <c r="O27" s="59"/>
    </row>
    <row r="28" spans="1:15" ht="18.75" customHeight="1" x14ac:dyDescent="0.15">
      <c r="A28" s="11">
        <v>25</v>
      </c>
      <c r="B28" s="2"/>
      <c r="C28" s="88"/>
      <c r="D28" s="93"/>
      <c r="E28" s="88"/>
      <c r="F28" s="89" t="str">
        <f t="shared" si="0"/>
        <v/>
      </c>
      <c r="G28" s="5"/>
      <c r="H28" s="5" t="str">
        <f t="shared" si="1"/>
        <v/>
      </c>
      <c r="I28" s="35"/>
      <c r="J28" s="6" t="s">
        <v>15</v>
      </c>
      <c r="K28" s="33" t="str">
        <f t="shared" si="2"/>
        <v/>
      </c>
      <c r="L28" s="6" t="s">
        <v>6</v>
      </c>
      <c r="M28" s="27"/>
      <c r="N28" s="27"/>
    </row>
    <row r="29" spans="1:15" ht="18.75" customHeight="1" x14ac:dyDescent="0.15">
      <c r="A29" s="11">
        <v>26</v>
      </c>
      <c r="B29" s="2"/>
      <c r="C29" s="88"/>
      <c r="D29" s="93"/>
      <c r="E29" s="88"/>
      <c r="F29" s="89" t="str">
        <f t="shared" si="0"/>
        <v/>
      </c>
      <c r="G29" s="5"/>
      <c r="H29" s="5" t="str">
        <f t="shared" si="1"/>
        <v/>
      </c>
      <c r="I29" s="35"/>
      <c r="J29" s="6" t="s">
        <v>15</v>
      </c>
      <c r="K29" s="33" t="str">
        <f t="shared" si="2"/>
        <v/>
      </c>
      <c r="L29" s="6" t="s">
        <v>6</v>
      </c>
      <c r="M29" s="27"/>
      <c r="N29" s="27"/>
    </row>
    <row r="30" spans="1:15" ht="18.75" customHeight="1" x14ac:dyDescent="0.15">
      <c r="A30" s="11">
        <v>27</v>
      </c>
      <c r="B30" s="2"/>
      <c r="C30" s="88"/>
      <c r="D30" s="93"/>
      <c r="E30" s="88"/>
      <c r="F30" s="89" t="str">
        <f t="shared" si="0"/>
        <v/>
      </c>
      <c r="G30" s="5"/>
      <c r="H30" s="5" t="str">
        <f t="shared" si="1"/>
        <v/>
      </c>
      <c r="I30" s="35"/>
      <c r="J30" s="8" t="s">
        <v>15</v>
      </c>
      <c r="K30" s="33" t="str">
        <f t="shared" si="2"/>
        <v/>
      </c>
      <c r="L30" s="6" t="s">
        <v>6</v>
      </c>
      <c r="M30" s="27"/>
      <c r="N30" s="27"/>
    </row>
    <row r="31" spans="1:15" ht="18.75" customHeight="1" x14ac:dyDescent="0.15">
      <c r="A31" s="11">
        <v>28</v>
      </c>
      <c r="B31" s="2"/>
      <c r="C31" s="88"/>
      <c r="D31" s="93"/>
      <c r="E31" s="7"/>
      <c r="F31" s="89" t="str">
        <f t="shared" si="0"/>
        <v/>
      </c>
      <c r="G31" s="5"/>
      <c r="H31" s="5" t="str">
        <f t="shared" si="1"/>
        <v/>
      </c>
      <c r="I31" s="41"/>
      <c r="J31" s="6" t="s">
        <v>15</v>
      </c>
      <c r="K31" s="33" t="str">
        <f t="shared" si="2"/>
        <v/>
      </c>
      <c r="L31" s="6" t="s">
        <v>6</v>
      </c>
      <c r="M31" s="27"/>
      <c r="N31" s="27"/>
    </row>
    <row r="32" spans="1:15" ht="18.75" customHeight="1" x14ac:dyDescent="0.15">
      <c r="A32" s="11">
        <v>29</v>
      </c>
      <c r="B32" s="2"/>
      <c r="C32" s="88"/>
      <c r="D32" s="93"/>
      <c r="E32" s="88"/>
      <c r="F32" s="89" t="str">
        <f t="shared" si="0"/>
        <v/>
      </c>
      <c r="G32" s="5"/>
      <c r="H32" s="5" t="str">
        <f t="shared" si="1"/>
        <v/>
      </c>
      <c r="I32" s="35"/>
      <c r="J32" s="6" t="s">
        <v>15</v>
      </c>
      <c r="K32" s="33" t="str">
        <f t="shared" si="2"/>
        <v/>
      </c>
      <c r="L32" s="6" t="s">
        <v>6</v>
      </c>
      <c r="M32" s="27"/>
      <c r="N32" s="27"/>
    </row>
    <row r="33" spans="1:15" ht="18.75" customHeight="1" x14ac:dyDescent="0.15">
      <c r="A33" s="11">
        <v>30</v>
      </c>
      <c r="B33" s="2"/>
      <c r="C33" s="88"/>
      <c r="D33" s="93"/>
      <c r="E33" s="88"/>
      <c r="F33" s="89" t="str">
        <f t="shared" si="0"/>
        <v/>
      </c>
      <c r="G33" s="5"/>
      <c r="H33" s="5" t="str">
        <f t="shared" si="1"/>
        <v/>
      </c>
      <c r="I33" s="35"/>
      <c r="J33" s="6" t="s">
        <v>15</v>
      </c>
      <c r="K33" s="33" t="str">
        <f t="shared" si="2"/>
        <v/>
      </c>
      <c r="L33" s="6" t="s">
        <v>6</v>
      </c>
      <c r="M33" s="27"/>
      <c r="N33" s="27"/>
    </row>
    <row r="34" spans="1:15" ht="18.75" customHeight="1" x14ac:dyDescent="0.15">
      <c r="A34" s="11">
        <v>31</v>
      </c>
      <c r="B34" s="2"/>
      <c r="C34" s="88"/>
      <c r="D34" s="93"/>
      <c r="E34" s="88"/>
      <c r="F34" s="89" t="str">
        <f t="shared" si="0"/>
        <v/>
      </c>
      <c r="G34" s="5"/>
      <c r="H34" s="5" t="str">
        <f t="shared" si="1"/>
        <v/>
      </c>
      <c r="I34" s="42"/>
      <c r="J34" s="6" t="s">
        <v>15</v>
      </c>
      <c r="K34" s="33" t="str">
        <f t="shared" si="2"/>
        <v/>
      </c>
      <c r="L34" s="6" t="s">
        <v>6</v>
      </c>
      <c r="M34" s="27"/>
      <c r="N34" s="27"/>
      <c r="O34" s="59"/>
    </row>
    <row r="35" spans="1:15" ht="18.75" customHeight="1" x14ac:dyDescent="0.15">
      <c r="A35" s="11">
        <v>32</v>
      </c>
      <c r="B35" s="2"/>
      <c r="C35" s="88"/>
      <c r="D35" s="93"/>
      <c r="E35" s="7"/>
      <c r="F35" s="89" t="str">
        <f t="shared" si="0"/>
        <v/>
      </c>
      <c r="G35" s="5"/>
      <c r="H35" s="5" t="str">
        <f t="shared" si="1"/>
        <v/>
      </c>
      <c r="I35" s="35"/>
      <c r="J35" s="6" t="s">
        <v>15</v>
      </c>
      <c r="K35" s="33" t="str">
        <f t="shared" si="2"/>
        <v/>
      </c>
      <c r="L35" s="6" t="s">
        <v>6</v>
      </c>
      <c r="M35" s="27"/>
      <c r="N35" s="27"/>
    </row>
    <row r="36" spans="1:15" ht="18.75" customHeight="1" x14ac:dyDescent="0.15">
      <c r="A36" s="11">
        <v>33</v>
      </c>
      <c r="B36" s="2"/>
      <c r="C36" s="88"/>
      <c r="D36" s="93"/>
      <c r="E36" s="88"/>
      <c r="F36" s="89" t="str">
        <f t="shared" si="0"/>
        <v/>
      </c>
      <c r="G36" s="5"/>
      <c r="H36" s="5" t="str">
        <f t="shared" si="1"/>
        <v/>
      </c>
      <c r="I36" s="43"/>
      <c r="J36" s="6" t="s">
        <v>15</v>
      </c>
      <c r="K36" s="33" t="str">
        <f t="shared" si="2"/>
        <v/>
      </c>
      <c r="L36" s="6" t="s">
        <v>6</v>
      </c>
      <c r="M36" s="27"/>
      <c r="N36" s="27"/>
    </row>
    <row r="37" spans="1:15" ht="18.75" customHeight="1" x14ac:dyDescent="0.15">
      <c r="A37" s="11">
        <v>34</v>
      </c>
      <c r="B37" s="2"/>
      <c r="C37" s="88"/>
      <c r="D37" s="93"/>
      <c r="E37" s="88"/>
      <c r="F37" s="89" t="str">
        <f t="shared" si="0"/>
        <v/>
      </c>
      <c r="G37" s="5"/>
      <c r="H37" s="5" t="str">
        <f t="shared" si="1"/>
        <v/>
      </c>
      <c r="I37" s="35"/>
      <c r="J37" s="6" t="s">
        <v>15</v>
      </c>
      <c r="K37" s="33" t="str">
        <f t="shared" si="2"/>
        <v/>
      </c>
      <c r="L37" s="6" t="s">
        <v>6</v>
      </c>
      <c r="M37" s="27"/>
      <c r="N37" s="27"/>
    </row>
    <row r="38" spans="1:15" ht="18.75" customHeight="1" x14ac:dyDescent="0.15">
      <c r="A38" s="11">
        <v>35</v>
      </c>
      <c r="B38" s="2"/>
      <c r="C38" s="88"/>
      <c r="D38" s="93"/>
      <c r="E38" s="7"/>
      <c r="F38" s="89" t="str">
        <f t="shared" si="0"/>
        <v/>
      </c>
      <c r="G38" s="5"/>
      <c r="H38" s="5" t="str">
        <f t="shared" si="1"/>
        <v/>
      </c>
      <c r="I38" s="42"/>
      <c r="J38" s="6" t="s">
        <v>15</v>
      </c>
      <c r="K38" s="33" t="str">
        <f t="shared" si="2"/>
        <v/>
      </c>
      <c r="L38" s="6" t="s">
        <v>6</v>
      </c>
      <c r="M38" s="27"/>
      <c r="N38" s="27"/>
    </row>
    <row r="39" spans="1:15" ht="18.75" customHeight="1" x14ac:dyDescent="0.15">
      <c r="A39" s="11">
        <v>36</v>
      </c>
      <c r="B39" s="2"/>
      <c r="C39" s="88"/>
      <c r="D39" s="93"/>
      <c r="E39" s="88"/>
      <c r="F39" s="89" t="str">
        <f t="shared" si="0"/>
        <v/>
      </c>
      <c r="G39" s="5"/>
      <c r="H39" s="5" t="str">
        <f t="shared" si="1"/>
        <v/>
      </c>
      <c r="I39" s="35"/>
      <c r="J39" s="6" t="s">
        <v>15</v>
      </c>
      <c r="K39" s="33" t="str">
        <f t="shared" si="2"/>
        <v/>
      </c>
      <c r="L39" s="6" t="s">
        <v>6</v>
      </c>
      <c r="M39" s="27"/>
      <c r="N39" s="27"/>
    </row>
    <row r="40" spans="1:15" ht="18.75" customHeight="1" x14ac:dyDescent="0.15">
      <c r="A40" s="11">
        <v>37</v>
      </c>
      <c r="B40" s="2"/>
      <c r="C40" s="88"/>
      <c r="D40" s="93"/>
      <c r="E40" s="88"/>
      <c r="F40" s="89" t="str">
        <f t="shared" si="0"/>
        <v/>
      </c>
      <c r="G40" s="5"/>
      <c r="H40" s="5" t="str">
        <f t="shared" si="1"/>
        <v/>
      </c>
      <c r="I40" s="35"/>
      <c r="J40" s="6" t="s">
        <v>15</v>
      </c>
      <c r="K40" s="33" t="str">
        <f t="shared" si="2"/>
        <v/>
      </c>
      <c r="L40" s="6" t="s">
        <v>6</v>
      </c>
      <c r="M40" s="27"/>
      <c r="N40" s="27"/>
    </row>
    <row r="41" spans="1:15" ht="18.75" customHeight="1" x14ac:dyDescent="0.15">
      <c r="A41" s="11">
        <v>38</v>
      </c>
      <c r="B41" s="2"/>
      <c r="C41" s="88"/>
      <c r="D41" s="93"/>
      <c r="E41" s="88"/>
      <c r="F41" s="89" t="str">
        <f t="shared" si="0"/>
        <v/>
      </c>
      <c r="G41" s="5"/>
      <c r="H41" s="5" t="str">
        <f t="shared" si="1"/>
        <v/>
      </c>
      <c r="I41" s="35"/>
      <c r="J41" s="6" t="s">
        <v>15</v>
      </c>
      <c r="K41" s="37" t="str">
        <f t="shared" si="2"/>
        <v/>
      </c>
      <c r="L41" s="6" t="s">
        <v>6</v>
      </c>
      <c r="M41" s="27"/>
      <c r="N41" s="27"/>
    </row>
    <row r="42" spans="1:15" ht="18.75" customHeight="1" x14ac:dyDescent="0.15">
      <c r="A42" s="11">
        <v>39</v>
      </c>
      <c r="B42" s="2"/>
      <c r="C42" s="88"/>
      <c r="D42" s="93"/>
      <c r="E42" s="88"/>
      <c r="F42" s="89"/>
      <c r="G42" s="5"/>
      <c r="H42" s="5"/>
      <c r="I42" s="35"/>
      <c r="J42" s="6" t="s">
        <v>15</v>
      </c>
      <c r="K42" s="37"/>
      <c r="L42" s="6" t="s">
        <v>6</v>
      </c>
      <c r="M42" s="27"/>
      <c r="N42" s="27"/>
    </row>
    <row r="43" spans="1:15" ht="18.75" customHeight="1" thickBot="1" x14ac:dyDescent="0.2">
      <c r="A43" s="50">
        <v>40</v>
      </c>
      <c r="B43" s="51"/>
      <c r="C43" s="52"/>
      <c r="D43" s="94"/>
      <c r="E43" s="52"/>
      <c r="F43" s="53"/>
      <c r="G43" s="54"/>
      <c r="H43" s="54"/>
      <c r="I43" s="55"/>
      <c r="J43" s="56" t="s">
        <v>15</v>
      </c>
      <c r="K43" s="57"/>
      <c r="L43" s="56" t="s">
        <v>6</v>
      </c>
      <c r="M43" s="86" t="s">
        <v>21</v>
      </c>
      <c r="N43" s="86" t="s">
        <v>22</v>
      </c>
    </row>
    <row r="44" spans="1:15" ht="18.75" customHeight="1" thickTop="1" x14ac:dyDescent="0.15">
      <c r="B44" s="44"/>
      <c r="C44" s="44"/>
      <c r="D44" s="45"/>
      <c r="E44" s="44"/>
      <c r="F44" s="44" t="str">
        <f>IF(E44="","",E44-INT(E44/7)*7)</f>
        <v/>
      </c>
      <c r="G44" s="46"/>
      <c r="H44" s="46" t="str">
        <f>IF(G44="","",G44)</f>
        <v/>
      </c>
      <c r="I44" s="61">
        <f>SUM(I4:I43)</f>
        <v>0</v>
      </c>
      <c r="J44" s="8" t="s">
        <v>15</v>
      </c>
      <c r="K44" s="47">
        <f>SUM(K4:K43)</f>
        <v>0</v>
      </c>
      <c r="L44" s="8" t="s">
        <v>6</v>
      </c>
      <c r="M44" s="48">
        <f>SUM(K44)-N44</f>
        <v>0</v>
      </c>
      <c r="N44" s="72">
        <f>SUMIF(M4:M42,"",K4:K43)</f>
        <v>0</v>
      </c>
    </row>
    <row r="45" spans="1:15" ht="20.25" customHeight="1" x14ac:dyDescent="0.15">
      <c r="B45" s="95" t="s">
        <v>9</v>
      </c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</row>
    <row r="46" spans="1:15" ht="21" customHeight="1" x14ac:dyDescent="0.15">
      <c r="B46" s="96" t="s">
        <v>0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</row>
    <row r="47" spans="1:15" ht="27" customHeight="1" x14ac:dyDescent="0.15">
      <c r="A47" s="11"/>
      <c r="B47" s="29" t="s">
        <v>1</v>
      </c>
      <c r="C47" s="102" t="s">
        <v>2</v>
      </c>
      <c r="D47" s="103"/>
      <c r="E47" s="104" t="s">
        <v>3</v>
      </c>
      <c r="F47" s="105"/>
      <c r="G47" s="87" t="s">
        <v>4</v>
      </c>
      <c r="H47" s="87" t="s">
        <v>7</v>
      </c>
      <c r="I47" s="106" t="s">
        <v>8</v>
      </c>
      <c r="J47" s="107"/>
      <c r="K47" s="106" t="s">
        <v>5</v>
      </c>
      <c r="L47" s="106"/>
      <c r="M47" s="30" t="s">
        <v>10</v>
      </c>
      <c r="N47" s="31" t="s">
        <v>18</v>
      </c>
    </row>
    <row r="48" spans="1:15" ht="18.75" customHeight="1" x14ac:dyDescent="0.15">
      <c r="A48" s="11">
        <v>41</v>
      </c>
      <c r="B48" s="2"/>
      <c r="C48" s="88"/>
      <c r="D48" s="93"/>
      <c r="E48" s="88"/>
      <c r="F48" s="89" t="str">
        <f t="shared" ref="F48:F88" si="3">IF(E48="","",E48-INT(E48/7)*7)</f>
        <v/>
      </c>
      <c r="G48" s="5"/>
      <c r="H48" s="5" t="str">
        <f t="shared" ref="H48:H88" si="4">IF(G48="","",G48)</f>
        <v/>
      </c>
      <c r="I48" s="32"/>
      <c r="J48" s="6" t="s">
        <v>15</v>
      </c>
      <c r="K48" s="33" t="str">
        <f t="shared" ref="K48:K85" si="5">IF(I48&gt;0,I48*0.2,"")</f>
        <v/>
      </c>
      <c r="L48" s="6" t="s">
        <v>6</v>
      </c>
      <c r="M48" s="27"/>
      <c r="N48" s="34"/>
    </row>
    <row r="49" spans="1:14" ht="18.75" customHeight="1" x14ac:dyDescent="0.15">
      <c r="A49" s="11">
        <v>42</v>
      </c>
      <c r="B49" s="2"/>
      <c r="C49" s="88"/>
      <c r="D49" s="93"/>
      <c r="E49" s="7"/>
      <c r="F49" s="89" t="str">
        <f t="shared" si="3"/>
        <v/>
      </c>
      <c r="G49" s="5"/>
      <c r="H49" s="5" t="str">
        <f t="shared" si="4"/>
        <v/>
      </c>
      <c r="I49" s="35"/>
      <c r="J49" s="36" t="s">
        <v>15</v>
      </c>
      <c r="K49" s="37" t="str">
        <f t="shared" si="5"/>
        <v/>
      </c>
      <c r="L49" s="6" t="s">
        <v>6</v>
      </c>
      <c r="M49" s="27"/>
      <c r="N49" s="27"/>
    </row>
    <row r="50" spans="1:14" ht="18.75" customHeight="1" x14ac:dyDescent="0.15">
      <c r="A50" s="11">
        <v>43</v>
      </c>
      <c r="B50" s="2"/>
      <c r="C50" s="88"/>
      <c r="D50" s="93"/>
      <c r="E50" s="88"/>
      <c r="F50" s="89" t="str">
        <f t="shared" si="3"/>
        <v/>
      </c>
      <c r="G50" s="5"/>
      <c r="H50" s="5" t="str">
        <f t="shared" si="4"/>
        <v/>
      </c>
      <c r="I50" s="38"/>
      <c r="J50" s="8" t="s">
        <v>15</v>
      </c>
      <c r="K50" s="39" t="str">
        <f t="shared" si="5"/>
        <v/>
      </c>
      <c r="L50" s="9" t="s">
        <v>6</v>
      </c>
      <c r="M50" s="40"/>
      <c r="N50" s="27"/>
    </row>
    <row r="51" spans="1:14" ht="18.75" customHeight="1" x14ac:dyDescent="0.15">
      <c r="A51" s="11">
        <v>44</v>
      </c>
      <c r="B51" s="2"/>
      <c r="C51" s="88"/>
      <c r="D51" s="93"/>
      <c r="E51" s="88"/>
      <c r="F51" s="89" t="str">
        <f t="shared" si="3"/>
        <v/>
      </c>
      <c r="G51" s="5"/>
      <c r="H51" s="5" t="str">
        <f t="shared" si="4"/>
        <v/>
      </c>
      <c r="I51" s="35"/>
      <c r="J51" s="6" t="s">
        <v>15</v>
      </c>
      <c r="K51" s="33" t="str">
        <f t="shared" si="5"/>
        <v/>
      </c>
      <c r="L51" s="6" t="s">
        <v>6</v>
      </c>
      <c r="M51" s="27"/>
      <c r="N51" s="27"/>
    </row>
    <row r="52" spans="1:14" ht="18.75" customHeight="1" x14ac:dyDescent="0.15">
      <c r="A52" s="11">
        <v>45</v>
      </c>
      <c r="B52" s="2"/>
      <c r="C52" s="88"/>
      <c r="D52" s="93"/>
      <c r="E52" s="88"/>
      <c r="F52" s="89" t="str">
        <f t="shared" si="3"/>
        <v/>
      </c>
      <c r="G52" s="5"/>
      <c r="H52" s="5" t="str">
        <f t="shared" si="4"/>
        <v/>
      </c>
      <c r="I52" s="35"/>
      <c r="J52" s="6" t="s">
        <v>15</v>
      </c>
      <c r="K52" s="33" t="str">
        <f t="shared" si="5"/>
        <v/>
      </c>
      <c r="L52" s="6" t="s">
        <v>6</v>
      </c>
      <c r="M52" s="27"/>
      <c r="N52" s="27"/>
    </row>
    <row r="53" spans="1:14" ht="18.75" customHeight="1" x14ac:dyDescent="0.15">
      <c r="A53" s="11">
        <v>46</v>
      </c>
      <c r="B53" s="2"/>
      <c r="C53" s="88"/>
      <c r="D53" s="93"/>
      <c r="E53" s="88"/>
      <c r="F53" s="89" t="str">
        <f t="shared" si="3"/>
        <v/>
      </c>
      <c r="G53" s="5"/>
      <c r="H53" s="5" t="str">
        <f t="shared" si="4"/>
        <v/>
      </c>
      <c r="I53" s="35"/>
      <c r="J53" s="6" t="s">
        <v>15</v>
      </c>
      <c r="K53" s="33" t="str">
        <f t="shared" si="5"/>
        <v/>
      </c>
      <c r="L53" s="6" t="s">
        <v>6</v>
      </c>
      <c r="M53" s="27"/>
      <c r="N53" s="27"/>
    </row>
    <row r="54" spans="1:14" ht="18.75" customHeight="1" x14ac:dyDescent="0.15">
      <c r="A54" s="11">
        <v>47</v>
      </c>
      <c r="B54" s="2"/>
      <c r="C54" s="88"/>
      <c r="D54" s="93"/>
      <c r="E54" s="88"/>
      <c r="F54" s="89" t="str">
        <f t="shared" si="3"/>
        <v/>
      </c>
      <c r="G54" s="5"/>
      <c r="H54" s="5" t="str">
        <f t="shared" si="4"/>
        <v/>
      </c>
      <c r="I54" s="35"/>
      <c r="J54" s="6" t="s">
        <v>15</v>
      </c>
      <c r="K54" s="33" t="str">
        <f t="shared" si="5"/>
        <v/>
      </c>
      <c r="L54" s="6" t="s">
        <v>6</v>
      </c>
      <c r="M54" s="27"/>
      <c r="N54" s="27"/>
    </row>
    <row r="55" spans="1:14" ht="18.75" customHeight="1" x14ac:dyDescent="0.15">
      <c r="A55" s="11">
        <v>48</v>
      </c>
      <c r="B55" s="2"/>
      <c r="C55" s="88"/>
      <c r="D55" s="93"/>
      <c r="E55" s="88"/>
      <c r="F55" s="89" t="str">
        <f t="shared" si="3"/>
        <v/>
      </c>
      <c r="G55" s="5"/>
      <c r="H55" s="5" t="str">
        <f t="shared" si="4"/>
        <v/>
      </c>
      <c r="I55" s="41"/>
      <c r="J55" s="8" t="s">
        <v>15</v>
      </c>
      <c r="K55" s="33" t="str">
        <f t="shared" si="5"/>
        <v/>
      </c>
      <c r="L55" s="9" t="s">
        <v>6</v>
      </c>
      <c r="M55" s="27"/>
      <c r="N55" s="27"/>
    </row>
    <row r="56" spans="1:14" ht="18.75" customHeight="1" x14ac:dyDescent="0.15">
      <c r="A56" s="11">
        <v>49</v>
      </c>
      <c r="B56" s="2"/>
      <c r="C56" s="88"/>
      <c r="D56" s="93"/>
      <c r="E56" s="88"/>
      <c r="F56" s="89" t="str">
        <f t="shared" si="3"/>
        <v/>
      </c>
      <c r="G56" s="5"/>
      <c r="H56" s="5" t="str">
        <f t="shared" si="4"/>
        <v/>
      </c>
      <c r="I56" s="35"/>
      <c r="J56" s="6" t="s">
        <v>15</v>
      </c>
      <c r="K56" s="33" t="str">
        <f t="shared" si="5"/>
        <v/>
      </c>
      <c r="L56" s="6" t="s">
        <v>6</v>
      </c>
      <c r="M56" s="27"/>
      <c r="N56" s="27"/>
    </row>
    <row r="57" spans="1:14" ht="18.75" customHeight="1" x14ac:dyDescent="0.15">
      <c r="A57" s="11">
        <v>50</v>
      </c>
      <c r="B57" s="2"/>
      <c r="C57" s="88"/>
      <c r="D57" s="93"/>
      <c r="E57" s="88"/>
      <c r="F57" s="89" t="str">
        <f t="shared" si="3"/>
        <v/>
      </c>
      <c r="G57" s="5"/>
      <c r="H57" s="5" t="str">
        <f t="shared" si="4"/>
        <v/>
      </c>
      <c r="I57" s="41"/>
      <c r="J57" s="8" t="s">
        <v>15</v>
      </c>
      <c r="K57" s="33" t="str">
        <f t="shared" si="5"/>
        <v/>
      </c>
      <c r="L57" s="9" t="s">
        <v>6</v>
      </c>
      <c r="M57" s="27"/>
      <c r="N57" s="27"/>
    </row>
    <row r="58" spans="1:14" ht="18.75" customHeight="1" x14ac:dyDescent="0.15">
      <c r="A58" s="11">
        <v>51</v>
      </c>
      <c r="B58" s="2"/>
      <c r="C58" s="88"/>
      <c r="D58" s="93"/>
      <c r="E58" s="88"/>
      <c r="F58" s="89" t="str">
        <f t="shared" si="3"/>
        <v/>
      </c>
      <c r="G58" s="5"/>
      <c r="H58" s="5" t="str">
        <f t="shared" si="4"/>
        <v/>
      </c>
      <c r="I58" s="35"/>
      <c r="J58" s="6" t="s">
        <v>15</v>
      </c>
      <c r="K58" s="33" t="str">
        <f t="shared" si="5"/>
        <v/>
      </c>
      <c r="L58" s="6" t="s">
        <v>6</v>
      </c>
      <c r="M58" s="27"/>
      <c r="N58" s="27"/>
    </row>
    <row r="59" spans="1:14" ht="18.75" customHeight="1" x14ac:dyDescent="0.15">
      <c r="A59" s="11">
        <v>52</v>
      </c>
      <c r="B59" s="2"/>
      <c r="C59" s="88"/>
      <c r="D59" s="93"/>
      <c r="E59" s="88"/>
      <c r="F59" s="89" t="str">
        <f t="shared" si="3"/>
        <v/>
      </c>
      <c r="G59" s="5"/>
      <c r="H59" s="5" t="str">
        <f t="shared" si="4"/>
        <v/>
      </c>
      <c r="I59" s="42"/>
      <c r="J59" s="8" t="s">
        <v>15</v>
      </c>
      <c r="K59" s="33" t="str">
        <f t="shared" si="5"/>
        <v/>
      </c>
      <c r="L59" s="6" t="s">
        <v>6</v>
      </c>
      <c r="M59" s="27"/>
      <c r="N59" s="27"/>
    </row>
    <row r="60" spans="1:14" ht="18.75" customHeight="1" x14ac:dyDescent="0.15">
      <c r="A60" s="11">
        <v>53</v>
      </c>
      <c r="B60" s="2"/>
      <c r="C60" s="88"/>
      <c r="D60" s="93"/>
      <c r="E60" s="88"/>
      <c r="F60" s="89" t="str">
        <f t="shared" si="3"/>
        <v/>
      </c>
      <c r="G60" s="5"/>
      <c r="H60" s="5" t="str">
        <f t="shared" si="4"/>
        <v/>
      </c>
      <c r="I60" s="35"/>
      <c r="J60" s="6" t="s">
        <v>15</v>
      </c>
      <c r="K60" s="33" t="str">
        <f t="shared" si="5"/>
        <v/>
      </c>
      <c r="L60" s="6" t="s">
        <v>6</v>
      </c>
      <c r="M60" s="27"/>
      <c r="N60" s="27"/>
    </row>
    <row r="61" spans="1:14" ht="18.75" customHeight="1" x14ac:dyDescent="0.15">
      <c r="A61" s="11">
        <v>54</v>
      </c>
      <c r="B61" s="2"/>
      <c r="C61" s="88"/>
      <c r="D61" s="93"/>
      <c r="E61" s="88"/>
      <c r="F61" s="89" t="str">
        <f t="shared" si="3"/>
        <v/>
      </c>
      <c r="G61" s="5"/>
      <c r="H61" s="5" t="str">
        <f t="shared" si="4"/>
        <v/>
      </c>
      <c r="I61" s="35"/>
      <c r="J61" s="6" t="s">
        <v>15</v>
      </c>
      <c r="K61" s="33" t="str">
        <f t="shared" si="5"/>
        <v/>
      </c>
      <c r="L61" s="6" t="s">
        <v>6</v>
      </c>
      <c r="M61" s="27"/>
      <c r="N61" s="27"/>
    </row>
    <row r="62" spans="1:14" ht="18.75" customHeight="1" x14ac:dyDescent="0.15">
      <c r="A62" s="11">
        <v>55</v>
      </c>
      <c r="B62" s="2"/>
      <c r="C62" s="88"/>
      <c r="D62" s="93"/>
      <c r="E62" s="88"/>
      <c r="F62" s="89" t="str">
        <f t="shared" si="3"/>
        <v/>
      </c>
      <c r="G62" s="5"/>
      <c r="H62" s="5" t="str">
        <f t="shared" si="4"/>
        <v/>
      </c>
      <c r="I62" s="41"/>
      <c r="J62" s="6" t="s">
        <v>15</v>
      </c>
      <c r="K62" s="33" t="str">
        <f t="shared" si="5"/>
        <v/>
      </c>
      <c r="L62" s="9" t="s">
        <v>6</v>
      </c>
      <c r="M62" s="27"/>
      <c r="N62" s="27"/>
    </row>
    <row r="63" spans="1:14" ht="18.75" customHeight="1" x14ac:dyDescent="0.15">
      <c r="A63" s="11">
        <v>56</v>
      </c>
      <c r="B63" s="2"/>
      <c r="C63" s="88"/>
      <c r="D63" s="93"/>
      <c r="E63" s="88"/>
      <c r="F63" s="89" t="str">
        <f t="shared" si="3"/>
        <v/>
      </c>
      <c r="G63" s="5"/>
      <c r="H63" s="5" t="str">
        <f t="shared" si="4"/>
        <v/>
      </c>
      <c r="I63" s="35"/>
      <c r="J63" s="6" t="s">
        <v>15</v>
      </c>
      <c r="K63" s="33" t="str">
        <f t="shared" si="5"/>
        <v/>
      </c>
      <c r="L63" s="6" t="s">
        <v>6</v>
      </c>
      <c r="M63" s="27"/>
      <c r="N63" s="27"/>
    </row>
    <row r="64" spans="1:14" ht="18.75" customHeight="1" x14ac:dyDescent="0.15">
      <c r="A64" s="11">
        <v>57</v>
      </c>
      <c r="B64" s="2"/>
      <c r="C64" s="88"/>
      <c r="D64" s="93"/>
      <c r="E64" s="7"/>
      <c r="F64" s="89" t="str">
        <f t="shared" si="3"/>
        <v/>
      </c>
      <c r="G64" s="5"/>
      <c r="H64" s="5" t="str">
        <f t="shared" si="4"/>
        <v/>
      </c>
      <c r="I64" s="42"/>
      <c r="J64" s="8" t="s">
        <v>15</v>
      </c>
      <c r="K64" s="33" t="str">
        <f t="shared" si="5"/>
        <v/>
      </c>
      <c r="L64" s="6" t="s">
        <v>6</v>
      </c>
      <c r="M64" s="27"/>
      <c r="N64" s="34"/>
    </row>
    <row r="65" spans="1:14" ht="18.75" customHeight="1" x14ac:dyDescent="0.15">
      <c r="A65" s="11">
        <v>58</v>
      </c>
      <c r="B65" s="2"/>
      <c r="C65" s="88"/>
      <c r="D65" s="93"/>
      <c r="E65" s="88"/>
      <c r="F65" s="89" t="str">
        <f t="shared" si="3"/>
        <v/>
      </c>
      <c r="G65" s="5"/>
      <c r="H65" s="5" t="str">
        <f t="shared" si="4"/>
        <v/>
      </c>
      <c r="I65" s="35"/>
      <c r="J65" s="6" t="s">
        <v>15</v>
      </c>
      <c r="K65" s="33" t="str">
        <f t="shared" si="5"/>
        <v/>
      </c>
      <c r="L65" s="6" t="s">
        <v>6</v>
      </c>
      <c r="M65" s="27"/>
      <c r="N65" s="27"/>
    </row>
    <row r="66" spans="1:14" ht="18.75" customHeight="1" x14ac:dyDescent="0.15">
      <c r="A66" s="11">
        <v>59</v>
      </c>
      <c r="B66" s="2"/>
      <c r="C66" s="88"/>
      <c r="D66" s="93"/>
      <c r="E66" s="88"/>
      <c r="F66" s="89" t="str">
        <f t="shared" si="3"/>
        <v/>
      </c>
      <c r="G66" s="5"/>
      <c r="H66" s="5" t="str">
        <f t="shared" si="4"/>
        <v/>
      </c>
      <c r="I66" s="35"/>
      <c r="J66" s="6" t="s">
        <v>15</v>
      </c>
      <c r="K66" s="33" t="str">
        <f t="shared" si="5"/>
        <v/>
      </c>
      <c r="L66" s="6" t="s">
        <v>6</v>
      </c>
      <c r="M66" s="27"/>
      <c r="N66" s="27"/>
    </row>
    <row r="67" spans="1:14" ht="18.75" customHeight="1" x14ac:dyDescent="0.15">
      <c r="A67" s="11">
        <v>60</v>
      </c>
      <c r="B67" s="2"/>
      <c r="C67" s="88"/>
      <c r="D67" s="93"/>
      <c r="E67" s="88"/>
      <c r="F67" s="89" t="str">
        <f t="shared" si="3"/>
        <v/>
      </c>
      <c r="G67" s="5"/>
      <c r="H67" s="5" t="str">
        <f t="shared" si="4"/>
        <v/>
      </c>
      <c r="I67" s="35"/>
      <c r="J67" s="6" t="s">
        <v>11</v>
      </c>
      <c r="K67" s="33" t="str">
        <f t="shared" si="5"/>
        <v/>
      </c>
      <c r="L67" s="6" t="s">
        <v>6</v>
      </c>
      <c r="M67" s="27"/>
      <c r="N67" s="27"/>
    </row>
    <row r="68" spans="1:14" ht="18.75" customHeight="1" x14ac:dyDescent="0.15">
      <c r="A68" s="11">
        <v>61</v>
      </c>
      <c r="B68" s="2"/>
      <c r="C68" s="88"/>
      <c r="D68" s="93"/>
      <c r="E68" s="88"/>
      <c r="F68" s="89" t="str">
        <f t="shared" si="3"/>
        <v/>
      </c>
      <c r="G68" s="5"/>
      <c r="H68" s="5" t="str">
        <f t="shared" si="4"/>
        <v/>
      </c>
      <c r="I68" s="35"/>
      <c r="J68" s="8" t="s">
        <v>11</v>
      </c>
      <c r="K68" s="33" t="str">
        <f t="shared" si="5"/>
        <v/>
      </c>
      <c r="L68" s="6" t="s">
        <v>6</v>
      </c>
      <c r="M68" s="27"/>
      <c r="N68" s="27"/>
    </row>
    <row r="69" spans="1:14" ht="18.75" customHeight="1" x14ac:dyDescent="0.15">
      <c r="A69" s="11">
        <v>62</v>
      </c>
      <c r="B69" s="2"/>
      <c r="C69" s="88"/>
      <c r="D69" s="93"/>
      <c r="E69" s="88"/>
      <c r="F69" s="89" t="str">
        <f t="shared" si="3"/>
        <v/>
      </c>
      <c r="G69" s="5"/>
      <c r="H69" s="5" t="str">
        <f t="shared" si="4"/>
        <v/>
      </c>
      <c r="I69" s="41"/>
      <c r="J69" s="6" t="s">
        <v>11</v>
      </c>
      <c r="K69" s="33" t="str">
        <f t="shared" si="5"/>
        <v/>
      </c>
      <c r="L69" s="6" t="s">
        <v>6</v>
      </c>
      <c r="M69" s="27"/>
      <c r="N69" s="27"/>
    </row>
    <row r="70" spans="1:14" ht="18.75" customHeight="1" x14ac:dyDescent="0.15">
      <c r="A70" s="11">
        <v>63</v>
      </c>
      <c r="B70" s="2"/>
      <c r="C70" s="88"/>
      <c r="D70" s="93"/>
      <c r="E70" s="88"/>
      <c r="F70" s="89" t="str">
        <f t="shared" si="3"/>
        <v/>
      </c>
      <c r="G70" s="5"/>
      <c r="H70" s="5" t="str">
        <f t="shared" si="4"/>
        <v/>
      </c>
      <c r="I70" s="41"/>
      <c r="J70" s="6" t="s">
        <v>15</v>
      </c>
      <c r="K70" s="33" t="str">
        <f t="shared" si="5"/>
        <v/>
      </c>
      <c r="L70" s="6" t="s">
        <v>6</v>
      </c>
      <c r="M70" s="27"/>
      <c r="N70" s="27"/>
    </row>
    <row r="71" spans="1:14" ht="18.75" customHeight="1" x14ac:dyDescent="0.15">
      <c r="A71" s="11">
        <v>64</v>
      </c>
      <c r="B71" s="2"/>
      <c r="C71" s="88"/>
      <c r="D71" s="93"/>
      <c r="E71" s="88"/>
      <c r="F71" s="89" t="str">
        <f t="shared" si="3"/>
        <v/>
      </c>
      <c r="G71" s="5"/>
      <c r="H71" s="5" t="str">
        <f t="shared" si="4"/>
        <v/>
      </c>
      <c r="I71" s="35"/>
      <c r="J71" s="8" t="s">
        <v>15</v>
      </c>
      <c r="K71" s="33" t="str">
        <f t="shared" si="5"/>
        <v/>
      </c>
      <c r="L71" s="6" t="s">
        <v>6</v>
      </c>
      <c r="M71" s="27"/>
      <c r="N71" s="27"/>
    </row>
    <row r="72" spans="1:14" ht="18.75" customHeight="1" x14ac:dyDescent="0.15">
      <c r="A72" s="11">
        <v>65</v>
      </c>
      <c r="B72" s="2"/>
      <c r="C72" s="88"/>
      <c r="D72" s="93"/>
      <c r="E72" s="88"/>
      <c r="F72" s="89" t="str">
        <f t="shared" si="3"/>
        <v/>
      </c>
      <c r="G72" s="5"/>
      <c r="H72" s="5" t="str">
        <f t="shared" si="4"/>
        <v/>
      </c>
      <c r="I72" s="35"/>
      <c r="J72" s="6" t="s">
        <v>15</v>
      </c>
      <c r="K72" s="33" t="str">
        <f t="shared" si="5"/>
        <v/>
      </c>
      <c r="L72" s="6" t="s">
        <v>6</v>
      </c>
      <c r="M72" s="27"/>
      <c r="N72" s="27"/>
    </row>
    <row r="73" spans="1:14" ht="18.75" customHeight="1" x14ac:dyDescent="0.15">
      <c r="A73" s="11">
        <v>66</v>
      </c>
      <c r="B73" s="2"/>
      <c r="C73" s="88"/>
      <c r="D73" s="93"/>
      <c r="E73" s="88"/>
      <c r="F73" s="89" t="str">
        <f t="shared" si="3"/>
        <v/>
      </c>
      <c r="G73" s="5"/>
      <c r="H73" s="5" t="str">
        <f t="shared" si="4"/>
        <v/>
      </c>
      <c r="I73" s="35"/>
      <c r="J73" s="6" t="s">
        <v>15</v>
      </c>
      <c r="K73" s="33" t="str">
        <f t="shared" si="5"/>
        <v/>
      </c>
      <c r="L73" s="6" t="s">
        <v>6</v>
      </c>
      <c r="M73" s="27"/>
      <c r="N73" s="27"/>
    </row>
    <row r="74" spans="1:14" ht="18.75" customHeight="1" x14ac:dyDescent="0.15">
      <c r="A74" s="11">
        <v>67</v>
      </c>
      <c r="B74" s="2"/>
      <c r="C74" s="88"/>
      <c r="D74" s="93"/>
      <c r="E74" s="88"/>
      <c r="F74" s="89" t="str">
        <f t="shared" si="3"/>
        <v/>
      </c>
      <c r="G74" s="5"/>
      <c r="H74" s="5" t="str">
        <f t="shared" si="4"/>
        <v/>
      </c>
      <c r="I74" s="35"/>
      <c r="J74" s="8" t="s">
        <v>15</v>
      </c>
      <c r="K74" s="33" t="str">
        <f t="shared" si="5"/>
        <v/>
      </c>
      <c r="L74" s="6" t="s">
        <v>6</v>
      </c>
      <c r="M74" s="27"/>
      <c r="N74" s="27"/>
    </row>
    <row r="75" spans="1:14" ht="18.75" customHeight="1" x14ac:dyDescent="0.15">
      <c r="A75" s="11">
        <v>68</v>
      </c>
      <c r="B75" s="2"/>
      <c r="C75" s="88"/>
      <c r="D75" s="93"/>
      <c r="E75" s="7"/>
      <c r="F75" s="89" t="str">
        <f t="shared" si="3"/>
        <v/>
      </c>
      <c r="G75" s="5"/>
      <c r="H75" s="5" t="str">
        <f t="shared" si="4"/>
        <v/>
      </c>
      <c r="I75" s="41"/>
      <c r="J75" s="6" t="s">
        <v>15</v>
      </c>
      <c r="K75" s="33" t="str">
        <f t="shared" si="5"/>
        <v/>
      </c>
      <c r="L75" s="6" t="s">
        <v>6</v>
      </c>
      <c r="M75" s="27"/>
      <c r="N75" s="27"/>
    </row>
    <row r="76" spans="1:14" ht="18.75" customHeight="1" x14ac:dyDescent="0.15">
      <c r="A76" s="11">
        <v>69</v>
      </c>
      <c r="B76" s="2"/>
      <c r="C76" s="88"/>
      <c r="D76" s="93"/>
      <c r="E76" s="88"/>
      <c r="F76" s="89" t="str">
        <f t="shared" si="3"/>
        <v/>
      </c>
      <c r="G76" s="5"/>
      <c r="H76" s="5" t="str">
        <f t="shared" si="4"/>
        <v/>
      </c>
      <c r="I76" s="35"/>
      <c r="J76" s="6" t="s">
        <v>15</v>
      </c>
      <c r="K76" s="33" t="str">
        <f t="shared" si="5"/>
        <v/>
      </c>
      <c r="L76" s="6" t="s">
        <v>6</v>
      </c>
      <c r="M76" s="27"/>
      <c r="N76" s="27"/>
    </row>
    <row r="77" spans="1:14" ht="18.75" customHeight="1" x14ac:dyDescent="0.15">
      <c r="A77" s="11">
        <v>70</v>
      </c>
      <c r="B77" s="2"/>
      <c r="C77" s="88"/>
      <c r="D77" s="93"/>
      <c r="E77" s="88"/>
      <c r="F77" s="89" t="str">
        <f t="shared" si="3"/>
        <v/>
      </c>
      <c r="G77" s="5"/>
      <c r="H77" s="5" t="str">
        <f t="shared" si="4"/>
        <v/>
      </c>
      <c r="I77" s="35"/>
      <c r="J77" s="6" t="s">
        <v>15</v>
      </c>
      <c r="K77" s="33" t="str">
        <f t="shared" si="5"/>
        <v/>
      </c>
      <c r="L77" s="6" t="s">
        <v>6</v>
      </c>
      <c r="M77" s="27"/>
      <c r="N77" s="27"/>
    </row>
    <row r="78" spans="1:14" ht="18.75" customHeight="1" x14ac:dyDescent="0.15">
      <c r="A78" s="11">
        <v>71</v>
      </c>
      <c r="B78" s="2"/>
      <c r="C78" s="88"/>
      <c r="D78" s="93"/>
      <c r="E78" s="88"/>
      <c r="F78" s="89" t="str">
        <f t="shared" si="3"/>
        <v/>
      </c>
      <c r="G78" s="5"/>
      <c r="H78" s="5" t="str">
        <f t="shared" si="4"/>
        <v/>
      </c>
      <c r="I78" s="42"/>
      <c r="J78" s="6" t="s">
        <v>15</v>
      </c>
      <c r="K78" s="33" t="str">
        <f t="shared" si="5"/>
        <v/>
      </c>
      <c r="L78" s="6" t="s">
        <v>6</v>
      </c>
      <c r="M78" s="27"/>
      <c r="N78" s="27"/>
    </row>
    <row r="79" spans="1:14" ht="18.75" customHeight="1" x14ac:dyDescent="0.15">
      <c r="A79" s="11">
        <v>72</v>
      </c>
      <c r="B79" s="2"/>
      <c r="C79" s="88"/>
      <c r="D79" s="93"/>
      <c r="E79" s="7"/>
      <c r="F79" s="89" t="str">
        <f t="shared" si="3"/>
        <v/>
      </c>
      <c r="G79" s="5"/>
      <c r="H79" s="5" t="str">
        <f t="shared" si="4"/>
        <v/>
      </c>
      <c r="I79" s="35"/>
      <c r="J79" s="6" t="s">
        <v>15</v>
      </c>
      <c r="K79" s="33" t="str">
        <f t="shared" si="5"/>
        <v/>
      </c>
      <c r="L79" s="6" t="s">
        <v>6</v>
      </c>
      <c r="M79" s="27"/>
      <c r="N79" s="27"/>
    </row>
    <row r="80" spans="1:14" ht="18.75" customHeight="1" x14ac:dyDescent="0.15">
      <c r="A80" s="11">
        <v>73</v>
      </c>
      <c r="B80" s="2"/>
      <c r="C80" s="88"/>
      <c r="D80" s="93"/>
      <c r="E80" s="88"/>
      <c r="F80" s="89" t="str">
        <f t="shared" si="3"/>
        <v/>
      </c>
      <c r="G80" s="5"/>
      <c r="H80" s="5" t="str">
        <f t="shared" si="4"/>
        <v/>
      </c>
      <c r="I80" s="43"/>
      <c r="J80" s="6" t="s">
        <v>15</v>
      </c>
      <c r="K80" s="33" t="str">
        <f t="shared" si="5"/>
        <v/>
      </c>
      <c r="L80" s="6" t="s">
        <v>6</v>
      </c>
      <c r="M80" s="27"/>
      <c r="N80" s="27"/>
    </row>
    <row r="81" spans="1:14" ht="18.75" customHeight="1" x14ac:dyDescent="0.15">
      <c r="A81" s="11">
        <v>74</v>
      </c>
      <c r="B81" s="2"/>
      <c r="C81" s="88"/>
      <c r="D81" s="93"/>
      <c r="E81" s="88"/>
      <c r="F81" s="89" t="str">
        <f t="shared" si="3"/>
        <v/>
      </c>
      <c r="G81" s="5"/>
      <c r="H81" s="5" t="str">
        <f t="shared" si="4"/>
        <v/>
      </c>
      <c r="I81" s="35"/>
      <c r="J81" s="6" t="s">
        <v>15</v>
      </c>
      <c r="K81" s="33" t="str">
        <f t="shared" si="5"/>
        <v/>
      </c>
      <c r="L81" s="6" t="s">
        <v>6</v>
      </c>
      <c r="M81" s="27"/>
      <c r="N81" s="27"/>
    </row>
    <row r="82" spans="1:14" ht="18.75" customHeight="1" x14ac:dyDescent="0.15">
      <c r="A82" s="11">
        <v>75</v>
      </c>
      <c r="B82" s="2"/>
      <c r="C82" s="88"/>
      <c r="D82" s="93"/>
      <c r="E82" s="7"/>
      <c r="F82" s="89" t="str">
        <f t="shared" si="3"/>
        <v/>
      </c>
      <c r="G82" s="5"/>
      <c r="H82" s="5" t="str">
        <f t="shared" si="4"/>
        <v/>
      </c>
      <c r="I82" s="42"/>
      <c r="J82" s="6" t="s">
        <v>15</v>
      </c>
      <c r="K82" s="33" t="str">
        <f t="shared" si="5"/>
        <v/>
      </c>
      <c r="L82" s="6" t="s">
        <v>6</v>
      </c>
      <c r="M82" s="27"/>
      <c r="N82" s="27"/>
    </row>
    <row r="83" spans="1:14" ht="18.75" customHeight="1" x14ac:dyDescent="0.15">
      <c r="A83" s="11">
        <v>76</v>
      </c>
      <c r="B83" s="2"/>
      <c r="C83" s="88"/>
      <c r="D83" s="93"/>
      <c r="E83" s="88"/>
      <c r="F83" s="89" t="str">
        <f t="shared" si="3"/>
        <v/>
      </c>
      <c r="G83" s="5"/>
      <c r="H83" s="5" t="str">
        <f t="shared" si="4"/>
        <v/>
      </c>
      <c r="I83" s="35"/>
      <c r="J83" s="6" t="s">
        <v>15</v>
      </c>
      <c r="K83" s="33" t="str">
        <f t="shared" si="5"/>
        <v/>
      </c>
      <c r="L83" s="6" t="s">
        <v>6</v>
      </c>
      <c r="M83" s="27"/>
      <c r="N83" s="27"/>
    </row>
    <row r="84" spans="1:14" ht="18.75" customHeight="1" x14ac:dyDescent="0.15">
      <c r="A84" s="11">
        <v>77</v>
      </c>
      <c r="B84" s="2"/>
      <c r="C84" s="88"/>
      <c r="D84" s="93"/>
      <c r="E84" s="88"/>
      <c r="F84" s="89" t="str">
        <f t="shared" si="3"/>
        <v/>
      </c>
      <c r="G84" s="5"/>
      <c r="H84" s="5" t="str">
        <f t="shared" si="4"/>
        <v/>
      </c>
      <c r="I84" s="35"/>
      <c r="J84" s="6" t="s">
        <v>15</v>
      </c>
      <c r="K84" s="33" t="str">
        <f t="shared" si="5"/>
        <v/>
      </c>
      <c r="L84" s="6" t="s">
        <v>6</v>
      </c>
      <c r="M84" s="27"/>
      <c r="N84" s="27"/>
    </row>
    <row r="85" spans="1:14" ht="18.75" customHeight="1" x14ac:dyDescent="0.15">
      <c r="A85" s="11">
        <v>78</v>
      </c>
      <c r="B85" s="2"/>
      <c r="C85" s="88"/>
      <c r="D85" s="93"/>
      <c r="E85" s="88"/>
      <c r="F85" s="89" t="str">
        <f t="shared" si="3"/>
        <v/>
      </c>
      <c r="G85" s="5"/>
      <c r="H85" s="5" t="str">
        <f t="shared" si="4"/>
        <v/>
      </c>
      <c r="I85" s="35"/>
      <c r="J85" s="6" t="s">
        <v>15</v>
      </c>
      <c r="K85" s="37" t="str">
        <f t="shared" si="5"/>
        <v/>
      </c>
      <c r="L85" s="6" t="s">
        <v>6</v>
      </c>
      <c r="M85" s="27"/>
      <c r="N85" s="27"/>
    </row>
    <row r="86" spans="1:14" ht="18.75" customHeight="1" x14ac:dyDescent="0.15">
      <c r="A86" s="11">
        <v>79</v>
      </c>
      <c r="B86" s="2"/>
      <c r="C86" s="88"/>
      <c r="D86" s="93"/>
      <c r="E86" s="88"/>
      <c r="F86" s="89"/>
      <c r="G86" s="5"/>
      <c r="H86" s="5"/>
      <c r="I86" s="35"/>
      <c r="J86" s="6" t="s">
        <v>15</v>
      </c>
      <c r="K86" s="37"/>
      <c r="L86" s="6" t="s">
        <v>6</v>
      </c>
      <c r="M86" s="27"/>
      <c r="N86" s="27"/>
    </row>
    <row r="87" spans="1:14" ht="18.75" customHeight="1" x14ac:dyDescent="0.15">
      <c r="A87" s="11">
        <v>80</v>
      </c>
      <c r="B87" s="2"/>
      <c r="C87" s="88"/>
      <c r="D87" s="93"/>
      <c r="E87" s="88"/>
      <c r="F87" s="89" t="str">
        <f t="shared" si="3"/>
        <v/>
      </c>
      <c r="G87" s="5"/>
      <c r="H87" s="5" t="str">
        <f t="shared" si="4"/>
        <v/>
      </c>
      <c r="I87" s="35"/>
      <c r="J87" s="6" t="s">
        <v>15</v>
      </c>
      <c r="K87" s="37" t="str">
        <f>IF(I87&gt;0,I87*0.2,"")</f>
        <v/>
      </c>
      <c r="L87" s="6" t="s">
        <v>6</v>
      </c>
      <c r="M87" s="27"/>
      <c r="N87" s="27"/>
    </row>
    <row r="88" spans="1:14" ht="18.75" customHeight="1" x14ac:dyDescent="0.15">
      <c r="B88" s="44"/>
      <c r="C88" s="44"/>
      <c r="D88" s="45"/>
      <c r="E88" s="44"/>
      <c r="F88" s="44" t="str">
        <f t="shared" si="3"/>
        <v/>
      </c>
      <c r="G88" s="46"/>
      <c r="H88" s="46" t="str">
        <f t="shared" si="4"/>
        <v/>
      </c>
      <c r="I88" s="61">
        <f>SUM(I48:I87)+I44</f>
        <v>0</v>
      </c>
      <c r="J88" s="8" t="s">
        <v>15</v>
      </c>
      <c r="K88" s="47">
        <f>SUM(K48:K87)+K44</f>
        <v>0</v>
      </c>
      <c r="L88" s="8" t="s">
        <v>6</v>
      </c>
      <c r="M88" s="48"/>
      <c r="N88" s="48"/>
    </row>
  </sheetData>
  <mergeCells count="12">
    <mergeCell ref="B45:M45"/>
    <mergeCell ref="B46:M46"/>
    <mergeCell ref="C47:D47"/>
    <mergeCell ref="E47:F47"/>
    <mergeCell ref="I47:J47"/>
    <mergeCell ref="K47:L47"/>
    <mergeCell ref="B1:M1"/>
    <mergeCell ref="B2:M2"/>
    <mergeCell ref="C3:D3"/>
    <mergeCell ref="E3:F3"/>
    <mergeCell ref="I3:J3"/>
    <mergeCell ref="K3:L3"/>
  </mergeCells>
  <phoneticPr fontId="2"/>
  <dataValidations count="6">
    <dataValidation imeMode="on" allowBlank="1" showInputMessage="1" showErrorMessage="1" sqref="B44:C44 B88:C88" xr:uid="{72687482-0102-42DE-A491-5DF4C76CB12C}"/>
    <dataValidation imeMode="disabled" allowBlank="1" showInputMessage="1" showErrorMessage="1" sqref="G4:G40 N21:N42 H4:M42 N49:N63 N5:N19 G48:G84 E48:E88 N65:N88 H48:M88 E4:E44 M44:N44 H43:L44" xr:uid="{F454B0A2-BEEB-4791-B015-43B47368C23B}"/>
    <dataValidation type="list" imeMode="on" allowBlank="1" showInputMessage="1" prompt="なければ直接入力" sqref="D44 D88" xr:uid="{8E51B235-3D06-4B55-AA56-CE0097F7E1B0}">
      <formula1>"利尻島国保中央病院,福士水産㈱,高橋水産㈱"</formula1>
    </dataValidation>
    <dataValidation imeMode="disabled" allowBlank="1" showInputMessage="1" sqref="G85:G88 G41:G44" xr:uid="{DA7A62DE-15CB-445C-9154-1267FAFA3F38}"/>
    <dataValidation type="list" imeMode="on" allowBlank="1" showInputMessage="1" showErrorMessage="1" sqref="B4:C43 B48:C87" xr:uid="{423D113E-E46B-4444-836B-73BD9DC31814}">
      <formula1>"水産系燃え殻,医療系燃え殻"</formula1>
    </dataValidation>
    <dataValidation type="list" imeMode="on" allowBlank="1" showInputMessage="1" prompt="なければ直接入力" sqref="D4:D43 D48:D87" xr:uid="{8954D1B2-4677-41E2-91DC-07EA43BFE23D}">
      <formula1>"利尻島国保中央病院,道立鬼脇診療所,カムイウィスキー,福士水産㈱,糀谷商店,米田商店"</formula1>
    </dataValidation>
  </dataValidations>
  <printOptions horizontalCentered="1" verticalCentered="1"/>
  <pageMargins left="0.59055118110236227" right="0.59055118110236227" top="0.59055118110236227" bottom="0.59055118110236227" header="0" footer="0"/>
  <pageSetup paperSize="9" orientation="portrait" horizontalDpi="4294967293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377F-0D12-4E23-9787-691F4BA628A1}">
  <dimension ref="A1:O88"/>
  <sheetViews>
    <sheetView workbookViewId="0">
      <selection sqref="A1:XFD1048576"/>
    </sheetView>
  </sheetViews>
  <sheetFormatPr defaultRowHeight="13.5" x14ac:dyDescent="0.15"/>
  <cols>
    <col min="1" max="1" width="3.375" style="12" customWidth="1"/>
    <col min="2" max="2" width="12.25" style="10" customWidth="1"/>
    <col min="3" max="3" width="1" style="10" customWidth="1"/>
    <col min="4" max="4" width="17.625" style="12" customWidth="1"/>
    <col min="5" max="5" width="10.625" style="10" customWidth="1"/>
    <col min="6" max="6" width="2.125" style="10" customWidth="1"/>
    <col min="7" max="8" width="8.125" style="10" customWidth="1"/>
    <col min="9" max="9" width="6" style="13" customWidth="1"/>
    <col min="10" max="10" width="2.375" style="10" customWidth="1"/>
    <col min="11" max="11" width="5.5" style="10" customWidth="1"/>
    <col min="12" max="12" width="2.25" style="10" customWidth="1"/>
    <col min="13" max="13" width="6.25" style="49" customWidth="1"/>
    <col min="14" max="14" width="6.25" style="10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 x14ac:dyDescent="0.15">
      <c r="B1" s="95" t="s">
        <v>9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5" ht="21" customHeight="1" x14ac:dyDescent="0.15"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spans="1:15" ht="27" customHeight="1" x14ac:dyDescent="0.15">
      <c r="A3" s="11"/>
      <c r="B3" s="29" t="s">
        <v>1</v>
      </c>
      <c r="C3" s="102" t="s">
        <v>2</v>
      </c>
      <c r="D3" s="103"/>
      <c r="E3" s="104" t="s">
        <v>3</v>
      </c>
      <c r="F3" s="105"/>
      <c r="G3" s="87" t="s">
        <v>4</v>
      </c>
      <c r="H3" s="87" t="s">
        <v>7</v>
      </c>
      <c r="I3" s="106" t="s">
        <v>8</v>
      </c>
      <c r="J3" s="107"/>
      <c r="K3" s="106" t="s">
        <v>5</v>
      </c>
      <c r="L3" s="106"/>
      <c r="M3" s="30" t="s">
        <v>10</v>
      </c>
      <c r="N3" s="31" t="s">
        <v>18</v>
      </c>
    </row>
    <row r="4" spans="1:15" ht="18.75" customHeight="1" x14ac:dyDescent="0.15">
      <c r="A4" s="11">
        <v>1</v>
      </c>
      <c r="B4" s="2"/>
      <c r="C4" s="88"/>
      <c r="D4" s="93"/>
      <c r="E4" s="88"/>
      <c r="F4" s="89" t="str">
        <f t="shared" ref="F4:F41" si="0">IF(E4="","",E4-INT(E4/7)*7)</f>
        <v/>
      </c>
      <c r="G4" s="5"/>
      <c r="H4" s="5" t="str">
        <f t="shared" ref="H4:H41" si="1">IF(G4="","",G4)</f>
        <v/>
      </c>
      <c r="I4" s="32"/>
      <c r="J4" s="6" t="s">
        <v>15</v>
      </c>
      <c r="K4" s="33" t="str">
        <f t="shared" ref="K4:K41" si="2">IF(I4&gt;0,I4*0.2,"")</f>
        <v/>
      </c>
      <c r="L4" s="6" t="s">
        <v>6</v>
      </c>
      <c r="M4" s="27"/>
      <c r="N4" s="34"/>
    </row>
    <row r="5" spans="1:15" ht="18.75" customHeight="1" x14ac:dyDescent="0.15">
      <c r="A5" s="11">
        <v>2</v>
      </c>
      <c r="B5" s="2"/>
      <c r="C5" s="88"/>
      <c r="D5" s="93"/>
      <c r="E5" s="7"/>
      <c r="F5" s="89" t="str">
        <f t="shared" si="0"/>
        <v/>
      </c>
      <c r="G5" s="5"/>
      <c r="H5" s="5" t="str">
        <f t="shared" si="1"/>
        <v/>
      </c>
      <c r="I5" s="35"/>
      <c r="J5" s="36" t="s">
        <v>15</v>
      </c>
      <c r="K5" s="37" t="str">
        <f t="shared" si="2"/>
        <v/>
      </c>
      <c r="L5" s="6" t="s">
        <v>6</v>
      </c>
      <c r="M5" s="27"/>
      <c r="N5" s="27"/>
    </row>
    <row r="6" spans="1:15" ht="18.75" customHeight="1" x14ac:dyDescent="0.15">
      <c r="A6" s="11">
        <v>3</v>
      </c>
      <c r="B6" s="2"/>
      <c r="C6" s="88"/>
      <c r="D6" s="93"/>
      <c r="E6" s="88"/>
      <c r="F6" s="89" t="str">
        <f t="shared" si="0"/>
        <v/>
      </c>
      <c r="G6" s="5"/>
      <c r="H6" s="5" t="str">
        <f t="shared" si="1"/>
        <v/>
      </c>
      <c r="I6" s="38"/>
      <c r="J6" s="8" t="s">
        <v>15</v>
      </c>
      <c r="K6" s="39" t="str">
        <f t="shared" si="2"/>
        <v/>
      </c>
      <c r="L6" s="9" t="s">
        <v>6</v>
      </c>
      <c r="M6" s="40"/>
      <c r="N6" s="27"/>
    </row>
    <row r="7" spans="1:15" ht="18.75" customHeight="1" x14ac:dyDescent="0.15">
      <c r="A7" s="11">
        <v>4</v>
      </c>
      <c r="B7" s="2"/>
      <c r="C7" s="88"/>
      <c r="D7" s="93"/>
      <c r="E7" s="88"/>
      <c r="F7" s="89" t="str">
        <f t="shared" si="0"/>
        <v/>
      </c>
      <c r="G7" s="5"/>
      <c r="H7" s="5" t="str">
        <f t="shared" si="1"/>
        <v/>
      </c>
      <c r="I7" s="35"/>
      <c r="J7" s="6" t="s">
        <v>15</v>
      </c>
      <c r="K7" s="33" t="str">
        <f t="shared" si="2"/>
        <v/>
      </c>
      <c r="L7" s="6" t="s">
        <v>6</v>
      </c>
      <c r="M7" s="27"/>
      <c r="N7" s="27"/>
    </row>
    <row r="8" spans="1:15" ht="18.75" customHeight="1" x14ac:dyDescent="0.15">
      <c r="A8" s="11">
        <v>5</v>
      </c>
      <c r="B8" s="2"/>
      <c r="C8" s="88"/>
      <c r="D8" s="93"/>
      <c r="E8" s="88"/>
      <c r="F8" s="89" t="str">
        <f t="shared" si="0"/>
        <v/>
      </c>
      <c r="G8" s="5"/>
      <c r="H8" s="5" t="str">
        <f t="shared" si="1"/>
        <v/>
      </c>
      <c r="I8" s="35"/>
      <c r="J8" s="6" t="s">
        <v>15</v>
      </c>
      <c r="K8" s="33" t="str">
        <f t="shared" si="2"/>
        <v/>
      </c>
      <c r="L8" s="6" t="s">
        <v>6</v>
      </c>
      <c r="M8" s="27"/>
      <c r="N8" s="27"/>
    </row>
    <row r="9" spans="1:15" ht="18.75" customHeight="1" x14ac:dyDescent="0.15">
      <c r="A9" s="11">
        <v>6</v>
      </c>
      <c r="B9" s="2"/>
      <c r="C9" s="88"/>
      <c r="D9" s="93"/>
      <c r="E9" s="88"/>
      <c r="F9" s="89" t="str">
        <f t="shared" si="0"/>
        <v/>
      </c>
      <c r="G9" s="5"/>
      <c r="H9" s="5" t="str">
        <f t="shared" si="1"/>
        <v/>
      </c>
      <c r="I9" s="35"/>
      <c r="J9" s="6" t="s">
        <v>15</v>
      </c>
      <c r="K9" s="33" t="str">
        <f t="shared" si="2"/>
        <v/>
      </c>
      <c r="L9" s="6" t="s">
        <v>6</v>
      </c>
      <c r="M9" s="27"/>
      <c r="N9" s="27"/>
    </row>
    <row r="10" spans="1:15" ht="18.75" customHeight="1" x14ac:dyDescent="0.15">
      <c r="A10" s="11">
        <v>7</v>
      </c>
      <c r="B10" s="2"/>
      <c r="C10" s="88"/>
      <c r="D10" s="93"/>
      <c r="E10" s="88"/>
      <c r="F10" s="89" t="str">
        <f t="shared" si="0"/>
        <v/>
      </c>
      <c r="G10" s="5"/>
      <c r="H10" s="5" t="str">
        <f t="shared" si="1"/>
        <v/>
      </c>
      <c r="I10" s="35"/>
      <c r="J10" s="6" t="s">
        <v>15</v>
      </c>
      <c r="K10" s="33" t="str">
        <f t="shared" si="2"/>
        <v/>
      </c>
      <c r="L10" s="6" t="s">
        <v>6</v>
      </c>
      <c r="M10" s="27"/>
      <c r="N10" s="27"/>
    </row>
    <row r="11" spans="1:15" ht="18.75" customHeight="1" x14ac:dyDescent="0.15">
      <c r="A11" s="11">
        <v>8</v>
      </c>
      <c r="B11" s="2"/>
      <c r="C11" s="88"/>
      <c r="D11" s="93"/>
      <c r="E11" s="88"/>
      <c r="F11" s="89" t="str">
        <f t="shared" si="0"/>
        <v/>
      </c>
      <c r="G11" s="5"/>
      <c r="H11" s="5" t="str">
        <f t="shared" si="1"/>
        <v/>
      </c>
      <c r="I11" s="41"/>
      <c r="J11" s="8" t="s">
        <v>15</v>
      </c>
      <c r="K11" s="33" t="str">
        <f t="shared" si="2"/>
        <v/>
      </c>
      <c r="L11" s="9" t="s">
        <v>6</v>
      </c>
      <c r="M11" s="27"/>
      <c r="N11" s="27"/>
    </row>
    <row r="12" spans="1:15" ht="18.75" customHeight="1" x14ac:dyDescent="0.15">
      <c r="A12" s="11">
        <v>9</v>
      </c>
      <c r="B12" s="2"/>
      <c r="C12" s="88"/>
      <c r="D12" s="93"/>
      <c r="E12" s="88"/>
      <c r="F12" s="89" t="str">
        <f t="shared" si="0"/>
        <v/>
      </c>
      <c r="G12" s="5"/>
      <c r="H12" s="5" t="str">
        <f t="shared" si="1"/>
        <v/>
      </c>
      <c r="I12" s="35"/>
      <c r="J12" s="6" t="s">
        <v>15</v>
      </c>
      <c r="K12" s="33" t="str">
        <f t="shared" si="2"/>
        <v/>
      </c>
      <c r="L12" s="6" t="s">
        <v>6</v>
      </c>
      <c r="M12" s="27"/>
      <c r="N12" s="27"/>
    </row>
    <row r="13" spans="1:15" ht="18.75" customHeight="1" x14ac:dyDescent="0.15">
      <c r="A13" s="11">
        <v>10</v>
      </c>
      <c r="B13" s="2"/>
      <c r="C13" s="88"/>
      <c r="D13" s="93"/>
      <c r="E13" s="88"/>
      <c r="F13" s="89" t="str">
        <f t="shared" si="0"/>
        <v/>
      </c>
      <c r="G13" s="5"/>
      <c r="H13" s="5" t="str">
        <f t="shared" si="1"/>
        <v/>
      </c>
      <c r="I13" s="41"/>
      <c r="J13" s="8" t="s">
        <v>15</v>
      </c>
      <c r="K13" s="33" t="str">
        <f t="shared" si="2"/>
        <v/>
      </c>
      <c r="L13" s="9" t="s">
        <v>6</v>
      </c>
      <c r="M13" s="27"/>
      <c r="N13" s="27"/>
    </row>
    <row r="14" spans="1:15" ht="18.75" customHeight="1" x14ac:dyDescent="0.15">
      <c r="A14" s="11">
        <v>11</v>
      </c>
      <c r="B14" s="2"/>
      <c r="C14" s="88"/>
      <c r="D14" s="93"/>
      <c r="E14" s="88"/>
      <c r="F14" s="89" t="str">
        <f t="shared" si="0"/>
        <v/>
      </c>
      <c r="G14" s="5"/>
      <c r="H14" s="5" t="str">
        <f t="shared" si="1"/>
        <v/>
      </c>
      <c r="I14" s="35"/>
      <c r="J14" s="6" t="s">
        <v>15</v>
      </c>
      <c r="K14" s="33" t="str">
        <f t="shared" si="2"/>
        <v/>
      </c>
      <c r="L14" s="6" t="s">
        <v>6</v>
      </c>
      <c r="M14" s="27"/>
      <c r="N14" s="27"/>
      <c r="O14" s="59"/>
    </row>
    <row r="15" spans="1:15" ht="18.75" customHeight="1" x14ac:dyDescent="0.15">
      <c r="A15" s="11">
        <v>12</v>
      </c>
      <c r="B15" s="2"/>
      <c r="C15" s="88"/>
      <c r="D15" s="93"/>
      <c r="E15" s="88"/>
      <c r="F15" s="89" t="str">
        <f t="shared" si="0"/>
        <v/>
      </c>
      <c r="G15" s="5"/>
      <c r="H15" s="5" t="str">
        <f t="shared" si="1"/>
        <v/>
      </c>
      <c r="I15" s="42"/>
      <c r="J15" s="8" t="s">
        <v>15</v>
      </c>
      <c r="K15" s="33" t="str">
        <f t="shared" si="2"/>
        <v/>
      </c>
      <c r="L15" s="6" t="s">
        <v>6</v>
      </c>
      <c r="M15" s="27"/>
      <c r="N15" s="27"/>
    </row>
    <row r="16" spans="1:15" ht="18.75" customHeight="1" x14ac:dyDescent="0.15">
      <c r="A16" s="11">
        <v>13</v>
      </c>
      <c r="B16" s="2"/>
      <c r="C16" s="88"/>
      <c r="D16" s="93"/>
      <c r="E16" s="88"/>
      <c r="F16" s="89" t="str">
        <f t="shared" si="0"/>
        <v/>
      </c>
      <c r="G16" s="5"/>
      <c r="H16" s="5" t="str">
        <f t="shared" si="1"/>
        <v/>
      </c>
      <c r="I16" s="35"/>
      <c r="J16" s="6" t="s">
        <v>15</v>
      </c>
      <c r="K16" s="33" t="str">
        <f t="shared" si="2"/>
        <v/>
      </c>
      <c r="L16" s="6" t="s">
        <v>6</v>
      </c>
      <c r="M16" s="27"/>
      <c r="N16" s="27"/>
    </row>
    <row r="17" spans="1:15" ht="18.75" customHeight="1" x14ac:dyDescent="0.15">
      <c r="A17" s="11">
        <v>14</v>
      </c>
      <c r="B17" s="2"/>
      <c r="C17" s="88"/>
      <c r="D17" s="93"/>
      <c r="E17" s="88"/>
      <c r="F17" s="89" t="str">
        <f t="shared" si="0"/>
        <v/>
      </c>
      <c r="G17" s="5"/>
      <c r="H17" s="5" t="str">
        <f t="shared" si="1"/>
        <v/>
      </c>
      <c r="I17" s="35"/>
      <c r="J17" s="6" t="s">
        <v>15</v>
      </c>
      <c r="K17" s="33" t="str">
        <f t="shared" si="2"/>
        <v/>
      </c>
      <c r="L17" s="6" t="s">
        <v>6</v>
      </c>
      <c r="M17" s="27"/>
      <c r="N17" s="27"/>
    </row>
    <row r="18" spans="1:15" ht="18.75" customHeight="1" x14ac:dyDescent="0.15">
      <c r="A18" s="11">
        <v>15</v>
      </c>
      <c r="B18" s="2"/>
      <c r="C18" s="88"/>
      <c r="D18" s="93"/>
      <c r="E18" s="88"/>
      <c r="F18" s="89" t="str">
        <f t="shared" si="0"/>
        <v/>
      </c>
      <c r="G18" s="5"/>
      <c r="H18" s="5" t="str">
        <f t="shared" si="1"/>
        <v/>
      </c>
      <c r="I18" s="41"/>
      <c r="J18" s="6" t="s">
        <v>15</v>
      </c>
      <c r="K18" s="33" t="str">
        <f t="shared" si="2"/>
        <v/>
      </c>
      <c r="L18" s="9" t="s">
        <v>6</v>
      </c>
      <c r="M18" s="27"/>
      <c r="N18" s="27"/>
    </row>
    <row r="19" spans="1:15" ht="18.75" customHeight="1" x14ac:dyDescent="0.15">
      <c r="A19" s="11">
        <v>16</v>
      </c>
      <c r="B19" s="2"/>
      <c r="C19" s="88"/>
      <c r="D19" s="93"/>
      <c r="E19" s="88"/>
      <c r="F19" s="89" t="str">
        <f t="shared" si="0"/>
        <v/>
      </c>
      <c r="G19" s="5"/>
      <c r="H19" s="5" t="str">
        <f t="shared" si="1"/>
        <v/>
      </c>
      <c r="I19" s="35"/>
      <c r="J19" s="6" t="s">
        <v>15</v>
      </c>
      <c r="K19" s="33" t="str">
        <f t="shared" si="2"/>
        <v/>
      </c>
      <c r="L19" s="6" t="s">
        <v>6</v>
      </c>
      <c r="M19" s="27"/>
      <c r="N19" s="27"/>
    </row>
    <row r="20" spans="1:15" ht="18.75" customHeight="1" x14ac:dyDescent="0.15">
      <c r="A20" s="11">
        <v>17</v>
      </c>
      <c r="B20" s="2"/>
      <c r="C20" s="88"/>
      <c r="D20" s="93"/>
      <c r="E20" s="7"/>
      <c r="F20" s="89" t="str">
        <f t="shared" si="0"/>
        <v/>
      </c>
      <c r="G20" s="5"/>
      <c r="H20" s="5" t="str">
        <f t="shared" si="1"/>
        <v/>
      </c>
      <c r="I20" s="42"/>
      <c r="J20" s="8" t="s">
        <v>15</v>
      </c>
      <c r="K20" s="33" t="str">
        <f t="shared" si="2"/>
        <v/>
      </c>
      <c r="L20" s="6" t="s">
        <v>6</v>
      </c>
      <c r="M20" s="27"/>
      <c r="N20" s="34"/>
    </row>
    <row r="21" spans="1:15" ht="18.75" customHeight="1" x14ac:dyDescent="0.15">
      <c r="A21" s="11">
        <v>18</v>
      </c>
      <c r="B21" s="2"/>
      <c r="C21" s="88"/>
      <c r="D21" s="93"/>
      <c r="E21" s="88"/>
      <c r="F21" s="89" t="str">
        <f t="shared" si="0"/>
        <v/>
      </c>
      <c r="G21" s="5"/>
      <c r="H21" s="5" t="str">
        <f t="shared" si="1"/>
        <v/>
      </c>
      <c r="I21" s="35"/>
      <c r="J21" s="6" t="s">
        <v>15</v>
      </c>
      <c r="K21" s="33" t="str">
        <f t="shared" si="2"/>
        <v/>
      </c>
      <c r="L21" s="6" t="s">
        <v>6</v>
      </c>
      <c r="M21" s="27"/>
      <c r="N21" s="27"/>
    </row>
    <row r="22" spans="1:15" ht="18.75" customHeight="1" x14ac:dyDescent="0.15">
      <c r="A22" s="11">
        <v>19</v>
      </c>
      <c r="B22" s="2"/>
      <c r="C22" s="88"/>
      <c r="D22" s="93"/>
      <c r="E22" s="88"/>
      <c r="F22" s="89" t="str">
        <f t="shared" si="0"/>
        <v/>
      </c>
      <c r="G22" s="5"/>
      <c r="H22" s="5" t="str">
        <f t="shared" si="1"/>
        <v/>
      </c>
      <c r="I22" s="35"/>
      <c r="J22" s="6" t="s">
        <v>15</v>
      </c>
      <c r="K22" s="33" t="str">
        <f t="shared" si="2"/>
        <v/>
      </c>
      <c r="L22" s="6" t="s">
        <v>6</v>
      </c>
      <c r="M22" s="27"/>
      <c r="N22" s="27"/>
    </row>
    <row r="23" spans="1:15" ht="18.75" customHeight="1" x14ac:dyDescent="0.15">
      <c r="A23" s="11">
        <v>20</v>
      </c>
      <c r="B23" s="2"/>
      <c r="C23" s="88"/>
      <c r="D23" s="93"/>
      <c r="E23" s="88"/>
      <c r="F23" s="89" t="str">
        <f t="shared" si="0"/>
        <v/>
      </c>
      <c r="G23" s="5"/>
      <c r="H23" s="5" t="str">
        <f t="shared" si="1"/>
        <v/>
      </c>
      <c r="I23" s="35"/>
      <c r="J23" s="6" t="s">
        <v>11</v>
      </c>
      <c r="K23" s="33" t="str">
        <f t="shared" si="2"/>
        <v/>
      </c>
      <c r="L23" s="6" t="s">
        <v>6</v>
      </c>
      <c r="M23" s="27"/>
      <c r="N23" s="27"/>
    </row>
    <row r="24" spans="1:15" ht="18.75" customHeight="1" x14ac:dyDescent="0.15">
      <c r="A24" s="11">
        <v>21</v>
      </c>
      <c r="B24" s="2"/>
      <c r="C24" s="88"/>
      <c r="D24" s="93"/>
      <c r="E24" s="88"/>
      <c r="F24" s="89" t="str">
        <f t="shared" si="0"/>
        <v/>
      </c>
      <c r="G24" s="5"/>
      <c r="H24" s="5" t="str">
        <f t="shared" si="1"/>
        <v/>
      </c>
      <c r="I24" s="35"/>
      <c r="J24" s="8" t="s">
        <v>11</v>
      </c>
      <c r="K24" s="33" t="str">
        <f t="shared" si="2"/>
        <v/>
      </c>
      <c r="L24" s="6" t="s">
        <v>6</v>
      </c>
      <c r="M24" s="27"/>
      <c r="N24" s="27"/>
    </row>
    <row r="25" spans="1:15" ht="18.75" customHeight="1" x14ac:dyDescent="0.15">
      <c r="A25" s="11">
        <v>22</v>
      </c>
      <c r="B25" s="2"/>
      <c r="C25" s="88"/>
      <c r="D25" s="93"/>
      <c r="E25" s="88"/>
      <c r="F25" s="89" t="str">
        <f t="shared" si="0"/>
        <v/>
      </c>
      <c r="G25" s="5"/>
      <c r="H25" s="5" t="str">
        <f t="shared" si="1"/>
        <v/>
      </c>
      <c r="I25" s="41"/>
      <c r="J25" s="6" t="s">
        <v>11</v>
      </c>
      <c r="K25" s="33" t="str">
        <f t="shared" si="2"/>
        <v/>
      </c>
      <c r="L25" s="6" t="s">
        <v>6</v>
      </c>
      <c r="M25" s="27"/>
      <c r="N25" s="27"/>
    </row>
    <row r="26" spans="1:15" ht="18.75" customHeight="1" x14ac:dyDescent="0.15">
      <c r="A26" s="11">
        <v>23</v>
      </c>
      <c r="B26" s="2"/>
      <c r="C26" s="88"/>
      <c r="D26" s="93"/>
      <c r="E26" s="88"/>
      <c r="F26" s="89" t="str">
        <f t="shared" si="0"/>
        <v/>
      </c>
      <c r="G26" s="5"/>
      <c r="H26" s="5" t="str">
        <f t="shared" si="1"/>
        <v/>
      </c>
      <c r="I26" s="41"/>
      <c r="J26" s="6" t="s">
        <v>15</v>
      </c>
      <c r="K26" s="33" t="str">
        <f t="shared" si="2"/>
        <v/>
      </c>
      <c r="L26" s="6" t="s">
        <v>6</v>
      </c>
      <c r="M26" s="27"/>
      <c r="N26" s="27"/>
    </row>
    <row r="27" spans="1:15" ht="18.75" customHeight="1" x14ac:dyDescent="0.15">
      <c r="A27" s="11">
        <v>24</v>
      </c>
      <c r="B27" s="2"/>
      <c r="C27" s="88"/>
      <c r="D27" s="93"/>
      <c r="E27" s="88"/>
      <c r="F27" s="89" t="str">
        <f t="shared" si="0"/>
        <v/>
      </c>
      <c r="G27" s="5"/>
      <c r="H27" s="5" t="str">
        <f t="shared" si="1"/>
        <v/>
      </c>
      <c r="I27" s="35"/>
      <c r="J27" s="8" t="s">
        <v>15</v>
      </c>
      <c r="K27" s="33" t="str">
        <f t="shared" si="2"/>
        <v/>
      </c>
      <c r="L27" s="6" t="s">
        <v>6</v>
      </c>
      <c r="M27" s="27"/>
      <c r="N27" s="27"/>
      <c r="O27" s="59"/>
    </row>
    <row r="28" spans="1:15" ht="18.75" customHeight="1" x14ac:dyDescent="0.15">
      <c r="A28" s="11">
        <v>25</v>
      </c>
      <c r="B28" s="2"/>
      <c r="C28" s="88"/>
      <c r="D28" s="93"/>
      <c r="E28" s="88"/>
      <c r="F28" s="89" t="str">
        <f t="shared" si="0"/>
        <v/>
      </c>
      <c r="G28" s="5"/>
      <c r="H28" s="5" t="str">
        <f t="shared" si="1"/>
        <v/>
      </c>
      <c r="I28" s="35"/>
      <c r="J28" s="6" t="s">
        <v>15</v>
      </c>
      <c r="K28" s="33" t="str">
        <f t="shared" si="2"/>
        <v/>
      </c>
      <c r="L28" s="6" t="s">
        <v>6</v>
      </c>
      <c r="M28" s="27"/>
      <c r="N28" s="27"/>
    </row>
    <row r="29" spans="1:15" ht="18.75" customHeight="1" x14ac:dyDescent="0.15">
      <c r="A29" s="11">
        <v>26</v>
      </c>
      <c r="B29" s="2"/>
      <c r="C29" s="88"/>
      <c r="D29" s="93"/>
      <c r="E29" s="88"/>
      <c r="F29" s="89" t="str">
        <f t="shared" si="0"/>
        <v/>
      </c>
      <c r="G29" s="5"/>
      <c r="H29" s="5" t="str">
        <f t="shared" si="1"/>
        <v/>
      </c>
      <c r="I29" s="35"/>
      <c r="J29" s="6" t="s">
        <v>15</v>
      </c>
      <c r="K29" s="33" t="str">
        <f t="shared" si="2"/>
        <v/>
      </c>
      <c r="L29" s="6" t="s">
        <v>6</v>
      </c>
      <c r="M29" s="27"/>
      <c r="N29" s="27"/>
    </row>
    <row r="30" spans="1:15" ht="18.75" customHeight="1" x14ac:dyDescent="0.15">
      <c r="A30" s="11">
        <v>27</v>
      </c>
      <c r="B30" s="2"/>
      <c r="C30" s="88"/>
      <c r="D30" s="93"/>
      <c r="E30" s="88"/>
      <c r="F30" s="89" t="str">
        <f t="shared" si="0"/>
        <v/>
      </c>
      <c r="G30" s="5"/>
      <c r="H30" s="5" t="str">
        <f t="shared" si="1"/>
        <v/>
      </c>
      <c r="I30" s="35"/>
      <c r="J30" s="8" t="s">
        <v>15</v>
      </c>
      <c r="K30" s="33" t="str">
        <f t="shared" si="2"/>
        <v/>
      </c>
      <c r="L30" s="6" t="s">
        <v>6</v>
      </c>
      <c r="M30" s="27"/>
      <c r="N30" s="27"/>
    </row>
    <row r="31" spans="1:15" ht="18.75" customHeight="1" x14ac:dyDescent="0.15">
      <c r="A31" s="11">
        <v>28</v>
      </c>
      <c r="B31" s="2"/>
      <c r="C31" s="88"/>
      <c r="D31" s="93"/>
      <c r="E31" s="7"/>
      <c r="F31" s="89" t="str">
        <f t="shared" si="0"/>
        <v/>
      </c>
      <c r="G31" s="5"/>
      <c r="H31" s="5" t="str">
        <f t="shared" si="1"/>
        <v/>
      </c>
      <c r="I31" s="41"/>
      <c r="J31" s="6" t="s">
        <v>15</v>
      </c>
      <c r="K31" s="33" t="str">
        <f t="shared" si="2"/>
        <v/>
      </c>
      <c r="L31" s="6" t="s">
        <v>6</v>
      </c>
      <c r="M31" s="27"/>
      <c r="N31" s="27"/>
    </row>
    <row r="32" spans="1:15" ht="18.75" customHeight="1" x14ac:dyDescent="0.15">
      <c r="A32" s="11">
        <v>29</v>
      </c>
      <c r="B32" s="2"/>
      <c r="C32" s="88"/>
      <c r="D32" s="93"/>
      <c r="E32" s="88"/>
      <c r="F32" s="89" t="str">
        <f t="shared" si="0"/>
        <v/>
      </c>
      <c r="G32" s="5"/>
      <c r="H32" s="5" t="str">
        <f t="shared" si="1"/>
        <v/>
      </c>
      <c r="I32" s="35"/>
      <c r="J32" s="6" t="s">
        <v>15</v>
      </c>
      <c r="K32" s="33" t="str">
        <f t="shared" si="2"/>
        <v/>
      </c>
      <c r="L32" s="6" t="s">
        <v>6</v>
      </c>
      <c r="M32" s="27"/>
      <c r="N32" s="27"/>
    </row>
    <row r="33" spans="1:15" ht="18.75" customHeight="1" x14ac:dyDescent="0.15">
      <c r="A33" s="11">
        <v>30</v>
      </c>
      <c r="B33" s="2"/>
      <c r="C33" s="88"/>
      <c r="D33" s="93"/>
      <c r="E33" s="88"/>
      <c r="F33" s="89" t="str">
        <f t="shared" si="0"/>
        <v/>
      </c>
      <c r="G33" s="5"/>
      <c r="H33" s="5" t="str">
        <f t="shared" si="1"/>
        <v/>
      </c>
      <c r="I33" s="35"/>
      <c r="J33" s="6" t="s">
        <v>15</v>
      </c>
      <c r="K33" s="33" t="str">
        <f t="shared" si="2"/>
        <v/>
      </c>
      <c r="L33" s="6" t="s">
        <v>6</v>
      </c>
      <c r="M33" s="27"/>
      <c r="N33" s="27"/>
    </row>
    <row r="34" spans="1:15" ht="18.75" customHeight="1" x14ac:dyDescent="0.15">
      <c r="A34" s="11">
        <v>31</v>
      </c>
      <c r="B34" s="2"/>
      <c r="C34" s="88"/>
      <c r="D34" s="93"/>
      <c r="E34" s="88"/>
      <c r="F34" s="89" t="str">
        <f t="shared" si="0"/>
        <v/>
      </c>
      <c r="G34" s="5"/>
      <c r="H34" s="5" t="str">
        <f t="shared" si="1"/>
        <v/>
      </c>
      <c r="I34" s="42"/>
      <c r="J34" s="6" t="s">
        <v>15</v>
      </c>
      <c r="K34" s="33" t="str">
        <f t="shared" si="2"/>
        <v/>
      </c>
      <c r="L34" s="6" t="s">
        <v>6</v>
      </c>
      <c r="M34" s="27"/>
      <c r="N34" s="27"/>
      <c r="O34" s="59"/>
    </row>
    <row r="35" spans="1:15" ht="18.75" customHeight="1" x14ac:dyDescent="0.15">
      <c r="A35" s="11">
        <v>32</v>
      </c>
      <c r="B35" s="2"/>
      <c r="C35" s="88"/>
      <c r="D35" s="93"/>
      <c r="E35" s="7"/>
      <c r="F35" s="89" t="str">
        <f t="shared" si="0"/>
        <v/>
      </c>
      <c r="G35" s="5"/>
      <c r="H35" s="5" t="str">
        <f t="shared" si="1"/>
        <v/>
      </c>
      <c r="I35" s="35"/>
      <c r="J35" s="6" t="s">
        <v>15</v>
      </c>
      <c r="K35" s="33" t="str">
        <f t="shared" si="2"/>
        <v/>
      </c>
      <c r="L35" s="6" t="s">
        <v>6</v>
      </c>
      <c r="M35" s="27"/>
      <c r="N35" s="27"/>
    </row>
    <row r="36" spans="1:15" ht="18.75" customHeight="1" x14ac:dyDescent="0.15">
      <c r="A36" s="11">
        <v>33</v>
      </c>
      <c r="B36" s="2"/>
      <c r="C36" s="88"/>
      <c r="D36" s="93"/>
      <c r="E36" s="88"/>
      <c r="F36" s="89" t="str">
        <f t="shared" si="0"/>
        <v/>
      </c>
      <c r="G36" s="5"/>
      <c r="H36" s="5" t="str">
        <f t="shared" si="1"/>
        <v/>
      </c>
      <c r="I36" s="43"/>
      <c r="J36" s="6" t="s">
        <v>15</v>
      </c>
      <c r="K36" s="33" t="str">
        <f t="shared" si="2"/>
        <v/>
      </c>
      <c r="L36" s="6" t="s">
        <v>6</v>
      </c>
      <c r="M36" s="27"/>
      <c r="N36" s="27"/>
    </row>
    <row r="37" spans="1:15" ht="18.75" customHeight="1" x14ac:dyDescent="0.15">
      <c r="A37" s="11">
        <v>34</v>
      </c>
      <c r="B37" s="2"/>
      <c r="C37" s="88"/>
      <c r="D37" s="93"/>
      <c r="E37" s="88"/>
      <c r="F37" s="89" t="str">
        <f t="shared" si="0"/>
        <v/>
      </c>
      <c r="G37" s="5"/>
      <c r="H37" s="5" t="str">
        <f t="shared" si="1"/>
        <v/>
      </c>
      <c r="I37" s="35"/>
      <c r="J37" s="6" t="s">
        <v>15</v>
      </c>
      <c r="K37" s="33" t="str">
        <f t="shared" si="2"/>
        <v/>
      </c>
      <c r="L37" s="6" t="s">
        <v>6</v>
      </c>
      <c r="M37" s="27"/>
      <c r="N37" s="27"/>
    </row>
    <row r="38" spans="1:15" ht="18.75" customHeight="1" x14ac:dyDescent="0.15">
      <c r="A38" s="11">
        <v>35</v>
      </c>
      <c r="B38" s="2"/>
      <c r="C38" s="88"/>
      <c r="D38" s="93"/>
      <c r="E38" s="7"/>
      <c r="F38" s="89" t="str">
        <f t="shared" si="0"/>
        <v/>
      </c>
      <c r="G38" s="5"/>
      <c r="H38" s="5" t="str">
        <f t="shared" si="1"/>
        <v/>
      </c>
      <c r="I38" s="42"/>
      <c r="J38" s="6" t="s">
        <v>15</v>
      </c>
      <c r="K38" s="33" t="str">
        <f t="shared" si="2"/>
        <v/>
      </c>
      <c r="L38" s="6" t="s">
        <v>6</v>
      </c>
      <c r="M38" s="27"/>
      <c r="N38" s="27"/>
    </row>
    <row r="39" spans="1:15" ht="18.75" customHeight="1" x14ac:dyDescent="0.15">
      <c r="A39" s="11">
        <v>36</v>
      </c>
      <c r="B39" s="2"/>
      <c r="C39" s="88"/>
      <c r="D39" s="93"/>
      <c r="E39" s="88"/>
      <c r="F39" s="89" t="str">
        <f t="shared" si="0"/>
        <v/>
      </c>
      <c r="G39" s="5"/>
      <c r="H39" s="5" t="str">
        <f t="shared" si="1"/>
        <v/>
      </c>
      <c r="I39" s="35"/>
      <c r="J39" s="6" t="s">
        <v>15</v>
      </c>
      <c r="K39" s="33" t="str">
        <f t="shared" si="2"/>
        <v/>
      </c>
      <c r="L39" s="6" t="s">
        <v>6</v>
      </c>
      <c r="M39" s="27"/>
      <c r="N39" s="27"/>
    </row>
    <row r="40" spans="1:15" ht="18.75" customHeight="1" x14ac:dyDescent="0.15">
      <c r="A40" s="11">
        <v>37</v>
      </c>
      <c r="B40" s="2"/>
      <c r="C40" s="88"/>
      <c r="D40" s="93"/>
      <c r="E40" s="88"/>
      <c r="F40" s="89" t="str">
        <f t="shared" si="0"/>
        <v/>
      </c>
      <c r="G40" s="5"/>
      <c r="H40" s="5" t="str">
        <f t="shared" si="1"/>
        <v/>
      </c>
      <c r="I40" s="35"/>
      <c r="J40" s="6" t="s">
        <v>15</v>
      </c>
      <c r="K40" s="33" t="str">
        <f t="shared" si="2"/>
        <v/>
      </c>
      <c r="L40" s="6" t="s">
        <v>6</v>
      </c>
      <c r="M40" s="27"/>
      <c r="N40" s="27"/>
    </row>
    <row r="41" spans="1:15" ht="18.75" customHeight="1" x14ac:dyDescent="0.15">
      <c r="A41" s="11">
        <v>38</v>
      </c>
      <c r="B41" s="2"/>
      <c r="C41" s="88"/>
      <c r="D41" s="93"/>
      <c r="E41" s="88"/>
      <c r="F41" s="89" t="str">
        <f t="shared" si="0"/>
        <v/>
      </c>
      <c r="G41" s="5"/>
      <c r="H41" s="5" t="str">
        <f t="shared" si="1"/>
        <v/>
      </c>
      <c r="I41" s="35"/>
      <c r="J41" s="6" t="s">
        <v>15</v>
      </c>
      <c r="K41" s="37" t="str">
        <f t="shared" si="2"/>
        <v/>
      </c>
      <c r="L41" s="6" t="s">
        <v>6</v>
      </c>
      <c r="M41" s="27"/>
      <c r="N41" s="27"/>
    </row>
    <row r="42" spans="1:15" ht="18.75" customHeight="1" x14ac:dyDescent="0.15">
      <c r="A42" s="11">
        <v>39</v>
      </c>
      <c r="B42" s="2"/>
      <c r="C42" s="88"/>
      <c r="D42" s="93"/>
      <c r="E42" s="88"/>
      <c r="F42" s="89"/>
      <c r="G42" s="5"/>
      <c r="H42" s="5"/>
      <c r="I42" s="35"/>
      <c r="J42" s="6" t="s">
        <v>15</v>
      </c>
      <c r="K42" s="37"/>
      <c r="L42" s="6" t="s">
        <v>6</v>
      </c>
      <c r="M42" s="27"/>
      <c r="N42" s="27"/>
    </row>
    <row r="43" spans="1:15" ht="18.75" customHeight="1" thickBot="1" x14ac:dyDescent="0.2">
      <c r="A43" s="50">
        <v>40</v>
      </c>
      <c r="B43" s="51"/>
      <c r="C43" s="52"/>
      <c r="D43" s="94"/>
      <c r="E43" s="52"/>
      <c r="F43" s="53"/>
      <c r="G43" s="54"/>
      <c r="H43" s="54"/>
      <c r="I43" s="55"/>
      <c r="J43" s="56" t="s">
        <v>15</v>
      </c>
      <c r="K43" s="57"/>
      <c r="L43" s="56" t="s">
        <v>6</v>
      </c>
      <c r="M43" s="86" t="s">
        <v>21</v>
      </c>
      <c r="N43" s="86" t="s">
        <v>22</v>
      </c>
    </row>
    <row r="44" spans="1:15" ht="18.75" customHeight="1" thickTop="1" x14ac:dyDescent="0.15">
      <c r="B44" s="44"/>
      <c r="C44" s="44"/>
      <c r="D44" s="45"/>
      <c r="E44" s="44"/>
      <c r="F44" s="44" t="str">
        <f>IF(E44="","",E44-INT(E44/7)*7)</f>
        <v/>
      </c>
      <c r="G44" s="46"/>
      <c r="H44" s="46" t="str">
        <f>IF(G44="","",G44)</f>
        <v/>
      </c>
      <c r="I44" s="61">
        <f>SUM(I4:I43)</f>
        <v>0</v>
      </c>
      <c r="J44" s="8" t="s">
        <v>15</v>
      </c>
      <c r="K44" s="47">
        <f>SUM(K4:K43)</f>
        <v>0</v>
      </c>
      <c r="L44" s="8" t="s">
        <v>6</v>
      </c>
      <c r="M44" s="48">
        <f>SUM(K44)-N44</f>
        <v>0</v>
      </c>
      <c r="N44" s="72">
        <f>SUMIF(M4:M42,"",K4:K43)</f>
        <v>0</v>
      </c>
    </row>
    <row r="45" spans="1:15" ht="20.25" customHeight="1" x14ac:dyDescent="0.15">
      <c r="B45" s="95" t="s">
        <v>9</v>
      </c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</row>
    <row r="46" spans="1:15" ht="21" customHeight="1" x14ac:dyDescent="0.15">
      <c r="B46" s="96" t="s">
        <v>0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</row>
    <row r="47" spans="1:15" ht="27" customHeight="1" x14ac:dyDescent="0.15">
      <c r="A47" s="11"/>
      <c r="B47" s="29" t="s">
        <v>1</v>
      </c>
      <c r="C47" s="102" t="s">
        <v>2</v>
      </c>
      <c r="D47" s="103"/>
      <c r="E47" s="104" t="s">
        <v>3</v>
      </c>
      <c r="F47" s="105"/>
      <c r="G47" s="87" t="s">
        <v>4</v>
      </c>
      <c r="H47" s="87" t="s">
        <v>7</v>
      </c>
      <c r="I47" s="106" t="s">
        <v>8</v>
      </c>
      <c r="J47" s="107"/>
      <c r="K47" s="106" t="s">
        <v>5</v>
      </c>
      <c r="L47" s="106"/>
      <c r="M47" s="30" t="s">
        <v>10</v>
      </c>
      <c r="N47" s="31" t="s">
        <v>18</v>
      </c>
    </row>
    <row r="48" spans="1:15" ht="18.75" customHeight="1" x14ac:dyDescent="0.15">
      <c r="A48" s="11">
        <v>41</v>
      </c>
      <c r="B48" s="2"/>
      <c r="C48" s="88"/>
      <c r="D48" s="93"/>
      <c r="E48" s="88"/>
      <c r="F48" s="89" t="str">
        <f t="shared" ref="F48:F88" si="3">IF(E48="","",E48-INT(E48/7)*7)</f>
        <v/>
      </c>
      <c r="G48" s="5"/>
      <c r="H48" s="5" t="str">
        <f t="shared" ref="H48:H88" si="4">IF(G48="","",G48)</f>
        <v/>
      </c>
      <c r="I48" s="32"/>
      <c r="J48" s="6" t="s">
        <v>15</v>
      </c>
      <c r="K48" s="33" t="str">
        <f t="shared" ref="K48:K85" si="5">IF(I48&gt;0,I48*0.2,"")</f>
        <v/>
      </c>
      <c r="L48" s="6" t="s">
        <v>6</v>
      </c>
      <c r="M48" s="27"/>
      <c r="N48" s="34"/>
    </row>
    <row r="49" spans="1:14" ht="18.75" customHeight="1" x14ac:dyDescent="0.15">
      <c r="A49" s="11">
        <v>42</v>
      </c>
      <c r="B49" s="2"/>
      <c r="C49" s="88"/>
      <c r="D49" s="93"/>
      <c r="E49" s="7"/>
      <c r="F49" s="89" t="str">
        <f t="shared" si="3"/>
        <v/>
      </c>
      <c r="G49" s="5"/>
      <c r="H49" s="5" t="str">
        <f t="shared" si="4"/>
        <v/>
      </c>
      <c r="I49" s="35"/>
      <c r="J49" s="36" t="s">
        <v>15</v>
      </c>
      <c r="K49" s="37" t="str">
        <f t="shared" si="5"/>
        <v/>
      </c>
      <c r="L49" s="6" t="s">
        <v>6</v>
      </c>
      <c r="M49" s="27"/>
      <c r="N49" s="27"/>
    </row>
    <row r="50" spans="1:14" ht="18.75" customHeight="1" x14ac:dyDescent="0.15">
      <c r="A50" s="11">
        <v>43</v>
      </c>
      <c r="B50" s="2"/>
      <c r="C50" s="88"/>
      <c r="D50" s="93"/>
      <c r="E50" s="88"/>
      <c r="F50" s="89" t="str">
        <f t="shared" si="3"/>
        <v/>
      </c>
      <c r="G50" s="5"/>
      <c r="H50" s="5" t="str">
        <f t="shared" si="4"/>
        <v/>
      </c>
      <c r="I50" s="38"/>
      <c r="J50" s="8" t="s">
        <v>15</v>
      </c>
      <c r="K50" s="39" t="str">
        <f t="shared" si="5"/>
        <v/>
      </c>
      <c r="L50" s="9" t="s">
        <v>6</v>
      </c>
      <c r="M50" s="40"/>
      <c r="N50" s="27"/>
    </row>
    <row r="51" spans="1:14" ht="18.75" customHeight="1" x14ac:dyDescent="0.15">
      <c r="A51" s="11">
        <v>44</v>
      </c>
      <c r="B51" s="2"/>
      <c r="C51" s="88"/>
      <c r="D51" s="93"/>
      <c r="E51" s="88"/>
      <c r="F51" s="89" t="str">
        <f t="shared" si="3"/>
        <v/>
      </c>
      <c r="G51" s="5"/>
      <c r="H51" s="5" t="str">
        <f t="shared" si="4"/>
        <v/>
      </c>
      <c r="I51" s="35"/>
      <c r="J51" s="6" t="s">
        <v>15</v>
      </c>
      <c r="K51" s="33" t="str">
        <f t="shared" si="5"/>
        <v/>
      </c>
      <c r="L51" s="6" t="s">
        <v>6</v>
      </c>
      <c r="M51" s="27"/>
      <c r="N51" s="27"/>
    </row>
    <row r="52" spans="1:14" ht="18.75" customHeight="1" x14ac:dyDescent="0.15">
      <c r="A52" s="11">
        <v>45</v>
      </c>
      <c r="B52" s="2"/>
      <c r="C52" s="88"/>
      <c r="D52" s="93"/>
      <c r="E52" s="88"/>
      <c r="F52" s="89" t="str">
        <f t="shared" si="3"/>
        <v/>
      </c>
      <c r="G52" s="5"/>
      <c r="H52" s="5" t="str">
        <f t="shared" si="4"/>
        <v/>
      </c>
      <c r="I52" s="35"/>
      <c r="J52" s="6" t="s">
        <v>15</v>
      </c>
      <c r="K52" s="33" t="str">
        <f t="shared" si="5"/>
        <v/>
      </c>
      <c r="L52" s="6" t="s">
        <v>6</v>
      </c>
      <c r="M52" s="27"/>
      <c r="N52" s="27"/>
    </row>
    <row r="53" spans="1:14" ht="18.75" customHeight="1" x14ac:dyDescent="0.15">
      <c r="A53" s="11">
        <v>46</v>
      </c>
      <c r="B53" s="2"/>
      <c r="C53" s="88"/>
      <c r="D53" s="93"/>
      <c r="E53" s="88"/>
      <c r="F53" s="89" t="str">
        <f t="shared" si="3"/>
        <v/>
      </c>
      <c r="G53" s="5"/>
      <c r="H53" s="5" t="str">
        <f t="shared" si="4"/>
        <v/>
      </c>
      <c r="I53" s="35"/>
      <c r="J53" s="6" t="s">
        <v>15</v>
      </c>
      <c r="K53" s="33" t="str">
        <f t="shared" si="5"/>
        <v/>
      </c>
      <c r="L53" s="6" t="s">
        <v>6</v>
      </c>
      <c r="M53" s="27"/>
      <c r="N53" s="27"/>
    </row>
    <row r="54" spans="1:14" ht="18.75" customHeight="1" x14ac:dyDescent="0.15">
      <c r="A54" s="11">
        <v>47</v>
      </c>
      <c r="B54" s="2"/>
      <c r="C54" s="88"/>
      <c r="D54" s="93"/>
      <c r="E54" s="88"/>
      <c r="F54" s="89" t="str">
        <f t="shared" si="3"/>
        <v/>
      </c>
      <c r="G54" s="5"/>
      <c r="H54" s="5" t="str">
        <f t="shared" si="4"/>
        <v/>
      </c>
      <c r="I54" s="35"/>
      <c r="J54" s="6" t="s">
        <v>15</v>
      </c>
      <c r="K54" s="33" t="str">
        <f t="shared" si="5"/>
        <v/>
      </c>
      <c r="L54" s="6" t="s">
        <v>6</v>
      </c>
      <c r="M54" s="27"/>
      <c r="N54" s="27"/>
    </row>
    <row r="55" spans="1:14" ht="18.75" customHeight="1" x14ac:dyDescent="0.15">
      <c r="A55" s="11">
        <v>48</v>
      </c>
      <c r="B55" s="2"/>
      <c r="C55" s="88"/>
      <c r="D55" s="93"/>
      <c r="E55" s="88"/>
      <c r="F55" s="89" t="str">
        <f t="shared" si="3"/>
        <v/>
      </c>
      <c r="G55" s="5"/>
      <c r="H55" s="5" t="str">
        <f t="shared" si="4"/>
        <v/>
      </c>
      <c r="I55" s="41"/>
      <c r="J55" s="8" t="s">
        <v>15</v>
      </c>
      <c r="K55" s="33" t="str">
        <f t="shared" si="5"/>
        <v/>
      </c>
      <c r="L55" s="9" t="s">
        <v>6</v>
      </c>
      <c r="M55" s="27"/>
      <c r="N55" s="27"/>
    </row>
    <row r="56" spans="1:14" ht="18.75" customHeight="1" x14ac:dyDescent="0.15">
      <c r="A56" s="11">
        <v>49</v>
      </c>
      <c r="B56" s="2"/>
      <c r="C56" s="88"/>
      <c r="D56" s="93"/>
      <c r="E56" s="88"/>
      <c r="F56" s="89" t="str">
        <f t="shared" si="3"/>
        <v/>
      </c>
      <c r="G56" s="5"/>
      <c r="H56" s="5" t="str">
        <f t="shared" si="4"/>
        <v/>
      </c>
      <c r="I56" s="35"/>
      <c r="J56" s="6" t="s">
        <v>15</v>
      </c>
      <c r="K56" s="33" t="str">
        <f t="shared" si="5"/>
        <v/>
      </c>
      <c r="L56" s="6" t="s">
        <v>6</v>
      </c>
      <c r="M56" s="27"/>
      <c r="N56" s="27"/>
    </row>
    <row r="57" spans="1:14" ht="18.75" customHeight="1" x14ac:dyDescent="0.15">
      <c r="A57" s="11">
        <v>50</v>
      </c>
      <c r="B57" s="2"/>
      <c r="C57" s="88"/>
      <c r="D57" s="93"/>
      <c r="E57" s="88"/>
      <c r="F57" s="89" t="str">
        <f t="shared" si="3"/>
        <v/>
      </c>
      <c r="G57" s="5"/>
      <c r="H57" s="5" t="str">
        <f t="shared" si="4"/>
        <v/>
      </c>
      <c r="I57" s="41"/>
      <c r="J57" s="8" t="s">
        <v>15</v>
      </c>
      <c r="K57" s="33" t="str">
        <f t="shared" si="5"/>
        <v/>
      </c>
      <c r="L57" s="9" t="s">
        <v>6</v>
      </c>
      <c r="M57" s="27"/>
      <c r="N57" s="27"/>
    </row>
    <row r="58" spans="1:14" ht="18.75" customHeight="1" x14ac:dyDescent="0.15">
      <c r="A58" s="11">
        <v>51</v>
      </c>
      <c r="B58" s="2"/>
      <c r="C58" s="88"/>
      <c r="D58" s="93"/>
      <c r="E58" s="88"/>
      <c r="F58" s="89" t="str">
        <f t="shared" si="3"/>
        <v/>
      </c>
      <c r="G58" s="5"/>
      <c r="H58" s="5" t="str">
        <f t="shared" si="4"/>
        <v/>
      </c>
      <c r="I58" s="35"/>
      <c r="J58" s="6" t="s">
        <v>15</v>
      </c>
      <c r="K58" s="33" t="str">
        <f t="shared" si="5"/>
        <v/>
      </c>
      <c r="L58" s="6" t="s">
        <v>6</v>
      </c>
      <c r="M58" s="27"/>
      <c r="N58" s="27"/>
    </row>
    <row r="59" spans="1:14" ht="18.75" customHeight="1" x14ac:dyDescent="0.15">
      <c r="A59" s="11">
        <v>52</v>
      </c>
      <c r="B59" s="2"/>
      <c r="C59" s="88"/>
      <c r="D59" s="93"/>
      <c r="E59" s="88"/>
      <c r="F59" s="89" t="str">
        <f t="shared" si="3"/>
        <v/>
      </c>
      <c r="G59" s="5"/>
      <c r="H59" s="5" t="str">
        <f t="shared" si="4"/>
        <v/>
      </c>
      <c r="I59" s="42"/>
      <c r="J59" s="8" t="s">
        <v>15</v>
      </c>
      <c r="K59" s="33" t="str">
        <f t="shared" si="5"/>
        <v/>
      </c>
      <c r="L59" s="6" t="s">
        <v>6</v>
      </c>
      <c r="M59" s="27"/>
      <c r="N59" s="27"/>
    </row>
    <row r="60" spans="1:14" ht="18.75" customHeight="1" x14ac:dyDescent="0.15">
      <c r="A60" s="11">
        <v>53</v>
      </c>
      <c r="B60" s="2"/>
      <c r="C60" s="88"/>
      <c r="D60" s="93"/>
      <c r="E60" s="88"/>
      <c r="F60" s="89" t="str">
        <f t="shared" si="3"/>
        <v/>
      </c>
      <c r="G60" s="5"/>
      <c r="H60" s="5" t="str">
        <f t="shared" si="4"/>
        <v/>
      </c>
      <c r="I60" s="35"/>
      <c r="J60" s="6" t="s">
        <v>15</v>
      </c>
      <c r="K60" s="33" t="str">
        <f t="shared" si="5"/>
        <v/>
      </c>
      <c r="L60" s="6" t="s">
        <v>6</v>
      </c>
      <c r="M60" s="27"/>
      <c r="N60" s="27"/>
    </row>
    <row r="61" spans="1:14" ht="18.75" customHeight="1" x14ac:dyDescent="0.15">
      <c r="A61" s="11">
        <v>54</v>
      </c>
      <c r="B61" s="2"/>
      <c r="C61" s="88"/>
      <c r="D61" s="93"/>
      <c r="E61" s="88"/>
      <c r="F61" s="89" t="str">
        <f t="shared" si="3"/>
        <v/>
      </c>
      <c r="G61" s="5"/>
      <c r="H61" s="5" t="str">
        <f t="shared" si="4"/>
        <v/>
      </c>
      <c r="I61" s="35"/>
      <c r="J61" s="6" t="s">
        <v>15</v>
      </c>
      <c r="K61" s="33" t="str">
        <f t="shared" si="5"/>
        <v/>
      </c>
      <c r="L61" s="6" t="s">
        <v>6</v>
      </c>
      <c r="M61" s="27"/>
      <c r="N61" s="27"/>
    </row>
    <row r="62" spans="1:14" ht="18.75" customHeight="1" x14ac:dyDescent="0.15">
      <c r="A62" s="11">
        <v>55</v>
      </c>
      <c r="B62" s="2"/>
      <c r="C62" s="88"/>
      <c r="D62" s="93"/>
      <c r="E62" s="88"/>
      <c r="F62" s="89" t="str">
        <f t="shared" si="3"/>
        <v/>
      </c>
      <c r="G62" s="5"/>
      <c r="H62" s="5" t="str">
        <f t="shared" si="4"/>
        <v/>
      </c>
      <c r="I62" s="41"/>
      <c r="J62" s="6" t="s">
        <v>15</v>
      </c>
      <c r="K62" s="33" t="str">
        <f t="shared" si="5"/>
        <v/>
      </c>
      <c r="L62" s="9" t="s">
        <v>6</v>
      </c>
      <c r="M62" s="27"/>
      <c r="N62" s="27"/>
    </row>
    <row r="63" spans="1:14" ht="18.75" customHeight="1" x14ac:dyDescent="0.15">
      <c r="A63" s="11">
        <v>56</v>
      </c>
      <c r="B63" s="2"/>
      <c r="C63" s="88"/>
      <c r="D63" s="93"/>
      <c r="E63" s="88"/>
      <c r="F63" s="89" t="str">
        <f t="shared" si="3"/>
        <v/>
      </c>
      <c r="G63" s="5"/>
      <c r="H63" s="5" t="str">
        <f t="shared" si="4"/>
        <v/>
      </c>
      <c r="I63" s="35"/>
      <c r="J63" s="6" t="s">
        <v>15</v>
      </c>
      <c r="K63" s="33" t="str">
        <f t="shared" si="5"/>
        <v/>
      </c>
      <c r="L63" s="6" t="s">
        <v>6</v>
      </c>
      <c r="M63" s="27"/>
      <c r="N63" s="27"/>
    </row>
    <row r="64" spans="1:14" ht="18.75" customHeight="1" x14ac:dyDescent="0.15">
      <c r="A64" s="11">
        <v>57</v>
      </c>
      <c r="B64" s="2"/>
      <c r="C64" s="88"/>
      <c r="D64" s="93"/>
      <c r="E64" s="7"/>
      <c r="F64" s="89" t="str">
        <f t="shared" si="3"/>
        <v/>
      </c>
      <c r="G64" s="5"/>
      <c r="H64" s="5" t="str">
        <f t="shared" si="4"/>
        <v/>
      </c>
      <c r="I64" s="42"/>
      <c r="J64" s="8" t="s">
        <v>15</v>
      </c>
      <c r="K64" s="33" t="str">
        <f t="shared" si="5"/>
        <v/>
      </c>
      <c r="L64" s="6" t="s">
        <v>6</v>
      </c>
      <c r="M64" s="27"/>
      <c r="N64" s="34"/>
    </row>
    <row r="65" spans="1:14" ht="18.75" customHeight="1" x14ac:dyDescent="0.15">
      <c r="A65" s="11">
        <v>58</v>
      </c>
      <c r="B65" s="2"/>
      <c r="C65" s="88"/>
      <c r="D65" s="93"/>
      <c r="E65" s="88"/>
      <c r="F65" s="89" t="str">
        <f t="shared" si="3"/>
        <v/>
      </c>
      <c r="G65" s="5"/>
      <c r="H65" s="5" t="str">
        <f t="shared" si="4"/>
        <v/>
      </c>
      <c r="I65" s="35"/>
      <c r="J65" s="6" t="s">
        <v>15</v>
      </c>
      <c r="K65" s="33" t="str">
        <f t="shared" si="5"/>
        <v/>
      </c>
      <c r="L65" s="6" t="s">
        <v>6</v>
      </c>
      <c r="M65" s="27"/>
      <c r="N65" s="27"/>
    </row>
    <row r="66" spans="1:14" ht="18.75" customHeight="1" x14ac:dyDescent="0.15">
      <c r="A66" s="11">
        <v>59</v>
      </c>
      <c r="B66" s="2"/>
      <c r="C66" s="88"/>
      <c r="D66" s="93"/>
      <c r="E66" s="88"/>
      <c r="F66" s="89" t="str">
        <f t="shared" si="3"/>
        <v/>
      </c>
      <c r="G66" s="5"/>
      <c r="H66" s="5" t="str">
        <f t="shared" si="4"/>
        <v/>
      </c>
      <c r="I66" s="35"/>
      <c r="J66" s="6" t="s">
        <v>15</v>
      </c>
      <c r="K66" s="33" t="str">
        <f t="shared" si="5"/>
        <v/>
      </c>
      <c r="L66" s="6" t="s">
        <v>6</v>
      </c>
      <c r="M66" s="27"/>
      <c r="N66" s="27"/>
    </row>
    <row r="67" spans="1:14" ht="18.75" customHeight="1" x14ac:dyDescent="0.15">
      <c r="A67" s="11">
        <v>60</v>
      </c>
      <c r="B67" s="2"/>
      <c r="C67" s="88"/>
      <c r="D67" s="93"/>
      <c r="E67" s="88"/>
      <c r="F67" s="89" t="str">
        <f t="shared" si="3"/>
        <v/>
      </c>
      <c r="G67" s="5"/>
      <c r="H67" s="5" t="str">
        <f t="shared" si="4"/>
        <v/>
      </c>
      <c r="I67" s="35"/>
      <c r="J67" s="6" t="s">
        <v>11</v>
      </c>
      <c r="K67" s="33" t="str">
        <f t="shared" si="5"/>
        <v/>
      </c>
      <c r="L67" s="6" t="s">
        <v>6</v>
      </c>
      <c r="M67" s="27"/>
      <c r="N67" s="27"/>
    </row>
    <row r="68" spans="1:14" ht="18.75" customHeight="1" x14ac:dyDescent="0.15">
      <c r="A68" s="11">
        <v>61</v>
      </c>
      <c r="B68" s="2"/>
      <c r="C68" s="88"/>
      <c r="D68" s="93"/>
      <c r="E68" s="88"/>
      <c r="F68" s="89" t="str">
        <f t="shared" si="3"/>
        <v/>
      </c>
      <c r="G68" s="5"/>
      <c r="H68" s="5" t="str">
        <f t="shared" si="4"/>
        <v/>
      </c>
      <c r="I68" s="35"/>
      <c r="J68" s="8" t="s">
        <v>11</v>
      </c>
      <c r="K68" s="33" t="str">
        <f t="shared" si="5"/>
        <v/>
      </c>
      <c r="L68" s="6" t="s">
        <v>6</v>
      </c>
      <c r="M68" s="27"/>
      <c r="N68" s="27"/>
    </row>
    <row r="69" spans="1:14" ht="18.75" customHeight="1" x14ac:dyDescent="0.15">
      <c r="A69" s="11">
        <v>62</v>
      </c>
      <c r="B69" s="2"/>
      <c r="C69" s="88"/>
      <c r="D69" s="93"/>
      <c r="E69" s="88"/>
      <c r="F69" s="89" t="str">
        <f t="shared" si="3"/>
        <v/>
      </c>
      <c r="G69" s="5"/>
      <c r="H69" s="5" t="str">
        <f t="shared" si="4"/>
        <v/>
      </c>
      <c r="I69" s="41"/>
      <c r="J69" s="6" t="s">
        <v>11</v>
      </c>
      <c r="K69" s="33" t="str">
        <f t="shared" si="5"/>
        <v/>
      </c>
      <c r="L69" s="6" t="s">
        <v>6</v>
      </c>
      <c r="M69" s="27"/>
      <c r="N69" s="27"/>
    </row>
    <row r="70" spans="1:14" ht="18.75" customHeight="1" x14ac:dyDescent="0.15">
      <c r="A70" s="11">
        <v>63</v>
      </c>
      <c r="B70" s="2"/>
      <c r="C70" s="88"/>
      <c r="D70" s="93"/>
      <c r="E70" s="88"/>
      <c r="F70" s="89" t="str">
        <f t="shared" si="3"/>
        <v/>
      </c>
      <c r="G70" s="5"/>
      <c r="H70" s="5" t="str">
        <f t="shared" si="4"/>
        <v/>
      </c>
      <c r="I70" s="41"/>
      <c r="J70" s="6" t="s">
        <v>15</v>
      </c>
      <c r="K70" s="33" t="str">
        <f t="shared" si="5"/>
        <v/>
      </c>
      <c r="L70" s="6" t="s">
        <v>6</v>
      </c>
      <c r="M70" s="27"/>
      <c r="N70" s="27"/>
    </row>
    <row r="71" spans="1:14" ht="18.75" customHeight="1" x14ac:dyDescent="0.15">
      <c r="A71" s="11">
        <v>64</v>
      </c>
      <c r="B71" s="2"/>
      <c r="C71" s="88"/>
      <c r="D71" s="93"/>
      <c r="E71" s="88"/>
      <c r="F71" s="89" t="str">
        <f t="shared" si="3"/>
        <v/>
      </c>
      <c r="G71" s="5"/>
      <c r="H71" s="5" t="str">
        <f t="shared" si="4"/>
        <v/>
      </c>
      <c r="I71" s="35"/>
      <c r="J71" s="8" t="s">
        <v>15</v>
      </c>
      <c r="K71" s="33" t="str">
        <f t="shared" si="5"/>
        <v/>
      </c>
      <c r="L71" s="6" t="s">
        <v>6</v>
      </c>
      <c r="M71" s="27"/>
      <c r="N71" s="27"/>
    </row>
    <row r="72" spans="1:14" ht="18.75" customHeight="1" x14ac:dyDescent="0.15">
      <c r="A72" s="11">
        <v>65</v>
      </c>
      <c r="B72" s="2"/>
      <c r="C72" s="88"/>
      <c r="D72" s="93"/>
      <c r="E72" s="88"/>
      <c r="F72" s="89" t="str">
        <f t="shared" si="3"/>
        <v/>
      </c>
      <c r="G72" s="5"/>
      <c r="H72" s="5" t="str">
        <f t="shared" si="4"/>
        <v/>
      </c>
      <c r="I72" s="35"/>
      <c r="J72" s="6" t="s">
        <v>15</v>
      </c>
      <c r="K72" s="33" t="str">
        <f t="shared" si="5"/>
        <v/>
      </c>
      <c r="L72" s="6" t="s">
        <v>6</v>
      </c>
      <c r="M72" s="27"/>
      <c r="N72" s="27"/>
    </row>
    <row r="73" spans="1:14" ht="18.75" customHeight="1" x14ac:dyDescent="0.15">
      <c r="A73" s="11">
        <v>66</v>
      </c>
      <c r="B73" s="2"/>
      <c r="C73" s="88"/>
      <c r="D73" s="93"/>
      <c r="E73" s="88"/>
      <c r="F73" s="89" t="str">
        <f t="shared" si="3"/>
        <v/>
      </c>
      <c r="G73" s="5"/>
      <c r="H73" s="5" t="str">
        <f t="shared" si="4"/>
        <v/>
      </c>
      <c r="I73" s="35"/>
      <c r="J73" s="6" t="s">
        <v>15</v>
      </c>
      <c r="K73" s="33" t="str">
        <f t="shared" si="5"/>
        <v/>
      </c>
      <c r="L73" s="6" t="s">
        <v>6</v>
      </c>
      <c r="M73" s="27"/>
      <c r="N73" s="27"/>
    </row>
    <row r="74" spans="1:14" ht="18.75" customHeight="1" x14ac:dyDescent="0.15">
      <c r="A74" s="11">
        <v>67</v>
      </c>
      <c r="B74" s="2"/>
      <c r="C74" s="88"/>
      <c r="D74" s="93"/>
      <c r="E74" s="88"/>
      <c r="F74" s="89" t="str">
        <f t="shared" si="3"/>
        <v/>
      </c>
      <c r="G74" s="5"/>
      <c r="H74" s="5" t="str">
        <f t="shared" si="4"/>
        <v/>
      </c>
      <c r="I74" s="35"/>
      <c r="J74" s="8" t="s">
        <v>15</v>
      </c>
      <c r="K74" s="33" t="str">
        <f t="shared" si="5"/>
        <v/>
      </c>
      <c r="L74" s="6" t="s">
        <v>6</v>
      </c>
      <c r="M74" s="27"/>
      <c r="N74" s="27"/>
    </row>
    <row r="75" spans="1:14" ht="18.75" customHeight="1" x14ac:dyDescent="0.15">
      <c r="A75" s="11">
        <v>68</v>
      </c>
      <c r="B75" s="2"/>
      <c r="C75" s="88"/>
      <c r="D75" s="93"/>
      <c r="E75" s="7"/>
      <c r="F75" s="89" t="str">
        <f t="shared" si="3"/>
        <v/>
      </c>
      <c r="G75" s="5"/>
      <c r="H75" s="5" t="str">
        <f t="shared" si="4"/>
        <v/>
      </c>
      <c r="I75" s="41"/>
      <c r="J75" s="6" t="s">
        <v>15</v>
      </c>
      <c r="K75" s="33" t="str">
        <f t="shared" si="5"/>
        <v/>
      </c>
      <c r="L75" s="6" t="s">
        <v>6</v>
      </c>
      <c r="M75" s="27"/>
      <c r="N75" s="27"/>
    </row>
    <row r="76" spans="1:14" ht="18.75" customHeight="1" x14ac:dyDescent="0.15">
      <c r="A76" s="11">
        <v>69</v>
      </c>
      <c r="B76" s="2"/>
      <c r="C76" s="88"/>
      <c r="D76" s="93"/>
      <c r="E76" s="88"/>
      <c r="F76" s="89" t="str">
        <f t="shared" si="3"/>
        <v/>
      </c>
      <c r="G76" s="5"/>
      <c r="H76" s="5" t="str">
        <f t="shared" si="4"/>
        <v/>
      </c>
      <c r="I76" s="35"/>
      <c r="J76" s="6" t="s">
        <v>15</v>
      </c>
      <c r="K76" s="33" t="str">
        <f t="shared" si="5"/>
        <v/>
      </c>
      <c r="L76" s="6" t="s">
        <v>6</v>
      </c>
      <c r="M76" s="27"/>
      <c r="N76" s="27"/>
    </row>
    <row r="77" spans="1:14" ht="18.75" customHeight="1" x14ac:dyDescent="0.15">
      <c r="A77" s="11">
        <v>70</v>
      </c>
      <c r="B77" s="2"/>
      <c r="C77" s="88"/>
      <c r="D77" s="93"/>
      <c r="E77" s="88"/>
      <c r="F77" s="89" t="str">
        <f t="shared" si="3"/>
        <v/>
      </c>
      <c r="G77" s="5"/>
      <c r="H77" s="5" t="str">
        <f t="shared" si="4"/>
        <v/>
      </c>
      <c r="I77" s="35"/>
      <c r="J77" s="6" t="s">
        <v>15</v>
      </c>
      <c r="K77" s="33" t="str">
        <f t="shared" si="5"/>
        <v/>
      </c>
      <c r="L77" s="6" t="s">
        <v>6</v>
      </c>
      <c r="M77" s="27"/>
      <c r="N77" s="27"/>
    </row>
    <row r="78" spans="1:14" ht="18.75" customHeight="1" x14ac:dyDescent="0.15">
      <c r="A78" s="11">
        <v>71</v>
      </c>
      <c r="B78" s="2"/>
      <c r="C78" s="88"/>
      <c r="D78" s="93"/>
      <c r="E78" s="88"/>
      <c r="F78" s="89" t="str">
        <f t="shared" si="3"/>
        <v/>
      </c>
      <c r="G78" s="5"/>
      <c r="H78" s="5" t="str">
        <f t="shared" si="4"/>
        <v/>
      </c>
      <c r="I78" s="42"/>
      <c r="J78" s="6" t="s">
        <v>15</v>
      </c>
      <c r="K78" s="33" t="str">
        <f t="shared" si="5"/>
        <v/>
      </c>
      <c r="L78" s="6" t="s">
        <v>6</v>
      </c>
      <c r="M78" s="27"/>
      <c r="N78" s="27"/>
    </row>
    <row r="79" spans="1:14" ht="18.75" customHeight="1" x14ac:dyDescent="0.15">
      <c r="A79" s="11">
        <v>72</v>
      </c>
      <c r="B79" s="2"/>
      <c r="C79" s="88"/>
      <c r="D79" s="93"/>
      <c r="E79" s="7"/>
      <c r="F79" s="89" t="str">
        <f t="shared" si="3"/>
        <v/>
      </c>
      <c r="G79" s="5"/>
      <c r="H79" s="5" t="str">
        <f t="shared" si="4"/>
        <v/>
      </c>
      <c r="I79" s="35"/>
      <c r="J79" s="6" t="s">
        <v>15</v>
      </c>
      <c r="K79" s="33" t="str">
        <f t="shared" si="5"/>
        <v/>
      </c>
      <c r="L79" s="6" t="s">
        <v>6</v>
      </c>
      <c r="M79" s="27"/>
      <c r="N79" s="27"/>
    </row>
    <row r="80" spans="1:14" ht="18.75" customHeight="1" x14ac:dyDescent="0.15">
      <c r="A80" s="11">
        <v>73</v>
      </c>
      <c r="B80" s="2"/>
      <c r="C80" s="88"/>
      <c r="D80" s="93"/>
      <c r="E80" s="88"/>
      <c r="F80" s="89" t="str">
        <f t="shared" si="3"/>
        <v/>
      </c>
      <c r="G80" s="5"/>
      <c r="H80" s="5" t="str">
        <f t="shared" si="4"/>
        <v/>
      </c>
      <c r="I80" s="43"/>
      <c r="J80" s="6" t="s">
        <v>15</v>
      </c>
      <c r="K80" s="33" t="str">
        <f t="shared" si="5"/>
        <v/>
      </c>
      <c r="L80" s="6" t="s">
        <v>6</v>
      </c>
      <c r="M80" s="27"/>
      <c r="N80" s="27"/>
    </row>
    <row r="81" spans="1:14" ht="18.75" customHeight="1" x14ac:dyDescent="0.15">
      <c r="A81" s="11">
        <v>74</v>
      </c>
      <c r="B81" s="2"/>
      <c r="C81" s="88"/>
      <c r="D81" s="93"/>
      <c r="E81" s="88"/>
      <c r="F81" s="89" t="str">
        <f t="shared" si="3"/>
        <v/>
      </c>
      <c r="G81" s="5"/>
      <c r="H81" s="5" t="str">
        <f t="shared" si="4"/>
        <v/>
      </c>
      <c r="I81" s="35"/>
      <c r="J81" s="6" t="s">
        <v>15</v>
      </c>
      <c r="K81" s="33" t="str">
        <f t="shared" si="5"/>
        <v/>
      </c>
      <c r="L81" s="6" t="s">
        <v>6</v>
      </c>
      <c r="M81" s="27"/>
      <c r="N81" s="27"/>
    </row>
    <row r="82" spans="1:14" ht="18.75" customHeight="1" x14ac:dyDescent="0.15">
      <c r="A82" s="11">
        <v>75</v>
      </c>
      <c r="B82" s="2"/>
      <c r="C82" s="88"/>
      <c r="D82" s="93"/>
      <c r="E82" s="7"/>
      <c r="F82" s="89" t="str">
        <f t="shared" si="3"/>
        <v/>
      </c>
      <c r="G82" s="5"/>
      <c r="H82" s="5" t="str">
        <f t="shared" si="4"/>
        <v/>
      </c>
      <c r="I82" s="42"/>
      <c r="J82" s="6" t="s">
        <v>15</v>
      </c>
      <c r="K82" s="33" t="str">
        <f t="shared" si="5"/>
        <v/>
      </c>
      <c r="L82" s="6" t="s">
        <v>6</v>
      </c>
      <c r="M82" s="27"/>
      <c r="N82" s="27"/>
    </row>
    <row r="83" spans="1:14" ht="18.75" customHeight="1" x14ac:dyDescent="0.15">
      <c r="A83" s="11">
        <v>76</v>
      </c>
      <c r="B83" s="2"/>
      <c r="C83" s="88"/>
      <c r="D83" s="93"/>
      <c r="E83" s="88"/>
      <c r="F83" s="89" t="str">
        <f t="shared" si="3"/>
        <v/>
      </c>
      <c r="G83" s="5"/>
      <c r="H83" s="5" t="str">
        <f t="shared" si="4"/>
        <v/>
      </c>
      <c r="I83" s="35"/>
      <c r="J83" s="6" t="s">
        <v>15</v>
      </c>
      <c r="K83" s="33" t="str">
        <f t="shared" si="5"/>
        <v/>
      </c>
      <c r="L83" s="6" t="s">
        <v>6</v>
      </c>
      <c r="M83" s="27"/>
      <c r="N83" s="27"/>
    </row>
    <row r="84" spans="1:14" ht="18.75" customHeight="1" x14ac:dyDescent="0.15">
      <c r="A84" s="11">
        <v>77</v>
      </c>
      <c r="B84" s="2"/>
      <c r="C84" s="88"/>
      <c r="D84" s="93"/>
      <c r="E84" s="88"/>
      <c r="F84" s="89" t="str">
        <f t="shared" si="3"/>
        <v/>
      </c>
      <c r="G84" s="5"/>
      <c r="H84" s="5" t="str">
        <f t="shared" si="4"/>
        <v/>
      </c>
      <c r="I84" s="35"/>
      <c r="J84" s="6" t="s">
        <v>15</v>
      </c>
      <c r="K84" s="33" t="str">
        <f t="shared" si="5"/>
        <v/>
      </c>
      <c r="L84" s="6" t="s">
        <v>6</v>
      </c>
      <c r="M84" s="27"/>
      <c r="N84" s="27"/>
    </row>
    <row r="85" spans="1:14" ht="18.75" customHeight="1" x14ac:dyDescent="0.15">
      <c r="A85" s="11">
        <v>78</v>
      </c>
      <c r="B85" s="2"/>
      <c r="C85" s="88"/>
      <c r="D85" s="93"/>
      <c r="E85" s="88"/>
      <c r="F85" s="89" t="str">
        <f t="shared" si="3"/>
        <v/>
      </c>
      <c r="G85" s="5"/>
      <c r="H85" s="5" t="str">
        <f t="shared" si="4"/>
        <v/>
      </c>
      <c r="I85" s="35"/>
      <c r="J85" s="6" t="s">
        <v>15</v>
      </c>
      <c r="K85" s="37" t="str">
        <f t="shared" si="5"/>
        <v/>
      </c>
      <c r="L85" s="6" t="s">
        <v>6</v>
      </c>
      <c r="M85" s="27"/>
      <c r="N85" s="27"/>
    </row>
    <row r="86" spans="1:14" ht="18.75" customHeight="1" x14ac:dyDescent="0.15">
      <c r="A86" s="11">
        <v>79</v>
      </c>
      <c r="B86" s="2"/>
      <c r="C86" s="88"/>
      <c r="D86" s="93"/>
      <c r="E86" s="88"/>
      <c r="F86" s="89"/>
      <c r="G86" s="5"/>
      <c r="H86" s="5"/>
      <c r="I86" s="35"/>
      <c r="J86" s="6" t="s">
        <v>15</v>
      </c>
      <c r="K86" s="37"/>
      <c r="L86" s="6" t="s">
        <v>6</v>
      </c>
      <c r="M86" s="27"/>
      <c r="N86" s="27"/>
    </row>
    <row r="87" spans="1:14" ht="18.75" customHeight="1" x14ac:dyDescent="0.15">
      <c r="A87" s="11">
        <v>80</v>
      </c>
      <c r="B87" s="2"/>
      <c r="C87" s="88"/>
      <c r="D87" s="93"/>
      <c r="E87" s="88"/>
      <c r="F87" s="89" t="str">
        <f t="shared" si="3"/>
        <v/>
      </c>
      <c r="G87" s="5"/>
      <c r="H87" s="5" t="str">
        <f t="shared" si="4"/>
        <v/>
      </c>
      <c r="I87" s="35"/>
      <c r="J87" s="6" t="s">
        <v>15</v>
      </c>
      <c r="K87" s="37" t="str">
        <f>IF(I87&gt;0,I87*0.2,"")</f>
        <v/>
      </c>
      <c r="L87" s="6" t="s">
        <v>6</v>
      </c>
      <c r="M87" s="27"/>
      <c r="N87" s="27"/>
    </row>
    <row r="88" spans="1:14" ht="18.75" customHeight="1" x14ac:dyDescent="0.15">
      <c r="B88" s="44"/>
      <c r="C88" s="44"/>
      <c r="D88" s="45"/>
      <c r="E88" s="44"/>
      <c r="F88" s="44" t="str">
        <f t="shared" si="3"/>
        <v/>
      </c>
      <c r="G88" s="46"/>
      <c r="H88" s="46" t="str">
        <f t="shared" si="4"/>
        <v/>
      </c>
      <c r="I88" s="61">
        <f>SUM(I48:I87)+I44</f>
        <v>0</v>
      </c>
      <c r="J88" s="8" t="s">
        <v>15</v>
      </c>
      <c r="K88" s="47">
        <f>SUM(K48:K87)+K44</f>
        <v>0</v>
      </c>
      <c r="L88" s="8" t="s">
        <v>6</v>
      </c>
      <c r="M88" s="48"/>
      <c r="N88" s="48"/>
    </row>
  </sheetData>
  <mergeCells count="12">
    <mergeCell ref="B1:M1"/>
    <mergeCell ref="B2:M2"/>
    <mergeCell ref="C3:D3"/>
    <mergeCell ref="E3:F3"/>
    <mergeCell ref="I3:J3"/>
    <mergeCell ref="K3:L3"/>
    <mergeCell ref="B45:M45"/>
    <mergeCell ref="B46:M46"/>
    <mergeCell ref="C47:D47"/>
    <mergeCell ref="E47:F47"/>
    <mergeCell ref="I47:J47"/>
    <mergeCell ref="K47:L47"/>
  </mergeCells>
  <phoneticPr fontId="2"/>
  <dataValidations count="6">
    <dataValidation imeMode="on" allowBlank="1" showInputMessage="1" showErrorMessage="1" sqref="B44:C44 B88:C88" xr:uid="{50E0250D-2296-4707-983A-9D37E4D983AC}"/>
    <dataValidation imeMode="disabled" allowBlank="1" showInputMessage="1" showErrorMessage="1" sqref="G4:G40 N21:N42 H4:M42 N49:N63 N5:N19 G48:G84 E48:E88 N65:N88 H48:M88 E4:E44 M44:N44 H43:L44" xr:uid="{41878597-7896-4703-9776-A739D15A338E}"/>
    <dataValidation type="list" imeMode="on" allowBlank="1" showInputMessage="1" prompt="なければ直接入力" sqref="D44 D88" xr:uid="{23127770-8367-4085-8FCC-5F24F979E64E}">
      <formula1>"利尻島国保中央病院,福士水産㈱,高橋水産㈱"</formula1>
    </dataValidation>
    <dataValidation imeMode="disabled" allowBlank="1" showInputMessage="1" sqref="G85:G88 G41:G44" xr:uid="{D92999A4-30AE-411E-B083-03EA56C02D07}"/>
    <dataValidation type="list" imeMode="on" allowBlank="1" showInputMessage="1" showErrorMessage="1" sqref="B4:C43 B48:C87" xr:uid="{08DCF1DC-2F25-4C9E-BA96-99607E9FB52F}">
      <formula1>"水産系燃え殻,医療系燃え殻"</formula1>
    </dataValidation>
    <dataValidation type="list" imeMode="on" allowBlank="1" showInputMessage="1" prompt="なければ直接入力" sqref="D4:D43 D48:D87" xr:uid="{F1EBA3AE-39F0-4B07-8FC5-CBE5FDD76547}">
      <formula1>"利尻島国保中央病院,道立鬼脇診療所,カムイウィスキー,福士水産㈱,糀谷商店,米田商店"</formula1>
    </dataValidation>
  </dataValidations>
  <printOptions horizontalCentered="1" verticalCentered="1"/>
  <pageMargins left="0.59055118110236227" right="0.59055118110236227" top="0.59055118110236227" bottom="0.59055118110236227" header="0" footer="0"/>
  <pageSetup paperSize="9" orientation="portrait" horizontalDpi="4294967293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7712-2CFC-46B2-85CA-760C85AA4EB3}">
  <dimension ref="A1:O88"/>
  <sheetViews>
    <sheetView workbookViewId="0">
      <selection sqref="A1:XFD1048576"/>
    </sheetView>
  </sheetViews>
  <sheetFormatPr defaultRowHeight="13.5" x14ac:dyDescent="0.15"/>
  <cols>
    <col min="1" max="1" width="3.375" style="12" customWidth="1"/>
    <col min="2" max="2" width="12.25" style="10" customWidth="1"/>
    <col min="3" max="3" width="1" style="10" customWidth="1"/>
    <col min="4" max="4" width="17.625" style="12" customWidth="1"/>
    <col min="5" max="5" width="10.625" style="10" customWidth="1"/>
    <col min="6" max="6" width="2.125" style="10" customWidth="1"/>
    <col min="7" max="8" width="8.125" style="10" customWidth="1"/>
    <col min="9" max="9" width="6" style="13" customWidth="1"/>
    <col min="10" max="10" width="2.375" style="10" customWidth="1"/>
    <col min="11" max="11" width="5.5" style="10" customWidth="1"/>
    <col min="12" max="12" width="2.25" style="10" customWidth="1"/>
    <col min="13" max="13" width="6.25" style="49" customWidth="1"/>
    <col min="14" max="14" width="6.25" style="10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 x14ac:dyDescent="0.15">
      <c r="B1" s="95" t="s">
        <v>9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5" ht="21" customHeight="1" x14ac:dyDescent="0.15"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spans="1:15" ht="27" customHeight="1" x14ac:dyDescent="0.15">
      <c r="A3" s="11"/>
      <c r="B3" s="29" t="s">
        <v>1</v>
      </c>
      <c r="C3" s="102" t="s">
        <v>2</v>
      </c>
      <c r="D3" s="103"/>
      <c r="E3" s="104" t="s">
        <v>3</v>
      </c>
      <c r="F3" s="105"/>
      <c r="G3" s="92" t="s">
        <v>4</v>
      </c>
      <c r="H3" s="92" t="s">
        <v>7</v>
      </c>
      <c r="I3" s="106" t="s">
        <v>8</v>
      </c>
      <c r="J3" s="107"/>
      <c r="K3" s="106" t="s">
        <v>5</v>
      </c>
      <c r="L3" s="106"/>
      <c r="M3" s="30" t="s">
        <v>10</v>
      </c>
      <c r="N3" s="31" t="s">
        <v>18</v>
      </c>
    </row>
    <row r="4" spans="1:15" ht="18.75" customHeight="1" x14ac:dyDescent="0.15">
      <c r="A4" s="11">
        <v>1</v>
      </c>
      <c r="B4" s="2"/>
      <c r="C4" s="90"/>
      <c r="D4" s="93"/>
      <c r="E4" s="90"/>
      <c r="F4" s="91" t="str">
        <f t="shared" ref="F4:F41" si="0">IF(E4="","",E4-INT(E4/7)*7)</f>
        <v/>
      </c>
      <c r="G4" s="5"/>
      <c r="H4" s="5" t="str">
        <f t="shared" ref="H4:H41" si="1">IF(G4="","",G4)</f>
        <v/>
      </c>
      <c r="I4" s="32"/>
      <c r="J4" s="6" t="s">
        <v>15</v>
      </c>
      <c r="K4" s="33" t="str">
        <f t="shared" ref="K4:K41" si="2">IF(I4&gt;0,I4*0.2,"")</f>
        <v/>
      </c>
      <c r="L4" s="6" t="s">
        <v>6</v>
      </c>
      <c r="M4" s="27"/>
      <c r="N4" s="34"/>
    </row>
    <row r="5" spans="1:15" ht="18.75" customHeight="1" x14ac:dyDescent="0.15">
      <c r="A5" s="11">
        <v>2</v>
      </c>
      <c r="B5" s="2"/>
      <c r="C5" s="90"/>
      <c r="D5" s="93"/>
      <c r="E5" s="7"/>
      <c r="F5" s="91" t="str">
        <f t="shared" si="0"/>
        <v/>
      </c>
      <c r="G5" s="5"/>
      <c r="H5" s="5" t="str">
        <f t="shared" si="1"/>
        <v/>
      </c>
      <c r="I5" s="35"/>
      <c r="J5" s="36" t="s">
        <v>15</v>
      </c>
      <c r="K5" s="37" t="str">
        <f t="shared" si="2"/>
        <v/>
      </c>
      <c r="L5" s="6" t="s">
        <v>6</v>
      </c>
      <c r="M5" s="27"/>
      <c r="N5" s="27"/>
    </row>
    <row r="6" spans="1:15" ht="18.75" customHeight="1" x14ac:dyDescent="0.15">
      <c r="A6" s="11">
        <v>3</v>
      </c>
      <c r="B6" s="2"/>
      <c r="C6" s="90"/>
      <c r="D6" s="93"/>
      <c r="E6" s="90"/>
      <c r="F6" s="91" t="str">
        <f t="shared" si="0"/>
        <v/>
      </c>
      <c r="G6" s="5"/>
      <c r="H6" s="5" t="str">
        <f t="shared" si="1"/>
        <v/>
      </c>
      <c r="I6" s="38"/>
      <c r="J6" s="8" t="s">
        <v>15</v>
      </c>
      <c r="K6" s="39" t="str">
        <f t="shared" si="2"/>
        <v/>
      </c>
      <c r="L6" s="9" t="s">
        <v>6</v>
      </c>
      <c r="M6" s="40"/>
      <c r="N6" s="27"/>
    </row>
    <row r="7" spans="1:15" ht="18.75" customHeight="1" x14ac:dyDescent="0.15">
      <c r="A7" s="11">
        <v>4</v>
      </c>
      <c r="B7" s="2"/>
      <c r="C7" s="90"/>
      <c r="D7" s="93"/>
      <c r="E7" s="90"/>
      <c r="F7" s="91" t="str">
        <f t="shared" si="0"/>
        <v/>
      </c>
      <c r="G7" s="5"/>
      <c r="H7" s="5" t="str">
        <f t="shared" si="1"/>
        <v/>
      </c>
      <c r="I7" s="35"/>
      <c r="J7" s="6" t="s">
        <v>15</v>
      </c>
      <c r="K7" s="33" t="str">
        <f t="shared" si="2"/>
        <v/>
      </c>
      <c r="L7" s="6" t="s">
        <v>6</v>
      </c>
      <c r="M7" s="27"/>
      <c r="N7" s="27"/>
    </row>
    <row r="8" spans="1:15" ht="18.75" customHeight="1" x14ac:dyDescent="0.15">
      <c r="A8" s="11">
        <v>5</v>
      </c>
      <c r="B8" s="2"/>
      <c r="C8" s="90"/>
      <c r="D8" s="93"/>
      <c r="E8" s="90"/>
      <c r="F8" s="91" t="str">
        <f t="shared" si="0"/>
        <v/>
      </c>
      <c r="G8" s="5"/>
      <c r="H8" s="5" t="str">
        <f t="shared" si="1"/>
        <v/>
      </c>
      <c r="I8" s="35"/>
      <c r="J8" s="6" t="s">
        <v>15</v>
      </c>
      <c r="K8" s="33" t="str">
        <f t="shared" si="2"/>
        <v/>
      </c>
      <c r="L8" s="6" t="s">
        <v>6</v>
      </c>
      <c r="M8" s="27"/>
      <c r="N8" s="27"/>
    </row>
    <row r="9" spans="1:15" ht="18.75" customHeight="1" x14ac:dyDescent="0.15">
      <c r="A9" s="11">
        <v>6</v>
      </c>
      <c r="B9" s="2"/>
      <c r="C9" s="90"/>
      <c r="D9" s="93"/>
      <c r="E9" s="90"/>
      <c r="F9" s="91" t="str">
        <f t="shared" si="0"/>
        <v/>
      </c>
      <c r="G9" s="5"/>
      <c r="H9" s="5" t="str">
        <f t="shared" si="1"/>
        <v/>
      </c>
      <c r="I9" s="35"/>
      <c r="J9" s="6" t="s">
        <v>15</v>
      </c>
      <c r="K9" s="33" t="str">
        <f t="shared" si="2"/>
        <v/>
      </c>
      <c r="L9" s="6" t="s">
        <v>6</v>
      </c>
      <c r="M9" s="27"/>
      <c r="N9" s="27"/>
    </row>
    <row r="10" spans="1:15" ht="18.75" customHeight="1" x14ac:dyDescent="0.15">
      <c r="A10" s="11">
        <v>7</v>
      </c>
      <c r="B10" s="2"/>
      <c r="C10" s="90"/>
      <c r="D10" s="93"/>
      <c r="E10" s="90"/>
      <c r="F10" s="91" t="str">
        <f t="shared" si="0"/>
        <v/>
      </c>
      <c r="G10" s="5"/>
      <c r="H10" s="5" t="str">
        <f t="shared" si="1"/>
        <v/>
      </c>
      <c r="I10" s="35"/>
      <c r="J10" s="6" t="s">
        <v>15</v>
      </c>
      <c r="K10" s="33" t="str">
        <f t="shared" si="2"/>
        <v/>
      </c>
      <c r="L10" s="6" t="s">
        <v>6</v>
      </c>
      <c r="M10" s="27"/>
      <c r="N10" s="27"/>
    </row>
    <row r="11" spans="1:15" ht="18.75" customHeight="1" x14ac:dyDescent="0.15">
      <c r="A11" s="11">
        <v>8</v>
      </c>
      <c r="B11" s="2"/>
      <c r="C11" s="90"/>
      <c r="D11" s="93"/>
      <c r="E11" s="90"/>
      <c r="F11" s="91" t="str">
        <f t="shared" si="0"/>
        <v/>
      </c>
      <c r="G11" s="5"/>
      <c r="H11" s="5" t="str">
        <f t="shared" si="1"/>
        <v/>
      </c>
      <c r="I11" s="41"/>
      <c r="J11" s="8" t="s">
        <v>15</v>
      </c>
      <c r="K11" s="33" t="str">
        <f t="shared" si="2"/>
        <v/>
      </c>
      <c r="L11" s="9" t="s">
        <v>6</v>
      </c>
      <c r="M11" s="27"/>
      <c r="N11" s="27"/>
    </row>
    <row r="12" spans="1:15" ht="18.75" customHeight="1" x14ac:dyDescent="0.15">
      <c r="A12" s="11">
        <v>9</v>
      </c>
      <c r="B12" s="2"/>
      <c r="C12" s="90"/>
      <c r="D12" s="93"/>
      <c r="E12" s="90"/>
      <c r="F12" s="91" t="str">
        <f t="shared" si="0"/>
        <v/>
      </c>
      <c r="G12" s="5"/>
      <c r="H12" s="5" t="str">
        <f t="shared" si="1"/>
        <v/>
      </c>
      <c r="I12" s="35"/>
      <c r="J12" s="6" t="s">
        <v>15</v>
      </c>
      <c r="K12" s="33" t="str">
        <f t="shared" si="2"/>
        <v/>
      </c>
      <c r="L12" s="6" t="s">
        <v>6</v>
      </c>
      <c r="M12" s="27"/>
      <c r="N12" s="27"/>
    </row>
    <row r="13" spans="1:15" ht="18.75" customHeight="1" x14ac:dyDescent="0.15">
      <c r="A13" s="11">
        <v>10</v>
      </c>
      <c r="B13" s="2"/>
      <c r="C13" s="90"/>
      <c r="D13" s="93"/>
      <c r="E13" s="90"/>
      <c r="F13" s="91" t="str">
        <f t="shared" si="0"/>
        <v/>
      </c>
      <c r="G13" s="5"/>
      <c r="H13" s="5" t="str">
        <f t="shared" si="1"/>
        <v/>
      </c>
      <c r="I13" s="41"/>
      <c r="J13" s="8" t="s">
        <v>15</v>
      </c>
      <c r="K13" s="33" t="str">
        <f t="shared" si="2"/>
        <v/>
      </c>
      <c r="L13" s="9" t="s">
        <v>6</v>
      </c>
      <c r="M13" s="27"/>
      <c r="N13" s="27"/>
    </row>
    <row r="14" spans="1:15" ht="18.75" customHeight="1" x14ac:dyDescent="0.15">
      <c r="A14" s="11">
        <v>11</v>
      </c>
      <c r="B14" s="2"/>
      <c r="C14" s="90"/>
      <c r="D14" s="93"/>
      <c r="E14" s="90"/>
      <c r="F14" s="91" t="str">
        <f t="shared" si="0"/>
        <v/>
      </c>
      <c r="G14" s="5"/>
      <c r="H14" s="5" t="str">
        <f t="shared" si="1"/>
        <v/>
      </c>
      <c r="I14" s="35"/>
      <c r="J14" s="6" t="s">
        <v>15</v>
      </c>
      <c r="K14" s="33" t="str">
        <f t="shared" si="2"/>
        <v/>
      </c>
      <c r="L14" s="6" t="s">
        <v>6</v>
      </c>
      <c r="M14" s="27"/>
      <c r="N14" s="27"/>
      <c r="O14" s="59"/>
    </row>
    <row r="15" spans="1:15" ht="18.75" customHeight="1" x14ac:dyDescent="0.15">
      <c r="A15" s="11">
        <v>12</v>
      </c>
      <c r="B15" s="2"/>
      <c r="C15" s="90"/>
      <c r="D15" s="93"/>
      <c r="E15" s="90"/>
      <c r="F15" s="91" t="str">
        <f t="shared" si="0"/>
        <v/>
      </c>
      <c r="G15" s="5"/>
      <c r="H15" s="5" t="str">
        <f t="shared" si="1"/>
        <v/>
      </c>
      <c r="I15" s="42"/>
      <c r="J15" s="8" t="s">
        <v>15</v>
      </c>
      <c r="K15" s="33" t="str">
        <f t="shared" si="2"/>
        <v/>
      </c>
      <c r="L15" s="6" t="s">
        <v>6</v>
      </c>
      <c r="M15" s="27"/>
      <c r="N15" s="27"/>
    </row>
    <row r="16" spans="1:15" ht="18.75" customHeight="1" x14ac:dyDescent="0.15">
      <c r="A16" s="11">
        <v>13</v>
      </c>
      <c r="B16" s="2"/>
      <c r="C16" s="90"/>
      <c r="D16" s="93"/>
      <c r="E16" s="90"/>
      <c r="F16" s="91" t="str">
        <f t="shared" si="0"/>
        <v/>
      </c>
      <c r="G16" s="5"/>
      <c r="H16" s="5" t="str">
        <f t="shared" si="1"/>
        <v/>
      </c>
      <c r="I16" s="35"/>
      <c r="J16" s="6" t="s">
        <v>15</v>
      </c>
      <c r="K16" s="33" t="str">
        <f t="shared" si="2"/>
        <v/>
      </c>
      <c r="L16" s="6" t="s">
        <v>6</v>
      </c>
      <c r="M16" s="27"/>
      <c r="N16" s="27"/>
    </row>
    <row r="17" spans="1:15" ht="18.75" customHeight="1" x14ac:dyDescent="0.15">
      <c r="A17" s="11">
        <v>14</v>
      </c>
      <c r="B17" s="2"/>
      <c r="C17" s="90"/>
      <c r="D17" s="93"/>
      <c r="E17" s="90"/>
      <c r="F17" s="91" t="str">
        <f t="shared" si="0"/>
        <v/>
      </c>
      <c r="G17" s="5"/>
      <c r="H17" s="5" t="str">
        <f t="shared" si="1"/>
        <v/>
      </c>
      <c r="I17" s="35"/>
      <c r="J17" s="6" t="s">
        <v>15</v>
      </c>
      <c r="K17" s="33" t="str">
        <f t="shared" si="2"/>
        <v/>
      </c>
      <c r="L17" s="6" t="s">
        <v>6</v>
      </c>
      <c r="M17" s="27"/>
      <c r="N17" s="27"/>
    </row>
    <row r="18" spans="1:15" ht="18.75" customHeight="1" x14ac:dyDescent="0.15">
      <c r="A18" s="11">
        <v>15</v>
      </c>
      <c r="B18" s="2"/>
      <c r="C18" s="90"/>
      <c r="D18" s="93"/>
      <c r="E18" s="90"/>
      <c r="F18" s="91" t="str">
        <f t="shared" si="0"/>
        <v/>
      </c>
      <c r="G18" s="5"/>
      <c r="H18" s="5" t="str">
        <f t="shared" si="1"/>
        <v/>
      </c>
      <c r="I18" s="41"/>
      <c r="J18" s="6" t="s">
        <v>15</v>
      </c>
      <c r="K18" s="33" t="str">
        <f t="shared" si="2"/>
        <v/>
      </c>
      <c r="L18" s="9" t="s">
        <v>6</v>
      </c>
      <c r="M18" s="27"/>
      <c r="N18" s="27"/>
    </row>
    <row r="19" spans="1:15" ht="18.75" customHeight="1" x14ac:dyDescent="0.15">
      <c r="A19" s="11">
        <v>16</v>
      </c>
      <c r="B19" s="2"/>
      <c r="C19" s="90"/>
      <c r="D19" s="93"/>
      <c r="E19" s="90"/>
      <c r="F19" s="91" t="str">
        <f t="shared" si="0"/>
        <v/>
      </c>
      <c r="G19" s="5"/>
      <c r="H19" s="5" t="str">
        <f t="shared" si="1"/>
        <v/>
      </c>
      <c r="I19" s="35"/>
      <c r="J19" s="6" t="s">
        <v>15</v>
      </c>
      <c r="K19" s="33" t="str">
        <f t="shared" si="2"/>
        <v/>
      </c>
      <c r="L19" s="6" t="s">
        <v>6</v>
      </c>
      <c r="M19" s="27"/>
      <c r="N19" s="27"/>
    </row>
    <row r="20" spans="1:15" ht="18.75" customHeight="1" x14ac:dyDescent="0.15">
      <c r="A20" s="11">
        <v>17</v>
      </c>
      <c r="B20" s="2"/>
      <c r="C20" s="90"/>
      <c r="D20" s="93"/>
      <c r="E20" s="7"/>
      <c r="F20" s="91" t="str">
        <f t="shared" si="0"/>
        <v/>
      </c>
      <c r="G20" s="5"/>
      <c r="H20" s="5" t="str">
        <f t="shared" si="1"/>
        <v/>
      </c>
      <c r="I20" s="42"/>
      <c r="J20" s="8" t="s">
        <v>15</v>
      </c>
      <c r="K20" s="33" t="str">
        <f t="shared" si="2"/>
        <v/>
      </c>
      <c r="L20" s="6" t="s">
        <v>6</v>
      </c>
      <c r="M20" s="27"/>
      <c r="N20" s="34"/>
    </row>
    <row r="21" spans="1:15" ht="18.75" customHeight="1" x14ac:dyDescent="0.15">
      <c r="A21" s="11">
        <v>18</v>
      </c>
      <c r="B21" s="2"/>
      <c r="C21" s="90"/>
      <c r="D21" s="93"/>
      <c r="E21" s="90"/>
      <c r="F21" s="91" t="str">
        <f t="shared" si="0"/>
        <v/>
      </c>
      <c r="G21" s="5"/>
      <c r="H21" s="5" t="str">
        <f t="shared" si="1"/>
        <v/>
      </c>
      <c r="I21" s="35"/>
      <c r="J21" s="6" t="s">
        <v>15</v>
      </c>
      <c r="K21" s="33" t="str">
        <f t="shared" si="2"/>
        <v/>
      </c>
      <c r="L21" s="6" t="s">
        <v>6</v>
      </c>
      <c r="M21" s="27"/>
      <c r="N21" s="27"/>
    </row>
    <row r="22" spans="1:15" ht="18.75" customHeight="1" x14ac:dyDescent="0.15">
      <c r="A22" s="11">
        <v>19</v>
      </c>
      <c r="B22" s="2"/>
      <c r="C22" s="90"/>
      <c r="D22" s="93"/>
      <c r="E22" s="90"/>
      <c r="F22" s="91" t="str">
        <f t="shared" si="0"/>
        <v/>
      </c>
      <c r="G22" s="5"/>
      <c r="H22" s="5" t="str">
        <f t="shared" si="1"/>
        <v/>
      </c>
      <c r="I22" s="35"/>
      <c r="J22" s="6" t="s">
        <v>15</v>
      </c>
      <c r="K22" s="33" t="str">
        <f t="shared" si="2"/>
        <v/>
      </c>
      <c r="L22" s="6" t="s">
        <v>6</v>
      </c>
      <c r="M22" s="27"/>
      <c r="N22" s="27"/>
    </row>
    <row r="23" spans="1:15" ht="18.75" customHeight="1" x14ac:dyDescent="0.15">
      <c r="A23" s="11">
        <v>20</v>
      </c>
      <c r="B23" s="2"/>
      <c r="C23" s="90"/>
      <c r="D23" s="93"/>
      <c r="E23" s="90"/>
      <c r="F23" s="91" t="str">
        <f t="shared" si="0"/>
        <v/>
      </c>
      <c r="G23" s="5"/>
      <c r="H23" s="5" t="str">
        <f t="shared" si="1"/>
        <v/>
      </c>
      <c r="I23" s="35"/>
      <c r="J23" s="6" t="s">
        <v>11</v>
      </c>
      <c r="K23" s="33" t="str">
        <f t="shared" si="2"/>
        <v/>
      </c>
      <c r="L23" s="6" t="s">
        <v>6</v>
      </c>
      <c r="M23" s="27"/>
      <c r="N23" s="27"/>
    </row>
    <row r="24" spans="1:15" ht="18.75" customHeight="1" x14ac:dyDescent="0.15">
      <c r="A24" s="11">
        <v>21</v>
      </c>
      <c r="B24" s="2"/>
      <c r="C24" s="90"/>
      <c r="D24" s="93"/>
      <c r="E24" s="90"/>
      <c r="F24" s="91" t="str">
        <f t="shared" si="0"/>
        <v/>
      </c>
      <c r="G24" s="5"/>
      <c r="H24" s="5" t="str">
        <f t="shared" si="1"/>
        <v/>
      </c>
      <c r="I24" s="35"/>
      <c r="J24" s="8" t="s">
        <v>11</v>
      </c>
      <c r="K24" s="33" t="str">
        <f t="shared" si="2"/>
        <v/>
      </c>
      <c r="L24" s="6" t="s">
        <v>6</v>
      </c>
      <c r="M24" s="27"/>
      <c r="N24" s="27"/>
    </row>
    <row r="25" spans="1:15" ht="18.75" customHeight="1" x14ac:dyDescent="0.15">
      <c r="A25" s="11">
        <v>22</v>
      </c>
      <c r="B25" s="2"/>
      <c r="C25" s="90"/>
      <c r="D25" s="93"/>
      <c r="E25" s="90"/>
      <c r="F25" s="91" t="str">
        <f t="shared" si="0"/>
        <v/>
      </c>
      <c r="G25" s="5"/>
      <c r="H25" s="5" t="str">
        <f t="shared" si="1"/>
        <v/>
      </c>
      <c r="I25" s="41"/>
      <c r="J25" s="6" t="s">
        <v>11</v>
      </c>
      <c r="K25" s="33" t="str">
        <f t="shared" si="2"/>
        <v/>
      </c>
      <c r="L25" s="6" t="s">
        <v>6</v>
      </c>
      <c r="M25" s="27"/>
      <c r="N25" s="27"/>
    </row>
    <row r="26" spans="1:15" ht="18.75" customHeight="1" x14ac:dyDescent="0.15">
      <c r="A26" s="11">
        <v>23</v>
      </c>
      <c r="B26" s="2"/>
      <c r="C26" s="90"/>
      <c r="D26" s="93"/>
      <c r="E26" s="90"/>
      <c r="F26" s="91" t="str">
        <f t="shared" si="0"/>
        <v/>
      </c>
      <c r="G26" s="5"/>
      <c r="H26" s="5" t="str">
        <f t="shared" si="1"/>
        <v/>
      </c>
      <c r="I26" s="41"/>
      <c r="J26" s="6" t="s">
        <v>15</v>
      </c>
      <c r="K26" s="33" t="str">
        <f t="shared" si="2"/>
        <v/>
      </c>
      <c r="L26" s="6" t="s">
        <v>6</v>
      </c>
      <c r="M26" s="27"/>
      <c r="N26" s="27"/>
    </row>
    <row r="27" spans="1:15" ht="18.75" customHeight="1" x14ac:dyDescent="0.15">
      <c r="A27" s="11">
        <v>24</v>
      </c>
      <c r="B27" s="2"/>
      <c r="C27" s="90"/>
      <c r="D27" s="93"/>
      <c r="E27" s="90"/>
      <c r="F27" s="91" t="str">
        <f t="shared" si="0"/>
        <v/>
      </c>
      <c r="G27" s="5"/>
      <c r="H27" s="5" t="str">
        <f t="shared" si="1"/>
        <v/>
      </c>
      <c r="I27" s="35"/>
      <c r="J27" s="8" t="s">
        <v>15</v>
      </c>
      <c r="K27" s="33" t="str">
        <f t="shared" si="2"/>
        <v/>
      </c>
      <c r="L27" s="6" t="s">
        <v>6</v>
      </c>
      <c r="M27" s="27"/>
      <c r="N27" s="27"/>
      <c r="O27" s="59"/>
    </row>
    <row r="28" spans="1:15" ht="18.75" customHeight="1" x14ac:dyDescent="0.15">
      <c r="A28" s="11">
        <v>25</v>
      </c>
      <c r="B28" s="2"/>
      <c r="C28" s="90"/>
      <c r="D28" s="93"/>
      <c r="E28" s="90"/>
      <c r="F28" s="91" t="str">
        <f t="shared" si="0"/>
        <v/>
      </c>
      <c r="G28" s="5"/>
      <c r="H28" s="5" t="str">
        <f t="shared" si="1"/>
        <v/>
      </c>
      <c r="I28" s="35"/>
      <c r="J28" s="6" t="s">
        <v>15</v>
      </c>
      <c r="K28" s="33" t="str">
        <f t="shared" si="2"/>
        <v/>
      </c>
      <c r="L28" s="6" t="s">
        <v>6</v>
      </c>
      <c r="M28" s="27"/>
      <c r="N28" s="27"/>
    </row>
    <row r="29" spans="1:15" ht="18.75" customHeight="1" x14ac:dyDescent="0.15">
      <c r="A29" s="11">
        <v>26</v>
      </c>
      <c r="B29" s="2"/>
      <c r="C29" s="90"/>
      <c r="D29" s="93"/>
      <c r="E29" s="90"/>
      <c r="F29" s="91" t="str">
        <f t="shared" si="0"/>
        <v/>
      </c>
      <c r="G29" s="5"/>
      <c r="H29" s="5" t="str">
        <f t="shared" si="1"/>
        <v/>
      </c>
      <c r="I29" s="35"/>
      <c r="J29" s="6" t="s">
        <v>15</v>
      </c>
      <c r="K29" s="33" t="str">
        <f t="shared" si="2"/>
        <v/>
      </c>
      <c r="L29" s="6" t="s">
        <v>6</v>
      </c>
      <c r="M29" s="27"/>
      <c r="N29" s="27"/>
    </row>
    <row r="30" spans="1:15" ht="18.75" customHeight="1" x14ac:dyDescent="0.15">
      <c r="A30" s="11">
        <v>27</v>
      </c>
      <c r="B30" s="2"/>
      <c r="C30" s="90"/>
      <c r="D30" s="93"/>
      <c r="E30" s="90"/>
      <c r="F30" s="91" t="str">
        <f t="shared" si="0"/>
        <v/>
      </c>
      <c r="G30" s="5"/>
      <c r="H30" s="5" t="str">
        <f t="shared" si="1"/>
        <v/>
      </c>
      <c r="I30" s="35"/>
      <c r="J30" s="8" t="s">
        <v>15</v>
      </c>
      <c r="K30" s="33" t="str">
        <f t="shared" si="2"/>
        <v/>
      </c>
      <c r="L30" s="6" t="s">
        <v>6</v>
      </c>
      <c r="M30" s="27"/>
      <c r="N30" s="27"/>
    </row>
    <row r="31" spans="1:15" ht="18.75" customHeight="1" x14ac:dyDescent="0.15">
      <c r="A31" s="11">
        <v>28</v>
      </c>
      <c r="B31" s="2"/>
      <c r="C31" s="90"/>
      <c r="D31" s="93"/>
      <c r="E31" s="7"/>
      <c r="F31" s="91" t="str">
        <f t="shared" si="0"/>
        <v/>
      </c>
      <c r="G31" s="5"/>
      <c r="H31" s="5" t="str">
        <f t="shared" si="1"/>
        <v/>
      </c>
      <c r="I31" s="41"/>
      <c r="J31" s="6" t="s">
        <v>15</v>
      </c>
      <c r="K31" s="33" t="str">
        <f t="shared" si="2"/>
        <v/>
      </c>
      <c r="L31" s="6" t="s">
        <v>6</v>
      </c>
      <c r="M31" s="27"/>
      <c r="N31" s="27"/>
    </row>
    <row r="32" spans="1:15" ht="18.75" customHeight="1" x14ac:dyDescent="0.15">
      <c r="A32" s="11">
        <v>29</v>
      </c>
      <c r="B32" s="2"/>
      <c r="C32" s="90"/>
      <c r="D32" s="93"/>
      <c r="E32" s="90"/>
      <c r="F32" s="91" t="str">
        <f t="shared" si="0"/>
        <v/>
      </c>
      <c r="G32" s="5"/>
      <c r="H32" s="5" t="str">
        <f t="shared" si="1"/>
        <v/>
      </c>
      <c r="I32" s="35"/>
      <c r="J32" s="6" t="s">
        <v>15</v>
      </c>
      <c r="K32" s="33" t="str">
        <f t="shared" si="2"/>
        <v/>
      </c>
      <c r="L32" s="6" t="s">
        <v>6</v>
      </c>
      <c r="M32" s="27"/>
      <c r="N32" s="27"/>
    </row>
    <row r="33" spans="1:15" ht="18.75" customHeight="1" x14ac:dyDescent="0.15">
      <c r="A33" s="11">
        <v>30</v>
      </c>
      <c r="B33" s="2"/>
      <c r="C33" s="90"/>
      <c r="D33" s="93"/>
      <c r="E33" s="90"/>
      <c r="F33" s="91" t="str">
        <f t="shared" si="0"/>
        <v/>
      </c>
      <c r="G33" s="5"/>
      <c r="H33" s="5" t="str">
        <f t="shared" si="1"/>
        <v/>
      </c>
      <c r="I33" s="35"/>
      <c r="J33" s="6" t="s">
        <v>15</v>
      </c>
      <c r="K33" s="33" t="str">
        <f t="shared" si="2"/>
        <v/>
      </c>
      <c r="L33" s="6" t="s">
        <v>6</v>
      </c>
      <c r="M33" s="27"/>
      <c r="N33" s="27"/>
    </row>
    <row r="34" spans="1:15" ht="18.75" customHeight="1" x14ac:dyDescent="0.15">
      <c r="A34" s="11">
        <v>31</v>
      </c>
      <c r="B34" s="2"/>
      <c r="C34" s="90"/>
      <c r="D34" s="93"/>
      <c r="E34" s="90"/>
      <c r="F34" s="91" t="str">
        <f t="shared" si="0"/>
        <v/>
      </c>
      <c r="G34" s="5"/>
      <c r="H34" s="5" t="str">
        <f t="shared" si="1"/>
        <v/>
      </c>
      <c r="I34" s="42"/>
      <c r="J34" s="6" t="s">
        <v>15</v>
      </c>
      <c r="K34" s="33" t="str">
        <f t="shared" si="2"/>
        <v/>
      </c>
      <c r="L34" s="6" t="s">
        <v>6</v>
      </c>
      <c r="M34" s="27"/>
      <c r="N34" s="27"/>
      <c r="O34" s="59"/>
    </row>
    <row r="35" spans="1:15" ht="18.75" customHeight="1" x14ac:dyDescent="0.15">
      <c r="A35" s="11">
        <v>32</v>
      </c>
      <c r="B35" s="2"/>
      <c r="C35" s="90"/>
      <c r="D35" s="93"/>
      <c r="E35" s="7"/>
      <c r="F35" s="91" t="str">
        <f t="shared" si="0"/>
        <v/>
      </c>
      <c r="G35" s="5"/>
      <c r="H35" s="5" t="str">
        <f t="shared" si="1"/>
        <v/>
      </c>
      <c r="I35" s="35"/>
      <c r="J35" s="6" t="s">
        <v>15</v>
      </c>
      <c r="K35" s="33" t="str">
        <f t="shared" si="2"/>
        <v/>
      </c>
      <c r="L35" s="6" t="s">
        <v>6</v>
      </c>
      <c r="M35" s="27"/>
      <c r="N35" s="27"/>
    </row>
    <row r="36" spans="1:15" ht="18.75" customHeight="1" x14ac:dyDescent="0.15">
      <c r="A36" s="11">
        <v>33</v>
      </c>
      <c r="B36" s="2"/>
      <c r="C36" s="90"/>
      <c r="D36" s="93"/>
      <c r="E36" s="90"/>
      <c r="F36" s="91" t="str">
        <f t="shared" si="0"/>
        <v/>
      </c>
      <c r="G36" s="5"/>
      <c r="H36" s="5" t="str">
        <f t="shared" si="1"/>
        <v/>
      </c>
      <c r="I36" s="43"/>
      <c r="J36" s="6" t="s">
        <v>15</v>
      </c>
      <c r="K36" s="33" t="str">
        <f t="shared" si="2"/>
        <v/>
      </c>
      <c r="L36" s="6" t="s">
        <v>6</v>
      </c>
      <c r="M36" s="27"/>
      <c r="N36" s="27"/>
    </row>
    <row r="37" spans="1:15" ht="18.75" customHeight="1" x14ac:dyDescent="0.15">
      <c r="A37" s="11">
        <v>34</v>
      </c>
      <c r="B37" s="2"/>
      <c r="C37" s="90"/>
      <c r="D37" s="93"/>
      <c r="E37" s="90"/>
      <c r="F37" s="91" t="str">
        <f t="shared" si="0"/>
        <v/>
      </c>
      <c r="G37" s="5"/>
      <c r="H37" s="5" t="str">
        <f t="shared" si="1"/>
        <v/>
      </c>
      <c r="I37" s="35"/>
      <c r="J37" s="6" t="s">
        <v>15</v>
      </c>
      <c r="K37" s="33" t="str">
        <f t="shared" si="2"/>
        <v/>
      </c>
      <c r="L37" s="6" t="s">
        <v>6</v>
      </c>
      <c r="M37" s="27"/>
      <c r="N37" s="27"/>
    </row>
    <row r="38" spans="1:15" ht="18.75" customHeight="1" x14ac:dyDescent="0.15">
      <c r="A38" s="11">
        <v>35</v>
      </c>
      <c r="B38" s="2"/>
      <c r="C38" s="90"/>
      <c r="D38" s="93"/>
      <c r="E38" s="7"/>
      <c r="F38" s="91" t="str">
        <f t="shared" si="0"/>
        <v/>
      </c>
      <c r="G38" s="5"/>
      <c r="H38" s="5" t="str">
        <f t="shared" si="1"/>
        <v/>
      </c>
      <c r="I38" s="42"/>
      <c r="J38" s="6" t="s">
        <v>15</v>
      </c>
      <c r="K38" s="33" t="str">
        <f t="shared" si="2"/>
        <v/>
      </c>
      <c r="L38" s="6" t="s">
        <v>6</v>
      </c>
      <c r="M38" s="27"/>
      <c r="N38" s="27"/>
    </row>
    <row r="39" spans="1:15" ht="18.75" customHeight="1" x14ac:dyDescent="0.15">
      <c r="A39" s="11">
        <v>36</v>
      </c>
      <c r="B39" s="2"/>
      <c r="C39" s="90"/>
      <c r="D39" s="93"/>
      <c r="E39" s="90"/>
      <c r="F39" s="91" t="str">
        <f t="shared" si="0"/>
        <v/>
      </c>
      <c r="G39" s="5"/>
      <c r="H39" s="5" t="str">
        <f t="shared" si="1"/>
        <v/>
      </c>
      <c r="I39" s="35"/>
      <c r="J39" s="6" t="s">
        <v>15</v>
      </c>
      <c r="K39" s="33" t="str">
        <f t="shared" si="2"/>
        <v/>
      </c>
      <c r="L39" s="6" t="s">
        <v>6</v>
      </c>
      <c r="M39" s="27"/>
      <c r="N39" s="27"/>
    </row>
    <row r="40" spans="1:15" ht="18.75" customHeight="1" x14ac:dyDescent="0.15">
      <c r="A40" s="11">
        <v>37</v>
      </c>
      <c r="B40" s="2"/>
      <c r="C40" s="90"/>
      <c r="D40" s="93"/>
      <c r="E40" s="90"/>
      <c r="F40" s="91" t="str">
        <f t="shared" si="0"/>
        <v/>
      </c>
      <c r="G40" s="5"/>
      <c r="H40" s="5" t="str">
        <f t="shared" si="1"/>
        <v/>
      </c>
      <c r="I40" s="35"/>
      <c r="J40" s="6" t="s">
        <v>15</v>
      </c>
      <c r="K40" s="33" t="str">
        <f t="shared" si="2"/>
        <v/>
      </c>
      <c r="L40" s="6" t="s">
        <v>6</v>
      </c>
      <c r="M40" s="27"/>
      <c r="N40" s="27"/>
    </row>
    <row r="41" spans="1:15" ht="18.75" customHeight="1" x14ac:dyDescent="0.15">
      <c r="A41" s="11">
        <v>38</v>
      </c>
      <c r="B41" s="2"/>
      <c r="C41" s="90"/>
      <c r="D41" s="93"/>
      <c r="E41" s="90"/>
      <c r="F41" s="91" t="str">
        <f t="shared" si="0"/>
        <v/>
      </c>
      <c r="G41" s="5"/>
      <c r="H41" s="5" t="str">
        <f t="shared" si="1"/>
        <v/>
      </c>
      <c r="I41" s="35"/>
      <c r="J41" s="6" t="s">
        <v>15</v>
      </c>
      <c r="K41" s="37" t="str">
        <f t="shared" si="2"/>
        <v/>
      </c>
      <c r="L41" s="6" t="s">
        <v>6</v>
      </c>
      <c r="M41" s="27"/>
      <c r="N41" s="27"/>
    </row>
    <row r="42" spans="1:15" ht="18.75" customHeight="1" x14ac:dyDescent="0.15">
      <c r="A42" s="11">
        <v>39</v>
      </c>
      <c r="B42" s="2"/>
      <c r="C42" s="90"/>
      <c r="D42" s="93"/>
      <c r="E42" s="90"/>
      <c r="F42" s="91"/>
      <c r="G42" s="5"/>
      <c r="H42" s="5"/>
      <c r="I42" s="35"/>
      <c r="J42" s="6" t="s">
        <v>15</v>
      </c>
      <c r="K42" s="37"/>
      <c r="L42" s="6" t="s">
        <v>6</v>
      </c>
      <c r="M42" s="27"/>
      <c r="N42" s="27"/>
    </row>
    <row r="43" spans="1:15" ht="18.75" customHeight="1" thickBot="1" x14ac:dyDescent="0.2">
      <c r="A43" s="50">
        <v>40</v>
      </c>
      <c r="B43" s="51"/>
      <c r="C43" s="52"/>
      <c r="D43" s="94"/>
      <c r="E43" s="52"/>
      <c r="F43" s="53"/>
      <c r="G43" s="54"/>
      <c r="H43" s="54"/>
      <c r="I43" s="55"/>
      <c r="J43" s="56" t="s">
        <v>15</v>
      </c>
      <c r="K43" s="57"/>
      <c r="L43" s="56" t="s">
        <v>6</v>
      </c>
      <c r="M43" s="86" t="s">
        <v>21</v>
      </c>
      <c r="N43" s="86" t="s">
        <v>22</v>
      </c>
    </row>
    <row r="44" spans="1:15" ht="18.75" customHeight="1" thickTop="1" x14ac:dyDescent="0.15">
      <c r="B44" s="44"/>
      <c r="C44" s="44"/>
      <c r="D44" s="45"/>
      <c r="E44" s="44"/>
      <c r="F44" s="44" t="str">
        <f>IF(E44="","",E44-INT(E44/7)*7)</f>
        <v/>
      </c>
      <c r="G44" s="46"/>
      <c r="H44" s="46" t="str">
        <f>IF(G44="","",G44)</f>
        <v/>
      </c>
      <c r="I44" s="61">
        <f>SUM(I4:I43)</f>
        <v>0</v>
      </c>
      <c r="J44" s="8" t="s">
        <v>15</v>
      </c>
      <c r="K44" s="47">
        <f>SUM(K4:K43)</f>
        <v>0</v>
      </c>
      <c r="L44" s="8" t="s">
        <v>6</v>
      </c>
      <c r="M44" s="48">
        <f>SUM(K44)-N44</f>
        <v>0</v>
      </c>
      <c r="N44" s="72">
        <f>SUMIF(M4:M42,"",K4:K43)</f>
        <v>0</v>
      </c>
    </row>
    <row r="45" spans="1:15" ht="20.25" customHeight="1" x14ac:dyDescent="0.15">
      <c r="B45" s="95" t="s">
        <v>9</v>
      </c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</row>
    <row r="46" spans="1:15" ht="21" customHeight="1" x14ac:dyDescent="0.15">
      <c r="B46" s="96" t="s">
        <v>0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</row>
    <row r="47" spans="1:15" ht="27" customHeight="1" x14ac:dyDescent="0.15">
      <c r="A47" s="11"/>
      <c r="B47" s="29" t="s">
        <v>1</v>
      </c>
      <c r="C47" s="102" t="s">
        <v>2</v>
      </c>
      <c r="D47" s="103"/>
      <c r="E47" s="104" t="s">
        <v>3</v>
      </c>
      <c r="F47" s="105"/>
      <c r="G47" s="92" t="s">
        <v>4</v>
      </c>
      <c r="H47" s="92" t="s">
        <v>7</v>
      </c>
      <c r="I47" s="106" t="s">
        <v>8</v>
      </c>
      <c r="J47" s="107"/>
      <c r="K47" s="106" t="s">
        <v>5</v>
      </c>
      <c r="L47" s="106"/>
      <c r="M47" s="30" t="s">
        <v>10</v>
      </c>
      <c r="N47" s="31" t="s">
        <v>18</v>
      </c>
    </row>
    <row r="48" spans="1:15" ht="18.75" customHeight="1" x14ac:dyDescent="0.15">
      <c r="A48" s="11">
        <v>41</v>
      </c>
      <c r="B48" s="2"/>
      <c r="C48" s="90"/>
      <c r="D48" s="93"/>
      <c r="E48" s="90"/>
      <c r="F48" s="91" t="str">
        <f t="shared" ref="F48:F88" si="3">IF(E48="","",E48-INT(E48/7)*7)</f>
        <v/>
      </c>
      <c r="G48" s="5"/>
      <c r="H48" s="5" t="str">
        <f t="shared" ref="H48:H88" si="4">IF(G48="","",G48)</f>
        <v/>
      </c>
      <c r="I48" s="32"/>
      <c r="J48" s="6" t="s">
        <v>15</v>
      </c>
      <c r="K48" s="33" t="str">
        <f t="shared" ref="K48:K85" si="5">IF(I48&gt;0,I48*0.2,"")</f>
        <v/>
      </c>
      <c r="L48" s="6" t="s">
        <v>6</v>
      </c>
      <c r="M48" s="27"/>
      <c r="N48" s="34"/>
    </row>
    <row r="49" spans="1:14" ht="18.75" customHeight="1" x14ac:dyDescent="0.15">
      <c r="A49" s="11">
        <v>42</v>
      </c>
      <c r="B49" s="2"/>
      <c r="C49" s="90"/>
      <c r="D49" s="93"/>
      <c r="E49" s="7"/>
      <c r="F49" s="91" t="str">
        <f t="shared" si="3"/>
        <v/>
      </c>
      <c r="G49" s="5"/>
      <c r="H49" s="5" t="str">
        <f t="shared" si="4"/>
        <v/>
      </c>
      <c r="I49" s="35"/>
      <c r="J49" s="36" t="s">
        <v>15</v>
      </c>
      <c r="K49" s="37" t="str">
        <f t="shared" si="5"/>
        <v/>
      </c>
      <c r="L49" s="6" t="s">
        <v>6</v>
      </c>
      <c r="M49" s="27"/>
      <c r="N49" s="27"/>
    </row>
    <row r="50" spans="1:14" ht="18.75" customHeight="1" x14ac:dyDescent="0.15">
      <c r="A50" s="11">
        <v>43</v>
      </c>
      <c r="B50" s="2"/>
      <c r="C50" s="90"/>
      <c r="D50" s="93"/>
      <c r="E50" s="90"/>
      <c r="F50" s="91" t="str">
        <f t="shared" si="3"/>
        <v/>
      </c>
      <c r="G50" s="5"/>
      <c r="H50" s="5" t="str">
        <f t="shared" si="4"/>
        <v/>
      </c>
      <c r="I50" s="38"/>
      <c r="J50" s="8" t="s">
        <v>15</v>
      </c>
      <c r="K50" s="39" t="str">
        <f t="shared" si="5"/>
        <v/>
      </c>
      <c r="L50" s="9" t="s">
        <v>6</v>
      </c>
      <c r="M50" s="40"/>
      <c r="N50" s="27"/>
    </row>
    <row r="51" spans="1:14" ht="18.75" customHeight="1" x14ac:dyDescent="0.15">
      <c r="A51" s="11">
        <v>44</v>
      </c>
      <c r="B51" s="2"/>
      <c r="C51" s="90"/>
      <c r="D51" s="93"/>
      <c r="E51" s="90"/>
      <c r="F51" s="91" t="str">
        <f t="shared" si="3"/>
        <v/>
      </c>
      <c r="G51" s="5"/>
      <c r="H51" s="5" t="str">
        <f t="shared" si="4"/>
        <v/>
      </c>
      <c r="I51" s="35"/>
      <c r="J51" s="6" t="s">
        <v>15</v>
      </c>
      <c r="K51" s="33" t="str">
        <f t="shared" si="5"/>
        <v/>
      </c>
      <c r="L51" s="6" t="s">
        <v>6</v>
      </c>
      <c r="M51" s="27"/>
      <c r="N51" s="27"/>
    </row>
    <row r="52" spans="1:14" ht="18.75" customHeight="1" x14ac:dyDescent="0.15">
      <c r="A52" s="11">
        <v>45</v>
      </c>
      <c r="B52" s="2"/>
      <c r="C52" s="90"/>
      <c r="D52" s="93"/>
      <c r="E52" s="90"/>
      <c r="F52" s="91" t="str">
        <f t="shared" si="3"/>
        <v/>
      </c>
      <c r="G52" s="5"/>
      <c r="H52" s="5" t="str">
        <f t="shared" si="4"/>
        <v/>
      </c>
      <c r="I52" s="35"/>
      <c r="J52" s="6" t="s">
        <v>15</v>
      </c>
      <c r="K52" s="33" t="str">
        <f t="shared" si="5"/>
        <v/>
      </c>
      <c r="L52" s="6" t="s">
        <v>6</v>
      </c>
      <c r="M52" s="27"/>
      <c r="N52" s="27"/>
    </row>
    <row r="53" spans="1:14" ht="18.75" customHeight="1" x14ac:dyDescent="0.15">
      <c r="A53" s="11">
        <v>46</v>
      </c>
      <c r="B53" s="2"/>
      <c r="C53" s="90"/>
      <c r="D53" s="93"/>
      <c r="E53" s="90"/>
      <c r="F53" s="91" t="str">
        <f t="shared" si="3"/>
        <v/>
      </c>
      <c r="G53" s="5"/>
      <c r="H53" s="5" t="str">
        <f t="shared" si="4"/>
        <v/>
      </c>
      <c r="I53" s="35"/>
      <c r="J53" s="6" t="s">
        <v>15</v>
      </c>
      <c r="K53" s="33" t="str">
        <f t="shared" si="5"/>
        <v/>
      </c>
      <c r="L53" s="6" t="s">
        <v>6</v>
      </c>
      <c r="M53" s="27"/>
      <c r="N53" s="27"/>
    </row>
    <row r="54" spans="1:14" ht="18.75" customHeight="1" x14ac:dyDescent="0.15">
      <c r="A54" s="11">
        <v>47</v>
      </c>
      <c r="B54" s="2"/>
      <c r="C54" s="90"/>
      <c r="D54" s="93"/>
      <c r="E54" s="90"/>
      <c r="F54" s="91" t="str">
        <f t="shared" si="3"/>
        <v/>
      </c>
      <c r="G54" s="5"/>
      <c r="H54" s="5" t="str">
        <f t="shared" si="4"/>
        <v/>
      </c>
      <c r="I54" s="35"/>
      <c r="J54" s="6" t="s">
        <v>15</v>
      </c>
      <c r="K54" s="33" t="str">
        <f t="shared" si="5"/>
        <v/>
      </c>
      <c r="L54" s="6" t="s">
        <v>6</v>
      </c>
      <c r="M54" s="27"/>
      <c r="N54" s="27"/>
    </row>
    <row r="55" spans="1:14" ht="18.75" customHeight="1" x14ac:dyDescent="0.15">
      <c r="A55" s="11">
        <v>48</v>
      </c>
      <c r="B55" s="2"/>
      <c r="C55" s="90"/>
      <c r="D55" s="93"/>
      <c r="E55" s="90"/>
      <c r="F55" s="91" t="str">
        <f t="shared" si="3"/>
        <v/>
      </c>
      <c r="G55" s="5"/>
      <c r="H55" s="5" t="str">
        <f t="shared" si="4"/>
        <v/>
      </c>
      <c r="I55" s="41"/>
      <c r="J55" s="8" t="s">
        <v>15</v>
      </c>
      <c r="K55" s="33" t="str">
        <f t="shared" si="5"/>
        <v/>
      </c>
      <c r="L55" s="9" t="s">
        <v>6</v>
      </c>
      <c r="M55" s="27"/>
      <c r="N55" s="27"/>
    </row>
    <row r="56" spans="1:14" ht="18.75" customHeight="1" x14ac:dyDescent="0.15">
      <c r="A56" s="11">
        <v>49</v>
      </c>
      <c r="B56" s="2"/>
      <c r="C56" s="90"/>
      <c r="D56" s="93"/>
      <c r="E56" s="90"/>
      <c r="F56" s="91" t="str">
        <f t="shared" si="3"/>
        <v/>
      </c>
      <c r="G56" s="5"/>
      <c r="H56" s="5" t="str">
        <f t="shared" si="4"/>
        <v/>
      </c>
      <c r="I56" s="35"/>
      <c r="J56" s="6" t="s">
        <v>15</v>
      </c>
      <c r="K56" s="33" t="str">
        <f t="shared" si="5"/>
        <v/>
      </c>
      <c r="L56" s="6" t="s">
        <v>6</v>
      </c>
      <c r="M56" s="27"/>
      <c r="N56" s="27"/>
    </row>
    <row r="57" spans="1:14" ht="18.75" customHeight="1" x14ac:dyDescent="0.15">
      <c r="A57" s="11">
        <v>50</v>
      </c>
      <c r="B57" s="2"/>
      <c r="C57" s="90"/>
      <c r="D57" s="93"/>
      <c r="E57" s="90"/>
      <c r="F57" s="91" t="str">
        <f t="shared" si="3"/>
        <v/>
      </c>
      <c r="G57" s="5"/>
      <c r="H57" s="5" t="str">
        <f t="shared" si="4"/>
        <v/>
      </c>
      <c r="I57" s="41"/>
      <c r="J57" s="8" t="s">
        <v>15</v>
      </c>
      <c r="K57" s="33" t="str">
        <f t="shared" si="5"/>
        <v/>
      </c>
      <c r="L57" s="9" t="s">
        <v>6</v>
      </c>
      <c r="M57" s="27"/>
      <c r="N57" s="27"/>
    </row>
    <row r="58" spans="1:14" ht="18.75" customHeight="1" x14ac:dyDescent="0.15">
      <c r="A58" s="11">
        <v>51</v>
      </c>
      <c r="B58" s="2"/>
      <c r="C58" s="90"/>
      <c r="D58" s="93"/>
      <c r="E58" s="90"/>
      <c r="F58" s="91" t="str">
        <f t="shared" si="3"/>
        <v/>
      </c>
      <c r="G58" s="5"/>
      <c r="H58" s="5" t="str">
        <f t="shared" si="4"/>
        <v/>
      </c>
      <c r="I58" s="35"/>
      <c r="J58" s="6" t="s">
        <v>15</v>
      </c>
      <c r="K58" s="33" t="str">
        <f t="shared" si="5"/>
        <v/>
      </c>
      <c r="L58" s="6" t="s">
        <v>6</v>
      </c>
      <c r="M58" s="27"/>
      <c r="N58" s="27"/>
    </row>
    <row r="59" spans="1:14" ht="18.75" customHeight="1" x14ac:dyDescent="0.15">
      <c r="A59" s="11">
        <v>52</v>
      </c>
      <c r="B59" s="2"/>
      <c r="C59" s="90"/>
      <c r="D59" s="93"/>
      <c r="E59" s="90"/>
      <c r="F59" s="91" t="str">
        <f t="shared" si="3"/>
        <v/>
      </c>
      <c r="G59" s="5"/>
      <c r="H59" s="5" t="str">
        <f t="shared" si="4"/>
        <v/>
      </c>
      <c r="I59" s="42"/>
      <c r="J59" s="8" t="s">
        <v>15</v>
      </c>
      <c r="K59" s="33" t="str">
        <f t="shared" si="5"/>
        <v/>
      </c>
      <c r="L59" s="6" t="s">
        <v>6</v>
      </c>
      <c r="M59" s="27"/>
      <c r="N59" s="27"/>
    </row>
    <row r="60" spans="1:14" ht="18.75" customHeight="1" x14ac:dyDescent="0.15">
      <c r="A60" s="11">
        <v>53</v>
      </c>
      <c r="B60" s="2"/>
      <c r="C60" s="90"/>
      <c r="D60" s="93"/>
      <c r="E60" s="90"/>
      <c r="F60" s="91" t="str">
        <f t="shared" si="3"/>
        <v/>
      </c>
      <c r="G60" s="5"/>
      <c r="H60" s="5" t="str">
        <f t="shared" si="4"/>
        <v/>
      </c>
      <c r="I60" s="35"/>
      <c r="J60" s="6" t="s">
        <v>15</v>
      </c>
      <c r="K60" s="33" t="str">
        <f t="shared" si="5"/>
        <v/>
      </c>
      <c r="L60" s="6" t="s">
        <v>6</v>
      </c>
      <c r="M60" s="27"/>
      <c r="N60" s="27"/>
    </row>
    <row r="61" spans="1:14" ht="18.75" customHeight="1" x14ac:dyDescent="0.15">
      <c r="A61" s="11">
        <v>54</v>
      </c>
      <c r="B61" s="2"/>
      <c r="C61" s="90"/>
      <c r="D61" s="93"/>
      <c r="E61" s="90"/>
      <c r="F61" s="91" t="str">
        <f t="shared" si="3"/>
        <v/>
      </c>
      <c r="G61" s="5"/>
      <c r="H61" s="5" t="str">
        <f t="shared" si="4"/>
        <v/>
      </c>
      <c r="I61" s="35"/>
      <c r="J61" s="6" t="s">
        <v>15</v>
      </c>
      <c r="K61" s="33" t="str">
        <f t="shared" si="5"/>
        <v/>
      </c>
      <c r="L61" s="6" t="s">
        <v>6</v>
      </c>
      <c r="M61" s="27"/>
      <c r="N61" s="27"/>
    </row>
    <row r="62" spans="1:14" ht="18.75" customHeight="1" x14ac:dyDescent="0.15">
      <c r="A62" s="11">
        <v>55</v>
      </c>
      <c r="B62" s="2"/>
      <c r="C62" s="90"/>
      <c r="D62" s="93"/>
      <c r="E62" s="90"/>
      <c r="F62" s="91" t="str">
        <f t="shared" si="3"/>
        <v/>
      </c>
      <c r="G62" s="5"/>
      <c r="H62" s="5" t="str">
        <f t="shared" si="4"/>
        <v/>
      </c>
      <c r="I62" s="41"/>
      <c r="J62" s="6" t="s">
        <v>15</v>
      </c>
      <c r="K62" s="33" t="str">
        <f t="shared" si="5"/>
        <v/>
      </c>
      <c r="L62" s="9" t="s">
        <v>6</v>
      </c>
      <c r="M62" s="27"/>
      <c r="N62" s="27"/>
    </row>
    <row r="63" spans="1:14" ht="18.75" customHeight="1" x14ac:dyDescent="0.15">
      <c r="A63" s="11">
        <v>56</v>
      </c>
      <c r="B63" s="2"/>
      <c r="C63" s="90"/>
      <c r="D63" s="93"/>
      <c r="E63" s="90"/>
      <c r="F63" s="91" t="str">
        <f t="shared" si="3"/>
        <v/>
      </c>
      <c r="G63" s="5"/>
      <c r="H63" s="5" t="str">
        <f t="shared" si="4"/>
        <v/>
      </c>
      <c r="I63" s="35"/>
      <c r="J63" s="6" t="s">
        <v>15</v>
      </c>
      <c r="K63" s="33" t="str">
        <f t="shared" si="5"/>
        <v/>
      </c>
      <c r="L63" s="6" t="s">
        <v>6</v>
      </c>
      <c r="M63" s="27"/>
      <c r="N63" s="27"/>
    </row>
    <row r="64" spans="1:14" ht="18.75" customHeight="1" x14ac:dyDescent="0.15">
      <c r="A64" s="11">
        <v>57</v>
      </c>
      <c r="B64" s="2"/>
      <c r="C64" s="90"/>
      <c r="D64" s="93"/>
      <c r="E64" s="7"/>
      <c r="F64" s="91" t="str">
        <f t="shared" si="3"/>
        <v/>
      </c>
      <c r="G64" s="5"/>
      <c r="H64" s="5" t="str">
        <f t="shared" si="4"/>
        <v/>
      </c>
      <c r="I64" s="42"/>
      <c r="J64" s="8" t="s">
        <v>15</v>
      </c>
      <c r="K64" s="33" t="str">
        <f t="shared" si="5"/>
        <v/>
      </c>
      <c r="L64" s="6" t="s">
        <v>6</v>
      </c>
      <c r="M64" s="27"/>
      <c r="N64" s="34"/>
    </row>
    <row r="65" spans="1:14" ht="18.75" customHeight="1" x14ac:dyDescent="0.15">
      <c r="A65" s="11">
        <v>58</v>
      </c>
      <c r="B65" s="2"/>
      <c r="C65" s="90"/>
      <c r="D65" s="93"/>
      <c r="E65" s="90"/>
      <c r="F65" s="91" t="str">
        <f t="shared" si="3"/>
        <v/>
      </c>
      <c r="G65" s="5"/>
      <c r="H65" s="5" t="str">
        <f t="shared" si="4"/>
        <v/>
      </c>
      <c r="I65" s="35"/>
      <c r="J65" s="6" t="s">
        <v>15</v>
      </c>
      <c r="K65" s="33" t="str">
        <f t="shared" si="5"/>
        <v/>
      </c>
      <c r="L65" s="6" t="s">
        <v>6</v>
      </c>
      <c r="M65" s="27"/>
      <c r="N65" s="27"/>
    </row>
    <row r="66" spans="1:14" ht="18.75" customHeight="1" x14ac:dyDescent="0.15">
      <c r="A66" s="11">
        <v>59</v>
      </c>
      <c r="B66" s="2"/>
      <c r="C66" s="90"/>
      <c r="D66" s="93"/>
      <c r="E66" s="90"/>
      <c r="F66" s="91" t="str">
        <f t="shared" si="3"/>
        <v/>
      </c>
      <c r="G66" s="5"/>
      <c r="H66" s="5" t="str">
        <f t="shared" si="4"/>
        <v/>
      </c>
      <c r="I66" s="35"/>
      <c r="J66" s="6" t="s">
        <v>15</v>
      </c>
      <c r="K66" s="33" t="str">
        <f t="shared" si="5"/>
        <v/>
      </c>
      <c r="L66" s="6" t="s">
        <v>6</v>
      </c>
      <c r="M66" s="27"/>
      <c r="N66" s="27"/>
    </row>
    <row r="67" spans="1:14" ht="18.75" customHeight="1" x14ac:dyDescent="0.15">
      <c r="A67" s="11">
        <v>60</v>
      </c>
      <c r="B67" s="2"/>
      <c r="C67" s="90"/>
      <c r="D67" s="93"/>
      <c r="E67" s="90"/>
      <c r="F67" s="91" t="str">
        <f t="shared" si="3"/>
        <v/>
      </c>
      <c r="G67" s="5"/>
      <c r="H67" s="5" t="str">
        <f t="shared" si="4"/>
        <v/>
      </c>
      <c r="I67" s="35"/>
      <c r="J67" s="6" t="s">
        <v>11</v>
      </c>
      <c r="K67" s="33" t="str">
        <f t="shared" si="5"/>
        <v/>
      </c>
      <c r="L67" s="6" t="s">
        <v>6</v>
      </c>
      <c r="M67" s="27"/>
      <c r="N67" s="27"/>
    </row>
    <row r="68" spans="1:14" ht="18.75" customHeight="1" x14ac:dyDescent="0.15">
      <c r="A68" s="11">
        <v>61</v>
      </c>
      <c r="B68" s="2"/>
      <c r="C68" s="90"/>
      <c r="D68" s="93"/>
      <c r="E68" s="90"/>
      <c r="F68" s="91" t="str">
        <f t="shared" si="3"/>
        <v/>
      </c>
      <c r="G68" s="5"/>
      <c r="H68" s="5" t="str">
        <f t="shared" si="4"/>
        <v/>
      </c>
      <c r="I68" s="35"/>
      <c r="J68" s="8" t="s">
        <v>11</v>
      </c>
      <c r="K68" s="33" t="str">
        <f t="shared" si="5"/>
        <v/>
      </c>
      <c r="L68" s="6" t="s">
        <v>6</v>
      </c>
      <c r="M68" s="27"/>
      <c r="N68" s="27"/>
    </row>
    <row r="69" spans="1:14" ht="18.75" customHeight="1" x14ac:dyDescent="0.15">
      <c r="A69" s="11">
        <v>62</v>
      </c>
      <c r="B69" s="2"/>
      <c r="C69" s="90"/>
      <c r="D69" s="93"/>
      <c r="E69" s="90"/>
      <c r="F69" s="91" t="str">
        <f t="shared" si="3"/>
        <v/>
      </c>
      <c r="G69" s="5"/>
      <c r="H69" s="5" t="str">
        <f t="shared" si="4"/>
        <v/>
      </c>
      <c r="I69" s="41"/>
      <c r="J69" s="6" t="s">
        <v>11</v>
      </c>
      <c r="K69" s="33" t="str">
        <f t="shared" si="5"/>
        <v/>
      </c>
      <c r="L69" s="6" t="s">
        <v>6</v>
      </c>
      <c r="M69" s="27"/>
      <c r="N69" s="27"/>
    </row>
    <row r="70" spans="1:14" ht="18.75" customHeight="1" x14ac:dyDescent="0.15">
      <c r="A70" s="11">
        <v>63</v>
      </c>
      <c r="B70" s="2"/>
      <c r="C70" s="90"/>
      <c r="D70" s="93"/>
      <c r="E70" s="90"/>
      <c r="F70" s="91" t="str">
        <f t="shared" si="3"/>
        <v/>
      </c>
      <c r="G70" s="5"/>
      <c r="H70" s="5" t="str">
        <f t="shared" si="4"/>
        <v/>
      </c>
      <c r="I70" s="41"/>
      <c r="J70" s="6" t="s">
        <v>15</v>
      </c>
      <c r="K70" s="33" t="str">
        <f t="shared" si="5"/>
        <v/>
      </c>
      <c r="L70" s="6" t="s">
        <v>6</v>
      </c>
      <c r="M70" s="27"/>
      <c r="N70" s="27"/>
    </row>
    <row r="71" spans="1:14" ht="18.75" customHeight="1" x14ac:dyDescent="0.15">
      <c r="A71" s="11">
        <v>64</v>
      </c>
      <c r="B71" s="2"/>
      <c r="C71" s="90"/>
      <c r="D71" s="93"/>
      <c r="E71" s="90"/>
      <c r="F71" s="91" t="str">
        <f t="shared" si="3"/>
        <v/>
      </c>
      <c r="G71" s="5"/>
      <c r="H71" s="5" t="str">
        <f t="shared" si="4"/>
        <v/>
      </c>
      <c r="I71" s="35"/>
      <c r="J71" s="8" t="s">
        <v>15</v>
      </c>
      <c r="K71" s="33" t="str">
        <f t="shared" si="5"/>
        <v/>
      </c>
      <c r="L71" s="6" t="s">
        <v>6</v>
      </c>
      <c r="M71" s="27"/>
      <c r="N71" s="27"/>
    </row>
    <row r="72" spans="1:14" ht="18.75" customHeight="1" x14ac:dyDescent="0.15">
      <c r="A72" s="11">
        <v>65</v>
      </c>
      <c r="B72" s="2"/>
      <c r="C72" s="90"/>
      <c r="D72" s="93"/>
      <c r="E72" s="90"/>
      <c r="F72" s="91" t="str">
        <f t="shared" si="3"/>
        <v/>
      </c>
      <c r="G72" s="5"/>
      <c r="H72" s="5" t="str">
        <f t="shared" si="4"/>
        <v/>
      </c>
      <c r="I72" s="35"/>
      <c r="J72" s="6" t="s">
        <v>15</v>
      </c>
      <c r="K72" s="33" t="str">
        <f t="shared" si="5"/>
        <v/>
      </c>
      <c r="L72" s="6" t="s">
        <v>6</v>
      </c>
      <c r="M72" s="27"/>
      <c r="N72" s="27"/>
    </row>
    <row r="73" spans="1:14" ht="18.75" customHeight="1" x14ac:dyDescent="0.15">
      <c r="A73" s="11">
        <v>66</v>
      </c>
      <c r="B73" s="2"/>
      <c r="C73" s="90"/>
      <c r="D73" s="93"/>
      <c r="E73" s="90"/>
      <c r="F73" s="91" t="str">
        <f t="shared" si="3"/>
        <v/>
      </c>
      <c r="G73" s="5"/>
      <c r="H73" s="5" t="str">
        <f t="shared" si="4"/>
        <v/>
      </c>
      <c r="I73" s="35"/>
      <c r="J73" s="6" t="s">
        <v>15</v>
      </c>
      <c r="K73" s="33" t="str">
        <f t="shared" si="5"/>
        <v/>
      </c>
      <c r="L73" s="6" t="s">
        <v>6</v>
      </c>
      <c r="M73" s="27"/>
      <c r="N73" s="27"/>
    </row>
    <row r="74" spans="1:14" ht="18.75" customHeight="1" x14ac:dyDescent="0.15">
      <c r="A74" s="11">
        <v>67</v>
      </c>
      <c r="B74" s="2"/>
      <c r="C74" s="90"/>
      <c r="D74" s="93"/>
      <c r="E74" s="90"/>
      <c r="F74" s="91" t="str">
        <f t="shared" si="3"/>
        <v/>
      </c>
      <c r="G74" s="5"/>
      <c r="H74" s="5" t="str">
        <f t="shared" si="4"/>
        <v/>
      </c>
      <c r="I74" s="35"/>
      <c r="J74" s="8" t="s">
        <v>15</v>
      </c>
      <c r="K74" s="33" t="str">
        <f t="shared" si="5"/>
        <v/>
      </c>
      <c r="L74" s="6" t="s">
        <v>6</v>
      </c>
      <c r="M74" s="27"/>
      <c r="N74" s="27"/>
    </row>
    <row r="75" spans="1:14" ht="18.75" customHeight="1" x14ac:dyDescent="0.15">
      <c r="A75" s="11">
        <v>68</v>
      </c>
      <c r="B75" s="2"/>
      <c r="C75" s="90"/>
      <c r="D75" s="93"/>
      <c r="E75" s="7"/>
      <c r="F75" s="91" t="str">
        <f t="shared" si="3"/>
        <v/>
      </c>
      <c r="G75" s="5"/>
      <c r="H75" s="5" t="str">
        <f t="shared" si="4"/>
        <v/>
      </c>
      <c r="I75" s="41"/>
      <c r="J75" s="6" t="s">
        <v>15</v>
      </c>
      <c r="K75" s="33" t="str">
        <f t="shared" si="5"/>
        <v/>
      </c>
      <c r="L75" s="6" t="s">
        <v>6</v>
      </c>
      <c r="M75" s="27"/>
      <c r="N75" s="27"/>
    </row>
    <row r="76" spans="1:14" ht="18.75" customHeight="1" x14ac:dyDescent="0.15">
      <c r="A76" s="11">
        <v>69</v>
      </c>
      <c r="B76" s="2"/>
      <c r="C76" s="90"/>
      <c r="D76" s="93"/>
      <c r="E76" s="90"/>
      <c r="F76" s="91" t="str">
        <f t="shared" si="3"/>
        <v/>
      </c>
      <c r="G76" s="5"/>
      <c r="H76" s="5" t="str">
        <f t="shared" si="4"/>
        <v/>
      </c>
      <c r="I76" s="35"/>
      <c r="J76" s="6" t="s">
        <v>15</v>
      </c>
      <c r="K76" s="33" t="str">
        <f t="shared" si="5"/>
        <v/>
      </c>
      <c r="L76" s="6" t="s">
        <v>6</v>
      </c>
      <c r="M76" s="27"/>
      <c r="N76" s="27"/>
    </row>
    <row r="77" spans="1:14" ht="18.75" customHeight="1" x14ac:dyDescent="0.15">
      <c r="A77" s="11">
        <v>70</v>
      </c>
      <c r="B77" s="2"/>
      <c r="C77" s="90"/>
      <c r="D77" s="93"/>
      <c r="E77" s="90"/>
      <c r="F77" s="91" t="str">
        <f t="shared" si="3"/>
        <v/>
      </c>
      <c r="G77" s="5"/>
      <c r="H77" s="5" t="str">
        <f t="shared" si="4"/>
        <v/>
      </c>
      <c r="I77" s="35"/>
      <c r="J77" s="6" t="s">
        <v>15</v>
      </c>
      <c r="K77" s="33" t="str">
        <f t="shared" si="5"/>
        <v/>
      </c>
      <c r="L77" s="6" t="s">
        <v>6</v>
      </c>
      <c r="M77" s="27"/>
      <c r="N77" s="27"/>
    </row>
    <row r="78" spans="1:14" ht="18.75" customHeight="1" x14ac:dyDescent="0.15">
      <c r="A78" s="11">
        <v>71</v>
      </c>
      <c r="B78" s="2"/>
      <c r="C78" s="90"/>
      <c r="D78" s="93"/>
      <c r="E78" s="90"/>
      <c r="F78" s="91" t="str">
        <f t="shared" si="3"/>
        <v/>
      </c>
      <c r="G78" s="5"/>
      <c r="H78" s="5" t="str">
        <f t="shared" si="4"/>
        <v/>
      </c>
      <c r="I78" s="42"/>
      <c r="J78" s="6" t="s">
        <v>15</v>
      </c>
      <c r="K78" s="33" t="str">
        <f t="shared" si="5"/>
        <v/>
      </c>
      <c r="L78" s="6" t="s">
        <v>6</v>
      </c>
      <c r="M78" s="27"/>
      <c r="N78" s="27"/>
    </row>
    <row r="79" spans="1:14" ht="18.75" customHeight="1" x14ac:dyDescent="0.15">
      <c r="A79" s="11">
        <v>72</v>
      </c>
      <c r="B79" s="2"/>
      <c r="C79" s="90"/>
      <c r="D79" s="93"/>
      <c r="E79" s="7"/>
      <c r="F79" s="91" t="str">
        <f t="shared" si="3"/>
        <v/>
      </c>
      <c r="G79" s="5"/>
      <c r="H79" s="5" t="str">
        <f t="shared" si="4"/>
        <v/>
      </c>
      <c r="I79" s="35"/>
      <c r="J79" s="6" t="s">
        <v>15</v>
      </c>
      <c r="K79" s="33" t="str">
        <f t="shared" si="5"/>
        <v/>
      </c>
      <c r="L79" s="6" t="s">
        <v>6</v>
      </c>
      <c r="M79" s="27"/>
      <c r="N79" s="27"/>
    </row>
    <row r="80" spans="1:14" ht="18.75" customHeight="1" x14ac:dyDescent="0.15">
      <c r="A80" s="11">
        <v>73</v>
      </c>
      <c r="B80" s="2"/>
      <c r="C80" s="90"/>
      <c r="D80" s="93"/>
      <c r="E80" s="90"/>
      <c r="F80" s="91" t="str">
        <f t="shared" si="3"/>
        <v/>
      </c>
      <c r="G80" s="5"/>
      <c r="H80" s="5" t="str">
        <f t="shared" si="4"/>
        <v/>
      </c>
      <c r="I80" s="43"/>
      <c r="J80" s="6" t="s">
        <v>15</v>
      </c>
      <c r="K80" s="33" t="str">
        <f t="shared" si="5"/>
        <v/>
      </c>
      <c r="L80" s="6" t="s">
        <v>6</v>
      </c>
      <c r="M80" s="27"/>
      <c r="N80" s="27"/>
    </row>
    <row r="81" spans="1:14" ht="18.75" customHeight="1" x14ac:dyDescent="0.15">
      <c r="A81" s="11">
        <v>74</v>
      </c>
      <c r="B81" s="2"/>
      <c r="C81" s="90"/>
      <c r="D81" s="93"/>
      <c r="E81" s="90"/>
      <c r="F81" s="91" t="str">
        <f t="shared" si="3"/>
        <v/>
      </c>
      <c r="G81" s="5"/>
      <c r="H81" s="5" t="str">
        <f t="shared" si="4"/>
        <v/>
      </c>
      <c r="I81" s="35"/>
      <c r="J81" s="6" t="s">
        <v>15</v>
      </c>
      <c r="K81" s="33" t="str">
        <f t="shared" si="5"/>
        <v/>
      </c>
      <c r="L81" s="6" t="s">
        <v>6</v>
      </c>
      <c r="M81" s="27"/>
      <c r="N81" s="27"/>
    </row>
    <row r="82" spans="1:14" ht="18.75" customHeight="1" x14ac:dyDescent="0.15">
      <c r="A82" s="11">
        <v>75</v>
      </c>
      <c r="B82" s="2"/>
      <c r="C82" s="90"/>
      <c r="D82" s="93"/>
      <c r="E82" s="7"/>
      <c r="F82" s="91" t="str">
        <f t="shared" si="3"/>
        <v/>
      </c>
      <c r="G82" s="5"/>
      <c r="H82" s="5" t="str">
        <f t="shared" si="4"/>
        <v/>
      </c>
      <c r="I82" s="42"/>
      <c r="J82" s="6" t="s">
        <v>15</v>
      </c>
      <c r="K82" s="33" t="str">
        <f t="shared" si="5"/>
        <v/>
      </c>
      <c r="L82" s="6" t="s">
        <v>6</v>
      </c>
      <c r="M82" s="27"/>
      <c r="N82" s="27"/>
    </row>
    <row r="83" spans="1:14" ht="18.75" customHeight="1" x14ac:dyDescent="0.15">
      <c r="A83" s="11">
        <v>76</v>
      </c>
      <c r="B83" s="2"/>
      <c r="C83" s="90"/>
      <c r="D83" s="93"/>
      <c r="E83" s="90"/>
      <c r="F83" s="91" t="str">
        <f t="shared" si="3"/>
        <v/>
      </c>
      <c r="G83" s="5"/>
      <c r="H83" s="5" t="str">
        <f t="shared" si="4"/>
        <v/>
      </c>
      <c r="I83" s="35"/>
      <c r="J83" s="6" t="s">
        <v>15</v>
      </c>
      <c r="K83" s="33" t="str">
        <f t="shared" si="5"/>
        <v/>
      </c>
      <c r="L83" s="6" t="s">
        <v>6</v>
      </c>
      <c r="M83" s="27"/>
      <c r="N83" s="27"/>
    </row>
    <row r="84" spans="1:14" ht="18.75" customHeight="1" x14ac:dyDescent="0.15">
      <c r="A84" s="11">
        <v>77</v>
      </c>
      <c r="B84" s="2"/>
      <c r="C84" s="90"/>
      <c r="D84" s="93"/>
      <c r="E84" s="90"/>
      <c r="F84" s="91" t="str">
        <f t="shared" si="3"/>
        <v/>
      </c>
      <c r="G84" s="5"/>
      <c r="H84" s="5" t="str">
        <f t="shared" si="4"/>
        <v/>
      </c>
      <c r="I84" s="35"/>
      <c r="J84" s="6" t="s">
        <v>15</v>
      </c>
      <c r="K84" s="33" t="str">
        <f t="shared" si="5"/>
        <v/>
      </c>
      <c r="L84" s="6" t="s">
        <v>6</v>
      </c>
      <c r="M84" s="27"/>
      <c r="N84" s="27"/>
    </row>
    <row r="85" spans="1:14" ht="18.75" customHeight="1" x14ac:dyDescent="0.15">
      <c r="A85" s="11">
        <v>78</v>
      </c>
      <c r="B85" s="2"/>
      <c r="C85" s="90"/>
      <c r="D85" s="93"/>
      <c r="E85" s="90"/>
      <c r="F85" s="91" t="str">
        <f t="shared" si="3"/>
        <v/>
      </c>
      <c r="G85" s="5"/>
      <c r="H85" s="5" t="str">
        <f t="shared" si="4"/>
        <v/>
      </c>
      <c r="I85" s="35"/>
      <c r="J85" s="6" t="s">
        <v>15</v>
      </c>
      <c r="K85" s="37" t="str">
        <f t="shared" si="5"/>
        <v/>
      </c>
      <c r="L85" s="6" t="s">
        <v>6</v>
      </c>
      <c r="M85" s="27"/>
      <c r="N85" s="27"/>
    </row>
    <row r="86" spans="1:14" ht="18.75" customHeight="1" x14ac:dyDescent="0.15">
      <c r="A86" s="11">
        <v>79</v>
      </c>
      <c r="B86" s="2"/>
      <c r="C86" s="90"/>
      <c r="D86" s="93"/>
      <c r="E86" s="90"/>
      <c r="F86" s="91"/>
      <c r="G86" s="5"/>
      <c r="H86" s="5"/>
      <c r="I86" s="35"/>
      <c r="J86" s="6" t="s">
        <v>15</v>
      </c>
      <c r="K86" s="37"/>
      <c r="L86" s="6" t="s">
        <v>6</v>
      </c>
      <c r="M86" s="27"/>
      <c r="N86" s="27"/>
    </row>
    <row r="87" spans="1:14" ht="18.75" customHeight="1" x14ac:dyDescent="0.15">
      <c r="A87" s="11">
        <v>80</v>
      </c>
      <c r="B87" s="2"/>
      <c r="C87" s="90"/>
      <c r="D87" s="93"/>
      <c r="E87" s="90"/>
      <c r="F87" s="91" t="str">
        <f t="shared" si="3"/>
        <v/>
      </c>
      <c r="G87" s="5"/>
      <c r="H87" s="5" t="str">
        <f t="shared" si="4"/>
        <v/>
      </c>
      <c r="I87" s="35"/>
      <c r="J87" s="6" t="s">
        <v>15</v>
      </c>
      <c r="K87" s="37" t="str">
        <f>IF(I87&gt;0,I87*0.2,"")</f>
        <v/>
      </c>
      <c r="L87" s="6" t="s">
        <v>6</v>
      </c>
      <c r="M87" s="27"/>
      <c r="N87" s="27"/>
    </row>
    <row r="88" spans="1:14" ht="18.75" customHeight="1" x14ac:dyDescent="0.15">
      <c r="B88" s="44"/>
      <c r="C88" s="44"/>
      <c r="D88" s="45"/>
      <c r="E88" s="44"/>
      <c r="F88" s="44" t="str">
        <f t="shared" si="3"/>
        <v/>
      </c>
      <c r="G88" s="46"/>
      <c r="H88" s="46" t="str">
        <f t="shared" si="4"/>
        <v/>
      </c>
      <c r="I88" s="61">
        <f>SUM(I48:I87)+I44</f>
        <v>0</v>
      </c>
      <c r="J88" s="8" t="s">
        <v>15</v>
      </c>
      <c r="K88" s="47">
        <f>SUM(K48:K87)+K44</f>
        <v>0</v>
      </c>
      <c r="L88" s="8" t="s">
        <v>6</v>
      </c>
      <c r="M88" s="48"/>
      <c r="N88" s="48"/>
    </row>
  </sheetData>
  <mergeCells count="12">
    <mergeCell ref="B45:M45"/>
    <mergeCell ref="B46:M46"/>
    <mergeCell ref="C47:D47"/>
    <mergeCell ref="E47:F47"/>
    <mergeCell ref="I47:J47"/>
    <mergeCell ref="K47:L47"/>
    <mergeCell ref="B1:M1"/>
    <mergeCell ref="B2:M2"/>
    <mergeCell ref="C3:D3"/>
    <mergeCell ref="E3:F3"/>
    <mergeCell ref="I3:J3"/>
    <mergeCell ref="K3:L3"/>
  </mergeCells>
  <phoneticPr fontId="2"/>
  <dataValidations count="6">
    <dataValidation imeMode="on" allowBlank="1" showInputMessage="1" showErrorMessage="1" sqref="B44:C44 B88:C88" xr:uid="{B8E9BFF0-3E35-405B-997C-245EF95E8279}"/>
    <dataValidation imeMode="disabled" allowBlank="1" showInputMessage="1" showErrorMessage="1" sqref="G4:G40 N21:N42 H4:M42 N49:N63 N5:N19 G48:G84 E48:E88 N65:N88 H48:M88 E4:E44 M44:N44 H43:L44" xr:uid="{7EE9D648-9F5C-480D-8016-3CC3A10B86E3}"/>
    <dataValidation type="list" imeMode="on" allowBlank="1" showInputMessage="1" prompt="なければ直接入力" sqref="D44 D88" xr:uid="{99D88280-3B90-4F73-8FDF-9845AE1E16E8}">
      <formula1>"利尻島国保中央病院,福士水産㈱,高橋水産㈱"</formula1>
    </dataValidation>
    <dataValidation imeMode="disabled" allowBlank="1" showInputMessage="1" sqref="G85:G88 G41:G44" xr:uid="{D9A52278-0F2F-4C7C-AAA0-AC0525FE33AB}"/>
    <dataValidation type="list" imeMode="on" allowBlank="1" showInputMessage="1" prompt="なければ直接入力" sqref="D4:D43 D48:D87" xr:uid="{F083AD3C-04DB-4EBA-8F2A-2EDD95BE895C}">
      <formula1>"利尻島国保中央病院,道立鬼脇診療所,カムイウィスキー,福士水産㈱,糀谷商店,米田商店"</formula1>
    </dataValidation>
    <dataValidation type="list" imeMode="on" allowBlank="1" showInputMessage="1" showErrorMessage="1" sqref="B4:C43 B48:C87" xr:uid="{39220FBA-9FAE-42F9-839F-1BF03BF146BF}">
      <formula1>"水産系燃え殻,医療系燃え殻"</formula1>
    </dataValidation>
  </dataValidations>
  <printOptions horizontalCentered="1" verticalCentered="1"/>
  <pageMargins left="0.59055118110236227" right="0.59055118110236227" top="0.59055118110236227" bottom="0.59055118110236227" header="0" footer="0"/>
  <pageSetup paperSize="9" orientation="portrait" horizontalDpi="4294967293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D8B7-FF92-4ADC-B327-8BA99EE5DD0E}">
  <dimension ref="A1:O88"/>
  <sheetViews>
    <sheetView workbookViewId="0">
      <selection sqref="A1:XFD1048576"/>
    </sheetView>
  </sheetViews>
  <sheetFormatPr defaultRowHeight="13.5" x14ac:dyDescent="0.15"/>
  <cols>
    <col min="1" max="1" width="3.375" style="12" customWidth="1"/>
    <col min="2" max="2" width="12.25" style="10" customWidth="1"/>
    <col min="3" max="3" width="1" style="10" customWidth="1"/>
    <col min="4" max="4" width="17.625" style="12" customWidth="1"/>
    <col min="5" max="5" width="10.625" style="10" customWidth="1"/>
    <col min="6" max="6" width="2.125" style="10" customWidth="1"/>
    <col min="7" max="8" width="8.125" style="10" customWidth="1"/>
    <col min="9" max="9" width="6" style="13" customWidth="1"/>
    <col min="10" max="10" width="2.375" style="10" customWidth="1"/>
    <col min="11" max="11" width="5.5" style="10" customWidth="1"/>
    <col min="12" max="12" width="2.25" style="10" customWidth="1"/>
    <col min="13" max="13" width="6.25" style="49" customWidth="1"/>
    <col min="14" max="14" width="6.25" style="10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 x14ac:dyDescent="0.15">
      <c r="B1" s="95" t="s">
        <v>9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5" ht="21" customHeight="1" x14ac:dyDescent="0.15"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spans="1:15" ht="27" customHeight="1" x14ac:dyDescent="0.15">
      <c r="A3" s="11"/>
      <c r="B3" s="29" t="s">
        <v>1</v>
      </c>
      <c r="C3" s="102" t="s">
        <v>2</v>
      </c>
      <c r="D3" s="103"/>
      <c r="E3" s="104" t="s">
        <v>3</v>
      </c>
      <c r="F3" s="105"/>
      <c r="G3" s="92" t="s">
        <v>4</v>
      </c>
      <c r="H3" s="92" t="s">
        <v>7</v>
      </c>
      <c r="I3" s="106" t="s">
        <v>8</v>
      </c>
      <c r="J3" s="107"/>
      <c r="K3" s="106" t="s">
        <v>5</v>
      </c>
      <c r="L3" s="106"/>
      <c r="M3" s="30" t="s">
        <v>10</v>
      </c>
      <c r="N3" s="31" t="s">
        <v>18</v>
      </c>
    </row>
    <row r="4" spans="1:15" ht="18.75" customHeight="1" x14ac:dyDescent="0.15">
      <c r="A4" s="11">
        <v>1</v>
      </c>
      <c r="B4" s="2"/>
      <c r="C4" s="90"/>
      <c r="D4" s="93"/>
      <c r="E4" s="90"/>
      <c r="F4" s="91" t="str">
        <f t="shared" ref="F4:F41" si="0">IF(E4="","",E4-INT(E4/7)*7)</f>
        <v/>
      </c>
      <c r="G4" s="5"/>
      <c r="H4" s="5" t="str">
        <f t="shared" ref="H4:H41" si="1">IF(G4="","",G4)</f>
        <v/>
      </c>
      <c r="I4" s="32"/>
      <c r="J4" s="6" t="s">
        <v>15</v>
      </c>
      <c r="K4" s="33" t="str">
        <f t="shared" ref="K4:K41" si="2">IF(I4&gt;0,I4*0.2,"")</f>
        <v/>
      </c>
      <c r="L4" s="6" t="s">
        <v>6</v>
      </c>
      <c r="M4" s="27"/>
      <c r="N4" s="34"/>
    </row>
    <row r="5" spans="1:15" ht="18.75" customHeight="1" x14ac:dyDescent="0.15">
      <c r="A5" s="11">
        <v>2</v>
      </c>
      <c r="B5" s="2"/>
      <c r="C5" s="90"/>
      <c r="D5" s="93"/>
      <c r="E5" s="7"/>
      <c r="F5" s="91" t="str">
        <f t="shared" si="0"/>
        <v/>
      </c>
      <c r="G5" s="5"/>
      <c r="H5" s="5" t="str">
        <f t="shared" si="1"/>
        <v/>
      </c>
      <c r="I5" s="35"/>
      <c r="J5" s="36" t="s">
        <v>15</v>
      </c>
      <c r="K5" s="37" t="str">
        <f t="shared" si="2"/>
        <v/>
      </c>
      <c r="L5" s="6" t="s">
        <v>6</v>
      </c>
      <c r="M5" s="27"/>
      <c r="N5" s="27"/>
    </row>
    <row r="6" spans="1:15" ht="18.75" customHeight="1" x14ac:dyDescent="0.15">
      <c r="A6" s="11">
        <v>3</v>
      </c>
      <c r="B6" s="2"/>
      <c r="C6" s="90"/>
      <c r="D6" s="93"/>
      <c r="E6" s="90"/>
      <c r="F6" s="91" t="str">
        <f t="shared" si="0"/>
        <v/>
      </c>
      <c r="G6" s="5"/>
      <c r="H6" s="5" t="str">
        <f t="shared" si="1"/>
        <v/>
      </c>
      <c r="I6" s="38"/>
      <c r="J6" s="8" t="s">
        <v>15</v>
      </c>
      <c r="K6" s="39" t="str">
        <f t="shared" si="2"/>
        <v/>
      </c>
      <c r="L6" s="9" t="s">
        <v>6</v>
      </c>
      <c r="M6" s="40"/>
      <c r="N6" s="27"/>
    </row>
    <row r="7" spans="1:15" ht="18.75" customHeight="1" x14ac:dyDescent="0.15">
      <c r="A7" s="11">
        <v>4</v>
      </c>
      <c r="B7" s="2"/>
      <c r="C7" s="90"/>
      <c r="D7" s="93"/>
      <c r="E7" s="90"/>
      <c r="F7" s="91" t="str">
        <f t="shared" si="0"/>
        <v/>
      </c>
      <c r="G7" s="5"/>
      <c r="H7" s="5" t="str">
        <f t="shared" si="1"/>
        <v/>
      </c>
      <c r="I7" s="35"/>
      <c r="J7" s="6" t="s">
        <v>15</v>
      </c>
      <c r="K7" s="33" t="str">
        <f t="shared" si="2"/>
        <v/>
      </c>
      <c r="L7" s="6" t="s">
        <v>6</v>
      </c>
      <c r="M7" s="27"/>
      <c r="N7" s="27"/>
    </row>
    <row r="8" spans="1:15" ht="18.75" customHeight="1" x14ac:dyDescent="0.15">
      <c r="A8" s="11">
        <v>5</v>
      </c>
      <c r="B8" s="2"/>
      <c r="C8" s="90"/>
      <c r="D8" s="93"/>
      <c r="E8" s="90"/>
      <c r="F8" s="91" t="str">
        <f t="shared" si="0"/>
        <v/>
      </c>
      <c r="G8" s="5"/>
      <c r="H8" s="5" t="str">
        <f t="shared" si="1"/>
        <v/>
      </c>
      <c r="I8" s="35"/>
      <c r="J8" s="6" t="s">
        <v>15</v>
      </c>
      <c r="K8" s="33" t="str">
        <f t="shared" si="2"/>
        <v/>
      </c>
      <c r="L8" s="6" t="s">
        <v>6</v>
      </c>
      <c r="M8" s="27"/>
      <c r="N8" s="27"/>
    </row>
    <row r="9" spans="1:15" ht="18.75" customHeight="1" x14ac:dyDescent="0.15">
      <c r="A9" s="11">
        <v>6</v>
      </c>
      <c r="B9" s="2"/>
      <c r="C9" s="90"/>
      <c r="D9" s="93"/>
      <c r="E9" s="90"/>
      <c r="F9" s="91" t="str">
        <f t="shared" si="0"/>
        <v/>
      </c>
      <c r="G9" s="5"/>
      <c r="H9" s="5" t="str">
        <f t="shared" si="1"/>
        <v/>
      </c>
      <c r="I9" s="35"/>
      <c r="J9" s="6" t="s">
        <v>15</v>
      </c>
      <c r="K9" s="33" t="str">
        <f t="shared" si="2"/>
        <v/>
      </c>
      <c r="L9" s="6" t="s">
        <v>6</v>
      </c>
      <c r="M9" s="27"/>
      <c r="N9" s="27"/>
    </row>
    <row r="10" spans="1:15" ht="18.75" customHeight="1" x14ac:dyDescent="0.15">
      <c r="A10" s="11">
        <v>7</v>
      </c>
      <c r="B10" s="2"/>
      <c r="C10" s="90"/>
      <c r="D10" s="93"/>
      <c r="E10" s="90"/>
      <c r="F10" s="91" t="str">
        <f t="shared" si="0"/>
        <v/>
      </c>
      <c r="G10" s="5"/>
      <c r="H10" s="5" t="str">
        <f t="shared" si="1"/>
        <v/>
      </c>
      <c r="I10" s="35"/>
      <c r="J10" s="6" t="s">
        <v>15</v>
      </c>
      <c r="K10" s="33" t="str">
        <f t="shared" si="2"/>
        <v/>
      </c>
      <c r="L10" s="6" t="s">
        <v>6</v>
      </c>
      <c r="M10" s="27"/>
      <c r="N10" s="27"/>
    </row>
    <row r="11" spans="1:15" ht="18.75" customHeight="1" x14ac:dyDescent="0.15">
      <c r="A11" s="11">
        <v>8</v>
      </c>
      <c r="B11" s="2"/>
      <c r="C11" s="90"/>
      <c r="D11" s="93"/>
      <c r="E11" s="90"/>
      <c r="F11" s="91" t="str">
        <f t="shared" si="0"/>
        <v/>
      </c>
      <c r="G11" s="5"/>
      <c r="H11" s="5" t="str">
        <f t="shared" si="1"/>
        <v/>
      </c>
      <c r="I11" s="41"/>
      <c r="J11" s="8" t="s">
        <v>15</v>
      </c>
      <c r="K11" s="33" t="str">
        <f t="shared" si="2"/>
        <v/>
      </c>
      <c r="L11" s="9" t="s">
        <v>6</v>
      </c>
      <c r="M11" s="27"/>
      <c r="N11" s="27"/>
    </row>
    <row r="12" spans="1:15" ht="18.75" customHeight="1" x14ac:dyDescent="0.15">
      <c r="A12" s="11">
        <v>9</v>
      </c>
      <c r="B12" s="2"/>
      <c r="C12" s="90"/>
      <c r="D12" s="93"/>
      <c r="E12" s="90"/>
      <c r="F12" s="91" t="str">
        <f t="shared" si="0"/>
        <v/>
      </c>
      <c r="G12" s="5"/>
      <c r="H12" s="5" t="str">
        <f t="shared" si="1"/>
        <v/>
      </c>
      <c r="I12" s="35"/>
      <c r="J12" s="6" t="s">
        <v>15</v>
      </c>
      <c r="K12" s="33" t="str">
        <f t="shared" si="2"/>
        <v/>
      </c>
      <c r="L12" s="6" t="s">
        <v>6</v>
      </c>
      <c r="M12" s="27"/>
      <c r="N12" s="27"/>
    </row>
    <row r="13" spans="1:15" ht="18.75" customHeight="1" x14ac:dyDescent="0.15">
      <c r="A13" s="11">
        <v>10</v>
      </c>
      <c r="B13" s="2"/>
      <c r="C13" s="90"/>
      <c r="D13" s="93"/>
      <c r="E13" s="90"/>
      <c r="F13" s="91" t="str">
        <f t="shared" si="0"/>
        <v/>
      </c>
      <c r="G13" s="5"/>
      <c r="H13" s="5" t="str">
        <f t="shared" si="1"/>
        <v/>
      </c>
      <c r="I13" s="41"/>
      <c r="J13" s="8" t="s">
        <v>15</v>
      </c>
      <c r="K13" s="33" t="str">
        <f t="shared" si="2"/>
        <v/>
      </c>
      <c r="L13" s="9" t="s">
        <v>6</v>
      </c>
      <c r="M13" s="27"/>
      <c r="N13" s="27"/>
    </row>
    <row r="14" spans="1:15" ht="18.75" customHeight="1" x14ac:dyDescent="0.15">
      <c r="A14" s="11">
        <v>11</v>
      </c>
      <c r="B14" s="2"/>
      <c r="C14" s="90"/>
      <c r="D14" s="93"/>
      <c r="E14" s="90"/>
      <c r="F14" s="91" t="str">
        <f t="shared" si="0"/>
        <v/>
      </c>
      <c r="G14" s="5"/>
      <c r="H14" s="5" t="str">
        <f t="shared" si="1"/>
        <v/>
      </c>
      <c r="I14" s="35"/>
      <c r="J14" s="6" t="s">
        <v>15</v>
      </c>
      <c r="K14" s="33" t="str">
        <f t="shared" si="2"/>
        <v/>
      </c>
      <c r="L14" s="6" t="s">
        <v>6</v>
      </c>
      <c r="M14" s="27"/>
      <c r="N14" s="27"/>
      <c r="O14" s="59"/>
    </row>
    <row r="15" spans="1:15" ht="18.75" customHeight="1" x14ac:dyDescent="0.15">
      <c r="A15" s="11">
        <v>12</v>
      </c>
      <c r="B15" s="2"/>
      <c r="C15" s="90"/>
      <c r="D15" s="93"/>
      <c r="E15" s="90"/>
      <c r="F15" s="91" t="str">
        <f t="shared" si="0"/>
        <v/>
      </c>
      <c r="G15" s="5"/>
      <c r="H15" s="5" t="str">
        <f t="shared" si="1"/>
        <v/>
      </c>
      <c r="I15" s="42"/>
      <c r="J15" s="8" t="s">
        <v>15</v>
      </c>
      <c r="K15" s="33" t="str">
        <f t="shared" si="2"/>
        <v/>
      </c>
      <c r="L15" s="6" t="s">
        <v>6</v>
      </c>
      <c r="M15" s="27"/>
      <c r="N15" s="27"/>
    </row>
    <row r="16" spans="1:15" ht="18.75" customHeight="1" x14ac:dyDescent="0.15">
      <c r="A16" s="11">
        <v>13</v>
      </c>
      <c r="B16" s="2"/>
      <c r="C16" s="90"/>
      <c r="D16" s="93"/>
      <c r="E16" s="90"/>
      <c r="F16" s="91" t="str">
        <f t="shared" si="0"/>
        <v/>
      </c>
      <c r="G16" s="5"/>
      <c r="H16" s="5" t="str">
        <f t="shared" si="1"/>
        <v/>
      </c>
      <c r="I16" s="35"/>
      <c r="J16" s="6" t="s">
        <v>15</v>
      </c>
      <c r="K16" s="33" t="str">
        <f t="shared" si="2"/>
        <v/>
      </c>
      <c r="L16" s="6" t="s">
        <v>6</v>
      </c>
      <c r="M16" s="27"/>
      <c r="N16" s="27"/>
    </row>
    <row r="17" spans="1:15" ht="18.75" customHeight="1" x14ac:dyDescent="0.15">
      <c r="A17" s="11">
        <v>14</v>
      </c>
      <c r="B17" s="2"/>
      <c r="C17" s="90"/>
      <c r="D17" s="93"/>
      <c r="E17" s="90"/>
      <c r="F17" s="91" t="str">
        <f t="shared" si="0"/>
        <v/>
      </c>
      <c r="G17" s="5"/>
      <c r="H17" s="5" t="str">
        <f t="shared" si="1"/>
        <v/>
      </c>
      <c r="I17" s="35"/>
      <c r="J17" s="6" t="s">
        <v>15</v>
      </c>
      <c r="K17" s="33" t="str">
        <f t="shared" si="2"/>
        <v/>
      </c>
      <c r="L17" s="6" t="s">
        <v>6</v>
      </c>
      <c r="M17" s="27"/>
      <c r="N17" s="27"/>
    </row>
    <row r="18" spans="1:15" ht="18.75" customHeight="1" x14ac:dyDescent="0.15">
      <c r="A18" s="11">
        <v>15</v>
      </c>
      <c r="B18" s="2"/>
      <c r="C18" s="90"/>
      <c r="D18" s="93"/>
      <c r="E18" s="90"/>
      <c r="F18" s="91" t="str">
        <f t="shared" si="0"/>
        <v/>
      </c>
      <c r="G18" s="5"/>
      <c r="H18" s="5" t="str">
        <f t="shared" si="1"/>
        <v/>
      </c>
      <c r="I18" s="41"/>
      <c r="J18" s="6" t="s">
        <v>15</v>
      </c>
      <c r="K18" s="33" t="str">
        <f t="shared" si="2"/>
        <v/>
      </c>
      <c r="L18" s="9" t="s">
        <v>6</v>
      </c>
      <c r="M18" s="27"/>
      <c r="N18" s="27"/>
    </row>
    <row r="19" spans="1:15" ht="18.75" customHeight="1" x14ac:dyDescent="0.15">
      <c r="A19" s="11">
        <v>16</v>
      </c>
      <c r="B19" s="2"/>
      <c r="C19" s="90"/>
      <c r="D19" s="93"/>
      <c r="E19" s="90"/>
      <c r="F19" s="91" t="str">
        <f t="shared" si="0"/>
        <v/>
      </c>
      <c r="G19" s="5"/>
      <c r="H19" s="5" t="str">
        <f t="shared" si="1"/>
        <v/>
      </c>
      <c r="I19" s="35"/>
      <c r="J19" s="6" t="s">
        <v>15</v>
      </c>
      <c r="K19" s="33" t="str">
        <f t="shared" si="2"/>
        <v/>
      </c>
      <c r="L19" s="6" t="s">
        <v>6</v>
      </c>
      <c r="M19" s="27"/>
      <c r="N19" s="27"/>
    </row>
    <row r="20" spans="1:15" ht="18.75" customHeight="1" x14ac:dyDescent="0.15">
      <c r="A20" s="11">
        <v>17</v>
      </c>
      <c r="B20" s="2"/>
      <c r="C20" s="90"/>
      <c r="D20" s="93"/>
      <c r="E20" s="7"/>
      <c r="F20" s="91" t="str">
        <f t="shared" si="0"/>
        <v/>
      </c>
      <c r="G20" s="5"/>
      <c r="H20" s="5" t="str">
        <f t="shared" si="1"/>
        <v/>
      </c>
      <c r="I20" s="42"/>
      <c r="J20" s="8" t="s">
        <v>15</v>
      </c>
      <c r="K20" s="33" t="str">
        <f t="shared" si="2"/>
        <v/>
      </c>
      <c r="L20" s="6" t="s">
        <v>6</v>
      </c>
      <c r="M20" s="27"/>
      <c r="N20" s="34"/>
    </row>
    <row r="21" spans="1:15" ht="18.75" customHeight="1" x14ac:dyDescent="0.15">
      <c r="A21" s="11">
        <v>18</v>
      </c>
      <c r="B21" s="2"/>
      <c r="C21" s="90"/>
      <c r="D21" s="93"/>
      <c r="E21" s="90"/>
      <c r="F21" s="91" t="str">
        <f t="shared" si="0"/>
        <v/>
      </c>
      <c r="G21" s="5"/>
      <c r="H21" s="5" t="str">
        <f t="shared" si="1"/>
        <v/>
      </c>
      <c r="I21" s="35"/>
      <c r="J21" s="6" t="s">
        <v>15</v>
      </c>
      <c r="K21" s="33" t="str">
        <f t="shared" si="2"/>
        <v/>
      </c>
      <c r="L21" s="6" t="s">
        <v>6</v>
      </c>
      <c r="M21" s="27"/>
      <c r="N21" s="27"/>
    </row>
    <row r="22" spans="1:15" ht="18.75" customHeight="1" x14ac:dyDescent="0.15">
      <c r="A22" s="11">
        <v>19</v>
      </c>
      <c r="B22" s="2"/>
      <c r="C22" s="90"/>
      <c r="D22" s="93"/>
      <c r="E22" s="90"/>
      <c r="F22" s="91" t="str">
        <f t="shared" si="0"/>
        <v/>
      </c>
      <c r="G22" s="5"/>
      <c r="H22" s="5" t="str">
        <f t="shared" si="1"/>
        <v/>
      </c>
      <c r="I22" s="35"/>
      <c r="J22" s="6" t="s">
        <v>15</v>
      </c>
      <c r="K22" s="33" t="str">
        <f t="shared" si="2"/>
        <v/>
      </c>
      <c r="L22" s="6" t="s">
        <v>6</v>
      </c>
      <c r="M22" s="27"/>
      <c r="N22" s="27"/>
    </row>
    <row r="23" spans="1:15" ht="18.75" customHeight="1" x14ac:dyDescent="0.15">
      <c r="A23" s="11">
        <v>20</v>
      </c>
      <c r="B23" s="2"/>
      <c r="C23" s="90"/>
      <c r="D23" s="93"/>
      <c r="E23" s="90"/>
      <c r="F23" s="91" t="str">
        <f t="shared" si="0"/>
        <v/>
      </c>
      <c r="G23" s="5"/>
      <c r="H23" s="5" t="str">
        <f t="shared" si="1"/>
        <v/>
      </c>
      <c r="I23" s="35"/>
      <c r="J23" s="6" t="s">
        <v>11</v>
      </c>
      <c r="K23" s="33" t="str">
        <f t="shared" si="2"/>
        <v/>
      </c>
      <c r="L23" s="6" t="s">
        <v>6</v>
      </c>
      <c r="M23" s="27"/>
      <c r="N23" s="27"/>
    </row>
    <row r="24" spans="1:15" ht="18.75" customHeight="1" x14ac:dyDescent="0.15">
      <c r="A24" s="11">
        <v>21</v>
      </c>
      <c r="B24" s="2"/>
      <c r="C24" s="90"/>
      <c r="D24" s="93"/>
      <c r="E24" s="90"/>
      <c r="F24" s="91" t="str">
        <f t="shared" si="0"/>
        <v/>
      </c>
      <c r="G24" s="5"/>
      <c r="H24" s="5" t="str">
        <f t="shared" si="1"/>
        <v/>
      </c>
      <c r="I24" s="35"/>
      <c r="J24" s="8" t="s">
        <v>11</v>
      </c>
      <c r="K24" s="33" t="str">
        <f t="shared" si="2"/>
        <v/>
      </c>
      <c r="L24" s="6" t="s">
        <v>6</v>
      </c>
      <c r="M24" s="27"/>
      <c r="N24" s="27"/>
    </row>
    <row r="25" spans="1:15" ht="18.75" customHeight="1" x14ac:dyDescent="0.15">
      <c r="A25" s="11">
        <v>22</v>
      </c>
      <c r="B25" s="2"/>
      <c r="C25" s="90"/>
      <c r="D25" s="93"/>
      <c r="E25" s="90"/>
      <c r="F25" s="91" t="str">
        <f t="shared" si="0"/>
        <v/>
      </c>
      <c r="G25" s="5"/>
      <c r="H25" s="5" t="str">
        <f t="shared" si="1"/>
        <v/>
      </c>
      <c r="I25" s="41"/>
      <c r="J25" s="6" t="s">
        <v>11</v>
      </c>
      <c r="K25" s="33" t="str">
        <f t="shared" si="2"/>
        <v/>
      </c>
      <c r="L25" s="6" t="s">
        <v>6</v>
      </c>
      <c r="M25" s="27"/>
      <c r="N25" s="27"/>
    </row>
    <row r="26" spans="1:15" ht="18.75" customHeight="1" x14ac:dyDescent="0.15">
      <c r="A26" s="11">
        <v>23</v>
      </c>
      <c r="B26" s="2"/>
      <c r="C26" s="90"/>
      <c r="D26" s="93"/>
      <c r="E26" s="90"/>
      <c r="F26" s="91" t="str">
        <f t="shared" si="0"/>
        <v/>
      </c>
      <c r="G26" s="5"/>
      <c r="H26" s="5" t="str">
        <f t="shared" si="1"/>
        <v/>
      </c>
      <c r="I26" s="41"/>
      <c r="J26" s="6" t="s">
        <v>15</v>
      </c>
      <c r="K26" s="33" t="str">
        <f t="shared" si="2"/>
        <v/>
      </c>
      <c r="L26" s="6" t="s">
        <v>6</v>
      </c>
      <c r="M26" s="27"/>
      <c r="N26" s="27"/>
    </row>
    <row r="27" spans="1:15" ht="18.75" customHeight="1" x14ac:dyDescent="0.15">
      <c r="A27" s="11">
        <v>24</v>
      </c>
      <c r="B27" s="2"/>
      <c r="C27" s="90"/>
      <c r="D27" s="93"/>
      <c r="E27" s="90"/>
      <c r="F27" s="91" t="str">
        <f t="shared" si="0"/>
        <v/>
      </c>
      <c r="G27" s="5"/>
      <c r="H27" s="5" t="str">
        <f t="shared" si="1"/>
        <v/>
      </c>
      <c r="I27" s="35"/>
      <c r="J27" s="8" t="s">
        <v>15</v>
      </c>
      <c r="K27" s="33" t="str">
        <f t="shared" si="2"/>
        <v/>
      </c>
      <c r="L27" s="6" t="s">
        <v>6</v>
      </c>
      <c r="M27" s="27"/>
      <c r="N27" s="27"/>
      <c r="O27" s="59"/>
    </row>
    <row r="28" spans="1:15" ht="18.75" customHeight="1" x14ac:dyDescent="0.15">
      <c r="A28" s="11">
        <v>25</v>
      </c>
      <c r="B28" s="2"/>
      <c r="C28" s="90"/>
      <c r="D28" s="93"/>
      <c r="E28" s="90"/>
      <c r="F28" s="91" t="str">
        <f t="shared" si="0"/>
        <v/>
      </c>
      <c r="G28" s="5"/>
      <c r="H28" s="5" t="str">
        <f t="shared" si="1"/>
        <v/>
      </c>
      <c r="I28" s="35"/>
      <c r="J28" s="6" t="s">
        <v>15</v>
      </c>
      <c r="K28" s="33" t="str">
        <f t="shared" si="2"/>
        <v/>
      </c>
      <c r="L28" s="6" t="s">
        <v>6</v>
      </c>
      <c r="M28" s="27"/>
      <c r="N28" s="27"/>
    </row>
    <row r="29" spans="1:15" ht="18.75" customHeight="1" x14ac:dyDescent="0.15">
      <c r="A29" s="11">
        <v>26</v>
      </c>
      <c r="B29" s="2"/>
      <c r="C29" s="90"/>
      <c r="D29" s="93"/>
      <c r="E29" s="90"/>
      <c r="F29" s="91" t="str">
        <f t="shared" si="0"/>
        <v/>
      </c>
      <c r="G29" s="5"/>
      <c r="H29" s="5" t="str">
        <f t="shared" si="1"/>
        <v/>
      </c>
      <c r="I29" s="35"/>
      <c r="J29" s="6" t="s">
        <v>15</v>
      </c>
      <c r="K29" s="33" t="str">
        <f t="shared" si="2"/>
        <v/>
      </c>
      <c r="L29" s="6" t="s">
        <v>6</v>
      </c>
      <c r="M29" s="27"/>
      <c r="N29" s="27"/>
    </row>
    <row r="30" spans="1:15" ht="18.75" customHeight="1" x14ac:dyDescent="0.15">
      <c r="A30" s="11">
        <v>27</v>
      </c>
      <c r="B30" s="2"/>
      <c r="C30" s="90"/>
      <c r="D30" s="93"/>
      <c r="E30" s="90"/>
      <c r="F30" s="91" t="str">
        <f t="shared" si="0"/>
        <v/>
      </c>
      <c r="G30" s="5"/>
      <c r="H30" s="5" t="str">
        <f t="shared" si="1"/>
        <v/>
      </c>
      <c r="I30" s="35"/>
      <c r="J30" s="8" t="s">
        <v>15</v>
      </c>
      <c r="K30" s="33" t="str">
        <f t="shared" si="2"/>
        <v/>
      </c>
      <c r="L30" s="6" t="s">
        <v>6</v>
      </c>
      <c r="M30" s="27"/>
      <c r="N30" s="27"/>
    </row>
    <row r="31" spans="1:15" ht="18.75" customHeight="1" x14ac:dyDescent="0.15">
      <c r="A31" s="11">
        <v>28</v>
      </c>
      <c r="B31" s="2"/>
      <c r="C31" s="90"/>
      <c r="D31" s="93"/>
      <c r="E31" s="7"/>
      <c r="F31" s="91" t="str">
        <f t="shared" si="0"/>
        <v/>
      </c>
      <c r="G31" s="5"/>
      <c r="H31" s="5" t="str">
        <f t="shared" si="1"/>
        <v/>
      </c>
      <c r="I31" s="41"/>
      <c r="J31" s="6" t="s">
        <v>15</v>
      </c>
      <c r="K31" s="33" t="str">
        <f t="shared" si="2"/>
        <v/>
      </c>
      <c r="L31" s="6" t="s">
        <v>6</v>
      </c>
      <c r="M31" s="27"/>
      <c r="N31" s="27"/>
    </row>
    <row r="32" spans="1:15" ht="18.75" customHeight="1" x14ac:dyDescent="0.15">
      <c r="A32" s="11">
        <v>29</v>
      </c>
      <c r="B32" s="2"/>
      <c r="C32" s="90"/>
      <c r="D32" s="93"/>
      <c r="E32" s="90"/>
      <c r="F32" s="91" t="str">
        <f t="shared" si="0"/>
        <v/>
      </c>
      <c r="G32" s="5"/>
      <c r="H32" s="5" t="str">
        <f t="shared" si="1"/>
        <v/>
      </c>
      <c r="I32" s="35"/>
      <c r="J32" s="6" t="s">
        <v>15</v>
      </c>
      <c r="K32" s="33" t="str">
        <f t="shared" si="2"/>
        <v/>
      </c>
      <c r="L32" s="6" t="s">
        <v>6</v>
      </c>
      <c r="M32" s="27"/>
      <c r="N32" s="27"/>
    </row>
    <row r="33" spans="1:15" ht="18.75" customHeight="1" x14ac:dyDescent="0.15">
      <c r="A33" s="11">
        <v>30</v>
      </c>
      <c r="B33" s="2"/>
      <c r="C33" s="90"/>
      <c r="D33" s="93"/>
      <c r="E33" s="90"/>
      <c r="F33" s="91" t="str">
        <f t="shared" si="0"/>
        <v/>
      </c>
      <c r="G33" s="5"/>
      <c r="H33" s="5" t="str">
        <f t="shared" si="1"/>
        <v/>
      </c>
      <c r="I33" s="35"/>
      <c r="J33" s="6" t="s">
        <v>15</v>
      </c>
      <c r="K33" s="33" t="str">
        <f t="shared" si="2"/>
        <v/>
      </c>
      <c r="L33" s="6" t="s">
        <v>6</v>
      </c>
      <c r="M33" s="27"/>
      <c r="N33" s="27"/>
    </row>
    <row r="34" spans="1:15" ht="18.75" customHeight="1" x14ac:dyDescent="0.15">
      <c r="A34" s="11">
        <v>31</v>
      </c>
      <c r="B34" s="2"/>
      <c r="C34" s="90"/>
      <c r="D34" s="93"/>
      <c r="E34" s="90"/>
      <c r="F34" s="91" t="str">
        <f t="shared" si="0"/>
        <v/>
      </c>
      <c r="G34" s="5"/>
      <c r="H34" s="5" t="str">
        <f t="shared" si="1"/>
        <v/>
      </c>
      <c r="I34" s="42"/>
      <c r="J34" s="6" t="s">
        <v>15</v>
      </c>
      <c r="K34" s="33" t="str">
        <f t="shared" si="2"/>
        <v/>
      </c>
      <c r="L34" s="6" t="s">
        <v>6</v>
      </c>
      <c r="M34" s="27"/>
      <c r="N34" s="27"/>
      <c r="O34" s="59"/>
    </row>
    <row r="35" spans="1:15" ht="18.75" customHeight="1" x14ac:dyDescent="0.15">
      <c r="A35" s="11">
        <v>32</v>
      </c>
      <c r="B35" s="2"/>
      <c r="C35" s="90"/>
      <c r="D35" s="93"/>
      <c r="E35" s="7"/>
      <c r="F35" s="91" t="str">
        <f t="shared" si="0"/>
        <v/>
      </c>
      <c r="G35" s="5"/>
      <c r="H35" s="5" t="str">
        <f t="shared" si="1"/>
        <v/>
      </c>
      <c r="I35" s="35"/>
      <c r="J35" s="6" t="s">
        <v>15</v>
      </c>
      <c r="K35" s="33" t="str">
        <f t="shared" si="2"/>
        <v/>
      </c>
      <c r="L35" s="6" t="s">
        <v>6</v>
      </c>
      <c r="M35" s="27"/>
      <c r="N35" s="27"/>
    </row>
    <row r="36" spans="1:15" ht="18.75" customHeight="1" x14ac:dyDescent="0.15">
      <c r="A36" s="11">
        <v>33</v>
      </c>
      <c r="B36" s="2"/>
      <c r="C36" s="90"/>
      <c r="D36" s="93"/>
      <c r="E36" s="90"/>
      <c r="F36" s="91" t="str">
        <f t="shared" si="0"/>
        <v/>
      </c>
      <c r="G36" s="5"/>
      <c r="H36" s="5" t="str">
        <f t="shared" si="1"/>
        <v/>
      </c>
      <c r="I36" s="43"/>
      <c r="J36" s="6" t="s">
        <v>15</v>
      </c>
      <c r="K36" s="33" t="str">
        <f t="shared" si="2"/>
        <v/>
      </c>
      <c r="L36" s="6" t="s">
        <v>6</v>
      </c>
      <c r="M36" s="27"/>
      <c r="N36" s="27"/>
    </row>
    <row r="37" spans="1:15" ht="18.75" customHeight="1" x14ac:dyDescent="0.15">
      <c r="A37" s="11">
        <v>34</v>
      </c>
      <c r="B37" s="2"/>
      <c r="C37" s="90"/>
      <c r="D37" s="93"/>
      <c r="E37" s="90"/>
      <c r="F37" s="91" t="str">
        <f t="shared" si="0"/>
        <v/>
      </c>
      <c r="G37" s="5"/>
      <c r="H37" s="5" t="str">
        <f t="shared" si="1"/>
        <v/>
      </c>
      <c r="I37" s="35"/>
      <c r="J37" s="6" t="s">
        <v>15</v>
      </c>
      <c r="K37" s="33" t="str">
        <f t="shared" si="2"/>
        <v/>
      </c>
      <c r="L37" s="6" t="s">
        <v>6</v>
      </c>
      <c r="M37" s="27"/>
      <c r="N37" s="27"/>
    </row>
    <row r="38" spans="1:15" ht="18.75" customHeight="1" x14ac:dyDescent="0.15">
      <c r="A38" s="11">
        <v>35</v>
      </c>
      <c r="B38" s="2"/>
      <c r="C38" s="90"/>
      <c r="D38" s="93"/>
      <c r="E38" s="7"/>
      <c r="F38" s="91" t="str">
        <f t="shared" si="0"/>
        <v/>
      </c>
      <c r="G38" s="5"/>
      <c r="H38" s="5" t="str">
        <f t="shared" si="1"/>
        <v/>
      </c>
      <c r="I38" s="42"/>
      <c r="J38" s="6" t="s">
        <v>15</v>
      </c>
      <c r="K38" s="33" t="str">
        <f t="shared" si="2"/>
        <v/>
      </c>
      <c r="L38" s="6" t="s">
        <v>6</v>
      </c>
      <c r="M38" s="27"/>
      <c r="N38" s="27"/>
    </row>
    <row r="39" spans="1:15" ht="18.75" customHeight="1" x14ac:dyDescent="0.15">
      <c r="A39" s="11">
        <v>36</v>
      </c>
      <c r="B39" s="2"/>
      <c r="C39" s="90"/>
      <c r="D39" s="93"/>
      <c r="E39" s="90"/>
      <c r="F39" s="91" t="str">
        <f t="shared" si="0"/>
        <v/>
      </c>
      <c r="G39" s="5"/>
      <c r="H39" s="5" t="str">
        <f t="shared" si="1"/>
        <v/>
      </c>
      <c r="I39" s="35"/>
      <c r="J39" s="6" t="s">
        <v>15</v>
      </c>
      <c r="K39" s="33" t="str">
        <f t="shared" si="2"/>
        <v/>
      </c>
      <c r="L39" s="6" t="s">
        <v>6</v>
      </c>
      <c r="M39" s="27"/>
      <c r="N39" s="27"/>
    </row>
    <row r="40" spans="1:15" ht="18.75" customHeight="1" x14ac:dyDescent="0.15">
      <c r="A40" s="11">
        <v>37</v>
      </c>
      <c r="B40" s="2"/>
      <c r="C40" s="90"/>
      <c r="D40" s="93"/>
      <c r="E40" s="90"/>
      <c r="F40" s="91" t="str">
        <f t="shared" si="0"/>
        <v/>
      </c>
      <c r="G40" s="5"/>
      <c r="H40" s="5" t="str">
        <f t="shared" si="1"/>
        <v/>
      </c>
      <c r="I40" s="35"/>
      <c r="J40" s="6" t="s">
        <v>15</v>
      </c>
      <c r="K40" s="33" t="str">
        <f t="shared" si="2"/>
        <v/>
      </c>
      <c r="L40" s="6" t="s">
        <v>6</v>
      </c>
      <c r="M40" s="27"/>
      <c r="N40" s="27"/>
    </row>
    <row r="41" spans="1:15" ht="18.75" customHeight="1" x14ac:dyDescent="0.15">
      <c r="A41" s="11">
        <v>38</v>
      </c>
      <c r="B41" s="2"/>
      <c r="C41" s="90"/>
      <c r="D41" s="93"/>
      <c r="E41" s="90"/>
      <c r="F41" s="91" t="str">
        <f t="shared" si="0"/>
        <v/>
      </c>
      <c r="G41" s="5"/>
      <c r="H41" s="5" t="str">
        <f t="shared" si="1"/>
        <v/>
      </c>
      <c r="I41" s="35"/>
      <c r="J41" s="6" t="s">
        <v>15</v>
      </c>
      <c r="K41" s="37" t="str">
        <f t="shared" si="2"/>
        <v/>
      </c>
      <c r="L41" s="6" t="s">
        <v>6</v>
      </c>
      <c r="M41" s="27"/>
      <c r="N41" s="27"/>
    </row>
    <row r="42" spans="1:15" ht="18.75" customHeight="1" x14ac:dyDescent="0.15">
      <c r="A42" s="11">
        <v>39</v>
      </c>
      <c r="B42" s="2"/>
      <c r="C42" s="90"/>
      <c r="D42" s="93"/>
      <c r="E42" s="90"/>
      <c r="F42" s="91"/>
      <c r="G42" s="5"/>
      <c r="H42" s="5"/>
      <c r="I42" s="35"/>
      <c r="J42" s="6" t="s">
        <v>15</v>
      </c>
      <c r="K42" s="37"/>
      <c r="L42" s="6" t="s">
        <v>6</v>
      </c>
      <c r="M42" s="27"/>
      <c r="N42" s="27"/>
    </row>
    <row r="43" spans="1:15" ht="18.75" customHeight="1" thickBot="1" x14ac:dyDescent="0.2">
      <c r="A43" s="50">
        <v>40</v>
      </c>
      <c r="B43" s="51"/>
      <c r="C43" s="52"/>
      <c r="D43" s="94"/>
      <c r="E43" s="52"/>
      <c r="F43" s="53"/>
      <c r="G43" s="54"/>
      <c r="H43" s="54"/>
      <c r="I43" s="55"/>
      <c r="J43" s="56" t="s">
        <v>15</v>
      </c>
      <c r="K43" s="57"/>
      <c r="L43" s="56" t="s">
        <v>6</v>
      </c>
      <c r="M43" s="86" t="s">
        <v>21</v>
      </c>
      <c r="N43" s="86" t="s">
        <v>22</v>
      </c>
    </row>
    <row r="44" spans="1:15" ht="18.75" customHeight="1" thickTop="1" x14ac:dyDescent="0.15">
      <c r="B44" s="44"/>
      <c r="C44" s="44"/>
      <c r="D44" s="45"/>
      <c r="E44" s="44"/>
      <c r="F44" s="44" t="str">
        <f>IF(E44="","",E44-INT(E44/7)*7)</f>
        <v/>
      </c>
      <c r="G44" s="46"/>
      <c r="H44" s="46" t="str">
        <f>IF(G44="","",G44)</f>
        <v/>
      </c>
      <c r="I44" s="61">
        <f>SUM(I4:I43)</f>
        <v>0</v>
      </c>
      <c r="J44" s="8" t="s">
        <v>15</v>
      </c>
      <c r="K44" s="47">
        <f>SUM(K4:K43)</f>
        <v>0</v>
      </c>
      <c r="L44" s="8" t="s">
        <v>6</v>
      </c>
      <c r="M44" s="48">
        <f>SUM(K44)-N44</f>
        <v>0</v>
      </c>
      <c r="N44" s="72">
        <f>SUMIF(M4:M42,"",K4:K43)</f>
        <v>0</v>
      </c>
    </row>
    <row r="45" spans="1:15" ht="20.25" customHeight="1" x14ac:dyDescent="0.15">
      <c r="B45" s="95" t="s">
        <v>9</v>
      </c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</row>
    <row r="46" spans="1:15" ht="21" customHeight="1" x14ac:dyDescent="0.15">
      <c r="B46" s="96" t="s">
        <v>0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</row>
    <row r="47" spans="1:15" ht="27" customHeight="1" x14ac:dyDescent="0.15">
      <c r="A47" s="11"/>
      <c r="B47" s="29" t="s">
        <v>1</v>
      </c>
      <c r="C47" s="102" t="s">
        <v>2</v>
      </c>
      <c r="D47" s="103"/>
      <c r="E47" s="104" t="s">
        <v>3</v>
      </c>
      <c r="F47" s="105"/>
      <c r="G47" s="92" t="s">
        <v>4</v>
      </c>
      <c r="H47" s="92" t="s">
        <v>7</v>
      </c>
      <c r="I47" s="106" t="s">
        <v>8</v>
      </c>
      <c r="J47" s="107"/>
      <c r="K47" s="106" t="s">
        <v>5</v>
      </c>
      <c r="L47" s="106"/>
      <c r="M47" s="30" t="s">
        <v>10</v>
      </c>
      <c r="N47" s="31" t="s">
        <v>18</v>
      </c>
    </row>
    <row r="48" spans="1:15" ht="18.75" customHeight="1" x14ac:dyDescent="0.15">
      <c r="A48" s="11">
        <v>41</v>
      </c>
      <c r="B48" s="2"/>
      <c r="C48" s="90"/>
      <c r="D48" s="93"/>
      <c r="E48" s="90"/>
      <c r="F48" s="91" t="str">
        <f t="shared" ref="F48:F88" si="3">IF(E48="","",E48-INT(E48/7)*7)</f>
        <v/>
      </c>
      <c r="G48" s="5"/>
      <c r="H48" s="5" t="str">
        <f t="shared" ref="H48:H88" si="4">IF(G48="","",G48)</f>
        <v/>
      </c>
      <c r="I48" s="32"/>
      <c r="J48" s="6" t="s">
        <v>15</v>
      </c>
      <c r="K48" s="33" t="str">
        <f t="shared" ref="K48:K85" si="5">IF(I48&gt;0,I48*0.2,"")</f>
        <v/>
      </c>
      <c r="L48" s="6" t="s">
        <v>6</v>
      </c>
      <c r="M48" s="27"/>
      <c r="N48" s="34"/>
    </row>
    <row r="49" spans="1:14" ht="18.75" customHeight="1" x14ac:dyDescent="0.15">
      <c r="A49" s="11">
        <v>42</v>
      </c>
      <c r="B49" s="2"/>
      <c r="C49" s="90"/>
      <c r="D49" s="93"/>
      <c r="E49" s="7"/>
      <c r="F49" s="91" t="str">
        <f t="shared" si="3"/>
        <v/>
      </c>
      <c r="G49" s="5"/>
      <c r="H49" s="5" t="str">
        <f t="shared" si="4"/>
        <v/>
      </c>
      <c r="I49" s="35"/>
      <c r="J49" s="36" t="s">
        <v>15</v>
      </c>
      <c r="K49" s="37" t="str">
        <f t="shared" si="5"/>
        <v/>
      </c>
      <c r="L49" s="6" t="s">
        <v>6</v>
      </c>
      <c r="M49" s="27"/>
      <c r="N49" s="27"/>
    </row>
    <row r="50" spans="1:14" ht="18.75" customHeight="1" x14ac:dyDescent="0.15">
      <c r="A50" s="11">
        <v>43</v>
      </c>
      <c r="B50" s="2"/>
      <c r="C50" s="90"/>
      <c r="D50" s="93"/>
      <c r="E50" s="90"/>
      <c r="F50" s="91" t="str">
        <f t="shared" si="3"/>
        <v/>
      </c>
      <c r="G50" s="5"/>
      <c r="H50" s="5" t="str">
        <f t="shared" si="4"/>
        <v/>
      </c>
      <c r="I50" s="38"/>
      <c r="J50" s="8" t="s">
        <v>15</v>
      </c>
      <c r="K50" s="39" t="str">
        <f t="shared" si="5"/>
        <v/>
      </c>
      <c r="L50" s="9" t="s">
        <v>6</v>
      </c>
      <c r="M50" s="40"/>
      <c r="N50" s="27"/>
    </row>
    <row r="51" spans="1:14" ht="18.75" customHeight="1" x14ac:dyDescent="0.15">
      <c r="A51" s="11">
        <v>44</v>
      </c>
      <c r="B51" s="2"/>
      <c r="C51" s="90"/>
      <c r="D51" s="93"/>
      <c r="E51" s="90"/>
      <c r="F51" s="91" t="str">
        <f t="shared" si="3"/>
        <v/>
      </c>
      <c r="G51" s="5"/>
      <c r="H51" s="5" t="str">
        <f t="shared" si="4"/>
        <v/>
      </c>
      <c r="I51" s="35"/>
      <c r="J51" s="6" t="s">
        <v>15</v>
      </c>
      <c r="K51" s="33" t="str">
        <f t="shared" si="5"/>
        <v/>
      </c>
      <c r="L51" s="6" t="s">
        <v>6</v>
      </c>
      <c r="M51" s="27"/>
      <c r="N51" s="27"/>
    </row>
    <row r="52" spans="1:14" ht="18.75" customHeight="1" x14ac:dyDescent="0.15">
      <c r="A52" s="11">
        <v>45</v>
      </c>
      <c r="B52" s="2"/>
      <c r="C52" s="90"/>
      <c r="D52" s="93"/>
      <c r="E52" s="90"/>
      <c r="F52" s="91" t="str">
        <f t="shared" si="3"/>
        <v/>
      </c>
      <c r="G52" s="5"/>
      <c r="H52" s="5" t="str">
        <f t="shared" si="4"/>
        <v/>
      </c>
      <c r="I52" s="35"/>
      <c r="J52" s="6" t="s">
        <v>15</v>
      </c>
      <c r="K52" s="33" t="str">
        <f t="shared" si="5"/>
        <v/>
      </c>
      <c r="L52" s="6" t="s">
        <v>6</v>
      </c>
      <c r="M52" s="27"/>
      <c r="N52" s="27"/>
    </row>
    <row r="53" spans="1:14" ht="18.75" customHeight="1" x14ac:dyDescent="0.15">
      <c r="A53" s="11">
        <v>46</v>
      </c>
      <c r="B53" s="2"/>
      <c r="C53" s="90"/>
      <c r="D53" s="93"/>
      <c r="E53" s="90"/>
      <c r="F53" s="91" t="str">
        <f t="shared" si="3"/>
        <v/>
      </c>
      <c r="G53" s="5"/>
      <c r="H53" s="5" t="str">
        <f t="shared" si="4"/>
        <v/>
      </c>
      <c r="I53" s="35"/>
      <c r="J53" s="6" t="s">
        <v>15</v>
      </c>
      <c r="K53" s="33" t="str">
        <f t="shared" si="5"/>
        <v/>
      </c>
      <c r="L53" s="6" t="s">
        <v>6</v>
      </c>
      <c r="M53" s="27"/>
      <c r="N53" s="27"/>
    </row>
    <row r="54" spans="1:14" ht="18.75" customHeight="1" x14ac:dyDescent="0.15">
      <c r="A54" s="11">
        <v>47</v>
      </c>
      <c r="B54" s="2"/>
      <c r="C54" s="90"/>
      <c r="D54" s="93"/>
      <c r="E54" s="90"/>
      <c r="F54" s="91" t="str">
        <f t="shared" si="3"/>
        <v/>
      </c>
      <c r="G54" s="5"/>
      <c r="H54" s="5" t="str">
        <f t="shared" si="4"/>
        <v/>
      </c>
      <c r="I54" s="35"/>
      <c r="J54" s="6" t="s">
        <v>15</v>
      </c>
      <c r="K54" s="33" t="str">
        <f t="shared" si="5"/>
        <v/>
      </c>
      <c r="L54" s="6" t="s">
        <v>6</v>
      </c>
      <c r="M54" s="27"/>
      <c r="N54" s="27"/>
    </row>
    <row r="55" spans="1:14" ht="18.75" customHeight="1" x14ac:dyDescent="0.15">
      <c r="A55" s="11">
        <v>48</v>
      </c>
      <c r="B55" s="2"/>
      <c r="C55" s="90"/>
      <c r="D55" s="93"/>
      <c r="E55" s="90"/>
      <c r="F55" s="91" t="str">
        <f t="shared" si="3"/>
        <v/>
      </c>
      <c r="G55" s="5"/>
      <c r="H55" s="5" t="str">
        <f t="shared" si="4"/>
        <v/>
      </c>
      <c r="I55" s="41"/>
      <c r="J55" s="8" t="s">
        <v>15</v>
      </c>
      <c r="K55" s="33" t="str">
        <f t="shared" si="5"/>
        <v/>
      </c>
      <c r="L55" s="9" t="s">
        <v>6</v>
      </c>
      <c r="M55" s="27"/>
      <c r="N55" s="27"/>
    </row>
    <row r="56" spans="1:14" ht="18.75" customHeight="1" x14ac:dyDescent="0.15">
      <c r="A56" s="11">
        <v>49</v>
      </c>
      <c r="B56" s="2"/>
      <c r="C56" s="90"/>
      <c r="D56" s="93"/>
      <c r="E56" s="90"/>
      <c r="F56" s="91" t="str">
        <f t="shared" si="3"/>
        <v/>
      </c>
      <c r="G56" s="5"/>
      <c r="H56" s="5" t="str">
        <f t="shared" si="4"/>
        <v/>
      </c>
      <c r="I56" s="35"/>
      <c r="J56" s="6" t="s">
        <v>15</v>
      </c>
      <c r="K56" s="33" t="str">
        <f t="shared" si="5"/>
        <v/>
      </c>
      <c r="L56" s="6" t="s">
        <v>6</v>
      </c>
      <c r="M56" s="27"/>
      <c r="N56" s="27"/>
    </row>
    <row r="57" spans="1:14" ht="18.75" customHeight="1" x14ac:dyDescent="0.15">
      <c r="A57" s="11">
        <v>50</v>
      </c>
      <c r="B57" s="2"/>
      <c r="C57" s="90"/>
      <c r="D57" s="93"/>
      <c r="E57" s="90"/>
      <c r="F57" s="91" t="str">
        <f t="shared" si="3"/>
        <v/>
      </c>
      <c r="G57" s="5"/>
      <c r="H57" s="5" t="str">
        <f t="shared" si="4"/>
        <v/>
      </c>
      <c r="I57" s="41"/>
      <c r="J57" s="8" t="s">
        <v>15</v>
      </c>
      <c r="K57" s="33" t="str">
        <f t="shared" si="5"/>
        <v/>
      </c>
      <c r="L57" s="9" t="s">
        <v>6</v>
      </c>
      <c r="M57" s="27"/>
      <c r="N57" s="27"/>
    </row>
    <row r="58" spans="1:14" ht="18.75" customHeight="1" x14ac:dyDescent="0.15">
      <c r="A58" s="11">
        <v>51</v>
      </c>
      <c r="B58" s="2"/>
      <c r="C58" s="90"/>
      <c r="D58" s="93"/>
      <c r="E58" s="90"/>
      <c r="F58" s="91" t="str">
        <f t="shared" si="3"/>
        <v/>
      </c>
      <c r="G58" s="5"/>
      <c r="H58" s="5" t="str">
        <f t="shared" si="4"/>
        <v/>
      </c>
      <c r="I58" s="35"/>
      <c r="J58" s="6" t="s">
        <v>15</v>
      </c>
      <c r="K58" s="33" t="str">
        <f t="shared" si="5"/>
        <v/>
      </c>
      <c r="L58" s="6" t="s">
        <v>6</v>
      </c>
      <c r="M58" s="27"/>
      <c r="N58" s="27"/>
    </row>
    <row r="59" spans="1:14" ht="18.75" customHeight="1" x14ac:dyDescent="0.15">
      <c r="A59" s="11">
        <v>52</v>
      </c>
      <c r="B59" s="2"/>
      <c r="C59" s="90"/>
      <c r="D59" s="93"/>
      <c r="E59" s="90"/>
      <c r="F59" s="91" t="str">
        <f t="shared" si="3"/>
        <v/>
      </c>
      <c r="G59" s="5"/>
      <c r="H59" s="5" t="str">
        <f t="shared" si="4"/>
        <v/>
      </c>
      <c r="I59" s="42"/>
      <c r="J59" s="8" t="s">
        <v>15</v>
      </c>
      <c r="K59" s="33" t="str">
        <f t="shared" si="5"/>
        <v/>
      </c>
      <c r="L59" s="6" t="s">
        <v>6</v>
      </c>
      <c r="M59" s="27"/>
      <c r="N59" s="27"/>
    </row>
    <row r="60" spans="1:14" ht="18.75" customHeight="1" x14ac:dyDescent="0.15">
      <c r="A60" s="11">
        <v>53</v>
      </c>
      <c r="B60" s="2"/>
      <c r="C60" s="90"/>
      <c r="D60" s="93"/>
      <c r="E60" s="90"/>
      <c r="F60" s="91" t="str">
        <f t="shared" si="3"/>
        <v/>
      </c>
      <c r="G60" s="5"/>
      <c r="H60" s="5" t="str">
        <f t="shared" si="4"/>
        <v/>
      </c>
      <c r="I60" s="35"/>
      <c r="J60" s="6" t="s">
        <v>15</v>
      </c>
      <c r="K60" s="33" t="str">
        <f t="shared" si="5"/>
        <v/>
      </c>
      <c r="L60" s="6" t="s">
        <v>6</v>
      </c>
      <c r="M60" s="27"/>
      <c r="N60" s="27"/>
    </row>
    <row r="61" spans="1:14" ht="18.75" customHeight="1" x14ac:dyDescent="0.15">
      <c r="A61" s="11">
        <v>54</v>
      </c>
      <c r="B61" s="2"/>
      <c r="C61" s="90"/>
      <c r="D61" s="93"/>
      <c r="E61" s="90"/>
      <c r="F61" s="91" t="str">
        <f t="shared" si="3"/>
        <v/>
      </c>
      <c r="G61" s="5"/>
      <c r="H61" s="5" t="str">
        <f t="shared" si="4"/>
        <v/>
      </c>
      <c r="I61" s="35"/>
      <c r="J61" s="6" t="s">
        <v>15</v>
      </c>
      <c r="K61" s="33" t="str">
        <f t="shared" si="5"/>
        <v/>
      </c>
      <c r="L61" s="6" t="s">
        <v>6</v>
      </c>
      <c r="M61" s="27"/>
      <c r="N61" s="27"/>
    </row>
    <row r="62" spans="1:14" ht="18.75" customHeight="1" x14ac:dyDescent="0.15">
      <c r="A62" s="11">
        <v>55</v>
      </c>
      <c r="B62" s="2"/>
      <c r="C62" s="90"/>
      <c r="D62" s="93"/>
      <c r="E62" s="90"/>
      <c r="F62" s="91" t="str">
        <f t="shared" si="3"/>
        <v/>
      </c>
      <c r="G62" s="5"/>
      <c r="H62" s="5" t="str">
        <f t="shared" si="4"/>
        <v/>
      </c>
      <c r="I62" s="41"/>
      <c r="J62" s="6" t="s">
        <v>15</v>
      </c>
      <c r="K62" s="33" t="str">
        <f t="shared" si="5"/>
        <v/>
      </c>
      <c r="L62" s="9" t="s">
        <v>6</v>
      </c>
      <c r="M62" s="27"/>
      <c r="N62" s="27"/>
    </row>
    <row r="63" spans="1:14" ht="18.75" customHeight="1" x14ac:dyDescent="0.15">
      <c r="A63" s="11">
        <v>56</v>
      </c>
      <c r="B63" s="2"/>
      <c r="C63" s="90"/>
      <c r="D63" s="93"/>
      <c r="E63" s="90"/>
      <c r="F63" s="91" t="str">
        <f t="shared" si="3"/>
        <v/>
      </c>
      <c r="G63" s="5"/>
      <c r="H63" s="5" t="str">
        <f t="shared" si="4"/>
        <v/>
      </c>
      <c r="I63" s="35"/>
      <c r="J63" s="6" t="s">
        <v>15</v>
      </c>
      <c r="K63" s="33" t="str">
        <f t="shared" si="5"/>
        <v/>
      </c>
      <c r="L63" s="6" t="s">
        <v>6</v>
      </c>
      <c r="M63" s="27"/>
      <c r="N63" s="27"/>
    </row>
    <row r="64" spans="1:14" ht="18.75" customHeight="1" x14ac:dyDescent="0.15">
      <c r="A64" s="11">
        <v>57</v>
      </c>
      <c r="B64" s="2"/>
      <c r="C64" s="90"/>
      <c r="D64" s="93"/>
      <c r="E64" s="7"/>
      <c r="F64" s="91" t="str">
        <f t="shared" si="3"/>
        <v/>
      </c>
      <c r="G64" s="5"/>
      <c r="H64" s="5" t="str">
        <f t="shared" si="4"/>
        <v/>
      </c>
      <c r="I64" s="42"/>
      <c r="J64" s="8" t="s">
        <v>15</v>
      </c>
      <c r="K64" s="33" t="str">
        <f t="shared" si="5"/>
        <v/>
      </c>
      <c r="L64" s="6" t="s">
        <v>6</v>
      </c>
      <c r="M64" s="27"/>
      <c r="N64" s="34"/>
    </row>
    <row r="65" spans="1:14" ht="18.75" customHeight="1" x14ac:dyDescent="0.15">
      <c r="A65" s="11">
        <v>58</v>
      </c>
      <c r="B65" s="2"/>
      <c r="C65" s="90"/>
      <c r="D65" s="93"/>
      <c r="E65" s="90"/>
      <c r="F65" s="91" t="str">
        <f t="shared" si="3"/>
        <v/>
      </c>
      <c r="G65" s="5"/>
      <c r="H65" s="5" t="str">
        <f t="shared" si="4"/>
        <v/>
      </c>
      <c r="I65" s="35"/>
      <c r="J65" s="6" t="s">
        <v>15</v>
      </c>
      <c r="K65" s="33" t="str">
        <f t="shared" si="5"/>
        <v/>
      </c>
      <c r="L65" s="6" t="s">
        <v>6</v>
      </c>
      <c r="M65" s="27"/>
      <c r="N65" s="27"/>
    </row>
    <row r="66" spans="1:14" ht="18.75" customHeight="1" x14ac:dyDescent="0.15">
      <c r="A66" s="11">
        <v>59</v>
      </c>
      <c r="B66" s="2"/>
      <c r="C66" s="90"/>
      <c r="D66" s="93"/>
      <c r="E66" s="90"/>
      <c r="F66" s="91" t="str">
        <f t="shared" si="3"/>
        <v/>
      </c>
      <c r="G66" s="5"/>
      <c r="H66" s="5" t="str">
        <f t="shared" si="4"/>
        <v/>
      </c>
      <c r="I66" s="35"/>
      <c r="J66" s="6" t="s">
        <v>15</v>
      </c>
      <c r="K66" s="33" t="str">
        <f t="shared" si="5"/>
        <v/>
      </c>
      <c r="L66" s="6" t="s">
        <v>6</v>
      </c>
      <c r="M66" s="27"/>
      <c r="N66" s="27"/>
    </row>
    <row r="67" spans="1:14" ht="18.75" customHeight="1" x14ac:dyDescent="0.15">
      <c r="A67" s="11">
        <v>60</v>
      </c>
      <c r="B67" s="2"/>
      <c r="C67" s="90"/>
      <c r="D67" s="93"/>
      <c r="E67" s="90"/>
      <c r="F67" s="91" t="str">
        <f t="shared" si="3"/>
        <v/>
      </c>
      <c r="G67" s="5"/>
      <c r="H67" s="5" t="str">
        <f t="shared" si="4"/>
        <v/>
      </c>
      <c r="I67" s="35"/>
      <c r="J67" s="6" t="s">
        <v>11</v>
      </c>
      <c r="K67" s="33" t="str">
        <f t="shared" si="5"/>
        <v/>
      </c>
      <c r="L67" s="6" t="s">
        <v>6</v>
      </c>
      <c r="M67" s="27"/>
      <c r="N67" s="27"/>
    </row>
    <row r="68" spans="1:14" ht="18.75" customHeight="1" x14ac:dyDescent="0.15">
      <c r="A68" s="11">
        <v>61</v>
      </c>
      <c r="B68" s="2"/>
      <c r="C68" s="90"/>
      <c r="D68" s="93"/>
      <c r="E68" s="90"/>
      <c r="F68" s="91" t="str">
        <f t="shared" si="3"/>
        <v/>
      </c>
      <c r="G68" s="5"/>
      <c r="H68" s="5" t="str">
        <f t="shared" si="4"/>
        <v/>
      </c>
      <c r="I68" s="35"/>
      <c r="J68" s="8" t="s">
        <v>11</v>
      </c>
      <c r="K68" s="33" t="str">
        <f t="shared" si="5"/>
        <v/>
      </c>
      <c r="L68" s="6" t="s">
        <v>6</v>
      </c>
      <c r="M68" s="27"/>
      <c r="N68" s="27"/>
    </row>
    <row r="69" spans="1:14" ht="18.75" customHeight="1" x14ac:dyDescent="0.15">
      <c r="A69" s="11">
        <v>62</v>
      </c>
      <c r="B69" s="2"/>
      <c r="C69" s="90"/>
      <c r="D69" s="93"/>
      <c r="E69" s="90"/>
      <c r="F69" s="91" t="str">
        <f t="shared" si="3"/>
        <v/>
      </c>
      <c r="G69" s="5"/>
      <c r="H69" s="5" t="str">
        <f t="shared" si="4"/>
        <v/>
      </c>
      <c r="I69" s="41"/>
      <c r="J69" s="6" t="s">
        <v>11</v>
      </c>
      <c r="K69" s="33" t="str">
        <f t="shared" si="5"/>
        <v/>
      </c>
      <c r="L69" s="6" t="s">
        <v>6</v>
      </c>
      <c r="M69" s="27"/>
      <c r="N69" s="27"/>
    </row>
    <row r="70" spans="1:14" ht="18.75" customHeight="1" x14ac:dyDescent="0.15">
      <c r="A70" s="11">
        <v>63</v>
      </c>
      <c r="B70" s="2"/>
      <c r="C70" s="90"/>
      <c r="D70" s="93"/>
      <c r="E70" s="90"/>
      <c r="F70" s="91" t="str">
        <f t="shared" si="3"/>
        <v/>
      </c>
      <c r="G70" s="5"/>
      <c r="H70" s="5" t="str">
        <f t="shared" si="4"/>
        <v/>
      </c>
      <c r="I70" s="41"/>
      <c r="J70" s="6" t="s">
        <v>15</v>
      </c>
      <c r="K70" s="33" t="str">
        <f t="shared" si="5"/>
        <v/>
      </c>
      <c r="L70" s="6" t="s">
        <v>6</v>
      </c>
      <c r="M70" s="27"/>
      <c r="N70" s="27"/>
    </row>
    <row r="71" spans="1:14" ht="18.75" customHeight="1" x14ac:dyDescent="0.15">
      <c r="A71" s="11">
        <v>64</v>
      </c>
      <c r="B71" s="2"/>
      <c r="C71" s="90"/>
      <c r="D71" s="93"/>
      <c r="E71" s="90"/>
      <c r="F71" s="91" t="str">
        <f t="shared" si="3"/>
        <v/>
      </c>
      <c r="G71" s="5"/>
      <c r="H71" s="5" t="str">
        <f t="shared" si="4"/>
        <v/>
      </c>
      <c r="I71" s="35"/>
      <c r="J71" s="8" t="s">
        <v>15</v>
      </c>
      <c r="K71" s="33" t="str">
        <f t="shared" si="5"/>
        <v/>
      </c>
      <c r="L71" s="6" t="s">
        <v>6</v>
      </c>
      <c r="M71" s="27"/>
      <c r="N71" s="27"/>
    </row>
    <row r="72" spans="1:14" ht="18.75" customHeight="1" x14ac:dyDescent="0.15">
      <c r="A72" s="11">
        <v>65</v>
      </c>
      <c r="B72" s="2"/>
      <c r="C72" s="90"/>
      <c r="D72" s="93"/>
      <c r="E72" s="90"/>
      <c r="F72" s="91" t="str">
        <f t="shared" si="3"/>
        <v/>
      </c>
      <c r="G72" s="5"/>
      <c r="H72" s="5" t="str">
        <f t="shared" si="4"/>
        <v/>
      </c>
      <c r="I72" s="35"/>
      <c r="J72" s="6" t="s">
        <v>15</v>
      </c>
      <c r="K72" s="33" t="str">
        <f t="shared" si="5"/>
        <v/>
      </c>
      <c r="L72" s="6" t="s">
        <v>6</v>
      </c>
      <c r="M72" s="27"/>
      <c r="N72" s="27"/>
    </row>
    <row r="73" spans="1:14" ht="18.75" customHeight="1" x14ac:dyDescent="0.15">
      <c r="A73" s="11">
        <v>66</v>
      </c>
      <c r="B73" s="2"/>
      <c r="C73" s="90"/>
      <c r="D73" s="93"/>
      <c r="E73" s="90"/>
      <c r="F73" s="91" t="str">
        <f t="shared" si="3"/>
        <v/>
      </c>
      <c r="G73" s="5"/>
      <c r="H73" s="5" t="str">
        <f t="shared" si="4"/>
        <v/>
      </c>
      <c r="I73" s="35"/>
      <c r="J73" s="6" t="s">
        <v>15</v>
      </c>
      <c r="K73" s="33" t="str">
        <f t="shared" si="5"/>
        <v/>
      </c>
      <c r="L73" s="6" t="s">
        <v>6</v>
      </c>
      <c r="M73" s="27"/>
      <c r="N73" s="27"/>
    </row>
    <row r="74" spans="1:14" ht="18.75" customHeight="1" x14ac:dyDescent="0.15">
      <c r="A74" s="11">
        <v>67</v>
      </c>
      <c r="B74" s="2"/>
      <c r="C74" s="90"/>
      <c r="D74" s="93"/>
      <c r="E74" s="90"/>
      <c r="F74" s="91" t="str">
        <f t="shared" si="3"/>
        <v/>
      </c>
      <c r="G74" s="5"/>
      <c r="H74" s="5" t="str">
        <f t="shared" si="4"/>
        <v/>
      </c>
      <c r="I74" s="35"/>
      <c r="J74" s="8" t="s">
        <v>15</v>
      </c>
      <c r="K74" s="33" t="str">
        <f t="shared" si="5"/>
        <v/>
      </c>
      <c r="L74" s="6" t="s">
        <v>6</v>
      </c>
      <c r="M74" s="27"/>
      <c r="N74" s="27"/>
    </row>
    <row r="75" spans="1:14" ht="18.75" customHeight="1" x14ac:dyDescent="0.15">
      <c r="A75" s="11">
        <v>68</v>
      </c>
      <c r="B75" s="2"/>
      <c r="C75" s="90"/>
      <c r="D75" s="93"/>
      <c r="E75" s="7"/>
      <c r="F75" s="91" t="str">
        <f t="shared" si="3"/>
        <v/>
      </c>
      <c r="G75" s="5"/>
      <c r="H75" s="5" t="str">
        <f t="shared" si="4"/>
        <v/>
      </c>
      <c r="I75" s="41"/>
      <c r="J75" s="6" t="s">
        <v>15</v>
      </c>
      <c r="K75" s="33" t="str">
        <f t="shared" si="5"/>
        <v/>
      </c>
      <c r="L75" s="6" t="s">
        <v>6</v>
      </c>
      <c r="M75" s="27"/>
      <c r="N75" s="27"/>
    </row>
    <row r="76" spans="1:14" ht="18.75" customHeight="1" x14ac:dyDescent="0.15">
      <c r="A76" s="11">
        <v>69</v>
      </c>
      <c r="B76" s="2"/>
      <c r="C76" s="90"/>
      <c r="D76" s="93"/>
      <c r="E76" s="90"/>
      <c r="F76" s="91" t="str">
        <f t="shared" si="3"/>
        <v/>
      </c>
      <c r="G76" s="5"/>
      <c r="H76" s="5" t="str">
        <f t="shared" si="4"/>
        <v/>
      </c>
      <c r="I76" s="35"/>
      <c r="J76" s="6" t="s">
        <v>15</v>
      </c>
      <c r="K76" s="33" t="str">
        <f t="shared" si="5"/>
        <v/>
      </c>
      <c r="L76" s="6" t="s">
        <v>6</v>
      </c>
      <c r="M76" s="27"/>
      <c r="N76" s="27"/>
    </row>
    <row r="77" spans="1:14" ht="18.75" customHeight="1" x14ac:dyDescent="0.15">
      <c r="A77" s="11">
        <v>70</v>
      </c>
      <c r="B77" s="2"/>
      <c r="C77" s="90"/>
      <c r="D77" s="93"/>
      <c r="E77" s="90"/>
      <c r="F77" s="91" t="str">
        <f t="shared" si="3"/>
        <v/>
      </c>
      <c r="G77" s="5"/>
      <c r="H77" s="5" t="str">
        <f t="shared" si="4"/>
        <v/>
      </c>
      <c r="I77" s="35"/>
      <c r="J77" s="6" t="s">
        <v>15</v>
      </c>
      <c r="K77" s="33" t="str">
        <f t="shared" si="5"/>
        <v/>
      </c>
      <c r="L77" s="6" t="s">
        <v>6</v>
      </c>
      <c r="M77" s="27"/>
      <c r="N77" s="27"/>
    </row>
    <row r="78" spans="1:14" ht="18.75" customHeight="1" x14ac:dyDescent="0.15">
      <c r="A78" s="11">
        <v>71</v>
      </c>
      <c r="B78" s="2"/>
      <c r="C78" s="90"/>
      <c r="D78" s="93"/>
      <c r="E78" s="90"/>
      <c r="F78" s="91" t="str">
        <f t="shared" si="3"/>
        <v/>
      </c>
      <c r="G78" s="5"/>
      <c r="H78" s="5" t="str">
        <f t="shared" si="4"/>
        <v/>
      </c>
      <c r="I78" s="42"/>
      <c r="J78" s="6" t="s">
        <v>15</v>
      </c>
      <c r="K78" s="33" t="str">
        <f t="shared" si="5"/>
        <v/>
      </c>
      <c r="L78" s="6" t="s">
        <v>6</v>
      </c>
      <c r="M78" s="27"/>
      <c r="N78" s="27"/>
    </row>
    <row r="79" spans="1:14" ht="18.75" customHeight="1" x14ac:dyDescent="0.15">
      <c r="A79" s="11">
        <v>72</v>
      </c>
      <c r="B79" s="2"/>
      <c r="C79" s="90"/>
      <c r="D79" s="93"/>
      <c r="E79" s="7"/>
      <c r="F79" s="91" t="str">
        <f t="shared" si="3"/>
        <v/>
      </c>
      <c r="G79" s="5"/>
      <c r="H79" s="5" t="str">
        <f t="shared" si="4"/>
        <v/>
      </c>
      <c r="I79" s="35"/>
      <c r="J79" s="6" t="s">
        <v>15</v>
      </c>
      <c r="K79" s="33" t="str">
        <f t="shared" si="5"/>
        <v/>
      </c>
      <c r="L79" s="6" t="s">
        <v>6</v>
      </c>
      <c r="M79" s="27"/>
      <c r="N79" s="27"/>
    </row>
    <row r="80" spans="1:14" ht="18.75" customHeight="1" x14ac:dyDescent="0.15">
      <c r="A80" s="11">
        <v>73</v>
      </c>
      <c r="B80" s="2"/>
      <c r="C80" s="90"/>
      <c r="D80" s="93"/>
      <c r="E80" s="90"/>
      <c r="F80" s="91" t="str">
        <f t="shared" si="3"/>
        <v/>
      </c>
      <c r="G80" s="5"/>
      <c r="H80" s="5" t="str">
        <f t="shared" si="4"/>
        <v/>
      </c>
      <c r="I80" s="43"/>
      <c r="J80" s="6" t="s">
        <v>15</v>
      </c>
      <c r="K80" s="33" t="str">
        <f t="shared" si="5"/>
        <v/>
      </c>
      <c r="L80" s="6" t="s">
        <v>6</v>
      </c>
      <c r="M80" s="27"/>
      <c r="N80" s="27"/>
    </row>
    <row r="81" spans="1:14" ht="18.75" customHeight="1" x14ac:dyDescent="0.15">
      <c r="A81" s="11">
        <v>74</v>
      </c>
      <c r="B81" s="2"/>
      <c r="C81" s="90"/>
      <c r="D81" s="93"/>
      <c r="E81" s="90"/>
      <c r="F81" s="91" t="str">
        <f t="shared" si="3"/>
        <v/>
      </c>
      <c r="G81" s="5"/>
      <c r="H81" s="5" t="str">
        <f t="shared" si="4"/>
        <v/>
      </c>
      <c r="I81" s="35"/>
      <c r="J81" s="6" t="s">
        <v>15</v>
      </c>
      <c r="K81" s="33" t="str">
        <f t="shared" si="5"/>
        <v/>
      </c>
      <c r="L81" s="6" t="s">
        <v>6</v>
      </c>
      <c r="M81" s="27"/>
      <c r="N81" s="27"/>
    </row>
    <row r="82" spans="1:14" ht="18.75" customHeight="1" x14ac:dyDescent="0.15">
      <c r="A82" s="11">
        <v>75</v>
      </c>
      <c r="B82" s="2"/>
      <c r="C82" s="90"/>
      <c r="D82" s="93"/>
      <c r="E82" s="7"/>
      <c r="F82" s="91" t="str">
        <f t="shared" si="3"/>
        <v/>
      </c>
      <c r="G82" s="5"/>
      <c r="H82" s="5" t="str">
        <f t="shared" si="4"/>
        <v/>
      </c>
      <c r="I82" s="42"/>
      <c r="J82" s="6" t="s">
        <v>15</v>
      </c>
      <c r="K82" s="33" t="str">
        <f t="shared" si="5"/>
        <v/>
      </c>
      <c r="L82" s="6" t="s">
        <v>6</v>
      </c>
      <c r="M82" s="27"/>
      <c r="N82" s="27"/>
    </row>
    <row r="83" spans="1:14" ht="18.75" customHeight="1" x14ac:dyDescent="0.15">
      <c r="A83" s="11">
        <v>76</v>
      </c>
      <c r="B83" s="2"/>
      <c r="C83" s="90"/>
      <c r="D83" s="93"/>
      <c r="E83" s="90"/>
      <c r="F83" s="91" t="str">
        <f t="shared" si="3"/>
        <v/>
      </c>
      <c r="G83" s="5"/>
      <c r="H83" s="5" t="str">
        <f t="shared" si="4"/>
        <v/>
      </c>
      <c r="I83" s="35"/>
      <c r="J83" s="6" t="s">
        <v>15</v>
      </c>
      <c r="K83" s="33" t="str">
        <f t="shared" si="5"/>
        <v/>
      </c>
      <c r="L83" s="6" t="s">
        <v>6</v>
      </c>
      <c r="M83" s="27"/>
      <c r="N83" s="27"/>
    </row>
    <row r="84" spans="1:14" ht="18.75" customHeight="1" x14ac:dyDescent="0.15">
      <c r="A84" s="11">
        <v>77</v>
      </c>
      <c r="B84" s="2"/>
      <c r="C84" s="90"/>
      <c r="D84" s="93"/>
      <c r="E84" s="90"/>
      <c r="F84" s="91" t="str">
        <f t="shared" si="3"/>
        <v/>
      </c>
      <c r="G84" s="5"/>
      <c r="H84" s="5" t="str">
        <f t="shared" si="4"/>
        <v/>
      </c>
      <c r="I84" s="35"/>
      <c r="J84" s="6" t="s">
        <v>15</v>
      </c>
      <c r="K84" s="33" t="str">
        <f t="shared" si="5"/>
        <v/>
      </c>
      <c r="L84" s="6" t="s">
        <v>6</v>
      </c>
      <c r="M84" s="27"/>
      <c r="N84" s="27"/>
    </row>
    <row r="85" spans="1:14" ht="18.75" customHeight="1" x14ac:dyDescent="0.15">
      <c r="A85" s="11">
        <v>78</v>
      </c>
      <c r="B85" s="2"/>
      <c r="C85" s="90"/>
      <c r="D85" s="93"/>
      <c r="E85" s="90"/>
      <c r="F85" s="91" t="str">
        <f t="shared" si="3"/>
        <v/>
      </c>
      <c r="G85" s="5"/>
      <c r="H85" s="5" t="str">
        <f t="shared" si="4"/>
        <v/>
      </c>
      <c r="I85" s="35"/>
      <c r="J85" s="6" t="s">
        <v>15</v>
      </c>
      <c r="K85" s="37" t="str">
        <f t="shared" si="5"/>
        <v/>
      </c>
      <c r="L85" s="6" t="s">
        <v>6</v>
      </c>
      <c r="M85" s="27"/>
      <c r="N85" s="27"/>
    </row>
    <row r="86" spans="1:14" ht="18.75" customHeight="1" x14ac:dyDescent="0.15">
      <c r="A86" s="11">
        <v>79</v>
      </c>
      <c r="B86" s="2"/>
      <c r="C86" s="90"/>
      <c r="D86" s="93"/>
      <c r="E86" s="90"/>
      <c r="F86" s="91"/>
      <c r="G86" s="5"/>
      <c r="H86" s="5"/>
      <c r="I86" s="35"/>
      <c r="J86" s="6" t="s">
        <v>15</v>
      </c>
      <c r="K86" s="37"/>
      <c r="L86" s="6" t="s">
        <v>6</v>
      </c>
      <c r="M86" s="27"/>
      <c r="N86" s="27"/>
    </row>
    <row r="87" spans="1:14" ht="18.75" customHeight="1" x14ac:dyDescent="0.15">
      <c r="A87" s="11">
        <v>80</v>
      </c>
      <c r="B87" s="2"/>
      <c r="C87" s="90"/>
      <c r="D87" s="93"/>
      <c r="E87" s="90"/>
      <c r="F87" s="91" t="str">
        <f t="shared" si="3"/>
        <v/>
      </c>
      <c r="G87" s="5"/>
      <c r="H87" s="5" t="str">
        <f t="shared" si="4"/>
        <v/>
      </c>
      <c r="I87" s="35"/>
      <c r="J87" s="6" t="s">
        <v>15</v>
      </c>
      <c r="K87" s="37" t="str">
        <f>IF(I87&gt;0,I87*0.2,"")</f>
        <v/>
      </c>
      <c r="L87" s="6" t="s">
        <v>6</v>
      </c>
      <c r="M87" s="27"/>
      <c r="N87" s="27"/>
    </row>
    <row r="88" spans="1:14" ht="18.75" customHeight="1" x14ac:dyDescent="0.15">
      <c r="B88" s="44"/>
      <c r="C88" s="44"/>
      <c r="D88" s="45"/>
      <c r="E88" s="44"/>
      <c r="F88" s="44" t="str">
        <f t="shared" si="3"/>
        <v/>
      </c>
      <c r="G88" s="46"/>
      <c r="H88" s="46" t="str">
        <f t="shared" si="4"/>
        <v/>
      </c>
      <c r="I88" s="61">
        <f>SUM(I48:I87)+I44</f>
        <v>0</v>
      </c>
      <c r="J88" s="8" t="s">
        <v>15</v>
      </c>
      <c r="K88" s="47">
        <f>SUM(K48:K87)+K44</f>
        <v>0</v>
      </c>
      <c r="L88" s="8" t="s">
        <v>6</v>
      </c>
      <c r="M88" s="48"/>
      <c r="N88" s="48"/>
    </row>
  </sheetData>
  <mergeCells count="12">
    <mergeCell ref="B1:M1"/>
    <mergeCell ref="B2:M2"/>
    <mergeCell ref="C3:D3"/>
    <mergeCell ref="E3:F3"/>
    <mergeCell ref="I3:J3"/>
    <mergeCell ref="K3:L3"/>
    <mergeCell ref="B45:M45"/>
    <mergeCell ref="B46:M46"/>
    <mergeCell ref="C47:D47"/>
    <mergeCell ref="E47:F47"/>
    <mergeCell ref="I47:J47"/>
    <mergeCell ref="K47:L47"/>
  </mergeCells>
  <phoneticPr fontId="2"/>
  <dataValidations count="6">
    <dataValidation imeMode="on" allowBlank="1" showInputMessage="1" showErrorMessage="1" sqref="B44:C44 B88:C88" xr:uid="{23992BF8-0215-431A-A410-1B1019260F1C}"/>
    <dataValidation imeMode="disabled" allowBlank="1" showInputMessage="1" showErrorMessage="1" sqref="G4:G40 N21:N42 H4:M42 N49:N63 N5:N19 G48:G84 E48:E88 N65:N88 H48:M88 E4:E44 M44:N44 H43:L44" xr:uid="{DB4426D6-DF20-4831-8E9E-1C5A7C7EF504}"/>
    <dataValidation type="list" imeMode="on" allowBlank="1" showInputMessage="1" prompt="なければ直接入力" sqref="D44 D88" xr:uid="{2DA2E93A-7379-41C9-B469-D3427D9F1A0D}">
      <formula1>"利尻島国保中央病院,福士水産㈱,高橋水産㈱"</formula1>
    </dataValidation>
    <dataValidation imeMode="disabled" allowBlank="1" showInputMessage="1" sqref="G85:G88 G41:G44" xr:uid="{C91B8356-1BEF-47CD-8928-61BFE69EDE55}"/>
    <dataValidation type="list" imeMode="on" allowBlank="1" showInputMessage="1" prompt="なければ直接入力" sqref="D4:D43 D48:D87" xr:uid="{F52B60F2-A33F-4666-92A0-ED4DC31ABBD0}">
      <formula1>"利尻島国保中央病院,道立鬼脇診療所,カムイウィスキー,福士水産㈱,糀谷商店,米田商店"</formula1>
    </dataValidation>
    <dataValidation type="list" imeMode="on" allowBlank="1" showInputMessage="1" showErrorMessage="1" sqref="B4:C43 B48:C87" xr:uid="{8C79D453-003B-4697-8568-FE4F75ED52D1}">
      <formula1>"水産系燃え殻,医療系燃え殻"</formula1>
    </dataValidation>
  </dataValidations>
  <printOptions horizontalCentered="1" verticalCentered="1"/>
  <pageMargins left="0.59055118110236227" right="0.59055118110236227" top="0.59055118110236227" bottom="0.59055118110236227" header="0" footer="0"/>
  <pageSetup paperSize="9" orientation="portrait" horizontalDpi="4294967293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50CBC-B5C7-462F-BEDE-B82158DE1A17}">
  <dimension ref="A1:O88"/>
  <sheetViews>
    <sheetView workbookViewId="0">
      <selection sqref="A1:XFD1048576"/>
    </sheetView>
  </sheetViews>
  <sheetFormatPr defaultRowHeight="13.5" x14ac:dyDescent="0.15"/>
  <cols>
    <col min="1" max="1" width="3.375" style="12" customWidth="1"/>
    <col min="2" max="2" width="12.25" style="10" customWidth="1"/>
    <col min="3" max="3" width="1" style="10" customWidth="1"/>
    <col min="4" max="4" width="17.625" style="12" customWidth="1"/>
    <col min="5" max="5" width="10.625" style="10" customWidth="1"/>
    <col min="6" max="6" width="2.125" style="10" customWidth="1"/>
    <col min="7" max="8" width="8.125" style="10" customWidth="1"/>
    <col min="9" max="9" width="6" style="13" customWidth="1"/>
    <col min="10" max="10" width="2.375" style="10" customWidth="1"/>
    <col min="11" max="11" width="5.5" style="10" customWidth="1"/>
    <col min="12" max="12" width="2.25" style="10" customWidth="1"/>
    <col min="13" max="13" width="6.25" style="49" customWidth="1"/>
    <col min="14" max="14" width="6.25" style="10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 x14ac:dyDescent="0.15">
      <c r="B1" s="95" t="s">
        <v>9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5" ht="21" customHeight="1" x14ac:dyDescent="0.15"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spans="1:15" ht="27" customHeight="1" x14ac:dyDescent="0.15">
      <c r="A3" s="11"/>
      <c r="B3" s="29" t="s">
        <v>1</v>
      </c>
      <c r="C3" s="102" t="s">
        <v>2</v>
      </c>
      <c r="D3" s="103"/>
      <c r="E3" s="104" t="s">
        <v>3</v>
      </c>
      <c r="F3" s="105"/>
      <c r="G3" s="92" t="s">
        <v>4</v>
      </c>
      <c r="H3" s="92" t="s">
        <v>7</v>
      </c>
      <c r="I3" s="106" t="s">
        <v>8</v>
      </c>
      <c r="J3" s="107"/>
      <c r="K3" s="106" t="s">
        <v>5</v>
      </c>
      <c r="L3" s="106"/>
      <c r="M3" s="30" t="s">
        <v>10</v>
      </c>
      <c r="N3" s="31" t="s">
        <v>18</v>
      </c>
    </row>
    <row r="4" spans="1:15" ht="18.75" customHeight="1" x14ac:dyDescent="0.15">
      <c r="A4" s="11">
        <v>1</v>
      </c>
      <c r="B4" s="2"/>
      <c r="C4" s="90"/>
      <c r="D4" s="93"/>
      <c r="E4" s="90"/>
      <c r="F4" s="91" t="str">
        <f t="shared" ref="F4:F41" si="0">IF(E4="","",E4-INT(E4/7)*7)</f>
        <v/>
      </c>
      <c r="G4" s="5"/>
      <c r="H4" s="5" t="str">
        <f t="shared" ref="H4:H41" si="1">IF(G4="","",G4)</f>
        <v/>
      </c>
      <c r="I4" s="32"/>
      <c r="J4" s="6" t="s">
        <v>15</v>
      </c>
      <c r="K4" s="33" t="str">
        <f t="shared" ref="K4:K41" si="2">IF(I4&gt;0,I4*0.2,"")</f>
        <v/>
      </c>
      <c r="L4" s="6" t="s">
        <v>6</v>
      </c>
      <c r="M4" s="27"/>
      <c r="N4" s="34"/>
    </row>
    <row r="5" spans="1:15" ht="18.75" customHeight="1" x14ac:dyDescent="0.15">
      <c r="A5" s="11">
        <v>2</v>
      </c>
      <c r="B5" s="2"/>
      <c r="C5" s="90"/>
      <c r="D5" s="93"/>
      <c r="E5" s="7"/>
      <c r="F5" s="91" t="str">
        <f t="shared" si="0"/>
        <v/>
      </c>
      <c r="G5" s="5"/>
      <c r="H5" s="5" t="str">
        <f t="shared" si="1"/>
        <v/>
      </c>
      <c r="I5" s="35"/>
      <c r="J5" s="36" t="s">
        <v>15</v>
      </c>
      <c r="K5" s="37" t="str">
        <f t="shared" si="2"/>
        <v/>
      </c>
      <c r="L5" s="6" t="s">
        <v>6</v>
      </c>
      <c r="M5" s="27"/>
      <c r="N5" s="27"/>
    </row>
    <row r="6" spans="1:15" ht="18.75" customHeight="1" x14ac:dyDescent="0.15">
      <c r="A6" s="11">
        <v>3</v>
      </c>
      <c r="B6" s="2"/>
      <c r="C6" s="90"/>
      <c r="D6" s="93"/>
      <c r="E6" s="90"/>
      <c r="F6" s="91" t="str">
        <f t="shared" si="0"/>
        <v/>
      </c>
      <c r="G6" s="5"/>
      <c r="H6" s="5" t="str">
        <f t="shared" si="1"/>
        <v/>
      </c>
      <c r="I6" s="38"/>
      <c r="J6" s="8" t="s">
        <v>15</v>
      </c>
      <c r="K6" s="39" t="str">
        <f t="shared" si="2"/>
        <v/>
      </c>
      <c r="L6" s="9" t="s">
        <v>6</v>
      </c>
      <c r="M6" s="40"/>
      <c r="N6" s="27"/>
    </row>
    <row r="7" spans="1:15" ht="18.75" customHeight="1" x14ac:dyDescent="0.15">
      <c r="A7" s="11">
        <v>4</v>
      </c>
      <c r="B7" s="2"/>
      <c r="C7" s="90"/>
      <c r="D7" s="93"/>
      <c r="E7" s="90"/>
      <c r="F7" s="91" t="str">
        <f t="shared" si="0"/>
        <v/>
      </c>
      <c r="G7" s="5"/>
      <c r="H7" s="5" t="str">
        <f t="shared" si="1"/>
        <v/>
      </c>
      <c r="I7" s="35"/>
      <c r="J7" s="6" t="s">
        <v>15</v>
      </c>
      <c r="K7" s="33" t="str">
        <f t="shared" si="2"/>
        <v/>
      </c>
      <c r="L7" s="6" t="s">
        <v>6</v>
      </c>
      <c r="M7" s="27"/>
      <c r="N7" s="27"/>
    </row>
    <row r="8" spans="1:15" ht="18.75" customHeight="1" x14ac:dyDescent="0.15">
      <c r="A8" s="11">
        <v>5</v>
      </c>
      <c r="B8" s="2"/>
      <c r="C8" s="90"/>
      <c r="D8" s="93"/>
      <c r="E8" s="90"/>
      <c r="F8" s="91" t="str">
        <f t="shared" si="0"/>
        <v/>
      </c>
      <c r="G8" s="5"/>
      <c r="H8" s="5" t="str">
        <f t="shared" si="1"/>
        <v/>
      </c>
      <c r="I8" s="35"/>
      <c r="J8" s="6" t="s">
        <v>15</v>
      </c>
      <c r="K8" s="33" t="str">
        <f t="shared" si="2"/>
        <v/>
      </c>
      <c r="L8" s="6" t="s">
        <v>6</v>
      </c>
      <c r="M8" s="27"/>
      <c r="N8" s="27"/>
    </row>
    <row r="9" spans="1:15" ht="18.75" customHeight="1" x14ac:dyDescent="0.15">
      <c r="A9" s="11">
        <v>6</v>
      </c>
      <c r="B9" s="2"/>
      <c r="C9" s="90"/>
      <c r="D9" s="93"/>
      <c r="E9" s="90"/>
      <c r="F9" s="91" t="str">
        <f t="shared" si="0"/>
        <v/>
      </c>
      <c r="G9" s="5"/>
      <c r="H9" s="5" t="str">
        <f t="shared" si="1"/>
        <v/>
      </c>
      <c r="I9" s="35"/>
      <c r="J9" s="6" t="s">
        <v>15</v>
      </c>
      <c r="K9" s="33" t="str">
        <f t="shared" si="2"/>
        <v/>
      </c>
      <c r="L9" s="6" t="s">
        <v>6</v>
      </c>
      <c r="M9" s="27"/>
      <c r="N9" s="27"/>
    </row>
    <row r="10" spans="1:15" ht="18.75" customHeight="1" x14ac:dyDescent="0.15">
      <c r="A10" s="11">
        <v>7</v>
      </c>
      <c r="B10" s="2"/>
      <c r="C10" s="90"/>
      <c r="D10" s="93"/>
      <c r="E10" s="90"/>
      <c r="F10" s="91" t="str">
        <f t="shared" si="0"/>
        <v/>
      </c>
      <c r="G10" s="5"/>
      <c r="H10" s="5" t="str">
        <f t="shared" si="1"/>
        <v/>
      </c>
      <c r="I10" s="35"/>
      <c r="J10" s="6" t="s">
        <v>15</v>
      </c>
      <c r="K10" s="33" t="str">
        <f t="shared" si="2"/>
        <v/>
      </c>
      <c r="L10" s="6" t="s">
        <v>6</v>
      </c>
      <c r="M10" s="27"/>
      <c r="N10" s="27"/>
    </row>
    <row r="11" spans="1:15" ht="18.75" customHeight="1" x14ac:dyDescent="0.15">
      <c r="A11" s="11">
        <v>8</v>
      </c>
      <c r="B11" s="2"/>
      <c r="C11" s="90"/>
      <c r="D11" s="93"/>
      <c r="E11" s="90"/>
      <c r="F11" s="91" t="str">
        <f t="shared" si="0"/>
        <v/>
      </c>
      <c r="G11" s="5"/>
      <c r="H11" s="5" t="str">
        <f t="shared" si="1"/>
        <v/>
      </c>
      <c r="I11" s="41"/>
      <c r="J11" s="8" t="s">
        <v>15</v>
      </c>
      <c r="K11" s="33" t="str">
        <f t="shared" si="2"/>
        <v/>
      </c>
      <c r="L11" s="9" t="s">
        <v>6</v>
      </c>
      <c r="M11" s="27"/>
      <c r="N11" s="27"/>
    </row>
    <row r="12" spans="1:15" ht="18.75" customHeight="1" x14ac:dyDescent="0.15">
      <c r="A12" s="11">
        <v>9</v>
      </c>
      <c r="B12" s="2"/>
      <c r="C12" s="90"/>
      <c r="D12" s="93"/>
      <c r="E12" s="90"/>
      <c r="F12" s="91" t="str">
        <f t="shared" si="0"/>
        <v/>
      </c>
      <c r="G12" s="5"/>
      <c r="H12" s="5" t="str">
        <f t="shared" si="1"/>
        <v/>
      </c>
      <c r="I12" s="35"/>
      <c r="J12" s="6" t="s">
        <v>15</v>
      </c>
      <c r="K12" s="33" t="str">
        <f t="shared" si="2"/>
        <v/>
      </c>
      <c r="L12" s="6" t="s">
        <v>6</v>
      </c>
      <c r="M12" s="27"/>
      <c r="N12" s="27"/>
    </row>
    <row r="13" spans="1:15" ht="18.75" customHeight="1" x14ac:dyDescent="0.15">
      <c r="A13" s="11">
        <v>10</v>
      </c>
      <c r="B13" s="2"/>
      <c r="C13" s="90"/>
      <c r="D13" s="93"/>
      <c r="E13" s="90"/>
      <c r="F13" s="91" t="str">
        <f t="shared" si="0"/>
        <v/>
      </c>
      <c r="G13" s="5"/>
      <c r="H13" s="5" t="str">
        <f t="shared" si="1"/>
        <v/>
      </c>
      <c r="I13" s="41"/>
      <c r="J13" s="8" t="s">
        <v>15</v>
      </c>
      <c r="K13" s="33" t="str">
        <f t="shared" si="2"/>
        <v/>
      </c>
      <c r="L13" s="9" t="s">
        <v>6</v>
      </c>
      <c r="M13" s="27"/>
      <c r="N13" s="27"/>
    </row>
    <row r="14" spans="1:15" ht="18.75" customHeight="1" x14ac:dyDescent="0.15">
      <c r="A14" s="11">
        <v>11</v>
      </c>
      <c r="B14" s="2"/>
      <c r="C14" s="90"/>
      <c r="D14" s="93"/>
      <c r="E14" s="90"/>
      <c r="F14" s="91" t="str">
        <f t="shared" si="0"/>
        <v/>
      </c>
      <c r="G14" s="5"/>
      <c r="H14" s="5" t="str">
        <f t="shared" si="1"/>
        <v/>
      </c>
      <c r="I14" s="35"/>
      <c r="J14" s="6" t="s">
        <v>15</v>
      </c>
      <c r="K14" s="33" t="str">
        <f t="shared" si="2"/>
        <v/>
      </c>
      <c r="L14" s="6" t="s">
        <v>6</v>
      </c>
      <c r="M14" s="27"/>
      <c r="N14" s="27"/>
      <c r="O14" s="59"/>
    </row>
    <row r="15" spans="1:15" ht="18.75" customHeight="1" x14ac:dyDescent="0.15">
      <c r="A15" s="11">
        <v>12</v>
      </c>
      <c r="B15" s="2"/>
      <c r="C15" s="90"/>
      <c r="D15" s="93"/>
      <c r="E15" s="90"/>
      <c r="F15" s="91" t="str">
        <f t="shared" si="0"/>
        <v/>
      </c>
      <c r="G15" s="5"/>
      <c r="H15" s="5" t="str">
        <f t="shared" si="1"/>
        <v/>
      </c>
      <c r="I15" s="42"/>
      <c r="J15" s="8" t="s">
        <v>15</v>
      </c>
      <c r="K15" s="33" t="str">
        <f t="shared" si="2"/>
        <v/>
      </c>
      <c r="L15" s="6" t="s">
        <v>6</v>
      </c>
      <c r="M15" s="27"/>
      <c r="N15" s="27"/>
    </row>
    <row r="16" spans="1:15" ht="18.75" customHeight="1" x14ac:dyDescent="0.15">
      <c r="A16" s="11">
        <v>13</v>
      </c>
      <c r="B16" s="2"/>
      <c r="C16" s="90"/>
      <c r="D16" s="93"/>
      <c r="E16" s="90"/>
      <c r="F16" s="91" t="str">
        <f t="shared" si="0"/>
        <v/>
      </c>
      <c r="G16" s="5"/>
      <c r="H16" s="5" t="str">
        <f t="shared" si="1"/>
        <v/>
      </c>
      <c r="I16" s="35"/>
      <c r="J16" s="6" t="s">
        <v>15</v>
      </c>
      <c r="K16" s="33" t="str">
        <f t="shared" si="2"/>
        <v/>
      </c>
      <c r="L16" s="6" t="s">
        <v>6</v>
      </c>
      <c r="M16" s="27"/>
      <c r="N16" s="27"/>
    </row>
    <row r="17" spans="1:15" ht="18.75" customHeight="1" x14ac:dyDescent="0.15">
      <c r="A17" s="11">
        <v>14</v>
      </c>
      <c r="B17" s="2"/>
      <c r="C17" s="90"/>
      <c r="D17" s="93"/>
      <c r="E17" s="90"/>
      <c r="F17" s="91" t="str">
        <f t="shared" si="0"/>
        <v/>
      </c>
      <c r="G17" s="5"/>
      <c r="H17" s="5" t="str">
        <f t="shared" si="1"/>
        <v/>
      </c>
      <c r="I17" s="35"/>
      <c r="J17" s="6" t="s">
        <v>15</v>
      </c>
      <c r="K17" s="33" t="str">
        <f t="shared" si="2"/>
        <v/>
      </c>
      <c r="L17" s="6" t="s">
        <v>6</v>
      </c>
      <c r="M17" s="27"/>
      <c r="N17" s="27"/>
    </row>
    <row r="18" spans="1:15" ht="18.75" customHeight="1" x14ac:dyDescent="0.15">
      <c r="A18" s="11">
        <v>15</v>
      </c>
      <c r="B18" s="2"/>
      <c r="C18" s="90"/>
      <c r="D18" s="93"/>
      <c r="E18" s="90"/>
      <c r="F18" s="91" t="str">
        <f t="shared" si="0"/>
        <v/>
      </c>
      <c r="G18" s="5"/>
      <c r="H18" s="5" t="str">
        <f t="shared" si="1"/>
        <v/>
      </c>
      <c r="I18" s="41"/>
      <c r="J18" s="6" t="s">
        <v>15</v>
      </c>
      <c r="K18" s="33" t="str">
        <f t="shared" si="2"/>
        <v/>
      </c>
      <c r="L18" s="9" t="s">
        <v>6</v>
      </c>
      <c r="M18" s="27"/>
      <c r="N18" s="27"/>
    </row>
    <row r="19" spans="1:15" ht="18.75" customHeight="1" x14ac:dyDescent="0.15">
      <c r="A19" s="11">
        <v>16</v>
      </c>
      <c r="B19" s="2"/>
      <c r="C19" s="90"/>
      <c r="D19" s="93"/>
      <c r="E19" s="90"/>
      <c r="F19" s="91" t="str">
        <f t="shared" si="0"/>
        <v/>
      </c>
      <c r="G19" s="5"/>
      <c r="H19" s="5" t="str">
        <f t="shared" si="1"/>
        <v/>
      </c>
      <c r="I19" s="35"/>
      <c r="J19" s="6" t="s">
        <v>15</v>
      </c>
      <c r="K19" s="33" t="str">
        <f t="shared" si="2"/>
        <v/>
      </c>
      <c r="L19" s="6" t="s">
        <v>6</v>
      </c>
      <c r="M19" s="27"/>
      <c r="N19" s="27"/>
    </row>
    <row r="20" spans="1:15" ht="18.75" customHeight="1" x14ac:dyDescent="0.15">
      <c r="A20" s="11">
        <v>17</v>
      </c>
      <c r="B20" s="2"/>
      <c r="C20" s="90"/>
      <c r="D20" s="93"/>
      <c r="E20" s="7"/>
      <c r="F20" s="91" t="str">
        <f t="shared" si="0"/>
        <v/>
      </c>
      <c r="G20" s="5"/>
      <c r="H20" s="5" t="str">
        <f t="shared" si="1"/>
        <v/>
      </c>
      <c r="I20" s="42"/>
      <c r="J20" s="8" t="s">
        <v>15</v>
      </c>
      <c r="K20" s="33" t="str">
        <f t="shared" si="2"/>
        <v/>
      </c>
      <c r="L20" s="6" t="s">
        <v>6</v>
      </c>
      <c r="M20" s="27"/>
      <c r="N20" s="34"/>
    </row>
    <row r="21" spans="1:15" ht="18.75" customHeight="1" x14ac:dyDescent="0.15">
      <c r="A21" s="11">
        <v>18</v>
      </c>
      <c r="B21" s="2"/>
      <c r="C21" s="90"/>
      <c r="D21" s="93"/>
      <c r="E21" s="90"/>
      <c r="F21" s="91" t="str">
        <f t="shared" si="0"/>
        <v/>
      </c>
      <c r="G21" s="5"/>
      <c r="H21" s="5" t="str">
        <f t="shared" si="1"/>
        <v/>
      </c>
      <c r="I21" s="35"/>
      <c r="J21" s="6" t="s">
        <v>15</v>
      </c>
      <c r="K21" s="33" t="str">
        <f t="shared" si="2"/>
        <v/>
      </c>
      <c r="L21" s="6" t="s">
        <v>6</v>
      </c>
      <c r="M21" s="27"/>
      <c r="N21" s="27"/>
    </row>
    <row r="22" spans="1:15" ht="18.75" customHeight="1" x14ac:dyDescent="0.15">
      <c r="A22" s="11">
        <v>19</v>
      </c>
      <c r="B22" s="2"/>
      <c r="C22" s="90"/>
      <c r="D22" s="93"/>
      <c r="E22" s="90"/>
      <c r="F22" s="91" t="str">
        <f t="shared" si="0"/>
        <v/>
      </c>
      <c r="G22" s="5"/>
      <c r="H22" s="5" t="str">
        <f t="shared" si="1"/>
        <v/>
      </c>
      <c r="I22" s="35"/>
      <c r="J22" s="6" t="s">
        <v>15</v>
      </c>
      <c r="K22" s="33" t="str">
        <f t="shared" si="2"/>
        <v/>
      </c>
      <c r="L22" s="6" t="s">
        <v>6</v>
      </c>
      <c r="M22" s="27"/>
      <c r="N22" s="27"/>
    </row>
    <row r="23" spans="1:15" ht="18.75" customHeight="1" x14ac:dyDescent="0.15">
      <c r="A23" s="11">
        <v>20</v>
      </c>
      <c r="B23" s="2"/>
      <c r="C23" s="90"/>
      <c r="D23" s="93"/>
      <c r="E23" s="90"/>
      <c r="F23" s="91" t="str">
        <f t="shared" si="0"/>
        <v/>
      </c>
      <c r="G23" s="5"/>
      <c r="H23" s="5" t="str">
        <f t="shared" si="1"/>
        <v/>
      </c>
      <c r="I23" s="35"/>
      <c r="J23" s="6" t="s">
        <v>11</v>
      </c>
      <c r="K23" s="33" t="str">
        <f t="shared" si="2"/>
        <v/>
      </c>
      <c r="L23" s="6" t="s">
        <v>6</v>
      </c>
      <c r="M23" s="27"/>
      <c r="N23" s="27"/>
    </row>
    <row r="24" spans="1:15" ht="18.75" customHeight="1" x14ac:dyDescent="0.15">
      <c r="A24" s="11">
        <v>21</v>
      </c>
      <c r="B24" s="2"/>
      <c r="C24" s="90"/>
      <c r="D24" s="93"/>
      <c r="E24" s="90"/>
      <c r="F24" s="91" t="str">
        <f t="shared" si="0"/>
        <v/>
      </c>
      <c r="G24" s="5"/>
      <c r="H24" s="5" t="str">
        <f t="shared" si="1"/>
        <v/>
      </c>
      <c r="I24" s="35"/>
      <c r="J24" s="8" t="s">
        <v>11</v>
      </c>
      <c r="K24" s="33" t="str">
        <f t="shared" si="2"/>
        <v/>
      </c>
      <c r="L24" s="6" t="s">
        <v>6</v>
      </c>
      <c r="M24" s="27"/>
      <c r="N24" s="27"/>
    </row>
    <row r="25" spans="1:15" ht="18.75" customHeight="1" x14ac:dyDescent="0.15">
      <c r="A25" s="11">
        <v>22</v>
      </c>
      <c r="B25" s="2"/>
      <c r="C25" s="90"/>
      <c r="D25" s="93"/>
      <c r="E25" s="90"/>
      <c r="F25" s="91" t="str">
        <f t="shared" si="0"/>
        <v/>
      </c>
      <c r="G25" s="5"/>
      <c r="H25" s="5" t="str">
        <f t="shared" si="1"/>
        <v/>
      </c>
      <c r="I25" s="41"/>
      <c r="J25" s="6" t="s">
        <v>11</v>
      </c>
      <c r="K25" s="33" t="str">
        <f t="shared" si="2"/>
        <v/>
      </c>
      <c r="L25" s="6" t="s">
        <v>6</v>
      </c>
      <c r="M25" s="27"/>
      <c r="N25" s="27"/>
    </row>
    <row r="26" spans="1:15" ht="18.75" customHeight="1" x14ac:dyDescent="0.15">
      <c r="A26" s="11">
        <v>23</v>
      </c>
      <c r="B26" s="2"/>
      <c r="C26" s="90"/>
      <c r="D26" s="93"/>
      <c r="E26" s="90"/>
      <c r="F26" s="91" t="str">
        <f t="shared" si="0"/>
        <v/>
      </c>
      <c r="G26" s="5"/>
      <c r="H26" s="5" t="str">
        <f t="shared" si="1"/>
        <v/>
      </c>
      <c r="I26" s="41"/>
      <c r="J26" s="6" t="s">
        <v>15</v>
      </c>
      <c r="K26" s="33" t="str">
        <f t="shared" si="2"/>
        <v/>
      </c>
      <c r="L26" s="6" t="s">
        <v>6</v>
      </c>
      <c r="M26" s="27"/>
      <c r="N26" s="27"/>
    </row>
    <row r="27" spans="1:15" ht="18.75" customHeight="1" x14ac:dyDescent="0.15">
      <c r="A27" s="11">
        <v>24</v>
      </c>
      <c r="B27" s="2"/>
      <c r="C27" s="90"/>
      <c r="D27" s="93"/>
      <c r="E27" s="90"/>
      <c r="F27" s="91" t="str">
        <f t="shared" si="0"/>
        <v/>
      </c>
      <c r="G27" s="5"/>
      <c r="H27" s="5" t="str">
        <f t="shared" si="1"/>
        <v/>
      </c>
      <c r="I27" s="35"/>
      <c r="J27" s="8" t="s">
        <v>15</v>
      </c>
      <c r="K27" s="33" t="str">
        <f t="shared" si="2"/>
        <v/>
      </c>
      <c r="L27" s="6" t="s">
        <v>6</v>
      </c>
      <c r="M27" s="27"/>
      <c r="N27" s="27"/>
      <c r="O27" s="59"/>
    </row>
    <row r="28" spans="1:15" ht="18.75" customHeight="1" x14ac:dyDescent="0.15">
      <c r="A28" s="11">
        <v>25</v>
      </c>
      <c r="B28" s="2"/>
      <c r="C28" s="90"/>
      <c r="D28" s="93"/>
      <c r="E28" s="90"/>
      <c r="F28" s="91" t="str">
        <f t="shared" si="0"/>
        <v/>
      </c>
      <c r="G28" s="5"/>
      <c r="H28" s="5" t="str">
        <f t="shared" si="1"/>
        <v/>
      </c>
      <c r="I28" s="35"/>
      <c r="J28" s="6" t="s">
        <v>15</v>
      </c>
      <c r="K28" s="33" t="str">
        <f t="shared" si="2"/>
        <v/>
      </c>
      <c r="L28" s="6" t="s">
        <v>6</v>
      </c>
      <c r="M28" s="27"/>
      <c r="N28" s="27"/>
    </row>
    <row r="29" spans="1:15" ht="18.75" customHeight="1" x14ac:dyDescent="0.15">
      <c r="A29" s="11">
        <v>26</v>
      </c>
      <c r="B29" s="2"/>
      <c r="C29" s="90"/>
      <c r="D29" s="93"/>
      <c r="E29" s="90"/>
      <c r="F29" s="91" t="str">
        <f t="shared" si="0"/>
        <v/>
      </c>
      <c r="G29" s="5"/>
      <c r="H29" s="5" t="str">
        <f t="shared" si="1"/>
        <v/>
      </c>
      <c r="I29" s="35"/>
      <c r="J29" s="6" t="s">
        <v>15</v>
      </c>
      <c r="K29" s="33" t="str">
        <f t="shared" si="2"/>
        <v/>
      </c>
      <c r="L29" s="6" t="s">
        <v>6</v>
      </c>
      <c r="M29" s="27"/>
      <c r="N29" s="27"/>
    </row>
    <row r="30" spans="1:15" ht="18.75" customHeight="1" x14ac:dyDescent="0.15">
      <c r="A30" s="11">
        <v>27</v>
      </c>
      <c r="B30" s="2"/>
      <c r="C30" s="90"/>
      <c r="D30" s="93"/>
      <c r="E30" s="90"/>
      <c r="F30" s="91" t="str">
        <f t="shared" si="0"/>
        <v/>
      </c>
      <c r="G30" s="5"/>
      <c r="H30" s="5" t="str">
        <f t="shared" si="1"/>
        <v/>
      </c>
      <c r="I30" s="35"/>
      <c r="J30" s="8" t="s">
        <v>15</v>
      </c>
      <c r="K30" s="33" t="str">
        <f t="shared" si="2"/>
        <v/>
      </c>
      <c r="L30" s="6" t="s">
        <v>6</v>
      </c>
      <c r="M30" s="27"/>
      <c r="N30" s="27"/>
    </row>
    <row r="31" spans="1:15" ht="18.75" customHeight="1" x14ac:dyDescent="0.15">
      <c r="A31" s="11">
        <v>28</v>
      </c>
      <c r="B31" s="2"/>
      <c r="C31" s="90"/>
      <c r="D31" s="93"/>
      <c r="E31" s="7"/>
      <c r="F31" s="91" t="str">
        <f t="shared" si="0"/>
        <v/>
      </c>
      <c r="G31" s="5"/>
      <c r="H31" s="5" t="str">
        <f t="shared" si="1"/>
        <v/>
      </c>
      <c r="I31" s="41"/>
      <c r="J31" s="6" t="s">
        <v>15</v>
      </c>
      <c r="K31" s="33" t="str">
        <f t="shared" si="2"/>
        <v/>
      </c>
      <c r="L31" s="6" t="s">
        <v>6</v>
      </c>
      <c r="M31" s="27"/>
      <c r="N31" s="27"/>
    </row>
    <row r="32" spans="1:15" ht="18.75" customHeight="1" x14ac:dyDescent="0.15">
      <c r="A32" s="11">
        <v>29</v>
      </c>
      <c r="B32" s="2"/>
      <c r="C32" s="90"/>
      <c r="D32" s="93"/>
      <c r="E32" s="90"/>
      <c r="F32" s="91" t="str">
        <f t="shared" si="0"/>
        <v/>
      </c>
      <c r="G32" s="5"/>
      <c r="H32" s="5" t="str">
        <f t="shared" si="1"/>
        <v/>
      </c>
      <c r="I32" s="35"/>
      <c r="J32" s="6" t="s">
        <v>15</v>
      </c>
      <c r="K32" s="33" t="str">
        <f t="shared" si="2"/>
        <v/>
      </c>
      <c r="L32" s="6" t="s">
        <v>6</v>
      </c>
      <c r="M32" s="27"/>
      <c r="N32" s="27"/>
    </row>
    <row r="33" spans="1:15" ht="18.75" customHeight="1" x14ac:dyDescent="0.15">
      <c r="A33" s="11">
        <v>30</v>
      </c>
      <c r="B33" s="2"/>
      <c r="C33" s="90"/>
      <c r="D33" s="93"/>
      <c r="E33" s="90"/>
      <c r="F33" s="91" t="str">
        <f t="shared" si="0"/>
        <v/>
      </c>
      <c r="G33" s="5"/>
      <c r="H33" s="5" t="str">
        <f t="shared" si="1"/>
        <v/>
      </c>
      <c r="I33" s="35"/>
      <c r="J33" s="6" t="s">
        <v>15</v>
      </c>
      <c r="K33" s="33" t="str">
        <f t="shared" si="2"/>
        <v/>
      </c>
      <c r="L33" s="6" t="s">
        <v>6</v>
      </c>
      <c r="M33" s="27"/>
      <c r="N33" s="27"/>
    </row>
    <row r="34" spans="1:15" ht="18.75" customHeight="1" x14ac:dyDescent="0.15">
      <c r="A34" s="11">
        <v>31</v>
      </c>
      <c r="B34" s="2"/>
      <c r="C34" s="90"/>
      <c r="D34" s="93"/>
      <c r="E34" s="90"/>
      <c r="F34" s="91" t="str">
        <f t="shared" si="0"/>
        <v/>
      </c>
      <c r="G34" s="5"/>
      <c r="H34" s="5" t="str">
        <f t="shared" si="1"/>
        <v/>
      </c>
      <c r="I34" s="42"/>
      <c r="J34" s="6" t="s">
        <v>15</v>
      </c>
      <c r="K34" s="33" t="str">
        <f t="shared" si="2"/>
        <v/>
      </c>
      <c r="L34" s="6" t="s">
        <v>6</v>
      </c>
      <c r="M34" s="27"/>
      <c r="N34" s="27"/>
      <c r="O34" s="59"/>
    </row>
    <row r="35" spans="1:15" ht="18.75" customHeight="1" x14ac:dyDescent="0.15">
      <c r="A35" s="11">
        <v>32</v>
      </c>
      <c r="B35" s="2"/>
      <c r="C35" s="90"/>
      <c r="D35" s="93"/>
      <c r="E35" s="7"/>
      <c r="F35" s="91" t="str">
        <f t="shared" si="0"/>
        <v/>
      </c>
      <c r="G35" s="5"/>
      <c r="H35" s="5" t="str">
        <f t="shared" si="1"/>
        <v/>
      </c>
      <c r="I35" s="35"/>
      <c r="J35" s="6" t="s">
        <v>15</v>
      </c>
      <c r="K35" s="33" t="str">
        <f t="shared" si="2"/>
        <v/>
      </c>
      <c r="L35" s="6" t="s">
        <v>6</v>
      </c>
      <c r="M35" s="27"/>
      <c r="N35" s="27"/>
    </row>
    <row r="36" spans="1:15" ht="18.75" customHeight="1" x14ac:dyDescent="0.15">
      <c r="A36" s="11">
        <v>33</v>
      </c>
      <c r="B36" s="2"/>
      <c r="C36" s="90"/>
      <c r="D36" s="93"/>
      <c r="E36" s="90"/>
      <c r="F36" s="91" t="str">
        <f t="shared" si="0"/>
        <v/>
      </c>
      <c r="G36" s="5"/>
      <c r="H36" s="5" t="str">
        <f t="shared" si="1"/>
        <v/>
      </c>
      <c r="I36" s="43"/>
      <c r="J36" s="6" t="s">
        <v>15</v>
      </c>
      <c r="K36" s="33" t="str">
        <f t="shared" si="2"/>
        <v/>
      </c>
      <c r="L36" s="6" t="s">
        <v>6</v>
      </c>
      <c r="M36" s="27"/>
      <c r="N36" s="27"/>
    </row>
    <row r="37" spans="1:15" ht="18.75" customHeight="1" x14ac:dyDescent="0.15">
      <c r="A37" s="11">
        <v>34</v>
      </c>
      <c r="B37" s="2"/>
      <c r="C37" s="90"/>
      <c r="D37" s="93"/>
      <c r="E37" s="90"/>
      <c r="F37" s="91" t="str">
        <f t="shared" si="0"/>
        <v/>
      </c>
      <c r="G37" s="5"/>
      <c r="H37" s="5" t="str">
        <f t="shared" si="1"/>
        <v/>
      </c>
      <c r="I37" s="35"/>
      <c r="J37" s="6" t="s">
        <v>15</v>
      </c>
      <c r="K37" s="33" t="str">
        <f t="shared" si="2"/>
        <v/>
      </c>
      <c r="L37" s="6" t="s">
        <v>6</v>
      </c>
      <c r="M37" s="27"/>
      <c r="N37" s="27"/>
    </row>
    <row r="38" spans="1:15" ht="18.75" customHeight="1" x14ac:dyDescent="0.15">
      <c r="A38" s="11">
        <v>35</v>
      </c>
      <c r="B38" s="2"/>
      <c r="C38" s="90"/>
      <c r="D38" s="93"/>
      <c r="E38" s="7"/>
      <c r="F38" s="91" t="str">
        <f t="shared" si="0"/>
        <v/>
      </c>
      <c r="G38" s="5"/>
      <c r="H38" s="5" t="str">
        <f t="shared" si="1"/>
        <v/>
      </c>
      <c r="I38" s="42"/>
      <c r="J38" s="6" t="s">
        <v>15</v>
      </c>
      <c r="K38" s="33" t="str">
        <f t="shared" si="2"/>
        <v/>
      </c>
      <c r="L38" s="6" t="s">
        <v>6</v>
      </c>
      <c r="M38" s="27"/>
      <c r="N38" s="27"/>
    </row>
    <row r="39" spans="1:15" ht="18.75" customHeight="1" x14ac:dyDescent="0.15">
      <c r="A39" s="11">
        <v>36</v>
      </c>
      <c r="B39" s="2"/>
      <c r="C39" s="90"/>
      <c r="D39" s="93"/>
      <c r="E39" s="90"/>
      <c r="F39" s="91" t="str">
        <f t="shared" si="0"/>
        <v/>
      </c>
      <c r="G39" s="5"/>
      <c r="H39" s="5" t="str">
        <f t="shared" si="1"/>
        <v/>
      </c>
      <c r="I39" s="35"/>
      <c r="J39" s="6" t="s">
        <v>15</v>
      </c>
      <c r="K39" s="33" t="str">
        <f t="shared" si="2"/>
        <v/>
      </c>
      <c r="L39" s="6" t="s">
        <v>6</v>
      </c>
      <c r="M39" s="27"/>
      <c r="N39" s="27"/>
    </row>
    <row r="40" spans="1:15" ht="18.75" customHeight="1" x14ac:dyDescent="0.15">
      <c r="A40" s="11">
        <v>37</v>
      </c>
      <c r="B40" s="2"/>
      <c r="C40" s="90"/>
      <c r="D40" s="93"/>
      <c r="E40" s="90"/>
      <c r="F40" s="91" t="str">
        <f t="shared" si="0"/>
        <v/>
      </c>
      <c r="G40" s="5"/>
      <c r="H40" s="5" t="str">
        <f t="shared" si="1"/>
        <v/>
      </c>
      <c r="I40" s="35"/>
      <c r="J40" s="6" t="s">
        <v>15</v>
      </c>
      <c r="K40" s="33" t="str">
        <f t="shared" si="2"/>
        <v/>
      </c>
      <c r="L40" s="6" t="s">
        <v>6</v>
      </c>
      <c r="M40" s="27"/>
      <c r="N40" s="27"/>
    </row>
    <row r="41" spans="1:15" ht="18.75" customHeight="1" x14ac:dyDescent="0.15">
      <c r="A41" s="11">
        <v>38</v>
      </c>
      <c r="B41" s="2"/>
      <c r="C41" s="90"/>
      <c r="D41" s="93"/>
      <c r="E41" s="90"/>
      <c r="F41" s="91" t="str">
        <f t="shared" si="0"/>
        <v/>
      </c>
      <c r="G41" s="5"/>
      <c r="H41" s="5" t="str">
        <f t="shared" si="1"/>
        <v/>
      </c>
      <c r="I41" s="35"/>
      <c r="J41" s="6" t="s">
        <v>15</v>
      </c>
      <c r="K41" s="37" t="str">
        <f t="shared" si="2"/>
        <v/>
      </c>
      <c r="L41" s="6" t="s">
        <v>6</v>
      </c>
      <c r="M41" s="27"/>
      <c r="N41" s="27"/>
    </row>
    <row r="42" spans="1:15" ht="18.75" customHeight="1" x14ac:dyDescent="0.15">
      <c r="A42" s="11">
        <v>39</v>
      </c>
      <c r="B42" s="2"/>
      <c r="C42" s="90"/>
      <c r="D42" s="93"/>
      <c r="E42" s="90"/>
      <c r="F42" s="91"/>
      <c r="G42" s="5"/>
      <c r="H42" s="5"/>
      <c r="I42" s="35"/>
      <c r="J42" s="6" t="s">
        <v>15</v>
      </c>
      <c r="K42" s="37"/>
      <c r="L42" s="6" t="s">
        <v>6</v>
      </c>
      <c r="M42" s="27"/>
      <c r="N42" s="27"/>
    </row>
    <row r="43" spans="1:15" ht="18.75" customHeight="1" thickBot="1" x14ac:dyDescent="0.2">
      <c r="A43" s="50">
        <v>40</v>
      </c>
      <c r="B43" s="51"/>
      <c r="C43" s="52"/>
      <c r="D43" s="94"/>
      <c r="E43" s="52"/>
      <c r="F43" s="53"/>
      <c r="G43" s="54"/>
      <c r="H43" s="54"/>
      <c r="I43" s="55"/>
      <c r="J43" s="56" t="s">
        <v>15</v>
      </c>
      <c r="K43" s="57"/>
      <c r="L43" s="56" t="s">
        <v>6</v>
      </c>
      <c r="M43" s="86" t="s">
        <v>21</v>
      </c>
      <c r="N43" s="86" t="s">
        <v>22</v>
      </c>
    </row>
    <row r="44" spans="1:15" ht="18.75" customHeight="1" thickTop="1" x14ac:dyDescent="0.15">
      <c r="B44" s="44"/>
      <c r="C44" s="44"/>
      <c r="D44" s="45"/>
      <c r="E44" s="44"/>
      <c r="F44" s="44" t="str">
        <f>IF(E44="","",E44-INT(E44/7)*7)</f>
        <v/>
      </c>
      <c r="G44" s="46"/>
      <c r="H44" s="46" t="str">
        <f>IF(G44="","",G44)</f>
        <v/>
      </c>
      <c r="I44" s="61">
        <f>SUM(I4:I43)</f>
        <v>0</v>
      </c>
      <c r="J44" s="8" t="s">
        <v>15</v>
      </c>
      <c r="K44" s="47">
        <f>SUM(K4:K43)</f>
        <v>0</v>
      </c>
      <c r="L44" s="8" t="s">
        <v>6</v>
      </c>
      <c r="M44" s="48">
        <f>SUM(K44)-N44</f>
        <v>0</v>
      </c>
      <c r="N44" s="72">
        <f>SUMIF(M4:M42,"",K4:K43)</f>
        <v>0</v>
      </c>
    </row>
    <row r="45" spans="1:15" ht="20.25" customHeight="1" x14ac:dyDescent="0.15">
      <c r="B45" s="95" t="s">
        <v>9</v>
      </c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</row>
    <row r="46" spans="1:15" ht="21" customHeight="1" x14ac:dyDescent="0.15">
      <c r="B46" s="96" t="s">
        <v>0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</row>
    <row r="47" spans="1:15" ht="27" customHeight="1" x14ac:dyDescent="0.15">
      <c r="A47" s="11"/>
      <c r="B47" s="29" t="s">
        <v>1</v>
      </c>
      <c r="C47" s="102" t="s">
        <v>2</v>
      </c>
      <c r="D47" s="103"/>
      <c r="E47" s="104" t="s">
        <v>3</v>
      </c>
      <c r="F47" s="105"/>
      <c r="G47" s="92" t="s">
        <v>4</v>
      </c>
      <c r="H47" s="92" t="s">
        <v>7</v>
      </c>
      <c r="I47" s="106" t="s">
        <v>8</v>
      </c>
      <c r="J47" s="107"/>
      <c r="K47" s="106" t="s">
        <v>5</v>
      </c>
      <c r="L47" s="106"/>
      <c r="M47" s="30" t="s">
        <v>10</v>
      </c>
      <c r="N47" s="31" t="s">
        <v>18</v>
      </c>
    </row>
    <row r="48" spans="1:15" ht="18.75" customHeight="1" x14ac:dyDescent="0.15">
      <c r="A48" s="11">
        <v>41</v>
      </c>
      <c r="B48" s="2"/>
      <c r="C48" s="90"/>
      <c r="D48" s="93"/>
      <c r="E48" s="90"/>
      <c r="F48" s="91" t="str">
        <f t="shared" ref="F48:F88" si="3">IF(E48="","",E48-INT(E48/7)*7)</f>
        <v/>
      </c>
      <c r="G48" s="5"/>
      <c r="H48" s="5" t="str">
        <f t="shared" ref="H48:H88" si="4">IF(G48="","",G48)</f>
        <v/>
      </c>
      <c r="I48" s="32"/>
      <c r="J48" s="6" t="s">
        <v>15</v>
      </c>
      <c r="K48" s="33" t="str">
        <f t="shared" ref="K48:K85" si="5">IF(I48&gt;0,I48*0.2,"")</f>
        <v/>
      </c>
      <c r="L48" s="6" t="s">
        <v>6</v>
      </c>
      <c r="M48" s="27"/>
      <c r="N48" s="34"/>
    </row>
    <row r="49" spans="1:14" ht="18.75" customHeight="1" x14ac:dyDescent="0.15">
      <c r="A49" s="11">
        <v>42</v>
      </c>
      <c r="B49" s="2"/>
      <c r="C49" s="90"/>
      <c r="D49" s="93"/>
      <c r="E49" s="7"/>
      <c r="F49" s="91" t="str">
        <f t="shared" si="3"/>
        <v/>
      </c>
      <c r="G49" s="5"/>
      <c r="H49" s="5" t="str">
        <f t="shared" si="4"/>
        <v/>
      </c>
      <c r="I49" s="35"/>
      <c r="J49" s="36" t="s">
        <v>15</v>
      </c>
      <c r="K49" s="37" t="str">
        <f t="shared" si="5"/>
        <v/>
      </c>
      <c r="L49" s="6" t="s">
        <v>6</v>
      </c>
      <c r="M49" s="27"/>
      <c r="N49" s="27"/>
    </row>
    <row r="50" spans="1:14" ht="18.75" customHeight="1" x14ac:dyDescent="0.15">
      <c r="A50" s="11">
        <v>43</v>
      </c>
      <c r="B50" s="2"/>
      <c r="C50" s="90"/>
      <c r="D50" s="93"/>
      <c r="E50" s="90"/>
      <c r="F50" s="91" t="str">
        <f t="shared" si="3"/>
        <v/>
      </c>
      <c r="G50" s="5"/>
      <c r="H50" s="5" t="str">
        <f t="shared" si="4"/>
        <v/>
      </c>
      <c r="I50" s="38"/>
      <c r="J50" s="8" t="s">
        <v>15</v>
      </c>
      <c r="K50" s="39" t="str">
        <f t="shared" si="5"/>
        <v/>
      </c>
      <c r="L50" s="9" t="s">
        <v>6</v>
      </c>
      <c r="M50" s="40"/>
      <c r="N50" s="27"/>
    </row>
    <row r="51" spans="1:14" ht="18.75" customHeight="1" x14ac:dyDescent="0.15">
      <c r="A51" s="11">
        <v>44</v>
      </c>
      <c r="B51" s="2"/>
      <c r="C51" s="90"/>
      <c r="D51" s="93"/>
      <c r="E51" s="90"/>
      <c r="F51" s="91" t="str">
        <f t="shared" si="3"/>
        <v/>
      </c>
      <c r="G51" s="5"/>
      <c r="H51" s="5" t="str">
        <f t="shared" si="4"/>
        <v/>
      </c>
      <c r="I51" s="35"/>
      <c r="J51" s="6" t="s">
        <v>15</v>
      </c>
      <c r="K51" s="33" t="str">
        <f t="shared" si="5"/>
        <v/>
      </c>
      <c r="L51" s="6" t="s">
        <v>6</v>
      </c>
      <c r="M51" s="27"/>
      <c r="N51" s="27"/>
    </row>
    <row r="52" spans="1:14" ht="18.75" customHeight="1" x14ac:dyDescent="0.15">
      <c r="A52" s="11">
        <v>45</v>
      </c>
      <c r="B52" s="2"/>
      <c r="C52" s="90"/>
      <c r="D52" s="93"/>
      <c r="E52" s="90"/>
      <c r="F52" s="91" t="str">
        <f t="shared" si="3"/>
        <v/>
      </c>
      <c r="G52" s="5"/>
      <c r="H52" s="5" t="str">
        <f t="shared" si="4"/>
        <v/>
      </c>
      <c r="I52" s="35"/>
      <c r="J52" s="6" t="s">
        <v>15</v>
      </c>
      <c r="K52" s="33" t="str">
        <f t="shared" si="5"/>
        <v/>
      </c>
      <c r="L52" s="6" t="s">
        <v>6</v>
      </c>
      <c r="M52" s="27"/>
      <c r="N52" s="27"/>
    </row>
    <row r="53" spans="1:14" ht="18.75" customHeight="1" x14ac:dyDescent="0.15">
      <c r="A53" s="11">
        <v>46</v>
      </c>
      <c r="B53" s="2"/>
      <c r="C53" s="90"/>
      <c r="D53" s="93"/>
      <c r="E53" s="90"/>
      <c r="F53" s="91" t="str">
        <f t="shared" si="3"/>
        <v/>
      </c>
      <c r="G53" s="5"/>
      <c r="H53" s="5" t="str">
        <f t="shared" si="4"/>
        <v/>
      </c>
      <c r="I53" s="35"/>
      <c r="J53" s="6" t="s">
        <v>15</v>
      </c>
      <c r="K53" s="33" t="str">
        <f t="shared" si="5"/>
        <v/>
      </c>
      <c r="L53" s="6" t="s">
        <v>6</v>
      </c>
      <c r="M53" s="27"/>
      <c r="N53" s="27"/>
    </row>
    <row r="54" spans="1:14" ht="18.75" customHeight="1" x14ac:dyDescent="0.15">
      <c r="A54" s="11">
        <v>47</v>
      </c>
      <c r="B54" s="2"/>
      <c r="C54" s="90"/>
      <c r="D54" s="93"/>
      <c r="E54" s="90"/>
      <c r="F54" s="91" t="str">
        <f t="shared" si="3"/>
        <v/>
      </c>
      <c r="G54" s="5"/>
      <c r="H54" s="5" t="str">
        <f t="shared" si="4"/>
        <v/>
      </c>
      <c r="I54" s="35"/>
      <c r="J54" s="6" t="s">
        <v>15</v>
      </c>
      <c r="K54" s="33" t="str">
        <f t="shared" si="5"/>
        <v/>
      </c>
      <c r="L54" s="6" t="s">
        <v>6</v>
      </c>
      <c r="M54" s="27"/>
      <c r="N54" s="27"/>
    </row>
    <row r="55" spans="1:14" ht="18.75" customHeight="1" x14ac:dyDescent="0.15">
      <c r="A55" s="11">
        <v>48</v>
      </c>
      <c r="B55" s="2"/>
      <c r="C55" s="90"/>
      <c r="D55" s="93"/>
      <c r="E55" s="90"/>
      <c r="F55" s="91" t="str">
        <f t="shared" si="3"/>
        <v/>
      </c>
      <c r="G55" s="5"/>
      <c r="H55" s="5" t="str">
        <f t="shared" si="4"/>
        <v/>
      </c>
      <c r="I55" s="41"/>
      <c r="J55" s="8" t="s">
        <v>15</v>
      </c>
      <c r="K55" s="33" t="str">
        <f t="shared" si="5"/>
        <v/>
      </c>
      <c r="L55" s="9" t="s">
        <v>6</v>
      </c>
      <c r="M55" s="27"/>
      <c r="N55" s="27"/>
    </row>
    <row r="56" spans="1:14" ht="18.75" customHeight="1" x14ac:dyDescent="0.15">
      <c r="A56" s="11">
        <v>49</v>
      </c>
      <c r="B56" s="2"/>
      <c r="C56" s="90"/>
      <c r="D56" s="93"/>
      <c r="E56" s="90"/>
      <c r="F56" s="91" t="str">
        <f t="shared" si="3"/>
        <v/>
      </c>
      <c r="G56" s="5"/>
      <c r="H56" s="5" t="str">
        <f t="shared" si="4"/>
        <v/>
      </c>
      <c r="I56" s="35"/>
      <c r="J56" s="6" t="s">
        <v>15</v>
      </c>
      <c r="K56" s="33" t="str">
        <f t="shared" si="5"/>
        <v/>
      </c>
      <c r="L56" s="6" t="s">
        <v>6</v>
      </c>
      <c r="M56" s="27"/>
      <c r="N56" s="27"/>
    </row>
    <row r="57" spans="1:14" ht="18.75" customHeight="1" x14ac:dyDescent="0.15">
      <c r="A57" s="11">
        <v>50</v>
      </c>
      <c r="B57" s="2"/>
      <c r="C57" s="90"/>
      <c r="D57" s="93"/>
      <c r="E57" s="90"/>
      <c r="F57" s="91" t="str">
        <f t="shared" si="3"/>
        <v/>
      </c>
      <c r="G57" s="5"/>
      <c r="H57" s="5" t="str">
        <f t="shared" si="4"/>
        <v/>
      </c>
      <c r="I57" s="41"/>
      <c r="J57" s="8" t="s">
        <v>15</v>
      </c>
      <c r="K57" s="33" t="str">
        <f t="shared" si="5"/>
        <v/>
      </c>
      <c r="L57" s="9" t="s">
        <v>6</v>
      </c>
      <c r="M57" s="27"/>
      <c r="N57" s="27"/>
    </row>
    <row r="58" spans="1:14" ht="18.75" customHeight="1" x14ac:dyDescent="0.15">
      <c r="A58" s="11">
        <v>51</v>
      </c>
      <c r="B58" s="2"/>
      <c r="C58" s="90"/>
      <c r="D58" s="93"/>
      <c r="E58" s="90"/>
      <c r="F58" s="91" t="str">
        <f t="shared" si="3"/>
        <v/>
      </c>
      <c r="G58" s="5"/>
      <c r="H58" s="5" t="str">
        <f t="shared" si="4"/>
        <v/>
      </c>
      <c r="I58" s="35"/>
      <c r="J58" s="6" t="s">
        <v>15</v>
      </c>
      <c r="K58" s="33" t="str">
        <f t="shared" si="5"/>
        <v/>
      </c>
      <c r="L58" s="6" t="s">
        <v>6</v>
      </c>
      <c r="M58" s="27"/>
      <c r="N58" s="27"/>
    </row>
    <row r="59" spans="1:14" ht="18.75" customHeight="1" x14ac:dyDescent="0.15">
      <c r="A59" s="11">
        <v>52</v>
      </c>
      <c r="B59" s="2"/>
      <c r="C59" s="90"/>
      <c r="D59" s="93"/>
      <c r="E59" s="90"/>
      <c r="F59" s="91" t="str">
        <f t="shared" si="3"/>
        <v/>
      </c>
      <c r="G59" s="5"/>
      <c r="H59" s="5" t="str">
        <f t="shared" si="4"/>
        <v/>
      </c>
      <c r="I59" s="42"/>
      <c r="J59" s="8" t="s">
        <v>15</v>
      </c>
      <c r="K59" s="33" t="str">
        <f t="shared" si="5"/>
        <v/>
      </c>
      <c r="L59" s="6" t="s">
        <v>6</v>
      </c>
      <c r="M59" s="27"/>
      <c r="N59" s="27"/>
    </row>
    <row r="60" spans="1:14" ht="18.75" customHeight="1" x14ac:dyDescent="0.15">
      <c r="A60" s="11">
        <v>53</v>
      </c>
      <c r="B60" s="2"/>
      <c r="C60" s="90"/>
      <c r="D60" s="93"/>
      <c r="E60" s="90"/>
      <c r="F60" s="91" t="str">
        <f t="shared" si="3"/>
        <v/>
      </c>
      <c r="G60" s="5"/>
      <c r="H60" s="5" t="str">
        <f t="shared" si="4"/>
        <v/>
      </c>
      <c r="I60" s="35"/>
      <c r="J60" s="6" t="s">
        <v>15</v>
      </c>
      <c r="K60" s="33" t="str">
        <f t="shared" si="5"/>
        <v/>
      </c>
      <c r="L60" s="6" t="s">
        <v>6</v>
      </c>
      <c r="M60" s="27"/>
      <c r="N60" s="27"/>
    </row>
    <row r="61" spans="1:14" ht="18.75" customHeight="1" x14ac:dyDescent="0.15">
      <c r="A61" s="11">
        <v>54</v>
      </c>
      <c r="B61" s="2"/>
      <c r="C61" s="90"/>
      <c r="D61" s="93"/>
      <c r="E61" s="90"/>
      <c r="F61" s="91" t="str">
        <f t="shared" si="3"/>
        <v/>
      </c>
      <c r="G61" s="5"/>
      <c r="H61" s="5" t="str">
        <f t="shared" si="4"/>
        <v/>
      </c>
      <c r="I61" s="35"/>
      <c r="J61" s="6" t="s">
        <v>15</v>
      </c>
      <c r="K61" s="33" t="str">
        <f t="shared" si="5"/>
        <v/>
      </c>
      <c r="L61" s="6" t="s">
        <v>6</v>
      </c>
      <c r="M61" s="27"/>
      <c r="N61" s="27"/>
    </row>
    <row r="62" spans="1:14" ht="18.75" customHeight="1" x14ac:dyDescent="0.15">
      <c r="A62" s="11">
        <v>55</v>
      </c>
      <c r="B62" s="2"/>
      <c r="C62" s="90"/>
      <c r="D62" s="93"/>
      <c r="E62" s="90"/>
      <c r="F62" s="91" t="str">
        <f t="shared" si="3"/>
        <v/>
      </c>
      <c r="G62" s="5"/>
      <c r="H62" s="5" t="str">
        <f t="shared" si="4"/>
        <v/>
      </c>
      <c r="I62" s="41"/>
      <c r="J62" s="6" t="s">
        <v>15</v>
      </c>
      <c r="K62" s="33" t="str">
        <f t="shared" si="5"/>
        <v/>
      </c>
      <c r="L62" s="9" t="s">
        <v>6</v>
      </c>
      <c r="M62" s="27"/>
      <c r="N62" s="27"/>
    </row>
    <row r="63" spans="1:14" ht="18.75" customHeight="1" x14ac:dyDescent="0.15">
      <c r="A63" s="11">
        <v>56</v>
      </c>
      <c r="B63" s="2"/>
      <c r="C63" s="90"/>
      <c r="D63" s="93"/>
      <c r="E63" s="90"/>
      <c r="F63" s="91" t="str">
        <f t="shared" si="3"/>
        <v/>
      </c>
      <c r="G63" s="5"/>
      <c r="H63" s="5" t="str">
        <f t="shared" si="4"/>
        <v/>
      </c>
      <c r="I63" s="35"/>
      <c r="J63" s="6" t="s">
        <v>15</v>
      </c>
      <c r="K63" s="33" t="str">
        <f t="shared" si="5"/>
        <v/>
      </c>
      <c r="L63" s="6" t="s">
        <v>6</v>
      </c>
      <c r="M63" s="27"/>
      <c r="N63" s="27"/>
    </row>
    <row r="64" spans="1:14" ht="18.75" customHeight="1" x14ac:dyDescent="0.15">
      <c r="A64" s="11">
        <v>57</v>
      </c>
      <c r="B64" s="2"/>
      <c r="C64" s="90"/>
      <c r="D64" s="93"/>
      <c r="E64" s="7"/>
      <c r="F64" s="91" t="str">
        <f t="shared" si="3"/>
        <v/>
      </c>
      <c r="G64" s="5"/>
      <c r="H64" s="5" t="str">
        <f t="shared" si="4"/>
        <v/>
      </c>
      <c r="I64" s="42"/>
      <c r="J64" s="8" t="s">
        <v>15</v>
      </c>
      <c r="K64" s="33" t="str">
        <f t="shared" si="5"/>
        <v/>
      </c>
      <c r="L64" s="6" t="s">
        <v>6</v>
      </c>
      <c r="M64" s="27"/>
      <c r="N64" s="34"/>
    </row>
    <row r="65" spans="1:14" ht="18.75" customHeight="1" x14ac:dyDescent="0.15">
      <c r="A65" s="11">
        <v>58</v>
      </c>
      <c r="B65" s="2"/>
      <c r="C65" s="90"/>
      <c r="D65" s="93"/>
      <c r="E65" s="90"/>
      <c r="F65" s="91" t="str">
        <f t="shared" si="3"/>
        <v/>
      </c>
      <c r="G65" s="5"/>
      <c r="H65" s="5" t="str">
        <f t="shared" si="4"/>
        <v/>
      </c>
      <c r="I65" s="35"/>
      <c r="J65" s="6" t="s">
        <v>15</v>
      </c>
      <c r="K65" s="33" t="str">
        <f t="shared" si="5"/>
        <v/>
      </c>
      <c r="L65" s="6" t="s">
        <v>6</v>
      </c>
      <c r="M65" s="27"/>
      <c r="N65" s="27"/>
    </row>
    <row r="66" spans="1:14" ht="18.75" customHeight="1" x14ac:dyDescent="0.15">
      <c r="A66" s="11">
        <v>59</v>
      </c>
      <c r="B66" s="2"/>
      <c r="C66" s="90"/>
      <c r="D66" s="93"/>
      <c r="E66" s="90"/>
      <c r="F66" s="91" t="str">
        <f t="shared" si="3"/>
        <v/>
      </c>
      <c r="G66" s="5"/>
      <c r="H66" s="5" t="str">
        <f t="shared" si="4"/>
        <v/>
      </c>
      <c r="I66" s="35"/>
      <c r="J66" s="6" t="s">
        <v>15</v>
      </c>
      <c r="K66" s="33" t="str">
        <f t="shared" si="5"/>
        <v/>
      </c>
      <c r="L66" s="6" t="s">
        <v>6</v>
      </c>
      <c r="M66" s="27"/>
      <c r="N66" s="27"/>
    </row>
    <row r="67" spans="1:14" ht="18.75" customHeight="1" x14ac:dyDescent="0.15">
      <c r="A67" s="11">
        <v>60</v>
      </c>
      <c r="B67" s="2"/>
      <c r="C67" s="90"/>
      <c r="D67" s="93"/>
      <c r="E67" s="90"/>
      <c r="F67" s="91" t="str">
        <f t="shared" si="3"/>
        <v/>
      </c>
      <c r="G67" s="5"/>
      <c r="H67" s="5" t="str">
        <f t="shared" si="4"/>
        <v/>
      </c>
      <c r="I67" s="35"/>
      <c r="J67" s="6" t="s">
        <v>11</v>
      </c>
      <c r="K67" s="33" t="str">
        <f t="shared" si="5"/>
        <v/>
      </c>
      <c r="L67" s="6" t="s">
        <v>6</v>
      </c>
      <c r="M67" s="27"/>
      <c r="N67" s="27"/>
    </row>
    <row r="68" spans="1:14" ht="18.75" customHeight="1" x14ac:dyDescent="0.15">
      <c r="A68" s="11">
        <v>61</v>
      </c>
      <c r="B68" s="2"/>
      <c r="C68" s="90"/>
      <c r="D68" s="93"/>
      <c r="E68" s="90"/>
      <c r="F68" s="91" t="str">
        <f t="shared" si="3"/>
        <v/>
      </c>
      <c r="G68" s="5"/>
      <c r="H68" s="5" t="str">
        <f t="shared" si="4"/>
        <v/>
      </c>
      <c r="I68" s="35"/>
      <c r="J68" s="8" t="s">
        <v>11</v>
      </c>
      <c r="K68" s="33" t="str">
        <f t="shared" si="5"/>
        <v/>
      </c>
      <c r="L68" s="6" t="s">
        <v>6</v>
      </c>
      <c r="M68" s="27"/>
      <c r="N68" s="27"/>
    </row>
    <row r="69" spans="1:14" ht="18.75" customHeight="1" x14ac:dyDescent="0.15">
      <c r="A69" s="11">
        <v>62</v>
      </c>
      <c r="B69" s="2"/>
      <c r="C69" s="90"/>
      <c r="D69" s="93"/>
      <c r="E69" s="90"/>
      <c r="F69" s="91" t="str">
        <f t="shared" si="3"/>
        <v/>
      </c>
      <c r="G69" s="5"/>
      <c r="H69" s="5" t="str">
        <f t="shared" si="4"/>
        <v/>
      </c>
      <c r="I69" s="41"/>
      <c r="J69" s="6" t="s">
        <v>11</v>
      </c>
      <c r="K69" s="33" t="str">
        <f t="shared" si="5"/>
        <v/>
      </c>
      <c r="L69" s="6" t="s">
        <v>6</v>
      </c>
      <c r="M69" s="27"/>
      <c r="N69" s="27"/>
    </row>
    <row r="70" spans="1:14" ht="18.75" customHeight="1" x14ac:dyDescent="0.15">
      <c r="A70" s="11">
        <v>63</v>
      </c>
      <c r="B70" s="2"/>
      <c r="C70" s="90"/>
      <c r="D70" s="93"/>
      <c r="E70" s="90"/>
      <c r="F70" s="91" t="str">
        <f t="shared" si="3"/>
        <v/>
      </c>
      <c r="G70" s="5"/>
      <c r="H70" s="5" t="str">
        <f t="shared" si="4"/>
        <v/>
      </c>
      <c r="I70" s="41"/>
      <c r="J70" s="6" t="s">
        <v>15</v>
      </c>
      <c r="K70" s="33" t="str">
        <f t="shared" si="5"/>
        <v/>
      </c>
      <c r="L70" s="6" t="s">
        <v>6</v>
      </c>
      <c r="M70" s="27"/>
      <c r="N70" s="27"/>
    </row>
    <row r="71" spans="1:14" ht="18.75" customHeight="1" x14ac:dyDescent="0.15">
      <c r="A71" s="11">
        <v>64</v>
      </c>
      <c r="B71" s="2"/>
      <c r="C71" s="90"/>
      <c r="D71" s="93"/>
      <c r="E71" s="90"/>
      <c r="F71" s="91" t="str">
        <f t="shared" si="3"/>
        <v/>
      </c>
      <c r="G71" s="5"/>
      <c r="H71" s="5" t="str">
        <f t="shared" si="4"/>
        <v/>
      </c>
      <c r="I71" s="35"/>
      <c r="J71" s="8" t="s">
        <v>15</v>
      </c>
      <c r="K71" s="33" t="str">
        <f t="shared" si="5"/>
        <v/>
      </c>
      <c r="L71" s="6" t="s">
        <v>6</v>
      </c>
      <c r="M71" s="27"/>
      <c r="N71" s="27"/>
    </row>
    <row r="72" spans="1:14" ht="18.75" customHeight="1" x14ac:dyDescent="0.15">
      <c r="A72" s="11">
        <v>65</v>
      </c>
      <c r="B72" s="2"/>
      <c r="C72" s="90"/>
      <c r="D72" s="93"/>
      <c r="E72" s="90"/>
      <c r="F72" s="91" t="str">
        <f t="shared" si="3"/>
        <v/>
      </c>
      <c r="G72" s="5"/>
      <c r="H72" s="5" t="str">
        <f t="shared" si="4"/>
        <v/>
      </c>
      <c r="I72" s="35"/>
      <c r="J72" s="6" t="s">
        <v>15</v>
      </c>
      <c r="K72" s="33" t="str">
        <f t="shared" si="5"/>
        <v/>
      </c>
      <c r="L72" s="6" t="s">
        <v>6</v>
      </c>
      <c r="M72" s="27"/>
      <c r="N72" s="27"/>
    </row>
    <row r="73" spans="1:14" ht="18.75" customHeight="1" x14ac:dyDescent="0.15">
      <c r="A73" s="11">
        <v>66</v>
      </c>
      <c r="B73" s="2"/>
      <c r="C73" s="90"/>
      <c r="D73" s="93"/>
      <c r="E73" s="90"/>
      <c r="F73" s="91" t="str">
        <f t="shared" si="3"/>
        <v/>
      </c>
      <c r="G73" s="5"/>
      <c r="H73" s="5" t="str">
        <f t="shared" si="4"/>
        <v/>
      </c>
      <c r="I73" s="35"/>
      <c r="J73" s="6" t="s">
        <v>15</v>
      </c>
      <c r="K73" s="33" t="str">
        <f t="shared" si="5"/>
        <v/>
      </c>
      <c r="L73" s="6" t="s">
        <v>6</v>
      </c>
      <c r="M73" s="27"/>
      <c r="N73" s="27"/>
    </row>
    <row r="74" spans="1:14" ht="18.75" customHeight="1" x14ac:dyDescent="0.15">
      <c r="A74" s="11">
        <v>67</v>
      </c>
      <c r="B74" s="2"/>
      <c r="C74" s="90"/>
      <c r="D74" s="93"/>
      <c r="E74" s="90"/>
      <c r="F74" s="91" t="str">
        <f t="shared" si="3"/>
        <v/>
      </c>
      <c r="G74" s="5"/>
      <c r="H74" s="5" t="str">
        <f t="shared" si="4"/>
        <v/>
      </c>
      <c r="I74" s="35"/>
      <c r="J74" s="8" t="s">
        <v>15</v>
      </c>
      <c r="K74" s="33" t="str">
        <f t="shared" si="5"/>
        <v/>
      </c>
      <c r="L74" s="6" t="s">
        <v>6</v>
      </c>
      <c r="M74" s="27"/>
      <c r="N74" s="27"/>
    </row>
    <row r="75" spans="1:14" ht="18.75" customHeight="1" x14ac:dyDescent="0.15">
      <c r="A75" s="11">
        <v>68</v>
      </c>
      <c r="B75" s="2"/>
      <c r="C75" s="90"/>
      <c r="D75" s="93"/>
      <c r="E75" s="7"/>
      <c r="F75" s="91" t="str">
        <f t="shared" si="3"/>
        <v/>
      </c>
      <c r="G75" s="5"/>
      <c r="H75" s="5" t="str">
        <f t="shared" si="4"/>
        <v/>
      </c>
      <c r="I75" s="41"/>
      <c r="J75" s="6" t="s">
        <v>15</v>
      </c>
      <c r="K75" s="33" t="str">
        <f t="shared" si="5"/>
        <v/>
      </c>
      <c r="L75" s="6" t="s">
        <v>6</v>
      </c>
      <c r="M75" s="27"/>
      <c r="N75" s="27"/>
    </row>
    <row r="76" spans="1:14" ht="18.75" customHeight="1" x14ac:dyDescent="0.15">
      <c r="A76" s="11">
        <v>69</v>
      </c>
      <c r="B76" s="2"/>
      <c r="C76" s="90"/>
      <c r="D76" s="93"/>
      <c r="E76" s="90"/>
      <c r="F76" s="91" t="str">
        <f t="shared" si="3"/>
        <v/>
      </c>
      <c r="G76" s="5"/>
      <c r="H76" s="5" t="str">
        <f t="shared" si="4"/>
        <v/>
      </c>
      <c r="I76" s="35"/>
      <c r="J76" s="6" t="s">
        <v>15</v>
      </c>
      <c r="K76" s="33" t="str">
        <f t="shared" si="5"/>
        <v/>
      </c>
      <c r="L76" s="6" t="s">
        <v>6</v>
      </c>
      <c r="M76" s="27"/>
      <c r="N76" s="27"/>
    </row>
    <row r="77" spans="1:14" ht="18.75" customHeight="1" x14ac:dyDescent="0.15">
      <c r="A77" s="11">
        <v>70</v>
      </c>
      <c r="B77" s="2"/>
      <c r="C77" s="90"/>
      <c r="D77" s="93"/>
      <c r="E77" s="90"/>
      <c r="F77" s="91" t="str">
        <f t="shared" si="3"/>
        <v/>
      </c>
      <c r="G77" s="5"/>
      <c r="H77" s="5" t="str">
        <f t="shared" si="4"/>
        <v/>
      </c>
      <c r="I77" s="35"/>
      <c r="J77" s="6" t="s">
        <v>15</v>
      </c>
      <c r="K77" s="33" t="str">
        <f t="shared" si="5"/>
        <v/>
      </c>
      <c r="L77" s="6" t="s">
        <v>6</v>
      </c>
      <c r="M77" s="27"/>
      <c r="N77" s="27"/>
    </row>
    <row r="78" spans="1:14" ht="18.75" customHeight="1" x14ac:dyDescent="0.15">
      <c r="A78" s="11">
        <v>71</v>
      </c>
      <c r="B78" s="2"/>
      <c r="C78" s="90"/>
      <c r="D78" s="93"/>
      <c r="E78" s="90"/>
      <c r="F78" s="91" t="str">
        <f t="shared" si="3"/>
        <v/>
      </c>
      <c r="G78" s="5"/>
      <c r="H78" s="5" t="str">
        <f t="shared" si="4"/>
        <v/>
      </c>
      <c r="I78" s="42"/>
      <c r="J78" s="6" t="s">
        <v>15</v>
      </c>
      <c r="K78" s="33" t="str">
        <f t="shared" si="5"/>
        <v/>
      </c>
      <c r="L78" s="6" t="s">
        <v>6</v>
      </c>
      <c r="M78" s="27"/>
      <c r="N78" s="27"/>
    </row>
    <row r="79" spans="1:14" ht="18.75" customHeight="1" x14ac:dyDescent="0.15">
      <c r="A79" s="11">
        <v>72</v>
      </c>
      <c r="B79" s="2"/>
      <c r="C79" s="90"/>
      <c r="D79" s="93"/>
      <c r="E79" s="7"/>
      <c r="F79" s="91" t="str">
        <f t="shared" si="3"/>
        <v/>
      </c>
      <c r="G79" s="5"/>
      <c r="H79" s="5" t="str">
        <f t="shared" si="4"/>
        <v/>
      </c>
      <c r="I79" s="35"/>
      <c r="J79" s="6" t="s">
        <v>15</v>
      </c>
      <c r="K79" s="33" t="str">
        <f t="shared" si="5"/>
        <v/>
      </c>
      <c r="L79" s="6" t="s">
        <v>6</v>
      </c>
      <c r="M79" s="27"/>
      <c r="N79" s="27"/>
    </row>
    <row r="80" spans="1:14" ht="18.75" customHeight="1" x14ac:dyDescent="0.15">
      <c r="A80" s="11">
        <v>73</v>
      </c>
      <c r="B80" s="2"/>
      <c r="C80" s="90"/>
      <c r="D80" s="93"/>
      <c r="E80" s="90"/>
      <c r="F80" s="91" t="str">
        <f t="shared" si="3"/>
        <v/>
      </c>
      <c r="G80" s="5"/>
      <c r="H80" s="5" t="str">
        <f t="shared" si="4"/>
        <v/>
      </c>
      <c r="I80" s="43"/>
      <c r="J80" s="6" t="s">
        <v>15</v>
      </c>
      <c r="K80" s="33" t="str">
        <f t="shared" si="5"/>
        <v/>
      </c>
      <c r="L80" s="6" t="s">
        <v>6</v>
      </c>
      <c r="M80" s="27"/>
      <c r="N80" s="27"/>
    </row>
    <row r="81" spans="1:14" ht="18.75" customHeight="1" x14ac:dyDescent="0.15">
      <c r="A81" s="11">
        <v>74</v>
      </c>
      <c r="B81" s="2"/>
      <c r="C81" s="90"/>
      <c r="D81" s="93"/>
      <c r="E81" s="90"/>
      <c r="F81" s="91" t="str">
        <f t="shared" si="3"/>
        <v/>
      </c>
      <c r="G81" s="5"/>
      <c r="H81" s="5" t="str">
        <f t="shared" si="4"/>
        <v/>
      </c>
      <c r="I81" s="35"/>
      <c r="J81" s="6" t="s">
        <v>15</v>
      </c>
      <c r="K81" s="33" t="str">
        <f t="shared" si="5"/>
        <v/>
      </c>
      <c r="L81" s="6" t="s">
        <v>6</v>
      </c>
      <c r="M81" s="27"/>
      <c r="N81" s="27"/>
    </row>
    <row r="82" spans="1:14" ht="18.75" customHeight="1" x14ac:dyDescent="0.15">
      <c r="A82" s="11">
        <v>75</v>
      </c>
      <c r="B82" s="2"/>
      <c r="C82" s="90"/>
      <c r="D82" s="93"/>
      <c r="E82" s="7"/>
      <c r="F82" s="91" t="str">
        <f t="shared" si="3"/>
        <v/>
      </c>
      <c r="G82" s="5"/>
      <c r="H82" s="5" t="str">
        <f t="shared" si="4"/>
        <v/>
      </c>
      <c r="I82" s="42"/>
      <c r="J82" s="6" t="s">
        <v>15</v>
      </c>
      <c r="K82" s="33" t="str">
        <f t="shared" si="5"/>
        <v/>
      </c>
      <c r="L82" s="6" t="s">
        <v>6</v>
      </c>
      <c r="M82" s="27"/>
      <c r="N82" s="27"/>
    </row>
    <row r="83" spans="1:14" ht="18.75" customHeight="1" x14ac:dyDescent="0.15">
      <c r="A83" s="11">
        <v>76</v>
      </c>
      <c r="B83" s="2"/>
      <c r="C83" s="90"/>
      <c r="D83" s="93"/>
      <c r="E83" s="90"/>
      <c r="F83" s="91" t="str">
        <f t="shared" si="3"/>
        <v/>
      </c>
      <c r="G83" s="5"/>
      <c r="H83" s="5" t="str">
        <f t="shared" si="4"/>
        <v/>
      </c>
      <c r="I83" s="35"/>
      <c r="J83" s="6" t="s">
        <v>15</v>
      </c>
      <c r="K83" s="33" t="str">
        <f t="shared" si="5"/>
        <v/>
      </c>
      <c r="L83" s="6" t="s">
        <v>6</v>
      </c>
      <c r="M83" s="27"/>
      <c r="N83" s="27"/>
    </row>
    <row r="84" spans="1:14" ht="18.75" customHeight="1" x14ac:dyDescent="0.15">
      <c r="A84" s="11">
        <v>77</v>
      </c>
      <c r="B84" s="2"/>
      <c r="C84" s="90"/>
      <c r="D84" s="93"/>
      <c r="E84" s="90"/>
      <c r="F84" s="91" t="str">
        <f t="shared" si="3"/>
        <v/>
      </c>
      <c r="G84" s="5"/>
      <c r="H84" s="5" t="str">
        <f t="shared" si="4"/>
        <v/>
      </c>
      <c r="I84" s="35"/>
      <c r="J84" s="6" t="s">
        <v>15</v>
      </c>
      <c r="K84" s="33" t="str">
        <f t="shared" si="5"/>
        <v/>
      </c>
      <c r="L84" s="6" t="s">
        <v>6</v>
      </c>
      <c r="M84" s="27"/>
      <c r="N84" s="27"/>
    </row>
    <row r="85" spans="1:14" ht="18.75" customHeight="1" x14ac:dyDescent="0.15">
      <c r="A85" s="11">
        <v>78</v>
      </c>
      <c r="B85" s="2"/>
      <c r="C85" s="90"/>
      <c r="D85" s="93"/>
      <c r="E85" s="90"/>
      <c r="F85" s="91" t="str">
        <f t="shared" si="3"/>
        <v/>
      </c>
      <c r="G85" s="5"/>
      <c r="H85" s="5" t="str">
        <f t="shared" si="4"/>
        <v/>
      </c>
      <c r="I85" s="35"/>
      <c r="J85" s="6" t="s">
        <v>15</v>
      </c>
      <c r="K85" s="37" t="str">
        <f t="shared" si="5"/>
        <v/>
      </c>
      <c r="L85" s="6" t="s">
        <v>6</v>
      </c>
      <c r="M85" s="27"/>
      <c r="N85" s="27"/>
    </row>
    <row r="86" spans="1:14" ht="18.75" customHeight="1" x14ac:dyDescent="0.15">
      <c r="A86" s="11">
        <v>79</v>
      </c>
      <c r="B86" s="2"/>
      <c r="C86" s="90"/>
      <c r="D86" s="93"/>
      <c r="E86" s="90"/>
      <c r="F86" s="91"/>
      <c r="G86" s="5"/>
      <c r="H86" s="5"/>
      <c r="I86" s="35"/>
      <c r="J86" s="6" t="s">
        <v>15</v>
      </c>
      <c r="K86" s="37"/>
      <c r="L86" s="6" t="s">
        <v>6</v>
      </c>
      <c r="M86" s="27"/>
      <c r="N86" s="27"/>
    </row>
    <row r="87" spans="1:14" ht="18.75" customHeight="1" x14ac:dyDescent="0.15">
      <c r="A87" s="11">
        <v>80</v>
      </c>
      <c r="B87" s="2"/>
      <c r="C87" s="90"/>
      <c r="D87" s="93"/>
      <c r="E87" s="90"/>
      <c r="F87" s="91" t="str">
        <f t="shared" si="3"/>
        <v/>
      </c>
      <c r="G87" s="5"/>
      <c r="H87" s="5" t="str">
        <f t="shared" si="4"/>
        <v/>
      </c>
      <c r="I87" s="35"/>
      <c r="J87" s="6" t="s">
        <v>15</v>
      </c>
      <c r="K87" s="37" t="str">
        <f>IF(I87&gt;0,I87*0.2,"")</f>
        <v/>
      </c>
      <c r="L87" s="6" t="s">
        <v>6</v>
      </c>
      <c r="M87" s="27"/>
      <c r="N87" s="27"/>
    </row>
    <row r="88" spans="1:14" ht="18.75" customHeight="1" x14ac:dyDescent="0.15">
      <c r="B88" s="44"/>
      <c r="C88" s="44"/>
      <c r="D88" s="45"/>
      <c r="E88" s="44"/>
      <c r="F88" s="44" t="str">
        <f t="shared" si="3"/>
        <v/>
      </c>
      <c r="G88" s="46"/>
      <c r="H88" s="46" t="str">
        <f t="shared" si="4"/>
        <v/>
      </c>
      <c r="I88" s="61">
        <f>SUM(I48:I87)+I44</f>
        <v>0</v>
      </c>
      <c r="J88" s="8" t="s">
        <v>15</v>
      </c>
      <c r="K88" s="47">
        <f>SUM(K48:K87)+K44</f>
        <v>0</v>
      </c>
      <c r="L88" s="8" t="s">
        <v>6</v>
      </c>
      <c r="M88" s="48"/>
      <c r="N88" s="48"/>
    </row>
  </sheetData>
  <mergeCells count="12">
    <mergeCell ref="B45:M45"/>
    <mergeCell ref="B46:M46"/>
    <mergeCell ref="C47:D47"/>
    <mergeCell ref="E47:F47"/>
    <mergeCell ref="I47:J47"/>
    <mergeCell ref="K47:L47"/>
    <mergeCell ref="B1:M1"/>
    <mergeCell ref="B2:M2"/>
    <mergeCell ref="C3:D3"/>
    <mergeCell ref="E3:F3"/>
    <mergeCell ref="I3:J3"/>
    <mergeCell ref="K3:L3"/>
  </mergeCells>
  <phoneticPr fontId="2"/>
  <dataValidations count="6">
    <dataValidation imeMode="on" allowBlank="1" showInputMessage="1" showErrorMessage="1" sqref="B44:C44 B88:C88" xr:uid="{8F0FDA7C-9D77-46DD-8F30-35BC4B35DC12}"/>
    <dataValidation imeMode="disabled" allowBlank="1" showInputMessage="1" showErrorMessage="1" sqref="G4:G40 N21:N42 H4:M42 N49:N63 N5:N19 G48:G84 E48:E88 N65:N88 H48:M88 E4:E44 M44:N44 H43:L44" xr:uid="{12FDBCBA-24A2-423A-B152-C7A53DBEAB48}"/>
    <dataValidation type="list" imeMode="on" allowBlank="1" showInputMessage="1" prompt="なければ直接入力" sqref="D44 D88" xr:uid="{5947FF4F-94D3-4269-A0DB-2EA919F36CD9}">
      <formula1>"利尻島国保中央病院,福士水産㈱,高橋水産㈱"</formula1>
    </dataValidation>
    <dataValidation imeMode="disabled" allowBlank="1" showInputMessage="1" sqref="G85:G88 G41:G44" xr:uid="{AD61ED80-5A5B-4D09-B80A-2AE714189950}"/>
    <dataValidation type="list" imeMode="on" allowBlank="1" showInputMessage="1" prompt="なければ直接入力" sqref="D4:D43 D48:D87" xr:uid="{D67FB6A8-9ECE-4E64-B111-F08F6EDB8343}">
      <formula1>"利尻島国保中央病院,道立鬼脇診療所,カムイウィスキー,福士水産㈱,糀谷商店,米田商店"</formula1>
    </dataValidation>
    <dataValidation type="list" imeMode="on" allowBlank="1" showInputMessage="1" showErrorMessage="1" sqref="B4:C43 B48:C87" xr:uid="{24564371-D358-4C49-B81F-3584EE8B4888}">
      <formula1>"水産系燃え殻,医療系燃え殻"</formula1>
    </dataValidation>
  </dataValidations>
  <printOptions horizontalCentered="1" verticalCentered="1"/>
  <pageMargins left="0.59055118110236227" right="0.59055118110236227" top="0.59055118110236227" bottom="0.59055118110236227" header="0" footer="0"/>
  <pageSetup paperSize="9" orientation="portrait" horizontalDpi="4294967293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553BC-AAB9-4FD6-942D-04440AC4A08E}">
  <dimension ref="A1:O88"/>
  <sheetViews>
    <sheetView workbookViewId="0">
      <selection sqref="A1:XFD1048576"/>
    </sheetView>
  </sheetViews>
  <sheetFormatPr defaultRowHeight="13.5" x14ac:dyDescent="0.15"/>
  <cols>
    <col min="1" max="1" width="3.375" style="12" customWidth="1"/>
    <col min="2" max="2" width="12.25" style="10" customWidth="1"/>
    <col min="3" max="3" width="1" style="10" customWidth="1"/>
    <col min="4" max="4" width="17.625" style="12" customWidth="1"/>
    <col min="5" max="5" width="10.625" style="10" customWidth="1"/>
    <col min="6" max="6" width="2.125" style="10" customWidth="1"/>
    <col min="7" max="8" width="8.125" style="10" customWidth="1"/>
    <col min="9" max="9" width="6" style="13" customWidth="1"/>
    <col min="10" max="10" width="2.375" style="10" customWidth="1"/>
    <col min="11" max="11" width="5.5" style="10" customWidth="1"/>
    <col min="12" max="12" width="2.25" style="10" customWidth="1"/>
    <col min="13" max="13" width="6.25" style="49" customWidth="1"/>
    <col min="14" max="14" width="6.25" style="10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 x14ac:dyDescent="0.15">
      <c r="B1" s="95" t="s">
        <v>9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5" ht="21" customHeight="1" x14ac:dyDescent="0.15"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spans="1:15" ht="27" customHeight="1" x14ac:dyDescent="0.15">
      <c r="A3" s="11"/>
      <c r="B3" s="29" t="s">
        <v>1</v>
      </c>
      <c r="C3" s="102" t="s">
        <v>2</v>
      </c>
      <c r="D3" s="103"/>
      <c r="E3" s="104" t="s">
        <v>3</v>
      </c>
      <c r="F3" s="105"/>
      <c r="G3" s="92" t="s">
        <v>4</v>
      </c>
      <c r="H3" s="92" t="s">
        <v>7</v>
      </c>
      <c r="I3" s="106" t="s">
        <v>8</v>
      </c>
      <c r="J3" s="107"/>
      <c r="K3" s="106" t="s">
        <v>5</v>
      </c>
      <c r="L3" s="106"/>
      <c r="M3" s="30" t="s">
        <v>10</v>
      </c>
      <c r="N3" s="31" t="s">
        <v>18</v>
      </c>
    </row>
    <row r="4" spans="1:15" ht="18.75" customHeight="1" x14ac:dyDescent="0.15">
      <c r="A4" s="11">
        <v>1</v>
      </c>
      <c r="B4" s="2"/>
      <c r="C4" s="90"/>
      <c r="D4" s="93"/>
      <c r="E4" s="90"/>
      <c r="F4" s="91" t="str">
        <f t="shared" ref="F4:F41" si="0">IF(E4="","",E4-INT(E4/7)*7)</f>
        <v/>
      </c>
      <c r="G4" s="5"/>
      <c r="H4" s="5" t="str">
        <f t="shared" ref="H4:H41" si="1">IF(G4="","",G4)</f>
        <v/>
      </c>
      <c r="I4" s="32"/>
      <c r="J4" s="6" t="s">
        <v>15</v>
      </c>
      <c r="K4" s="33" t="str">
        <f t="shared" ref="K4:K41" si="2">IF(I4&gt;0,I4*0.2,"")</f>
        <v/>
      </c>
      <c r="L4" s="6" t="s">
        <v>6</v>
      </c>
      <c r="M4" s="27"/>
      <c r="N4" s="34"/>
    </row>
    <row r="5" spans="1:15" ht="18.75" customHeight="1" x14ac:dyDescent="0.15">
      <c r="A5" s="11">
        <v>2</v>
      </c>
      <c r="B5" s="2"/>
      <c r="C5" s="90"/>
      <c r="D5" s="93"/>
      <c r="E5" s="7"/>
      <c r="F5" s="91" t="str">
        <f t="shared" si="0"/>
        <v/>
      </c>
      <c r="G5" s="5"/>
      <c r="H5" s="5" t="str">
        <f t="shared" si="1"/>
        <v/>
      </c>
      <c r="I5" s="35"/>
      <c r="J5" s="36" t="s">
        <v>15</v>
      </c>
      <c r="K5" s="37" t="str">
        <f t="shared" si="2"/>
        <v/>
      </c>
      <c r="L5" s="6" t="s">
        <v>6</v>
      </c>
      <c r="M5" s="27"/>
      <c r="N5" s="27"/>
    </row>
    <row r="6" spans="1:15" ht="18.75" customHeight="1" x14ac:dyDescent="0.15">
      <c r="A6" s="11">
        <v>3</v>
      </c>
      <c r="B6" s="2"/>
      <c r="C6" s="90"/>
      <c r="D6" s="93"/>
      <c r="E6" s="90"/>
      <c r="F6" s="91" t="str">
        <f t="shared" si="0"/>
        <v/>
      </c>
      <c r="G6" s="5"/>
      <c r="H6" s="5" t="str">
        <f t="shared" si="1"/>
        <v/>
      </c>
      <c r="I6" s="38"/>
      <c r="J6" s="8" t="s">
        <v>15</v>
      </c>
      <c r="K6" s="39" t="str">
        <f t="shared" si="2"/>
        <v/>
      </c>
      <c r="L6" s="9" t="s">
        <v>6</v>
      </c>
      <c r="M6" s="40"/>
      <c r="N6" s="27"/>
    </row>
    <row r="7" spans="1:15" ht="18.75" customHeight="1" x14ac:dyDescent="0.15">
      <c r="A7" s="11">
        <v>4</v>
      </c>
      <c r="B7" s="2"/>
      <c r="C7" s="90"/>
      <c r="D7" s="93"/>
      <c r="E7" s="90"/>
      <c r="F7" s="91" t="str">
        <f t="shared" si="0"/>
        <v/>
      </c>
      <c r="G7" s="5"/>
      <c r="H7" s="5" t="str">
        <f t="shared" si="1"/>
        <v/>
      </c>
      <c r="I7" s="35"/>
      <c r="J7" s="6" t="s">
        <v>15</v>
      </c>
      <c r="K7" s="33" t="str">
        <f t="shared" si="2"/>
        <v/>
      </c>
      <c r="L7" s="6" t="s">
        <v>6</v>
      </c>
      <c r="M7" s="27"/>
      <c r="N7" s="27"/>
    </row>
    <row r="8" spans="1:15" ht="18.75" customHeight="1" x14ac:dyDescent="0.15">
      <c r="A8" s="11">
        <v>5</v>
      </c>
      <c r="B8" s="2"/>
      <c r="C8" s="90"/>
      <c r="D8" s="93"/>
      <c r="E8" s="90"/>
      <c r="F8" s="91" t="str">
        <f t="shared" si="0"/>
        <v/>
      </c>
      <c r="G8" s="5"/>
      <c r="H8" s="5" t="str">
        <f t="shared" si="1"/>
        <v/>
      </c>
      <c r="I8" s="35"/>
      <c r="J8" s="6" t="s">
        <v>15</v>
      </c>
      <c r="K8" s="33" t="str">
        <f t="shared" si="2"/>
        <v/>
      </c>
      <c r="L8" s="6" t="s">
        <v>6</v>
      </c>
      <c r="M8" s="27"/>
      <c r="N8" s="27"/>
    </row>
    <row r="9" spans="1:15" ht="18.75" customHeight="1" x14ac:dyDescent="0.15">
      <c r="A9" s="11">
        <v>6</v>
      </c>
      <c r="B9" s="2"/>
      <c r="C9" s="90"/>
      <c r="D9" s="93"/>
      <c r="E9" s="90"/>
      <c r="F9" s="91" t="str">
        <f t="shared" si="0"/>
        <v/>
      </c>
      <c r="G9" s="5"/>
      <c r="H9" s="5" t="str">
        <f t="shared" si="1"/>
        <v/>
      </c>
      <c r="I9" s="35"/>
      <c r="J9" s="6" t="s">
        <v>15</v>
      </c>
      <c r="K9" s="33" t="str">
        <f t="shared" si="2"/>
        <v/>
      </c>
      <c r="L9" s="6" t="s">
        <v>6</v>
      </c>
      <c r="M9" s="27"/>
      <c r="N9" s="27"/>
    </row>
    <row r="10" spans="1:15" ht="18.75" customHeight="1" x14ac:dyDescent="0.15">
      <c r="A10" s="11">
        <v>7</v>
      </c>
      <c r="B10" s="2"/>
      <c r="C10" s="90"/>
      <c r="D10" s="93"/>
      <c r="E10" s="90"/>
      <c r="F10" s="91" t="str">
        <f t="shared" si="0"/>
        <v/>
      </c>
      <c r="G10" s="5"/>
      <c r="H10" s="5" t="str">
        <f t="shared" si="1"/>
        <v/>
      </c>
      <c r="I10" s="35"/>
      <c r="J10" s="6" t="s">
        <v>15</v>
      </c>
      <c r="K10" s="33" t="str">
        <f t="shared" si="2"/>
        <v/>
      </c>
      <c r="L10" s="6" t="s">
        <v>6</v>
      </c>
      <c r="M10" s="27"/>
      <c r="N10" s="27"/>
    </row>
    <row r="11" spans="1:15" ht="18.75" customHeight="1" x14ac:dyDescent="0.15">
      <c r="A11" s="11">
        <v>8</v>
      </c>
      <c r="B11" s="2"/>
      <c r="C11" s="90"/>
      <c r="D11" s="93"/>
      <c r="E11" s="90"/>
      <c r="F11" s="91" t="str">
        <f t="shared" si="0"/>
        <v/>
      </c>
      <c r="G11" s="5"/>
      <c r="H11" s="5" t="str">
        <f t="shared" si="1"/>
        <v/>
      </c>
      <c r="I11" s="41"/>
      <c r="J11" s="8" t="s">
        <v>15</v>
      </c>
      <c r="K11" s="33" t="str">
        <f t="shared" si="2"/>
        <v/>
      </c>
      <c r="L11" s="9" t="s">
        <v>6</v>
      </c>
      <c r="M11" s="27"/>
      <c r="N11" s="27"/>
    </row>
    <row r="12" spans="1:15" ht="18.75" customHeight="1" x14ac:dyDescent="0.15">
      <c r="A12" s="11">
        <v>9</v>
      </c>
      <c r="B12" s="2"/>
      <c r="C12" s="90"/>
      <c r="D12" s="93"/>
      <c r="E12" s="90"/>
      <c r="F12" s="91" t="str">
        <f t="shared" si="0"/>
        <v/>
      </c>
      <c r="G12" s="5"/>
      <c r="H12" s="5" t="str">
        <f t="shared" si="1"/>
        <v/>
      </c>
      <c r="I12" s="35"/>
      <c r="J12" s="6" t="s">
        <v>15</v>
      </c>
      <c r="K12" s="33" t="str">
        <f t="shared" si="2"/>
        <v/>
      </c>
      <c r="L12" s="6" t="s">
        <v>6</v>
      </c>
      <c r="M12" s="27"/>
      <c r="N12" s="27"/>
    </row>
    <row r="13" spans="1:15" ht="18.75" customHeight="1" x14ac:dyDescent="0.15">
      <c r="A13" s="11">
        <v>10</v>
      </c>
      <c r="B13" s="2"/>
      <c r="C13" s="90"/>
      <c r="D13" s="93"/>
      <c r="E13" s="90"/>
      <c r="F13" s="91" t="str">
        <f t="shared" si="0"/>
        <v/>
      </c>
      <c r="G13" s="5"/>
      <c r="H13" s="5" t="str">
        <f t="shared" si="1"/>
        <v/>
      </c>
      <c r="I13" s="41"/>
      <c r="J13" s="8" t="s">
        <v>15</v>
      </c>
      <c r="K13" s="33" t="str">
        <f t="shared" si="2"/>
        <v/>
      </c>
      <c r="L13" s="9" t="s">
        <v>6</v>
      </c>
      <c r="M13" s="27"/>
      <c r="N13" s="27"/>
    </row>
    <row r="14" spans="1:15" ht="18.75" customHeight="1" x14ac:dyDescent="0.15">
      <c r="A14" s="11">
        <v>11</v>
      </c>
      <c r="B14" s="2"/>
      <c r="C14" s="90"/>
      <c r="D14" s="93"/>
      <c r="E14" s="90"/>
      <c r="F14" s="91" t="str">
        <f t="shared" si="0"/>
        <v/>
      </c>
      <c r="G14" s="5"/>
      <c r="H14" s="5" t="str">
        <f t="shared" si="1"/>
        <v/>
      </c>
      <c r="I14" s="35"/>
      <c r="J14" s="6" t="s">
        <v>15</v>
      </c>
      <c r="K14" s="33" t="str">
        <f t="shared" si="2"/>
        <v/>
      </c>
      <c r="L14" s="6" t="s">
        <v>6</v>
      </c>
      <c r="M14" s="27"/>
      <c r="N14" s="27"/>
      <c r="O14" s="59"/>
    </row>
    <row r="15" spans="1:15" ht="18.75" customHeight="1" x14ac:dyDescent="0.15">
      <c r="A15" s="11">
        <v>12</v>
      </c>
      <c r="B15" s="2"/>
      <c r="C15" s="90"/>
      <c r="D15" s="93"/>
      <c r="E15" s="90"/>
      <c r="F15" s="91" t="str">
        <f t="shared" si="0"/>
        <v/>
      </c>
      <c r="G15" s="5"/>
      <c r="H15" s="5" t="str">
        <f t="shared" si="1"/>
        <v/>
      </c>
      <c r="I15" s="42"/>
      <c r="J15" s="8" t="s">
        <v>15</v>
      </c>
      <c r="K15" s="33" t="str">
        <f t="shared" si="2"/>
        <v/>
      </c>
      <c r="L15" s="6" t="s">
        <v>6</v>
      </c>
      <c r="M15" s="27"/>
      <c r="N15" s="27"/>
    </row>
    <row r="16" spans="1:15" ht="18.75" customHeight="1" x14ac:dyDescent="0.15">
      <c r="A16" s="11">
        <v>13</v>
      </c>
      <c r="B16" s="2"/>
      <c r="C16" s="90"/>
      <c r="D16" s="93"/>
      <c r="E16" s="90"/>
      <c r="F16" s="91" t="str">
        <f t="shared" si="0"/>
        <v/>
      </c>
      <c r="G16" s="5"/>
      <c r="H16" s="5" t="str">
        <f t="shared" si="1"/>
        <v/>
      </c>
      <c r="I16" s="35"/>
      <c r="J16" s="6" t="s">
        <v>15</v>
      </c>
      <c r="K16" s="33" t="str">
        <f t="shared" si="2"/>
        <v/>
      </c>
      <c r="L16" s="6" t="s">
        <v>6</v>
      </c>
      <c r="M16" s="27"/>
      <c r="N16" s="27"/>
    </row>
    <row r="17" spans="1:15" ht="18.75" customHeight="1" x14ac:dyDescent="0.15">
      <c r="A17" s="11">
        <v>14</v>
      </c>
      <c r="B17" s="2"/>
      <c r="C17" s="90"/>
      <c r="D17" s="93"/>
      <c r="E17" s="90"/>
      <c r="F17" s="91" t="str">
        <f t="shared" si="0"/>
        <v/>
      </c>
      <c r="G17" s="5"/>
      <c r="H17" s="5" t="str">
        <f t="shared" si="1"/>
        <v/>
      </c>
      <c r="I17" s="35"/>
      <c r="J17" s="6" t="s">
        <v>15</v>
      </c>
      <c r="K17" s="33" t="str">
        <f t="shared" si="2"/>
        <v/>
      </c>
      <c r="L17" s="6" t="s">
        <v>6</v>
      </c>
      <c r="M17" s="27"/>
      <c r="N17" s="27"/>
    </row>
    <row r="18" spans="1:15" ht="18.75" customHeight="1" x14ac:dyDescent="0.15">
      <c r="A18" s="11">
        <v>15</v>
      </c>
      <c r="B18" s="2"/>
      <c r="C18" s="90"/>
      <c r="D18" s="93"/>
      <c r="E18" s="90"/>
      <c r="F18" s="91" t="str">
        <f t="shared" si="0"/>
        <v/>
      </c>
      <c r="G18" s="5"/>
      <c r="H18" s="5" t="str">
        <f t="shared" si="1"/>
        <v/>
      </c>
      <c r="I18" s="41"/>
      <c r="J18" s="6" t="s">
        <v>15</v>
      </c>
      <c r="K18" s="33" t="str">
        <f t="shared" si="2"/>
        <v/>
      </c>
      <c r="L18" s="9" t="s">
        <v>6</v>
      </c>
      <c r="M18" s="27"/>
      <c r="N18" s="27"/>
    </row>
    <row r="19" spans="1:15" ht="18.75" customHeight="1" x14ac:dyDescent="0.15">
      <c r="A19" s="11">
        <v>16</v>
      </c>
      <c r="B19" s="2"/>
      <c r="C19" s="90"/>
      <c r="D19" s="93"/>
      <c r="E19" s="90"/>
      <c r="F19" s="91" t="str">
        <f t="shared" si="0"/>
        <v/>
      </c>
      <c r="G19" s="5"/>
      <c r="H19" s="5" t="str">
        <f t="shared" si="1"/>
        <v/>
      </c>
      <c r="I19" s="35"/>
      <c r="J19" s="6" t="s">
        <v>15</v>
      </c>
      <c r="K19" s="33" t="str">
        <f t="shared" si="2"/>
        <v/>
      </c>
      <c r="L19" s="6" t="s">
        <v>6</v>
      </c>
      <c r="M19" s="27"/>
      <c r="N19" s="27"/>
    </row>
    <row r="20" spans="1:15" ht="18.75" customHeight="1" x14ac:dyDescent="0.15">
      <c r="A20" s="11">
        <v>17</v>
      </c>
      <c r="B20" s="2"/>
      <c r="C20" s="90"/>
      <c r="D20" s="93"/>
      <c r="E20" s="7"/>
      <c r="F20" s="91" t="str">
        <f t="shared" si="0"/>
        <v/>
      </c>
      <c r="G20" s="5"/>
      <c r="H20" s="5" t="str">
        <f t="shared" si="1"/>
        <v/>
      </c>
      <c r="I20" s="42"/>
      <c r="J20" s="8" t="s">
        <v>15</v>
      </c>
      <c r="K20" s="33" t="str">
        <f t="shared" si="2"/>
        <v/>
      </c>
      <c r="L20" s="6" t="s">
        <v>6</v>
      </c>
      <c r="M20" s="27"/>
      <c r="N20" s="34"/>
    </row>
    <row r="21" spans="1:15" ht="18.75" customHeight="1" x14ac:dyDescent="0.15">
      <c r="A21" s="11">
        <v>18</v>
      </c>
      <c r="B21" s="2"/>
      <c r="C21" s="90"/>
      <c r="D21" s="93"/>
      <c r="E21" s="90"/>
      <c r="F21" s="91" t="str">
        <f t="shared" si="0"/>
        <v/>
      </c>
      <c r="G21" s="5"/>
      <c r="H21" s="5" t="str">
        <f t="shared" si="1"/>
        <v/>
      </c>
      <c r="I21" s="35"/>
      <c r="J21" s="6" t="s">
        <v>15</v>
      </c>
      <c r="K21" s="33" t="str">
        <f t="shared" si="2"/>
        <v/>
      </c>
      <c r="L21" s="6" t="s">
        <v>6</v>
      </c>
      <c r="M21" s="27"/>
      <c r="N21" s="27"/>
    </row>
    <row r="22" spans="1:15" ht="18.75" customHeight="1" x14ac:dyDescent="0.15">
      <c r="A22" s="11">
        <v>19</v>
      </c>
      <c r="B22" s="2"/>
      <c r="C22" s="90"/>
      <c r="D22" s="93"/>
      <c r="E22" s="90"/>
      <c r="F22" s="91" t="str">
        <f t="shared" si="0"/>
        <v/>
      </c>
      <c r="G22" s="5"/>
      <c r="H22" s="5" t="str">
        <f t="shared" si="1"/>
        <v/>
      </c>
      <c r="I22" s="35"/>
      <c r="J22" s="6" t="s">
        <v>15</v>
      </c>
      <c r="K22" s="33" t="str">
        <f t="shared" si="2"/>
        <v/>
      </c>
      <c r="L22" s="6" t="s">
        <v>6</v>
      </c>
      <c r="M22" s="27"/>
      <c r="N22" s="27"/>
    </row>
    <row r="23" spans="1:15" ht="18.75" customHeight="1" x14ac:dyDescent="0.15">
      <c r="A23" s="11">
        <v>20</v>
      </c>
      <c r="B23" s="2"/>
      <c r="C23" s="90"/>
      <c r="D23" s="93"/>
      <c r="E23" s="90"/>
      <c r="F23" s="91" t="str">
        <f t="shared" si="0"/>
        <v/>
      </c>
      <c r="G23" s="5"/>
      <c r="H23" s="5" t="str">
        <f t="shared" si="1"/>
        <v/>
      </c>
      <c r="I23" s="35"/>
      <c r="J23" s="6" t="s">
        <v>11</v>
      </c>
      <c r="K23" s="33" t="str">
        <f t="shared" si="2"/>
        <v/>
      </c>
      <c r="L23" s="6" t="s">
        <v>6</v>
      </c>
      <c r="M23" s="27"/>
      <c r="N23" s="27"/>
    </row>
    <row r="24" spans="1:15" ht="18.75" customHeight="1" x14ac:dyDescent="0.15">
      <c r="A24" s="11">
        <v>21</v>
      </c>
      <c r="B24" s="2"/>
      <c r="C24" s="90"/>
      <c r="D24" s="93"/>
      <c r="E24" s="90"/>
      <c r="F24" s="91" t="str">
        <f t="shared" si="0"/>
        <v/>
      </c>
      <c r="G24" s="5"/>
      <c r="H24" s="5" t="str">
        <f t="shared" si="1"/>
        <v/>
      </c>
      <c r="I24" s="35"/>
      <c r="J24" s="8" t="s">
        <v>11</v>
      </c>
      <c r="K24" s="33" t="str">
        <f t="shared" si="2"/>
        <v/>
      </c>
      <c r="L24" s="6" t="s">
        <v>6</v>
      </c>
      <c r="M24" s="27"/>
      <c r="N24" s="27"/>
    </row>
    <row r="25" spans="1:15" ht="18.75" customHeight="1" x14ac:dyDescent="0.15">
      <c r="A25" s="11">
        <v>22</v>
      </c>
      <c r="B25" s="2"/>
      <c r="C25" s="90"/>
      <c r="D25" s="93"/>
      <c r="E25" s="90"/>
      <c r="F25" s="91" t="str">
        <f t="shared" si="0"/>
        <v/>
      </c>
      <c r="G25" s="5"/>
      <c r="H25" s="5" t="str">
        <f t="shared" si="1"/>
        <v/>
      </c>
      <c r="I25" s="41"/>
      <c r="J25" s="6" t="s">
        <v>11</v>
      </c>
      <c r="K25" s="33" t="str">
        <f t="shared" si="2"/>
        <v/>
      </c>
      <c r="L25" s="6" t="s">
        <v>6</v>
      </c>
      <c r="M25" s="27"/>
      <c r="N25" s="27"/>
    </row>
    <row r="26" spans="1:15" ht="18.75" customHeight="1" x14ac:dyDescent="0.15">
      <c r="A26" s="11">
        <v>23</v>
      </c>
      <c r="B26" s="2"/>
      <c r="C26" s="90"/>
      <c r="D26" s="93"/>
      <c r="E26" s="90"/>
      <c r="F26" s="91" t="str">
        <f t="shared" si="0"/>
        <v/>
      </c>
      <c r="G26" s="5"/>
      <c r="H26" s="5" t="str">
        <f t="shared" si="1"/>
        <v/>
      </c>
      <c r="I26" s="41"/>
      <c r="J26" s="6" t="s">
        <v>15</v>
      </c>
      <c r="K26" s="33" t="str">
        <f t="shared" si="2"/>
        <v/>
      </c>
      <c r="L26" s="6" t="s">
        <v>6</v>
      </c>
      <c r="M26" s="27"/>
      <c r="N26" s="27"/>
    </row>
    <row r="27" spans="1:15" ht="18.75" customHeight="1" x14ac:dyDescent="0.15">
      <c r="A27" s="11">
        <v>24</v>
      </c>
      <c r="B27" s="2"/>
      <c r="C27" s="90"/>
      <c r="D27" s="93"/>
      <c r="E27" s="90"/>
      <c r="F27" s="91" t="str">
        <f t="shared" si="0"/>
        <v/>
      </c>
      <c r="G27" s="5"/>
      <c r="H27" s="5" t="str">
        <f t="shared" si="1"/>
        <v/>
      </c>
      <c r="I27" s="35"/>
      <c r="J27" s="8" t="s">
        <v>15</v>
      </c>
      <c r="K27" s="33" t="str">
        <f t="shared" si="2"/>
        <v/>
      </c>
      <c r="L27" s="6" t="s">
        <v>6</v>
      </c>
      <c r="M27" s="27"/>
      <c r="N27" s="27"/>
      <c r="O27" s="59"/>
    </row>
    <row r="28" spans="1:15" ht="18.75" customHeight="1" x14ac:dyDescent="0.15">
      <c r="A28" s="11">
        <v>25</v>
      </c>
      <c r="B28" s="2"/>
      <c r="C28" s="90"/>
      <c r="D28" s="93"/>
      <c r="E28" s="90"/>
      <c r="F28" s="91" t="str">
        <f t="shared" si="0"/>
        <v/>
      </c>
      <c r="G28" s="5"/>
      <c r="H28" s="5" t="str">
        <f t="shared" si="1"/>
        <v/>
      </c>
      <c r="I28" s="35"/>
      <c r="J28" s="6" t="s">
        <v>15</v>
      </c>
      <c r="K28" s="33" t="str">
        <f t="shared" si="2"/>
        <v/>
      </c>
      <c r="L28" s="6" t="s">
        <v>6</v>
      </c>
      <c r="M28" s="27"/>
      <c r="N28" s="27"/>
    </row>
    <row r="29" spans="1:15" ht="18.75" customHeight="1" x14ac:dyDescent="0.15">
      <c r="A29" s="11">
        <v>26</v>
      </c>
      <c r="B29" s="2"/>
      <c r="C29" s="90"/>
      <c r="D29" s="93"/>
      <c r="E29" s="90"/>
      <c r="F29" s="91" t="str">
        <f t="shared" si="0"/>
        <v/>
      </c>
      <c r="G29" s="5"/>
      <c r="H29" s="5" t="str">
        <f t="shared" si="1"/>
        <v/>
      </c>
      <c r="I29" s="35"/>
      <c r="J29" s="6" t="s">
        <v>15</v>
      </c>
      <c r="K29" s="33" t="str">
        <f t="shared" si="2"/>
        <v/>
      </c>
      <c r="L29" s="6" t="s">
        <v>6</v>
      </c>
      <c r="M29" s="27"/>
      <c r="N29" s="27"/>
    </row>
    <row r="30" spans="1:15" ht="18.75" customHeight="1" x14ac:dyDescent="0.15">
      <c r="A30" s="11">
        <v>27</v>
      </c>
      <c r="B30" s="2"/>
      <c r="C30" s="90"/>
      <c r="D30" s="93"/>
      <c r="E30" s="90"/>
      <c r="F30" s="91" t="str">
        <f t="shared" si="0"/>
        <v/>
      </c>
      <c r="G30" s="5"/>
      <c r="H30" s="5" t="str">
        <f t="shared" si="1"/>
        <v/>
      </c>
      <c r="I30" s="35"/>
      <c r="J30" s="8" t="s">
        <v>15</v>
      </c>
      <c r="K30" s="33" t="str">
        <f t="shared" si="2"/>
        <v/>
      </c>
      <c r="L30" s="6" t="s">
        <v>6</v>
      </c>
      <c r="M30" s="27"/>
      <c r="N30" s="27"/>
    </row>
    <row r="31" spans="1:15" ht="18.75" customHeight="1" x14ac:dyDescent="0.15">
      <c r="A31" s="11">
        <v>28</v>
      </c>
      <c r="B31" s="2"/>
      <c r="C31" s="90"/>
      <c r="D31" s="93"/>
      <c r="E31" s="7"/>
      <c r="F31" s="91" t="str">
        <f t="shared" si="0"/>
        <v/>
      </c>
      <c r="G31" s="5"/>
      <c r="H31" s="5" t="str">
        <f t="shared" si="1"/>
        <v/>
      </c>
      <c r="I31" s="41"/>
      <c r="J31" s="6" t="s">
        <v>15</v>
      </c>
      <c r="K31" s="33" t="str">
        <f t="shared" si="2"/>
        <v/>
      </c>
      <c r="L31" s="6" t="s">
        <v>6</v>
      </c>
      <c r="M31" s="27"/>
      <c r="N31" s="27"/>
    </row>
    <row r="32" spans="1:15" ht="18.75" customHeight="1" x14ac:dyDescent="0.15">
      <c r="A32" s="11">
        <v>29</v>
      </c>
      <c r="B32" s="2"/>
      <c r="C32" s="90"/>
      <c r="D32" s="93"/>
      <c r="E32" s="90"/>
      <c r="F32" s="91" t="str">
        <f t="shared" si="0"/>
        <v/>
      </c>
      <c r="G32" s="5"/>
      <c r="H32" s="5" t="str">
        <f t="shared" si="1"/>
        <v/>
      </c>
      <c r="I32" s="35"/>
      <c r="J32" s="6" t="s">
        <v>15</v>
      </c>
      <c r="K32" s="33" t="str">
        <f t="shared" si="2"/>
        <v/>
      </c>
      <c r="L32" s="6" t="s">
        <v>6</v>
      </c>
      <c r="M32" s="27"/>
      <c r="N32" s="27"/>
    </row>
    <row r="33" spans="1:15" ht="18.75" customHeight="1" x14ac:dyDescent="0.15">
      <c r="A33" s="11">
        <v>30</v>
      </c>
      <c r="B33" s="2"/>
      <c r="C33" s="90"/>
      <c r="D33" s="93"/>
      <c r="E33" s="90"/>
      <c r="F33" s="91" t="str">
        <f t="shared" si="0"/>
        <v/>
      </c>
      <c r="G33" s="5"/>
      <c r="H33" s="5" t="str">
        <f t="shared" si="1"/>
        <v/>
      </c>
      <c r="I33" s="35"/>
      <c r="J33" s="6" t="s">
        <v>15</v>
      </c>
      <c r="K33" s="33" t="str">
        <f t="shared" si="2"/>
        <v/>
      </c>
      <c r="L33" s="6" t="s">
        <v>6</v>
      </c>
      <c r="M33" s="27"/>
      <c r="N33" s="27"/>
    </row>
    <row r="34" spans="1:15" ht="18.75" customHeight="1" x14ac:dyDescent="0.15">
      <c r="A34" s="11">
        <v>31</v>
      </c>
      <c r="B34" s="2"/>
      <c r="C34" s="90"/>
      <c r="D34" s="93"/>
      <c r="E34" s="90"/>
      <c r="F34" s="91" t="str">
        <f t="shared" si="0"/>
        <v/>
      </c>
      <c r="G34" s="5"/>
      <c r="H34" s="5" t="str">
        <f t="shared" si="1"/>
        <v/>
      </c>
      <c r="I34" s="42"/>
      <c r="J34" s="6" t="s">
        <v>15</v>
      </c>
      <c r="K34" s="33" t="str">
        <f t="shared" si="2"/>
        <v/>
      </c>
      <c r="L34" s="6" t="s">
        <v>6</v>
      </c>
      <c r="M34" s="27"/>
      <c r="N34" s="27"/>
      <c r="O34" s="59"/>
    </row>
    <row r="35" spans="1:15" ht="18.75" customHeight="1" x14ac:dyDescent="0.15">
      <c r="A35" s="11">
        <v>32</v>
      </c>
      <c r="B35" s="2"/>
      <c r="C35" s="90"/>
      <c r="D35" s="93"/>
      <c r="E35" s="7"/>
      <c r="F35" s="91" t="str">
        <f t="shared" si="0"/>
        <v/>
      </c>
      <c r="G35" s="5"/>
      <c r="H35" s="5" t="str">
        <f t="shared" si="1"/>
        <v/>
      </c>
      <c r="I35" s="35"/>
      <c r="J35" s="6" t="s">
        <v>15</v>
      </c>
      <c r="K35" s="33" t="str">
        <f t="shared" si="2"/>
        <v/>
      </c>
      <c r="L35" s="6" t="s">
        <v>6</v>
      </c>
      <c r="M35" s="27"/>
      <c r="N35" s="27"/>
    </row>
    <row r="36" spans="1:15" ht="18.75" customHeight="1" x14ac:dyDescent="0.15">
      <c r="A36" s="11">
        <v>33</v>
      </c>
      <c r="B36" s="2"/>
      <c r="C36" s="90"/>
      <c r="D36" s="93"/>
      <c r="E36" s="90"/>
      <c r="F36" s="91" t="str">
        <f t="shared" si="0"/>
        <v/>
      </c>
      <c r="G36" s="5"/>
      <c r="H36" s="5" t="str">
        <f t="shared" si="1"/>
        <v/>
      </c>
      <c r="I36" s="43"/>
      <c r="J36" s="6" t="s">
        <v>15</v>
      </c>
      <c r="K36" s="33" t="str">
        <f t="shared" si="2"/>
        <v/>
      </c>
      <c r="L36" s="6" t="s">
        <v>6</v>
      </c>
      <c r="M36" s="27"/>
      <c r="N36" s="27"/>
    </row>
    <row r="37" spans="1:15" ht="18.75" customHeight="1" x14ac:dyDescent="0.15">
      <c r="A37" s="11">
        <v>34</v>
      </c>
      <c r="B37" s="2"/>
      <c r="C37" s="90"/>
      <c r="D37" s="93"/>
      <c r="E37" s="90"/>
      <c r="F37" s="91" t="str">
        <f t="shared" si="0"/>
        <v/>
      </c>
      <c r="G37" s="5"/>
      <c r="H37" s="5" t="str">
        <f t="shared" si="1"/>
        <v/>
      </c>
      <c r="I37" s="35"/>
      <c r="J37" s="6" t="s">
        <v>15</v>
      </c>
      <c r="K37" s="33" t="str">
        <f t="shared" si="2"/>
        <v/>
      </c>
      <c r="L37" s="6" t="s">
        <v>6</v>
      </c>
      <c r="M37" s="27"/>
      <c r="N37" s="27"/>
    </row>
    <row r="38" spans="1:15" ht="18.75" customHeight="1" x14ac:dyDescent="0.15">
      <c r="A38" s="11">
        <v>35</v>
      </c>
      <c r="B38" s="2"/>
      <c r="C38" s="90"/>
      <c r="D38" s="93"/>
      <c r="E38" s="7"/>
      <c r="F38" s="91" t="str">
        <f t="shared" si="0"/>
        <v/>
      </c>
      <c r="G38" s="5"/>
      <c r="H38" s="5" t="str">
        <f t="shared" si="1"/>
        <v/>
      </c>
      <c r="I38" s="42"/>
      <c r="J38" s="6" t="s">
        <v>15</v>
      </c>
      <c r="K38" s="33" t="str">
        <f t="shared" si="2"/>
        <v/>
      </c>
      <c r="L38" s="6" t="s">
        <v>6</v>
      </c>
      <c r="M38" s="27"/>
      <c r="N38" s="27"/>
    </row>
    <row r="39" spans="1:15" ht="18.75" customHeight="1" x14ac:dyDescent="0.15">
      <c r="A39" s="11">
        <v>36</v>
      </c>
      <c r="B39" s="2"/>
      <c r="C39" s="90"/>
      <c r="D39" s="93"/>
      <c r="E39" s="90"/>
      <c r="F39" s="91" t="str">
        <f t="shared" si="0"/>
        <v/>
      </c>
      <c r="G39" s="5"/>
      <c r="H39" s="5" t="str">
        <f t="shared" si="1"/>
        <v/>
      </c>
      <c r="I39" s="35"/>
      <c r="J39" s="6" t="s">
        <v>15</v>
      </c>
      <c r="K39" s="33" t="str">
        <f t="shared" si="2"/>
        <v/>
      </c>
      <c r="L39" s="6" t="s">
        <v>6</v>
      </c>
      <c r="M39" s="27"/>
      <c r="N39" s="27"/>
    </row>
    <row r="40" spans="1:15" ht="18.75" customHeight="1" x14ac:dyDescent="0.15">
      <c r="A40" s="11">
        <v>37</v>
      </c>
      <c r="B40" s="2"/>
      <c r="C40" s="90"/>
      <c r="D40" s="93"/>
      <c r="E40" s="90"/>
      <c r="F40" s="91" t="str">
        <f t="shared" si="0"/>
        <v/>
      </c>
      <c r="G40" s="5"/>
      <c r="H40" s="5" t="str">
        <f t="shared" si="1"/>
        <v/>
      </c>
      <c r="I40" s="35"/>
      <c r="J40" s="6" t="s">
        <v>15</v>
      </c>
      <c r="K40" s="33" t="str">
        <f t="shared" si="2"/>
        <v/>
      </c>
      <c r="L40" s="6" t="s">
        <v>6</v>
      </c>
      <c r="M40" s="27"/>
      <c r="N40" s="27"/>
    </row>
    <row r="41" spans="1:15" ht="18.75" customHeight="1" x14ac:dyDescent="0.15">
      <c r="A41" s="11">
        <v>38</v>
      </c>
      <c r="B41" s="2"/>
      <c r="C41" s="90"/>
      <c r="D41" s="93"/>
      <c r="E41" s="90"/>
      <c r="F41" s="91" t="str">
        <f t="shared" si="0"/>
        <v/>
      </c>
      <c r="G41" s="5"/>
      <c r="H41" s="5" t="str">
        <f t="shared" si="1"/>
        <v/>
      </c>
      <c r="I41" s="35"/>
      <c r="J41" s="6" t="s">
        <v>15</v>
      </c>
      <c r="K41" s="37" t="str">
        <f t="shared" si="2"/>
        <v/>
      </c>
      <c r="L41" s="6" t="s">
        <v>6</v>
      </c>
      <c r="M41" s="27"/>
      <c r="N41" s="27"/>
    </row>
    <row r="42" spans="1:15" ht="18.75" customHeight="1" x14ac:dyDescent="0.15">
      <c r="A42" s="11">
        <v>39</v>
      </c>
      <c r="B42" s="2"/>
      <c r="C42" s="90"/>
      <c r="D42" s="93"/>
      <c r="E42" s="90"/>
      <c r="F42" s="91"/>
      <c r="G42" s="5"/>
      <c r="H42" s="5"/>
      <c r="I42" s="35"/>
      <c r="J42" s="6" t="s">
        <v>15</v>
      </c>
      <c r="K42" s="37"/>
      <c r="L42" s="6" t="s">
        <v>6</v>
      </c>
      <c r="M42" s="27"/>
      <c r="N42" s="27"/>
    </row>
    <row r="43" spans="1:15" ht="18.75" customHeight="1" thickBot="1" x14ac:dyDescent="0.2">
      <c r="A43" s="50">
        <v>40</v>
      </c>
      <c r="B43" s="51"/>
      <c r="C43" s="52"/>
      <c r="D43" s="94"/>
      <c r="E43" s="52"/>
      <c r="F43" s="53"/>
      <c r="G43" s="54"/>
      <c r="H43" s="54"/>
      <c r="I43" s="55"/>
      <c r="J43" s="56" t="s">
        <v>15</v>
      </c>
      <c r="K43" s="57"/>
      <c r="L43" s="56" t="s">
        <v>6</v>
      </c>
      <c r="M43" s="86" t="s">
        <v>21</v>
      </c>
      <c r="N43" s="86" t="s">
        <v>22</v>
      </c>
    </row>
    <row r="44" spans="1:15" ht="18.75" customHeight="1" thickTop="1" x14ac:dyDescent="0.15">
      <c r="B44" s="44"/>
      <c r="C44" s="44"/>
      <c r="D44" s="45"/>
      <c r="E44" s="44"/>
      <c r="F44" s="44" t="str">
        <f>IF(E44="","",E44-INT(E44/7)*7)</f>
        <v/>
      </c>
      <c r="G44" s="46"/>
      <c r="H44" s="46" t="str">
        <f>IF(G44="","",G44)</f>
        <v/>
      </c>
      <c r="I44" s="61">
        <f>SUM(I4:I43)</f>
        <v>0</v>
      </c>
      <c r="J44" s="8" t="s">
        <v>15</v>
      </c>
      <c r="K44" s="47">
        <f>SUM(K4:K43)</f>
        <v>0</v>
      </c>
      <c r="L44" s="8" t="s">
        <v>6</v>
      </c>
      <c r="M44" s="48">
        <f>SUM(K44)-N44</f>
        <v>0</v>
      </c>
      <c r="N44" s="72">
        <f>SUMIF(M4:M42,"",K4:K43)</f>
        <v>0</v>
      </c>
    </row>
    <row r="45" spans="1:15" ht="20.25" customHeight="1" x14ac:dyDescent="0.15">
      <c r="B45" s="95" t="s">
        <v>9</v>
      </c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</row>
    <row r="46" spans="1:15" ht="21" customHeight="1" x14ac:dyDescent="0.15">
      <c r="B46" s="96" t="s">
        <v>0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</row>
    <row r="47" spans="1:15" ht="27" customHeight="1" x14ac:dyDescent="0.15">
      <c r="A47" s="11"/>
      <c r="B47" s="29" t="s">
        <v>1</v>
      </c>
      <c r="C47" s="102" t="s">
        <v>2</v>
      </c>
      <c r="D47" s="103"/>
      <c r="E47" s="104" t="s">
        <v>3</v>
      </c>
      <c r="F47" s="105"/>
      <c r="G47" s="92" t="s">
        <v>4</v>
      </c>
      <c r="H47" s="92" t="s">
        <v>7</v>
      </c>
      <c r="I47" s="106" t="s">
        <v>8</v>
      </c>
      <c r="J47" s="107"/>
      <c r="K47" s="106" t="s">
        <v>5</v>
      </c>
      <c r="L47" s="106"/>
      <c r="M47" s="30" t="s">
        <v>10</v>
      </c>
      <c r="N47" s="31" t="s">
        <v>18</v>
      </c>
    </row>
    <row r="48" spans="1:15" ht="18.75" customHeight="1" x14ac:dyDescent="0.15">
      <c r="A48" s="11">
        <v>41</v>
      </c>
      <c r="B48" s="2"/>
      <c r="C48" s="90"/>
      <c r="D48" s="93"/>
      <c r="E48" s="90"/>
      <c r="F48" s="91" t="str">
        <f t="shared" ref="F48:F88" si="3">IF(E48="","",E48-INT(E48/7)*7)</f>
        <v/>
      </c>
      <c r="G48" s="5"/>
      <c r="H48" s="5" t="str">
        <f t="shared" ref="H48:H88" si="4">IF(G48="","",G48)</f>
        <v/>
      </c>
      <c r="I48" s="32"/>
      <c r="J48" s="6" t="s">
        <v>15</v>
      </c>
      <c r="K48" s="33" t="str">
        <f t="shared" ref="K48:K85" si="5">IF(I48&gt;0,I48*0.2,"")</f>
        <v/>
      </c>
      <c r="L48" s="6" t="s">
        <v>6</v>
      </c>
      <c r="M48" s="27"/>
      <c r="N48" s="34"/>
    </row>
    <row r="49" spans="1:14" ht="18.75" customHeight="1" x14ac:dyDescent="0.15">
      <c r="A49" s="11">
        <v>42</v>
      </c>
      <c r="B49" s="2"/>
      <c r="C49" s="90"/>
      <c r="D49" s="93"/>
      <c r="E49" s="7"/>
      <c r="F49" s="91" t="str">
        <f t="shared" si="3"/>
        <v/>
      </c>
      <c r="G49" s="5"/>
      <c r="H49" s="5" t="str">
        <f t="shared" si="4"/>
        <v/>
      </c>
      <c r="I49" s="35"/>
      <c r="J49" s="36" t="s">
        <v>15</v>
      </c>
      <c r="K49" s="37" t="str">
        <f t="shared" si="5"/>
        <v/>
      </c>
      <c r="L49" s="6" t="s">
        <v>6</v>
      </c>
      <c r="M49" s="27"/>
      <c r="N49" s="27"/>
    </row>
    <row r="50" spans="1:14" ht="18.75" customHeight="1" x14ac:dyDescent="0.15">
      <c r="A50" s="11">
        <v>43</v>
      </c>
      <c r="B50" s="2"/>
      <c r="C50" s="90"/>
      <c r="D50" s="93"/>
      <c r="E50" s="90"/>
      <c r="F50" s="91" t="str">
        <f t="shared" si="3"/>
        <v/>
      </c>
      <c r="G50" s="5"/>
      <c r="H50" s="5" t="str">
        <f t="shared" si="4"/>
        <v/>
      </c>
      <c r="I50" s="38"/>
      <c r="J50" s="8" t="s">
        <v>15</v>
      </c>
      <c r="K50" s="39" t="str">
        <f t="shared" si="5"/>
        <v/>
      </c>
      <c r="L50" s="9" t="s">
        <v>6</v>
      </c>
      <c r="M50" s="40"/>
      <c r="N50" s="27"/>
    </row>
    <row r="51" spans="1:14" ht="18.75" customHeight="1" x14ac:dyDescent="0.15">
      <c r="A51" s="11">
        <v>44</v>
      </c>
      <c r="B51" s="2"/>
      <c r="C51" s="90"/>
      <c r="D51" s="93"/>
      <c r="E51" s="90"/>
      <c r="F51" s="91" t="str">
        <f t="shared" si="3"/>
        <v/>
      </c>
      <c r="G51" s="5"/>
      <c r="H51" s="5" t="str">
        <f t="shared" si="4"/>
        <v/>
      </c>
      <c r="I51" s="35"/>
      <c r="J51" s="6" t="s">
        <v>15</v>
      </c>
      <c r="K51" s="33" t="str">
        <f t="shared" si="5"/>
        <v/>
      </c>
      <c r="L51" s="6" t="s">
        <v>6</v>
      </c>
      <c r="M51" s="27"/>
      <c r="N51" s="27"/>
    </row>
    <row r="52" spans="1:14" ht="18.75" customHeight="1" x14ac:dyDescent="0.15">
      <c r="A52" s="11">
        <v>45</v>
      </c>
      <c r="B52" s="2"/>
      <c r="C52" s="90"/>
      <c r="D52" s="93"/>
      <c r="E52" s="90"/>
      <c r="F52" s="91" t="str">
        <f t="shared" si="3"/>
        <v/>
      </c>
      <c r="G52" s="5"/>
      <c r="H52" s="5" t="str">
        <f t="shared" si="4"/>
        <v/>
      </c>
      <c r="I52" s="35"/>
      <c r="J52" s="6" t="s">
        <v>15</v>
      </c>
      <c r="K52" s="33" t="str">
        <f t="shared" si="5"/>
        <v/>
      </c>
      <c r="L52" s="6" t="s">
        <v>6</v>
      </c>
      <c r="M52" s="27"/>
      <c r="N52" s="27"/>
    </row>
    <row r="53" spans="1:14" ht="18.75" customHeight="1" x14ac:dyDescent="0.15">
      <c r="A53" s="11">
        <v>46</v>
      </c>
      <c r="B53" s="2"/>
      <c r="C53" s="90"/>
      <c r="D53" s="93"/>
      <c r="E53" s="90"/>
      <c r="F53" s="91" t="str">
        <f t="shared" si="3"/>
        <v/>
      </c>
      <c r="G53" s="5"/>
      <c r="H53" s="5" t="str">
        <f t="shared" si="4"/>
        <v/>
      </c>
      <c r="I53" s="35"/>
      <c r="J53" s="6" t="s">
        <v>15</v>
      </c>
      <c r="K53" s="33" t="str">
        <f t="shared" si="5"/>
        <v/>
      </c>
      <c r="L53" s="6" t="s">
        <v>6</v>
      </c>
      <c r="M53" s="27"/>
      <c r="N53" s="27"/>
    </row>
    <row r="54" spans="1:14" ht="18.75" customHeight="1" x14ac:dyDescent="0.15">
      <c r="A54" s="11">
        <v>47</v>
      </c>
      <c r="B54" s="2"/>
      <c r="C54" s="90"/>
      <c r="D54" s="93"/>
      <c r="E54" s="90"/>
      <c r="F54" s="91" t="str">
        <f t="shared" si="3"/>
        <v/>
      </c>
      <c r="G54" s="5"/>
      <c r="H54" s="5" t="str">
        <f t="shared" si="4"/>
        <v/>
      </c>
      <c r="I54" s="35"/>
      <c r="J54" s="6" t="s">
        <v>15</v>
      </c>
      <c r="K54" s="33" t="str">
        <f t="shared" si="5"/>
        <v/>
      </c>
      <c r="L54" s="6" t="s">
        <v>6</v>
      </c>
      <c r="M54" s="27"/>
      <c r="N54" s="27"/>
    </row>
    <row r="55" spans="1:14" ht="18.75" customHeight="1" x14ac:dyDescent="0.15">
      <c r="A55" s="11">
        <v>48</v>
      </c>
      <c r="B55" s="2"/>
      <c r="C55" s="90"/>
      <c r="D55" s="93"/>
      <c r="E55" s="90"/>
      <c r="F55" s="91" t="str">
        <f t="shared" si="3"/>
        <v/>
      </c>
      <c r="G55" s="5"/>
      <c r="H55" s="5" t="str">
        <f t="shared" si="4"/>
        <v/>
      </c>
      <c r="I55" s="41"/>
      <c r="J55" s="8" t="s">
        <v>15</v>
      </c>
      <c r="K55" s="33" t="str">
        <f t="shared" si="5"/>
        <v/>
      </c>
      <c r="L55" s="9" t="s">
        <v>6</v>
      </c>
      <c r="M55" s="27"/>
      <c r="N55" s="27"/>
    </row>
    <row r="56" spans="1:14" ht="18.75" customHeight="1" x14ac:dyDescent="0.15">
      <c r="A56" s="11">
        <v>49</v>
      </c>
      <c r="B56" s="2"/>
      <c r="C56" s="90"/>
      <c r="D56" s="93"/>
      <c r="E56" s="90"/>
      <c r="F56" s="91" t="str">
        <f t="shared" si="3"/>
        <v/>
      </c>
      <c r="G56" s="5"/>
      <c r="H56" s="5" t="str">
        <f t="shared" si="4"/>
        <v/>
      </c>
      <c r="I56" s="35"/>
      <c r="J56" s="6" t="s">
        <v>15</v>
      </c>
      <c r="K56" s="33" t="str">
        <f t="shared" si="5"/>
        <v/>
      </c>
      <c r="L56" s="6" t="s">
        <v>6</v>
      </c>
      <c r="M56" s="27"/>
      <c r="N56" s="27"/>
    </row>
    <row r="57" spans="1:14" ht="18.75" customHeight="1" x14ac:dyDescent="0.15">
      <c r="A57" s="11">
        <v>50</v>
      </c>
      <c r="B57" s="2"/>
      <c r="C57" s="90"/>
      <c r="D57" s="93"/>
      <c r="E57" s="90"/>
      <c r="F57" s="91" t="str">
        <f t="shared" si="3"/>
        <v/>
      </c>
      <c r="G57" s="5"/>
      <c r="H57" s="5" t="str">
        <f t="shared" si="4"/>
        <v/>
      </c>
      <c r="I57" s="41"/>
      <c r="J57" s="8" t="s">
        <v>15</v>
      </c>
      <c r="K57" s="33" t="str">
        <f t="shared" si="5"/>
        <v/>
      </c>
      <c r="L57" s="9" t="s">
        <v>6</v>
      </c>
      <c r="M57" s="27"/>
      <c r="N57" s="27"/>
    </row>
    <row r="58" spans="1:14" ht="18.75" customHeight="1" x14ac:dyDescent="0.15">
      <c r="A58" s="11">
        <v>51</v>
      </c>
      <c r="B58" s="2"/>
      <c r="C58" s="90"/>
      <c r="D58" s="93"/>
      <c r="E58" s="90"/>
      <c r="F58" s="91" t="str">
        <f t="shared" si="3"/>
        <v/>
      </c>
      <c r="G58" s="5"/>
      <c r="H58" s="5" t="str">
        <f t="shared" si="4"/>
        <v/>
      </c>
      <c r="I58" s="35"/>
      <c r="J58" s="6" t="s">
        <v>15</v>
      </c>
      <c r="K58" s="33" t="str">
        <f t="shared" si="5"/>
        <v/>
      </c>
      <c r="L58" s="6" t="s">
        <v>6</v>
      </c>
      <c r="M58" s="27"/>
      <c r="N58" s="27"/>
    </row>
    <row r="59" spans="1:14" ht="18.75" customHeight="1" x14ac:dyDescent="0.15">
      <c r="A59" s="11">
        <v>52</v>
      </c>
      <c r="B59" s="2"/>
      <c r="C59" s="90"/>
      <c r="D59" s="93"/>
      <c r="E59" s="90"/>
      <c r="F59" s="91" t="str">
        <f t="shared" si="3"/>
        <v/>
      </c>
      <c r="G59" s="5"/>
      <c r="H59" s="5" t="str">
        <f t="shared" si="4"/>
        <v/>
      </c>
      <c r="I59" s="42"/>
      <c r="J59" s="8" t="s">
        <v>15</v>
      </c>
      <c r="K59" s="33" t="str">
        <f t="shared" si="5"/>
        <v/>
      </c>
      <c r="L59" s="6" t="s">
        <v>6</v>
      </c>
      <c r="M59" s="27"/>
      <c r="N59" s="27"/>
    </row>
    <row r="60" spans="1:14" ht="18.75" customHeight="1" x14ac:dyDescent="0.15">
      <c r="A60" s="11">
        <v>53</v>
      </c>
      <c r="B60" s="2"/>
      <c r="C60" s="90"/>
      <c r="D60" s="93"/>
      <c r="E60" s="90"/>
      <c r="F60" s="91" t="str">
        <f t="shared" si="3"/>
        <v/>
      </c>
      <c r="G60" s="5"/>
      <c r="H60" s="5" t="str">
        <f t="shared" si="4"/>
        <v/>
      </c>
      <c r="I60" s="35"/>
      <c r="J60" s="6" t="s">
        <v>15</v>
      </c>
      <c r="K60" s="33" t="str">
        <f t="shared" si="5"/>
        <v/>
      </c>
      <c r="L60" s="6" t="s">
        <v>6</v>
      </c>
      <c r="M60" s="27"/>
      <c r="N60" s="27"/>
    </row>
    <row r="61" spans="1:14" ht="18.75" customHeight="1" x14ac:dyDescent="0.15">
      <c r="A61" s="11">
        <v>54</v>
      </c>
      <c r="B61" s="2"/>
      <c r="C61" s="90"/>
      <c r="D61" s="93"/>
      <c r="E61" s="90"/>
      <c r="F61" s="91" t="str">
        <f t="shared" si="3"/>
        <v/>
      </c>
      <c r="G61" s="5"/>
      <c r="H61" s="5" t="str">
        <f t="shared" si="4"/>
        <v/>
      </c>
      <c r="I61" s="35"/>
      <c r="J61" s="6" t="s">
        <v>15</v>
      </c>
      <c r="K61" s="33" t="str">
        <f t="shared" si="5"/>
        <v/>
      </c>
      <c r="L61" s="6" t="s">
        <v>6</v>
      </c>
      <c r="M61" s="27"/>
      <c r="N61" s="27"/>
    </row>
    <row r="62" spans="1:14" ht="18.75" customHeight="1" x14ac:dyDescent="0.15">
      <c r="A62" s="11">
        <v>55</v>
      </c>
      <c r="B62" s="2"/>
      <c r="C62" s="90"/>
      <c r="D62" s="93"/>
      <c r="E62" s="90"/>
      <c r="F62" s="91" t="str">
        <f t="shared" si="3"/>
        <v/>
      </c>
      <c r="G62" s="5"/>
      <c r="H62" s="5" t="str">
        <f t="shared" si="4"/>
        <v/>
      </c>
      <c r="I62" s="41"/>
      <c r="J62" s="6" t="s">
        <v>15</v>
      </c>
      <c r="K62" s="33" t="str">
        <f t="shared" si="5"/>
        <v/>
      </c>
      <c r="L62" s="9" t="s">
        <v>6</v>
      </c>
      <c r="M62" s="27"/>
      <c r="N62" s="27"/>
    </row>
    <row r="63" spans="1:14" ht="18.75" customHeight="1" x14ac:dyDescent="0.15">
      <c r="A63" s="11">
        <v>56</v>
      </c>
      <c r="B63" s="2"/>
      <c r="C63" s="90"/>
      <c r="D63" s="93"/>
      <c r="E63" s="90"/>
      <c r="F63" s="91" t="str">
        <f t="shared" si="3"/>
        <v/>
      </c>
      <c r="G63" s="5"/>
      <c r="H63" s="5" t="str">
        <f t="shared" si="4"/>
        <v/>
      </c>
      <c r="I63" s="35"/>
      <c r="J63" s="6" t="s">
        <v>15</v>
      </c>
      <c r="K63" s="33" t="str">
        <f t="shared" si="5"/>
        <v/>
      </c>
      <c r="L63" s="6" t="s">
        <v>6</v>
      </c>
      <c r="M63" s="27"/>
      <c r="N63" s="27"/>
    </row>
    <row r="64" spans="1:14" ht="18.75" customHeight="1" x14ac:dyDescent="0.15">
      <c r="A64" s="11">
        <v>57</v>
      </c>
      <c r="B64" s="2"/>
      <c r="C64" s="90"/>
      <c r="D64" s="93"/>
      <c r="E64" s="7"/>
      <c r="F64" s="91" t="str">
        <f t="shared" si="3"/>
        <v/>
      </c>
      <c r="G64" s="5"/>
      <c r="H64" s="5" t="str">
        <f t="shared" si="4"/>
        <v/>
      </c>
      <c r="I64" s="42"/>
      <c r="J64" s="8" t="s">
        <v>15</v>
      </c>
      <c r="K64" s="33" t="str">
        <f t="shared" si="5"/>
        <v/>
      </c>
      <c r="L64" s="6" t="s">
        <v>6</v>
      </c>
      <c r="M64" s="27"/>
      <c r="N64" s="34"/>
    </row>
    <row r="65" spans="1:14" ht="18.75" customHeight="1" x14ac:dyDescent="0.15">
      <c r="A65" s="11">
        <v>58</v>
      </c>
      <c r="B65" s="2"/>
      <c r="C65" s="90"/>
      <c r="D65" s="93"/>
      <c r="E65" s="90"/>
      <c r="F65" s="91" t="str">
        <f t="shared" si="3"/>
        <v/>
      </c>
      <c r="G65" s="5"/>
      <c r="H65" s="5" t="str">
        <f t="shared" si="4"/>
        <v/>
      </c>
      <c r="I65" s="35"/>
      <c r="J65" s="6" t="s">
        <v>15</v>
      </c>
      <c r="K65" s="33" t="str">
        <f t="shared" si="5"/>
        <v/>
      </c>
      <c r="L65" s="6" t="s">
        <v>6</v>
      </c>
      <c r="M65" s="27"/>
      <c r="N65" s="27"/>
    </row>
    <row r="66" spans="1:14" ht="18.75" customHeight="1" x14ac:dyDescent="0.15">
      <c r="A66" s="11">
        <v>59</v>
      </c>
      <c r="B66" s="2"/>
      <c r="C66" s="90"/>
      <c r="D66" s="93"/>
      <c r="E66" s="90"/>
      <c r="F66" s="91" t="str">
        <f t="shared" si="3"/>
        <v/>
      </c>
      <c r="G66" s="5"/>
      <c r="H66" s="5" t="str">
        <f t="shared" si="4"/>
        <v/>
      </c>
      <c r="I66" s="35"/>
      <c r="J66" s="6" t="s">
        <v>15</v>
      </c>
      <c r="K66" s="33" t="str">
        <f t="shared" si="5"/>
        <v/>
      </c>
      <c r="L66" s="6" t="s">
        <v>6</v>
      </c>
      <c r="M66" s="27"/>
      <c r="N66" s="27"/>
    </row>
    <row r="67" spans="1:14" ht="18.75" customHeight="1" x14ac:dyDescent="0.15">
      <c r="A67" s="11">
        <v>60</v>
      </c>
      <c r="B67" s="2"/>
      <c r="C67" s="90"/>
      <c r="D67" s="93"/>
      <c r="E67" s="90"/>
      <c r="F67" s="91" t="str">
        <f t="shared" si="3"/>
        <v/>
      </c>
      <c r="G67" s="5"/>
      <c r="H67" s="5" t="str">
        <f t="shared" si="4"/>
        <v/>
      </c>
      <c r="I67" s="35"/>
      <c r="J67" s="6" t="s">
        <v>11</v>
      </c>
      <c r="K67" s="33" t="str">
        <f t="shared" si="5"/>
        <v/>
      </c>
      <c r="L67" s="6" t="s">
        <v>6</v>
      </c>
      <c r="M67" s="27"/>
      <c r="N67" s="27"/>
    </row>
    <row r="68" spans="1:14" ht="18.75" customHeight="1" x14ac:dyDescent="0.15">
      <c r="A68" s="11">
        <v>61</v>
      </c>
      <c r="B68" s="2"/>
      <c r="C68" s="90"/>
      <c r="D68" s="93"/>
      <c r="E68" s="90"/>
      <c r="F68" s="91" t="str">
        <f t="shared" si="3"/>
        <v/>
      </c>
      <c r="G68" s="5"/>
      <c r="H68" s="5" t="str">
        <f t="shared" si="4"/>
        <v/>
      </c>
      <c r="I68" s="35"/>
      <c r="J68" s="8" t="s">
        <v>11</v>
      </c>
      <c r="K68" s="33" t="str">
        <f t="shared" si="5"/>
        <v/>
      </c>
      <c r="L68" s="6" t="s">
        <v>6</v>
      </c>
      <c r="M68" s="27"/>
      <c r="N68" s="27"/>
    </row>
    <row r="69" spans="1:14" ht="18.75" customHeight="1" x14ac:dyDescent="0.15">
      <c r="A69" s="11">
        <v>62</v>
      </c>
      <c r="B69" s="2"/>
      <c r="C69" s="90"/>
      <c r="D69" s="93"/>
      <c r="E69" s="90"/>
      <c r="F69" s="91" t="str">
        <f t="shared" si="3"/>
        <v/>
      </c>
      <c r="G69" s="5"/>
      <c r="H69" s="5" t="str">
        <f t="shared" si="4"/>
        <v/>
      </c>
      <c r="I69" s="41"/>
      <c r="J69" s="6" t="s">
        <v>11</v>
      </c>
      <c r="K69" s="33" t="str">
        <f t="shared" si="5"/>
        <v/>
      </c>
      <c r="L69" s="6" t="s">
        <v>6</v>
      </c>
      <c r="M69" s="27"/>
      <c r="N69" s="27"/>
    </row>
    <row r="70" spans="1:14" ht="18.75" customHeight="1" x14ac:dyDescent="0.15">
      <c r="A70" s="11">
        <v>63</v>
      </c>
      <c r="B70" s="2"/>
      <c r="C70" s="90"/>
      <c r="D70" s="93"/>
      <c r="E70" s="90"/>
      <c r="F70" s="91" t="str">
        <f t="shared" si="3"/>
        <v/>
      </c>
      <c r="G70" s="5"/>
      <c r="H70" s="5" t="str">
        <f t="shared" si="4"/>
        <v/>
      </c>
      <c r="I70" s="41"/>
      <c r="J70" s="6" t="s">
        <v>15</v>
      </c>
      <c r="K70" s="33" t="str">
        <f t="shared" si="5"/>
        <v/>
      </c>
      <c r="L70" s="6" t="s">
        <v>6</v>
      </c>
      <c r="M70" s="27"/>
      <c r="N70" s="27"/>
    </row>
    <row r="71" spans="1:14" ht="18.75" customHeight="1" x14ac:dyDescent="0.15">
      <c r="A71" s="11">
        <v>64</v>
      </c>
      <c r="B71" s="2"/>
      <c r="C71" s="90"/>
      <c r="D71" s="93"/>
      <c r="E71" s="90"/>
      <c r="F71" s="91" t="str">
        <f t="shared" si="3"/>
        <v/>
      </c>
      <c r="G71" s="5"/>
      <c r="H71" s="5" t="str">
        <f t="shared" si="4"/>
        <v/>
      </c>
      <c r="I71" s="35"/>
      <c r="J71" s="8" t="s">
        <v>15</v>
      </c>
      <c r="K71" s="33" t="str">
        <f t="shared" si="5"/>
        <v/>
      </c>
      <c r="L71" s="6" t="s">
        <v>6</v>
      </c>
      <c r="M71" s="27"/>
      <c r="N71" s="27"/>
    </row>
    <row r="72" spans="1:14" ht="18.75" customHeight="1" x14ac:dyDescent="0.15">
      <c r="A72" s="11">
        <v>65</v>
      </c>
      <c r="B72" s="2"/>
      <c r="C72" s="90"/>
      <c r="D72" s="93"/>
      <c r="E72" s="90"/>
      <c r="F72" s="91" t="str">
        <f t="shared" si="3"/>
        <v/>
      </c>
      <c r="G72" s="5"/>
      <c r="H72" s="5" t="str">
        <f t="shared" si="4"/>
        <v/>
      </c>
      <c r="I72" s="35"/>
      <c r="J72" s="6" t="s">
        <v>15</v>
      </c>
      <c r="K72" s="33" t="str">
        <f t="shared" si="5"/>
        <v/>
      </c>
      <c r="L72" s="6" t="s">
        <v>6</v>
      </c>
      <c r="M72" s="27"/>
      <c r="N72" s="27"/>
    </row>
    <row r="73" spans="1:14" ht="18.75" customHeight="1" x14ac:dyDescent="0.15">
      <c r="A73" s="11">
        <v>66</v>
      </c>
      <c r="B73" s="2"/>
      <c r="C73" s="90"/>
      <c r="D73" s="93"/>
      <c r="E73" s="90"/>
      <c r="F73" s="91" t="str">
        <f t="shared" si="3"/>
        <v/>
      </c>
      <c r="G73" s="5"/>
      <c r="H73" s="5" t="str">
        <f t="shared" si="4"/>
        <v/>
      </c>
      <c r="I73" s="35"/>
      <c r="J73" s="6" t="s">
        <v>15</v>
      </c>
      <c r="K73" s="33" t="str">
        <f t="shared" si="5"/>
        <v/>
      </c>
      <c r="L73" s="6" t="s">
        <v>6</v>
      </c>
      <c r="M73" s="27"/>
      <c r="N73" s="27"/>
    </row>
    <row r="74" spans="1:14" ht="18.75" customHeight="1" x14ac:dyDescent="0.15">
      <c r="A74" s="11">
        <v>67</v>
      </c>
      <c r="B74" s="2"/>
      <c r="C74" s="90"/>
      <c r="D74" s="93"/>
      <c r="E74" s="90"/>
      <c r="F74" s="91" t="str">
        <f t="shared" si="3"/>
        <v/>
      </c>
      <c r="G74" s="5"/>
      <c r="H74" s="5" t="str">
        <f t="shared" si="4"/>
        <v/>
      </c>
      <c r="I74" s="35"/>
      <c r="J74" s="8" t="s">
        <v>15</v>
      </c>
      <c r="K74" s="33" t="str">
        <f t="shared" si="5"/>
        <v/>
      </c>
      <c r="L74" s="6" t="s">
        <v>6</v>
      </c>
      <c r="M74" s="27"/>
      <c r="N74" s="27"/>
    </row>
    <row r="75" spans="1:14" ht="18.75" customHeight="1" x14ac:dyDescent="0.15">
      <c r="A75" s="11">
        <v>68</v>
      </c>
      <c r="B75" s="2"/>
      <c r="C75" s="90"/>
      <c r="D75" s="93"/>
      <c r="E75" s="7"/>
      <c r="F75" s="91" t="str">
        <f t="shared" si="3"/>
        <v/>
      </c>
      <c r="G75" s="5"/>
      <c r="H75" s="5" t="str">
        <f t="shared" si="4"/>
        <v/>
      </c>
      <c r="I75" s="41"/>
      <c r="J75" s="6" t="s">
        <v>15</v>
      </c>
      <c r="K75" s="33" t="str">
        <f t="shared" si="5"/>
        <v/>
      </c>
      <c r="L75" s="6" t="s">
        <v>6</v>
      </c>
      <c r="M75" s="27"/>
      <c r="N75" s="27"/>
    </row>
    <row r="76" spans="1:14" ht="18.75" customHeight="1" x14ac:dyDescent="0.15">
      <c r="A76" s="11">
        <v>69</v>
      </c>
      <c r="B76" s="2"/>
      <c r="C76" s="90"/>
      <c r="D76" s="93"/>
      <c r="E76" s="90"/>
      <c r="F76" s="91" t="str">
        <f t="shared" si="3"/>
        <v/>
      </c>
      <c r="G76" s="5"/>
      <c r="H76" s="5" t="str">
        <f t="shared" si="4"/>
        <v/>
      </c>
      <c r="I76" s="35"/>
      <c r="J76" s="6" t="s">
        <v>15</v>
      </c>
      <c r="K76" s="33" t="str">
        <f t="shared" si="5"/>
        <v/>
      </c>
      <c r="L76" s="6" t="s">
        <v>6</v>
      </c>
      <c r="M76" s="27"/>
      <c r="N76" s="27"/>
    </row>
    <row r="77" spans="1:14" ht="18.75" customHeight="1" x14ac:dyDescent="0.15">
      <c r="A77" s="11">
        <v>70</v>
      </c>
      <c r="B77" s="2"/>
      <c r="C77" s="90"/>
      <c r="D77" s="93"/>
      <c r="E77" s="90"/>
      <c r="F77" s="91" t="str">
        <f t="shared" si="3"/>
        <v/>
      </c>
      <c r="G77" s="5"/>
      <c r="H77" s="5" t="str">
        <f t="shared" si="4"/>
        <v/>
      </c>
      <c r="I77" s="35"/>
      <c r="J77" s="6" t="s">
        <v>15</v>
      </c>
      <c r="K77" s="33" t="str">
        <f t="shared" si="5"/>
        <v/>
      </c>
      <c r="L77" s="6" t="s">
        <v>6</v>
      </c>
      <c r="M77" s="27"/>
      <c r="N77" s="27"/>
    </row>
    <row r="78" spans="1:14" ht="18.75" customHeight="1" x14ac:dyDescent="0.15">
      <c r="A78" s="11">
        <v>71</v>
      </c>
      <c r="B78" s="2"/>
      <c r="C78" s="90"/>
      <c r="D78" s="93"/>
      <c r="E78" s="90"/>
      <c r="F78" s="91" t="str">
        <f t="shared" si="3"/>
        <v/>
      </c>
      <c r="G78" s="5"/>
      <c r="H78" s="5" t="str">
        <f t="shared" si="4"/>
        <v/>
      </c>
      <c r="I78" s="42"/>
      <c r="J78" s="6" t="s">
        <v>15</v>
      </c>
      <c r="K78" s="33" t="str">
        <f t="shared" si="5"/>
        <v/>
      </c>
      <c r="L78" s="6" t="s">
        <v>6</v>
      </c>
      <c r="M78" s="27"/>
      <c r="N78" s="27"/>
    </row>
    <row r="79" spans="1:14" ht="18.75" customHeight="1" x14ac:dyDescent="0.15">
      <c r="A79" s="11">
        <v>72</v>
      </c>
      <c r="B79" s="2"/>
      <c r="C79" s="90"/>
      <c r="D79" s="93"/>
      <c r="E79" s="7"/>
      <c r="F79" s="91" t="str">
        <f t="shared" si="3"/>
        <v/>
      </c>
      <c r="G79" s="5"/>
      <c r="H79" s="5" t="str">
        <f t="shared" si="4"/>
        <v/>
      </c>
      <c r="I79" s="35"/>
      <c r="J79" s="6" t="s">
        <v>15</v>
      </c>
      <c r="K79" s="33" t="str">
        <f t="shared" si="5"/>
        <v/>
      </c>
      <c r="L79" s="6" t="s">
        <v>6</v>
      </c>
      <c r="M79" s="27"/>
      <c r="N79" s="27"/>
    </row>
    <row r="80" spans="1:14" ht="18.75" customHeight="1" x14ac:dyDescent="0.15">
      <c r="A80" s="11">
        <v>73</v>
      </c>
      <c r="B80" s="2"/>
      <c r="C80" s="90"/>
      <c r="D80" s="93"/>
      <c r="E80" s="90"/>
      <c r="F80" s="91" t="str">
        <f t="shared" si="3"/>
        <v/>
      </c>
      <c r="G80" s="5"/>
      <c r="H80" s="5" t="str">
        <f t="shared" si="4"/>
        <v/>
      </c>
      <c r="I80" s="43"/>
      <c r="J80" s="6" t="s">
        <v>15</v>
      </c>
      <c r="K80" s="33" t="str">
        <f t="shared" si="5"/>
        <v/>
      </c>
      <c r="L80" s="6" t="s">
        <v>6</v>
      </c>
      <c r="M80" s="27"/>
      <c r="N80" s="27"/>
    </row>
    <row r="81" spans="1:14" ht="18.75" customHeight="1" x14ac:dyDescent="0.15">
      <c r="A81" s="11">
        <v>74</v>
      </c>
      <c r="B81" s="2"/>
      <c r="C81" s="90"/>
      <c r="D81" s="93"/>
      <c r="E81" s="90"/>
      <c r="F81" s="91" t="str">
        <f t="shared" si="3"/>
        <v/>
      </c>
      <c r="G81" s="5"/>
      <c r="H81" s="5" t="str">
        <f t="shared" si="4"/>
        <v/>
      </c>
      <c r="I81" s="35"/>
      <c r="J81" s="6" t="s">
        <v>15</v>
      </c>
      <c r="K81" s="33" t="str">
        <f t="shared" si="5"/>
        <v/>
      </c>
      <c r="L81" s="6" t="s">
        <v>6</v>
      </c>
      <c r="M81" s="27"/>
      <c r="N81" s="27"/>
    </row>
    <row r="82" spans="1:14" ht="18.75" customHeight="1" x14ac:dyDescent="0.15">
      <c r="A82" s="11">
        <v>75</v>
      </c>
      <c r="B82" s="2"/>
      <c r="C82" s="90"/>
      <c r="D82" s="93"/>
      <c r="E82" s="7"/>
      <c r="F82" s="91" t="str">
        <f t="shared" si="3"/>
        <v/>
      </c>
      <c r="G82" s="5"/>
      <c r="H82" s="5" t="str">
        <f t="shared" si="4"/>
        <v/>
      </c>
      <c r="I82" s="42"/>
      <c r="J82" s="6" t="s">
        <v>15</v>
      </c>
      <c r="K82" s="33" t="str">
        <f t="shared" si="5"/>
        <v/>
      </c>
      <c r="L82" s="6" t="s">
        <v>6</v>
      </c>
      <c r="M82" s="27"/>
      <c r="N82" s="27"/>
    </row>
    <row r="83" spans="1:14" ht="18.75" customHeight="1" x14ac:dyDescent="0.15">
      <c r="A83" s="11">
        <v>76</v>
      </c>
      <c r="B83" s="2"/>
      <c r="C83" s="90"/>
      <c r="D83" s="93"/>
      <c r="E83" s="90"/>
      <c r="F83" s="91" t="str">
        <f t="shared" si="3"/>
        <v/>
      </c>
      <c r="G83" s="5"/>
      <c r="H83" s="5" t="str">
        <f t="shared" si="4"/>
        <v/>
      </c>
      <c r="I83" s="35"/>
      <c r="J83" s="6" t="s">
        <v>15</v>
      </c>
      <c r="K83" s="33" t="str">
        <f t="shared" si="5"/>
        <v/>
      </c>
      <c r="L83" s="6" t="s">
        <v>6</v>
      </c>
      <c r="M83" s="27"/>
      <c r="N83" s="27"/>
    </row>
    <row r="84" spans="1:14" ht="18.75" customHeight="1" x14ac:dyDescent="0.15">
      <c r="A84" s="11">
        <v>77</v>
      </c>
      <c r="B84" s="2"/>
      <c r="C84" s="90"/>
      <c r="D84" s="93"/>
      <c r="E84" s="90"/>
      <c r="F84" s="91" t="str">
        <f t="shared" si="3"/>
        <v/>
      </c>
      <c r="G84" s="5"/>
      <c r="H84" s="5" t="str">
        <f t="shared" si="4"/>
        <v/>
      </c>
      <c r="I84" s="35"/>
      <c r="J84" s="6" t="s">
        <v>15</v>
      </c>
      <c r="K84" s="33" t="str">
        <f t="shared" si="5"/>
        <v/>
      </c>
      <c r="L84" s="6" t="s">
        <v>6</v>
      </c>
      <c r="M84" s="27"/>
      <c r="N84" s="27"/>
    </row>
    <row r="85" spans="1:14" ht="18.75" customHeight="1" x14ac:dyDescent="0.15">
      <c r="A85" s="11">
        <v>78</v>
      </c>
      <c r="B85" s="2"/>
      <c r="C85" s="90"/>
      <c r="D85" s="93"/>
      <c r="E85" s="90"/>
      <c r="F85" s="91" t="str">
        <f t="shared" si="3"/>
        <v/>
      </c>
      <c r="G85" s="5"/>
      <c r="H85" s="5" t="str">
        <f t="shared" si="4"/>
        <v/>
      </c>
      <c r="I85" s="35"/>
      <c r="J85" s="6" t="s">
        <v>15</v>
      </c>
      <c r="K85" s="37" t="str">
        <f t="shared" si="5"/>
        <v/>
      </c>
      <c r="L85" s="6" t="s">
        <v>6</v>
      </c>
      <c r="M85" s="27"/>
      <c r="N85" s="27"/>
    </row>
    <row r="86" spans="1:14" ht="18.75" customHeight="1" x14ac:dyDescent="0.15">
      <c r="A86" s="11">
        <v>79</v>
      </c>
      <c r="B86" s="2"/>
      <c r="C86" s="90"/>
      <c r="D86" s="93"/>
      <c r="E86" s="90"/>
      <c r="F86" s="91"/>
      <c r="G86" s="5"/>
      <c r="H86" s="5"/>
      <c r="I86" s="35"/>
      <c r="J86" s="6" t="s">
        <v>15</v>
      </c>
      <c r="K86" s="37"/>
      <c r="L86" s="6" t="s">
        <v>6</v>
      </c>
      <c r="M86" s="27"/>
      <c r="N86" s="27"/>
    </row>
    <row r="87" spans="1:14" ht="18.75" customHeight="1" x14ac:dyDescent="0.15">
      <c r="A87" s="11">
        <v>80</v>
      </c>
      <c r="B87" s="2"/>
      <c r="C87" s="90"/>
      <c r="D87" s="93"/>
      <c r="E87" s="90"/>
      <c r="F87" s="91" t="str">
        <f t="shared" si="3"/>
        <v/>
      </c>
      <c r="G87" s="5"/>
      <c r="H87" s="5" t="str">
        <f t="shared" si="4"/>
        <v/>
      </c>
      <c r="I87" s="35"/>
      <c r="J87" s="6" t="s">
        <v>15</v>
      </c>
      <c r="K87" s="37" t="str">
        <f>IF(I87&gt;0,I87*0.2,"")</f>
        <v/>
      </c>
      <c r="L87" s="6" t="s">
        <v>6</v>
      </c>
      <c r="M87" s="27"/>
      <c r="N87" s="27"/>
    </row>
    <row r="88" spans="1:14" ht="18.75" customHeight="1" x14ac:dyDescent="0.15">
      <c r="B88" s="44"/>
      <c r="C88" s="44"/>
      <c r="D88" s="45"/>
      <c r="E88" s="44"/>
      <c r="F88" s="44" t="str">
        <f t="shared" si="3"/>
        <v/>
      </c>
      <c r="G88" s="46"/>
      <c r="H88" s="46" t="str">
        <f t="shared" si="4"/>
        <v/>
      </c>
      <c r="I88" s="61">
        <f>SUM(I48:I87)+I44</f>
        <v>0</v>
      </c>
      <c r="J88" s="8" t="s">
        <v>15</v>
      </c>
      <c r="K88" s="47">
        <f>SUM(K48:K87)+K44</f>
        <v>0</v>
      </c>
      <c r="L88" s="8" t="s">
        <v>6</v>
      </c>
      <c r="M88" s="48"/>
      <c r="N88" s="48"/>
    </row>
  </sheetData>
  <mergeCells count="12">
    <mergeCell ref="B1:M1"/>
    <mergeCell ref="B2:M2"/>
    <mergeCell ref="C3:D3"/>
    <mergeCell ref="E3:F3"/>
    <mergeCell ref="I3:J3"/>
    <mergeCell ref="K3:L3"/>
    <mergeCell ref="B45:M45"/>
    <mergeCell ref="B46:M46"/>
    <mergeCell ref="C47:D47"/>
    <mergeCell ref="E47:F47"/>
    <mergeCell ref="I47:J47"/>
    <mergeCell ref="K47:L47"/>
  </mergeCells>
  <phoneticPr fontId="2"/>
  <dataValidations count="6">
    <dataValidation imeMode="on" allowBlank="1" showInputMessage="1" showErrorMessage="1" sqref="B44:C44 B88:C88" xr:uid="{63FAEABE-96C1-4A34-975B-FCF700FB5AF4}"/>
    <dataValidation imeMode="disabled" allowBlank="1" showInputMessage="1" showErrorMessage="1" sqref="G4:G40 N21:N42 H4:M42 N49:N63 N5:N19 G48:G84 E48:E88 N65:N88 H48:M88 E4:E44 M44:N44 H43:L44" xr:uid="{1FB071AF-4159-4291-9A3E-BB8E2BA117C8}"/>
    <dataValidation type="list" imeMode="on" allowBlank="1" showInputMessage="1" prompt="なければ直接入力" sqref="D44 D88" xr:uid="{C54245AC-FCE9-486B-94EB-984B19365885}">
      <formula1>"利尻島国保中央病院,福士水産㈱,高橋水産㈱"</formula1>
    </dataValidation>
    <dataValidation imeMode="disabled" allowBlank="1" showInputMessage="1" sqref="G85:G88 G41:G44" xr:uid="{D92C4213-B0E1-46AD-A2F8-62D162FE4C9E}"/>
    <dataValidation type="list" imeMode="on" allowBlank="1" showInputMessage="1" prompt="なければ直接入力" sqref="D4:D43 D48:D87" xr:uid="{2DE64A11-D6A0-4C4C-B7F3-0C6848134EB4}">
      <formula1>"利尻島国保中央病院,道立鬼脇診療所,カムイウィスキー,福士水産㈱,糀谷商店,米田商店"</formula1>
    </dataValidation>
    <dataValidation type="list" imeMode="on" allowBlank="1" showInputMessage="1" showErrorMessage="1" sqref="B4:C43 B48:C87" xr:uid="{4FFBC1A0-E915-494E-9B55-3853B1386700}">
      <formula1>"水産系燃え殻,医療系燃え殻"</formula1>
    </dataValidation>
  </dataValidations>
  <printOptions horizontalCentered="1" verticalCentered="1"/>
  <pageMargins left="0.59055118110236227" right="0.59055118110236227" top="0.59055118110236227" bottom="0.59055118110236227" header="0" footer="0"/>
  <pageSetup paperSize="9" orientation="portrait" horizontalDpi="4294967293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C194-09FE-42DA-9A11-5B9D6B7D2A77}">
  <dimension ref="A1:O88"/>
  <sheetViews>
    <sheetView workbookViewId="0">
      <selection sqref="A1:XFD1048576"/>
    </sheetView>
  </sheetViews>
  <sheetFormatPr defaultRowHeight="13.5" x14ac:dyDescent="0.15"/>
  <cols>
    <col min="1" max="1" width="3.375" style="12" customWidth="1"/>
    <col min="2" max="2" width="12.25" style="10" customWidth="1"/>
    <col min="3" max="3" width="1" style="10" customWidth="1"/>
    <col min="4" max="4" width="17.625" style="12" customWidth="1"/>
    <col min="5" max="5" width="10.625" style="10" customWidth="1"/>
    <col min="6" max="6" width="2.125" style="10" customWidth="1"/>
    <col min="7" max="8" width="8.125" style="10" customWidth="1"/>
    <col min="9" max="9" width="6" style="13" customWidth="1"/>
    <col min="10" max="10" width="2.375" style="10" customWidth="1"/>
    <col min="11" max="11" width="5.5" style="10" customWidth="1"/>
    <col min="12" max="12" width="2.25" style="10" customWidth="1"/>
    <col min="13" max="13" width="6.25" style="49" customWidth="1"/>
    <col min="14" max="14" width="6.25" style="10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 x14ac:dyDescent="0.15">
      <c r="B1" s="95" t="s">
        <v>9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5" ht="21" customHeight="1" x14ac:dyDescent="0.15"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spans="1:15" ht="27" customHeight="1" x14ac:dyDescent="0.15">
      <c r="A3" s="11"/>
      <c r="B3" s="29" t="s">
        <v>1</v>
      </c>
      <c r="C3" s="102" t="s">
        <v>2</v>
      </c>
      <c r="D3" s="103"/>
      <c r="E3" s="104" t="s">
        <v>3</v>
      </c>
      <c r="F3" s="105"/>
      <c r="G3" s="92" t="s">
        <v>4</v>
      </c>
      <c r="H3" s="92" t="s">
        <v>7</v>
      </c>
      <c r="I3" s="106" t="s">
        <v>8</v>
      </c>
      <c r="J3" s="107"/>
      <c r="K3" s="106" t="s">
        <v>5</v>
      </c>
      <c r="L3" s="106"/>
      <c r="M3" s="30" t="s">
        <v>10</v>
      </c>
      <c r="N3" s="31" t="s">
        <v>18</v>
      </c>
    </row>
    <row r="4" spans="1:15" ht="18.75" customHeight="1" x14ac:dyDescent="0.15">
      <c r="A4" s="11">
        <v>1</v>
      </c>
      <c r="B4" s="2"/>
      <c r="C4" s="90"/>
      <c r="D4" s="93"/>
      <c r="E4" s="90"/>
      <c r="F4" s="91" t="str">
        <f t="shared" ref="F4:F41" si="0">IF(E4="","",E4-INT(E4/7)*7)</f>
        <v/>
      </c>
      <c r="G4" s="5"/>
      <c r="H4" s="5" t="str">
        <f t="shared" ref="H4:H41" si="1">IF(G4="","",G4)</f>
        <v/>
      </c>
      <c r="I4" s="32"/>
      <c r="J4" s="6" t="s">
        <v>15</v>
      </c>
      <c r="K4" s="33" t="str">
        <f t="shared" ref="K4:K41" si="2">IF(I4&gt;0,I4*0.2,"")</f>
        <v/>
      </c>
      <c r="L4" s="6" t="s">
        <v>6</v>
      </c>
      <c r="M4" s="27"/>
      <c r="N4" s="34"/>
    </row>
    <row r="5" spans="1:15" ht="18.75" customHeight="1" x14ac:dyDescent="0.15">
      <c r="A5" s="11">
        <v>2</v>
      </c>
      <c r="B5" s="2"/>
      <c r="C5" s="90"/>
      <c r="D5" s="93"/>
      <c r="E5" s="7"/>
      <c r="F5" s="91" t="str">
        <f t="shared" si="0"/>
        <v/>
      </c>
      <c r="G5" s="5"/>
      <c r="H5" s="5" t="str">
        <f t="shared" si="1"/>
        <v/>
      </c>
      <c r="I5" s="35"/>
      <c r="J5" s="36" t="s">
        <v>15</v>
      </c>
      <c r="K5" s="37" t="str">
        <f t="shared" si="2"/>
        <v/>
      </c>
      <c r="L5" s="6" t="s">
        <v>6</v>
      </c>
      <c r="M5" s="27"/>
      <c r="N5" s="27"/>
    </row>
    <row r="6" spans="1:15" ht="18.75" customHeight="1" x14ac:dyDescent="0.15">
      <c r="A6" s="11">
        <v>3</v>
      </c>
      <c r="B6" s="2"/>
      <c r="C6" s="90"/>
      <c r="D6" s="93"/>
      <c r="E6" s="90"/>
      <c r="F6" s="91" t="str">
        <f t="shared" si="0"/>
        <v/>
      </c>
      <c r="G6" s="5"/>
      <c r="H6" s="5" t="str">
        <f t="shared" si="1"/>
        <v/>
      </c>
      <c r="I6" s="38"/>
      <c r="J6" s="8" t="s">
        <v>15</v>
      </c>
      <c r="K6" s="39" t="str">
        <f t="shared" si="2"/>
        <v/>
      </c>
      <c r="L6" s="9" t="s">
        <v>6</v>
      </c>
      <c r="M6" s="40"/>
      <c r="N6" s="27"/>
    </row>
    <row r="7" spans="1:15" ht="18.75" customHeight="1" x14ac:dyDescent="0.15">
      <c r="A7" s="11">
        <v>4</v>
      </c>
      <c r="B7" s="2"/>
      <c r="C7" s="90"/>
      <c r="D7" s="93"/>
      <c r="E7" s="90"/>
      <c r="F7" s="91" t="str">
        <f t="shared" si="0"/>
        <v/>
      </c>
      <c r="G7" s="5"/>
      <c r="H7" s="5" t="str">
        <f t="shared" si="1"/>
        <v/>
      </c>
      <c r="I7" s="35"/>
      <c r="J7" s="6" t="s">
        <v>15</v>
      </c>
      <c r="K7" s="33" t="str">
        <f t="shared" si="2"/>
        <v/>
      </c>
      <c r="L7" s="6" t="s">
        <v>6</v>
      </c>
      <c r="M7" s="27"/>
      <c r="N7" s="27"/>
    </row>
    <row r="8" spans="1:15" ht="18.75" customHeight="1" x14ac:dyDescent="0.15">
      <c r="A8" s="11">
        <v>5</v>
      </c>
      <c r="B8" s="2"/>
      <c r="C8" s="90"/>
      <c r="D8" s="93"/>
      <c r="E8" s="90"/>
      <c r="F8" s="91" t="str">
        <f t="shared" si="0"/>
        <v/>
      </c>
      <c r="G8" s="5"/>
      <c r="H8" s="5" t="str">
        <f t="shared" si="1"/>
        <v/>
      </c>
      <c r="I8" s="35"/>
      <c r="J8" s="6" t="s">
        <v>15</v>
      </c>
      <c r="K8" s="33" t="str">
        <f t="shared" si="2"/>
        <v/>
      </c>
      <c r="L8" s="6" t="s">
        <v>6</v>
      </c>
      <c r="M8" s="27"/>
      <c r="N8" s="27"/>
    </row>
    <row r="9" spans="1:15" ht="18.75" customHeight="1" x14ac:dyDescent="0.15">
      <c r="A9" s="11">
        <v>6</v>
      </c>
      <c r="B9" s="2"/>
      <c r="C9" s="90"/>
      <c r="D9" s="93"/>
      <c r="E9" s="90"/>
      <c r="F9" s="91" t="str">
        <f t="shared" si="0"/>
        <v/>
      </c>
      <c r="G9" s="5"/>
      <c r="H9" s="5" t="str">
        <f t="shared" si="1"/>
        <v/>
      </c>
      <c r="I9" s="35"/>
      <c r="J9" s="6" t="s">
        <v>15</v>
      </c>
      <c r="K9" s="33" t="str">
        <f t="shared" si="2"/>
        <v/>
      </c>
      <c r="L9" s="6" t="s">
        <v>6</v>
      </c>
      <c r="M9" s="27"/>
      <c r="N9" s="27"/>
    </row>
    <row r="10" spans="1:15" ht="18.75" customHeight="1" x14ac:dyDescent="0.15">
      <c r="A10" s="11">
        <v>7</v>
      </c>
      <c r="B10" s="2"/>
      <c r="C10" s="90"/>
      <c r="D10" s="93"/>
      <c r="E10" s="90"/>
      <c r="F10" s="91" t="str">
        <f t="shared" si="0"/>
        <v/>
      </c>
      <c r="G10" s="5"/>
      <c r="H10" s="5" t="str">
        <f t="shared" si="1"/>
        <v/>
      </c>
      <c r="I10" s="35"/>
      <c r="J10" s="6" t="s">
        <v>15</v>
      </c>
      <c r="K10" s="33" t="str">
        <f t="shared" si="2"/>
        <v/>
      </c>
      <c r="L10" s="6" t="s">
        <v>6</v>
      </c>
      <c r="M10" s="27"/>
      <c r="N10" s="27"/>
    </row>
    <row r="11" spans="1:15" ht="18.75" customHeight="1" x14ac:dyDescent="0.15">
      <c r="A11" s="11">
        <v>8</v>
      </c>
      <c r="B11" s="2"/>
      <c r="C11" s="90"/>
      <c r="D11" s="93"/>
      <c r="E11" s="90"/>
      <c r="F11" s="91" t="str">
        <f t="shared" si="0"/>
        <v/>
      </c>
      <c r="G11" s="5"/>
      <c r="H11" s="5" t="str">
        <f t="shared" si="1"/>
        <v/>
      </c>
      <c r="I11" s="41"/>
      <c r="J11" s="8" t="s">
        <v>15</v>
      </c>
      <c r="K11" s="33" t="str">
        <f t="shared" si="2"/>
        <v/>
      </c>
      <c r="L11" s="9" t="s">
        <v>6</v>
      </c>
      <c r="M11" s="27"/>
      <c r="N11" s="27"/>
    </row>
    <row r="12" spans="1:15" ht="18.75" customHeight="1" x14ac:dyDescent="0.15">
      <c r="A12" s="11">
        <v>9</v>
      </c>
      <c r="B12" s="2"/>
      <c r="C12" s="90"/>
      <c r="D12" s="93"/>
      <c r="E12" s="90"/>
      <c r="F12" s="91" t="str">
        <f t="shared" si="0"/>
        <v/>
      </c>
      <c r="G12" s="5"/>
      <c r="H12" s="5" t="str">
        <f t="shared" si="1"/>
        <v/>
      </c>
      <c r="I12" s="35"/>
      <c r="J12" s="6" t="s">
        <v>15</v>
      </c>
      <c r="K12" s="33" t="str">
        <f t="shared" si="2"/>
        <v/>
      </c>
      <c r="L12" s="6" t="s">
        <v>6</v>
      </c>
      <c r="M12" s="27"/>
      <c r="N12" s="27"/>
    </row>
    <row r="13" spans="1:15" ht="18.75" customHeight="1" x14ac:dyDescent="0.15">
      <c r="A13" s="11">
        <v>10</v>
      </c>
      <c r="B13" s="2"/>
      <c r="C13" s="90"/>
      <c r="D13" s="93"/>
      <c r="E13" s="90"/>
      <c r="F13" s="91" t="str">
        <f t="shared" si="0"/>
        <v/>
      </c>
      <c r="G13" s="5"/>
      <c r="H13" s="5" t="str">
        <f t="shared" si="1"/>
        <v/>
      </c>
      <c r="I13" s="41"/>
      <c r="J13" s="8" t="s">
        <v>15</v>
      </c>
      <c r="K13" s="33" t="str">
        <f t="shared" si="2"/>
        <v/>
      </c>
      <c r="L13" s="9" t="s">
        <v>6</v>
      </c>
      <c r="M13" s="27"/>
      <c r="N13" s="27"/>
    </row>
    <row r="14" spans="1:15" ht="18.75" customHeight="1" x14ac:dyDescent="0.15">
      <c r="A14" s="11">
        <v>11</v>
      </c>
      <c r="B14" s="2"/>
      <c r="C14" s="90"/>
      <c r="D14" s="93"/>
      <c r="E14" s="90"/>
      <c r="F14" s="91" t="str">
        <f t="shared" si="0"/>
        <v/>
      </c>
      <c r="G14" s="5"/>
      <c r="H14" s="5" t="str">
        <f t="shared" si="1"/>
        <v/>
      </c>
      <c r="I14" s="35"/>
      <c r="J14" s="6" t="s">
        <v>15</v>
      </c>
      <c r="K14" s="33" t="str">
        <f t="shared" si="2"/>
        <v/>
      </c>
      <c r="L14" s="6" t="s">
        <v>6</v>
      </c>
      <c r="M14" s="27"/>
      <c r="N14" s="27"/>
      <c r="O14" s="59"/>
    </row>
    <row r="15" spans="1:15" ht="18.75" customHeight="1" x14ac:dyDescent="0.15">
      <c r="A15" s="11">
        <v>12</v>
      </c>
      <c r="B15" s="2"/>
      <c r="C15" s="90"/>
      <c r="D15" s="93"/>
      <c r="E15" s="90"/>
      <c r="F15" s="91" t="str">
        <f t="shared" si="0"/>
        <v/>
      </c>
      <c r="G15" s="5"/>
      <c r="H15" s="5" t="str">
        <f t="shared" si="1"/>
        <v/>
      </c>
      <c r="I15" s="42"/>
      <c r="J15" s="8" t="s">
        <v>15</v>
      </c>
      <c r="K15" s="33" t="str">
        <f t="shared" si="2"/>
        <v/>
      </c>
      <c r="L15" s="6" t="s">
        <v>6</v>
      </c>
      <c r="M15" s="27"/>
      <c r="N15" s="27"/>
    </row>
    <row r="16" spans="1:15" ht="18.75" customHeight="1" x14ac:dyDescent="0.15">
      <c r="A16" s="11">
        <v>13</v>
      </c>
      <c r="B16" s="2"/>
      <c r="C16" s="90"/>
      <c r="D16" s="93"/>
      <c r="E16" s="90"/>
      <c r="F16" s="91" t="str">
        <f t="shared" si="0"/>
        <v/>
      </c>
      <c r="G16" s="5"/>
      <c r="H16" s="5" t="str">
        <f t="shared" si="1"/>
        <v/>
      </c>
      <c r="I16" s="35"/>
      <c r="J16" s="6" t="s">
        <v>15</v>
      </c>
      <c r="K16" s="33" t="str">
        <f t="shared" si="2"/>
        <v/>
      </c>
      <c r="L16" s="6" t="s">
        <v>6</v>
      </c>
      <c r="M16" s="27"/>
      <c r="N16" s="27"/>
    </row>
    <row r="17" spans="1:15" ht="18.75" customHeight="1" x14ac:dyDescent="0.15">
      <c r="A17" s="11">
        <v>14</v>
      </c>
      <c r="B17" s="2"/>
      <c r="C17" s="90"/>
      <c r="D17" s="93"/>
      <c r="E17" s="90"/>
      <c r="F17" s="91" t="str">
        <f t="shared" si="0"/>
        <v/>
      </c>
      <c r="G17" s="5"/>
      <c r="H17" s="5" t="str">
        <f t="shared" si="1"/>
        <v/>
      </c>
      <c r="I17" s="35"/>
      <c r="J17" s="6" t="s">
        <v>15</v>
      </c>
      <c r="K17" s="33" t="str">
        <f t="shared" si="2"/>
        <v/>
      </c>
      <c r="L17" s="6" t="s">
        <v>6</v>
      </c>
      <c r="M17" s="27"/>
      <c r="N17" s="27"/>
    </row>
    <row r="18" spans="1:15" ht="18.75" customHeight="1" x14ac:dyDescent="0.15">
      <c r="A18" s="11">
        <v>15</v>
      </c>
      <c r="B18" s="2"/>
      <c r="C18" s="90"/>
      <c r="D18" s="93"/>
      <c r="E18" s="90"/>
      <c r="F18" s="91" t="str">
        <f t="shared" si="0"/>
        <v/>
      </c>
      <c r="G18" s="5"/>
      <c r="H18" s="5" t="str">
        <f t="shared" si="1"/>
        <v/>
      </c>
      <c r="I18" s="41"/>
      <c r="J18" s="6" t="s">
        <v>15</v>
      </c>
      <c r="K18" s="33" t="str">
        <f t="shared" si="2"/>
        <v/>
      </c>
      <c r="L18" s="9" t="s">
        <v>6</v>
      </c>
      <c r="M18" s="27"/>
      <c r="N18" s="27"/>
    </row>
    <row r="19" spans="1:15" ht="18.75" customHeight="1" x14ac:dyDescent="0.15">
      <c r="A19" s="11">
        <v>16</v>
      </c>
      <c r="B19" s="2"/>
      <c r="C19" s="90"/>
      <c r="D19" s="93"/>
      <c r="E19" s="90"/>
      <c r="F19" s="91" t="str">
        <f t="shared" si="0"/>
        <v/>
      </c>
      <c r="G19" s="5"/>
      <c r="H19" s="5" t="str">
        <f t="shared" si="1"/>
        <v/>
      </c>
      <c r="I19" s="35"/>
      <c r="J19" s="6" t="s">
        <v>15</v>
      </c>
      <c r="K19" s="33" t="str">
        <f t="shared" si="2"/>
        <v/>
      </c>
      <c r="L19" s="6" t="s">
        <v>6</v>
      </c>
      <c r="M19" s="27"/>
      <c r="N19" s="27"/>
    </row>
    <row r="20" spans="1:15" ht="18.75" customHeight="1" x14ac:dyDescent="0.15">
      <c r="A20" s="11">
        <v>17</v>
      </c>
      <c r="B20" s="2"/>
      <c r="C20" s="90"/>
      <c r="D20" s="93"/>
      <c r="E20" s="7"/>
      <c r="F20" s="91" t="str">
        <f t="shared" si="0"/>
        <v/>
      </c>
      <c r="G20" s="5"/>
      <c r="H20" s="5" t="str">
        <f t="shared" si="1"/>
        <v/>
      </c>
      <c r="I20" s="42"/>
      <c r="J20" s="8" t="s">
        <v>15</v>
      </c>
      <c r="K20" s="33" t="str">
        <f t="shared" si="2"/>
        <v/>
      </c>
      <c r="L20" s="6" t="s">
        <v>6</v>
      </c>
      <c r="M20" s="27"/>
      <c r="N20" s="34"/>
    </row>
    <row r="21" spans="1:15" ht="18.75" customHeight="1" x14ac:dyDescent="0.15">
      <c r="A21" s="11">
        <v>18</v>
      </c>
      <c r="B21" s="2"/>
      <c r="C21" s="90"/>
      <c r="D21" s="93"/>
      <c r="E21" s="90"/>
      <c r="F21" s="91" t="str">
        <f t="shared" si="0"/>
        <v/>
      </c>
      <c r="G21" s="5"/>
      <c r="H21" s="5" t="str">
        <f t="shared" si="1"/>
        <v/>
      </c>
      <c r="I21" s="35"/>
      <c r="J21" s="6" t="s">
        <v>15</v>
      </c>
      <c r="K21" s="33" t="str">
        <f t="shared" si="2"/>
        <v/>
      </c>
      <c r="L21" s="6" t="s">
        <v>6</v>
      </c>
      <c r="M21" s="27"/>
      <c r="N21" s="27"/>
    </row>
    <row r="22" spans="1:15" ht="18.75" customHeight="1" x14ac:dyDescent="0.15">
      <c r="A22" s="11">
        <v>19</v>
      </c>
      <c r="B22" s="2"/>
      <c r="C22" s="90"/>
      <c r="D22" s="93"/>
      <c r="E22" s="90"/>
      <c r="F22" s="91" t="str">
        <f t="shared" si="0"/>
        <v/>
      </c>
      <c r="G22" s="5"/>
      <c r="H22" s="5" t="str">
        <f t="shared" si="1"/>
        <v/>
      </c>
      <c r="I22" s="35"/>
      <c r="J22" s="6" t="s">
        <v>15</v>
      </c>
      <c r="K22" s="33" t="str">
        <f t="shared" si="2"/>
        <v/>
      </c>
      <c r="L22" s="6" t="s">
        <v>6</v>
      </c>
      <c r="M22" s="27"/>
      <c r="N22" s="27"/>
    </row>
    <row r="23" spans="1:15" ht="18.75" customHeight="1" x14ac:dyDescent="0.15">
      <c r="A23" s="11">
        <v>20</v>
      </c>
      <c r="B23" s="2"/>
      <c r="C23" s="90"/>
      <c r="D23" s="93"/>
      <c r="E23" s="90"/>
      <c r="F23" s="91" t="str">
        <f t="shared" si="0"/>
        <v/>
      </c>
      <c r="G23" s="5"/>
      <c r="H23" s="5" t="str">
        <f t="shared" si="1"/>
        <v/>
      </c>
      <c r="I23" s="35"/>
      <c r="J23" s="6" t="s">
        <v>11</v>
      </c>
      <c r="K23" s="33" t="str">
        <f t="shared" si="2"/>
        <v/>
      </c>
      <c r="L23" s="6" t="s">
        <v>6</v>
      </c>
      <c r="M23" s="27"/>
      <c r="N23" s="27"/>
    </row>
    <row r="24" spans="1:15" ht="18.75" customHeight="1" x14ac:dyDescent="0.15">
      <c r="A24" s="11">
        <v>21</v>
      </c>
      <c r="B24" s="2"/>
      <c r="C24" s="90"/>
      <c r="D24" s="93"/>
      <c r="E24" s="90"/>
      <c r="F24" s="91" t="str">
        <f t="shared" si="0"/>
        <v/>
      </c>
      <c r="G24" s="5"/>
      <c r="H24" s="5" t="str">
        <f t="shared" si="1"/>
        <v/>
      </c>
      <c r="I24" s="35"/>
      <c r="J24" s="8" t="s">
        <v>11</v>
      </c>
      <c r="K24" s="33" t="str">
        <f t="shared" si="2"/>
        <v/>
      </c>
      <c r="L24" s="6" t="s">
        <v>6</v>
      </c>
      <c r="M24" s="27"/>
      <c r="N24" s="27"/>
    </row>
    <row r="25" spans="1:15" ht="18.75" customHeight="1" x14ac:dyDescent="0.15">
      <c r="A25" s="11">
        <v>22</v>
      </c>
      <c r="B25" s="2"/>
      <c r="C25" s="90"/>
      <c r="D25" s="93"/>
      <c r="E25" s="90"/>
      <c r="F25" s="91" t="str">
        <f t="shared" si="0"/>
        <v/>
      </c>
      <c r="G25" s="5"/>
      <c r="H25" s="5" t="str">
        <f t="shared" si="1"/>
        <v/>
      </c>
      <c r="I25" s="41"/>
      <c r="J25" s="6" t="s">
        <v>11</v>
      </c>
      <c r="K25" s="33" t="str">
        <f t="shared" si="2"/>
        <v/>
      </c>
      <c r="L25" s="6" t="s">
        <v>6</v>
      </c>
      <c r="M25" s="27"/>
      <c r="N25" s="27"/>
    </row>
    <row r="26" spans="1:15" ht="18.75" customHeight="1" x14ac:dyDescent="0.15">
      <c r="A26" s="11">
        <v>23</v>
      </c>
      <c r="B26" s="2"/>
      <c r="C26" s="90"/>
      <c r="D26" s="93"/>
      <c r="E26" s="90"/>
      <c r="F26" s="91" t="str">
        <f t="shared" si="0"/>
        <v/>
      </c>
      <c r="G26" s="5"/>
      <c r="H26" s="5" t="str">
        <f t="shared" si="1"/>
        <v/>
      </c>
      <c r="I26" s="41"/>
      <c r="J26" s="6" t="s">
        <v>15</v>
      </c>
      <c r="K26" s="33" t="str">
        <f t="shared" si="2"/>
        <v/>
      </c>
      <c r="L26" s="6" t="s">
        <v>6</v>
      </c>
      <c r="M26" s="27"/>
      <c r="N26" s="27"/>
    </row>
    <row r="27" spans="1:15" ht="18.75" customHeight="1" x14ac:dyDescent="0.15">
      <c r="A27" s="11">
        <v>24</v>
      </c>
      <c r="B27" s="2"/>
      <c r="C27" s="90"/>
      <c r="D27" s="93"/>
      <c r="E27" s="90"/>
      <c r="F27" s="91" t="str">
        <f t="shared" si="0"/>
        <v/>
      </c>
      <c r="G27" s="5"/>
      <c r="H27" s="5" t="str">
        <f t="shared" si="1"/>
        <v/>
      </c>
      <c r="I27" s="35"/>
      <c r="J27" s="8" t="s">
        <v>15</v>
      </c>
      <c r="K27" s="33" t="str">
        <f t="shared" si="2"/>
        <v/>
      </c>
      <c r="L27" s="6" t="s">
        <v>6</v>
      </c>
      <c r="M27" s="27"/>
      <c r="N27" s="27"/>
      <c r="O27" s="59"/>
    </row>
    <row r="28" spans="1:15" ht="18.75" customHeight="1" x14ac:dyDescent="0.15">
      <c r="A28" s="11">
        <v>25</v>
      </c>
      <c r="B28" s="2"/>
      <c r="C28" s="90"/>
      <c r="D28" s="93"/>
      <c r="E28" s="90"/>
      <c r="F28" s="91" t="str">
        <f t="shared" si="0"/>
        <v/>
      </c>
      <c r="G28" s="5"/>
      <c r="H28" s="5" t="str">
        <f t="shared" si="1"/>
        <v/>
      </c>
      <c r="I28" s="35"/>
      <c r="J28" s="6" t="s">
        <v>15</v>
      </c>
      <c r="K28" s="33" t="str">
        <f t="shared" si="2"/>
        <v/>
      </c>
      <c r="L28" s="6" t="s">
        <v>6</v>
      </c>
      <c r="M28" s="27"/>
      <c r="N28" s="27"/>
    </row>
    <row r="29" spans="1:15" ht="18.75" customHeight="1" x14ac:dyDescent="0.15">
      <c r="A29" s="11">
        <v>26</v>
      </c>
      <c r="B29" s="2"/>
      <c r="C29" s="90"/>
      <c r="D29" s="93"/>
      <c r="E29" s="90"/>
      <c r="F29" s="91" t="str">
        <f t="shared" si="0"/>
        <v/>
      </c>
      <c r="G29" s="5"/>
      <c r="H29" s="5" t="str">
        <f t="shared" si="1"/>
        <v/>
      </c>
      <c r="I29" s="35"/>
      <c r="J29" s="6" t="s">
        <v>15</v>
      </c>
      <c r="K29" s="33" t="str">
        <f t="shared" si="2"/>
        <v/>
      </c>
      <c r="L29" s="6" t="s">
        <v>6</v>
      </c>
      <c r="M29" s="27"/>
      <c r="N29" s="27"/>
    </row>
    <row r="30" spans="1:15" ht="18.75" customHeight="1" x14ac:dyDescent="0.15">
      <c r="A30" s="11">
        <v>27</v>
      </c>
      <c r="B30" s="2"/>
      <c r="C30" s="90"/>
      <c r="D30" s="93"/>
      <c r="E30" s="90"/>
      <c r="F30" s="91" t="str">
        <f t="shared" si="0"/>
        <v/>
      </c>
      <c r="G30" s="5"/>
      <c r="H30" s="5" t="str">
        <f t="shared" si="1"/>
        <v/>
      </c>
      <c r="I30" s="35"/>
      <c r="J30" s="8" t="s">
        <v>15</v>
      </c>
      <c r="K30" s="33" t="str">
        <f t="shared" si="2"/>
        <v/>
      </c>
      <c r="L30" s="6" t="s">
        <v>6</v>
      </c>
      <c r="M30" s="27"/>
      <c r="N30" s="27"/>
    </row>
    <row r="31" spans="1:15" ht="18.75" customHeight="1" x14ac:dyDescent="0.15">
      <c r="A31" s="11">
        <v>28</v>
      </c>
      <c r="B31" s="2"/>
      <c r="C31" s="90"/>
      <c r="D31" s="93"/>
      <c r="E31" s="7"/>
      <c r="F31" s="91" t="str">
        <f t="shared" si="0"/>
        <v/>
      </c>
      <c r="G31" s="5"/>
      <c r="H31" s="5" t="str">
        <f t="shared" si="1"/>
        <v/>
      </c>
      <c r="I31" s="41"/>
      <c r="J31" s="6" t="s">
        <v>15</v>
      </c>
      <c r="K31" s="33" t="str">
        <f t="shared" si="2"/>
        <v/>
      </c>
      <c r="L31" s="6" t="s">
        <v>6</v>
      </c>
      <c r="M31" s="27"/>
      <c r="N31" s="27"/>
    </row>
    <row r="32" spans="1:15" ht="18.75" customHeight="1" x14ac:dyDescent="0.15">
      <c r="A32" s="11">
        <v>29</v>
      </c>
      <c r="B32" s="2"/>
      <c r="C32" s="90"/>
      <c r="D32" s="93"/>
      <c r="E32" s="90"/>
      <c r="F32" s="91" t="str">
        <f t="shared" si="0"/>
        <v/>
      </c>
      <c r="G32" s="5"/>
      <c r="H32" s="5" t="str">
        <f t="shared" si="1"/>
        <v/>
      </c>
      <c r="I32" s="35"/>
      <c r="J32" s="6" t="s">
        <v>15</v>
      </c>
      <c r="K32" s="33" t="str">
        <f t="shared" si="2"/>
        <v/>
      </c>
      <c r="L32" s="6" t="s">
        <v>6</v>
      </c>
      <c r="M32" s="27"/>
      <c r="N32" s="27"/>
    </row>
    <row r="33" spans="1:15" ht="18.75" customHeight="1" x14ac:dyDescent="0.15">
      <c r="A33" s="11">
        <v>30</v>
      </c>
      <c r="B33" s="2"/>
      <c r="C33" s="90"/>
      <c r="D33" s="93"/>
      <c r="E33" s="90"/>
      <c r="F33" s="91" t="str">
        <f t="shared" si="0"/>
        <v/>
      </c>
      <c r="G33" s="5"/>
      <c r="H33" s="5" t="str">
        <f t="shared" si="1"/>
        <v/>
      </c>
      <c r="I33" s="35"/>
      <c r="J33" s="6" t="s">
        <v>15</v>
      </c>
      <c r="K33" s="33" t="str">
        <f t="shared" si="2"/>
        <v/>
      </c>
      <c r="L33" s="6" t="s">
        <v>6</v>
      </c>
      <c r="M33" s="27"/>
      <c r="N33" s="27"/>
    </row>
    <row r="34" spans="1:15" ht="18.75" customHeight="1" x14ac:dyDescent="0.15">
      <c r="A34" s="11">
        <v>31</v>
      </c>
      <c r="B34" s="2"/>
      <c r="C34" s="90"/>
      <c r="D34" s="93"/>
      <c r="E34" s="90"/>
      <c r="F34" s="91" t="str">
        <f t="shared" si="0"/>
        <v/>
      </c>
      <c r="G34" s="5"/>
      <c r="H34" s="5" t="str">
        <f t="shared" si="1"/>
        <v/>
      </c>
      <c r="I34" s="42"/>
      <c r="J34" s="6" t="s">
        <v>15</v>
      </c>
      <c r="K34" s="33" t="str">
        <f t="shared" si="2"/>
        <v/>
      </c>
      <c r="L34" s="6" t="s">
        <v>6</v>
      </c>
      <c r="M34" s="27"/>
      <c r="N34" s="27"/>
      <c r="O34" s="59"/>
    </row>
    <row r="35" spans="1:15" ht="18.75" customHeight="1" x14ac:dyDescent="0.15">
      <c r="A35" s="11">
        <v>32</v>
      </c>
      <c r="B35" s="2"/>
      <c r="C35" s="90"/>
      <c r="D35" s="93"/>
      <c r="E35" s="7"/>
      <c r="F35" s="91" t="str">
        <f t="shared" si="0"/>
        <v/>
      </c>
      <c r="G35" s="5"/>
      <c r="H35" s="5" t="str">
        <f t="shared" si="1"/>
        <v/>
      </c>
      <c r="I35" s="35"/>
      <c r="J35" s="6" t="s">
        <v>15</v>
      </c>
      <c r="K35" s="33" t="str">
        <f t="shared" si="2"/>
        <v/>
      </c>
      <c r="L35" s="6" t="s">
        <v>6</v>
      </c>
      <c r="M35" s="27"/>
      <c r="N35" s="27"/>
    </row>
    <row r="36" spans="1:15" ht="18.75" customHeight="1" x14ac:dyDescent="0.15">
      <c r="A36" s="11">
        <v>33</v>
      </c>
      <c r="B36" s="2"/>
      <c r="C36" s="90"/>
      <c r="D36" s="93"/>
      <c r="E36" s="90"/>
      <c r="F36" s="91" t="str">
        <f t="shared" si="0"/>
        <v/>
      </c>
      <c r="G36" s="5"/>
      <c r="H36" s="5" t="str">
        <f t="shared" si="1"/>
        <v/>
      </c>
      <c r="I36" s="43"/>
      <c r="J36" s="6" t="s">
        <v>15</v>
      </c>
      <c r="K36" s="33" t="str">
        <f t="shared" si="2"/>
        <v/>
      </c>
      <c r="L36" s="6" t="s">
        <v>6</v>
      </c>
      <c r="M36" s="27"/>
      <c r="N36" s="27"/>
    </row>
    <row r="37" spans="1:15" ht="18.75" customHeight="1" x14ac:dyDescent="0.15">
      <c r="A37" s="11">
        <v>34</v>
      </c>
      <c r="B37" s="2"/>
      <c r="C37" s="90"/>
      <c r="D37" s="93"/>
      <c r="E37" s="90"/>
      <c r="F37" s="91" t="str">
        <f t="shared" si="0"/>
        <v/>
      </c>
      <c r="G37" s="5"/>
      <c r="H37" s="5" t="str">
        <f t="shared" si="1"/>
        <v/>
      </c>
      <c r="I37" s="35"/>
      <c r="J37" s="6" t="s">
        <v>15</v>
      </c>
      <c r="K37" s="33" t="str">
        <f t="shared" si="2"/>
        <v/>
      </c>
      <c r="L37" s="6" t="s">
        <v>6</v>
      </c>
      <c r="M37" s="27"/>
      <c r="N37" s="27"/>
    </row>
    <row r="38" spans="1:15" ht="18.75" customHeight="1" x14ac:dyDescent="0.15">
      <c r="A38" s="11">
        <v>35</v>
      </c>
      <c r="B38" s="2"/>
      <c r="C38" s="90"/>
      <c r="D38" s="93"/>
      <c r="E38" s="7"/>
      <c r="F38" s="91" t="str">
        <f t="shared" si="0"/>
        <v/>
      </c>
      <c r="G38" s="5"/>
      <c r="H38" s="5" t="str">
        <f t="shared" si="1"/>
        <v/>
      </c>
      <c r="I38" s="42"/>
      <c r="J38" s="6" t="s">
        <v>15</v>
      </c>
      <c r="K38" s="33" t="str">
        <f t="shared" si="2"/>
        <v/>
      </c>
      <c r="L38" s="6" t="s">
        <v>6</v>
      </c>
      <c r="M38" s="27"/>
      <c r="N38" s="27"/>
    </row>
    <row r="39" spans="1:15" ht="18.75" customHeight="1" x14ac:dyDescent="0.15">
      <c r="A39" s="11">
        <v>36</v>
      </c>
      <c r="B39" s="2"/>
      <c r="C39" s="90"/>
      <c r="D39" s="93"/>
      <c r="E39" s="90"/>
      <c r="F39" s="91" t="str">
        <f t="shared" si="0"/>
        <v/>
      </c>
      <c r="G39" s="5"/>
      <c r="H39" s="5" t="str">
        <f t="shared" si="1"/>
        <v/>
      </c>
      <c r="I39" s="35"/>
      <c r="J39" s="6" t="s">
        <v>15</v>
      </c>
      <c r="K39" s="33" t="str">
        <f t="shared" si="2"/>
        <v/>
      </c>
      <c r="L39" s="6" t="s">
        <v>6</v>
      </c>
      <c r="M39" s="27"/>
      <c r="N39" s="27"/>
    </row>
    <row r="40" spans="1:15" ht="18.75" customHeight="1" x14ac:dyDescent="0.15">
      <c r="A40" s="11">
        <v>37</v>
      </c>
      <c r="B40" s="2"/>
      <c r="C40" s="90"/>
      <c r="D40" s="93"/>
      <c r="E40" s="90"/>
      <c r="F40" s="91" t="str">
        <f t="shared" si="0"/>
        <v/>
      </c>
      <c r="G40" s="5"/>
      <c r="H40" s="5" t="str">
        <f t="shared" si="1"/>
        <v/>
      </c>
      <c r="I40" s="35"/>
      <c r="J40" s="6" t="s">
        <v>15</v>
      </c>
      <c r="K40" s="33" t="str">
        <f t="shared" si="2"/>
        <v/>
      </c>
      <c r="L40" s="6" t="s">
        <v>6</v>
      </c>
      <c r="M40" s="27"/>
      <c r="N40" s="27"/>
    </row>
    <row r="41" spans="1:15" ht="18.75" customHeight="1" x14ac:dyDescent="0.15">
      <c r="A41" s="11">
        <v>38</v>
      </c>
      <c r="B41" s="2"/>
      <c r="C41" s="90"/>
      <c r="D41" s="93"/>
      <c r="E41" s="90"/>
      <c r="F41" s="91" t="str">
        <f t="shared" si="0"/>
        <v/>
      </c>
      <c r="G41" s="5"/>
      <c r="H41" s="5" t="str">
        <f t="shared" si="1"/>
        <v/>
      </c>
      <c r="I41" s="35"/>
      <c r="J41" s="6" t="s">
        <v>15</v>
      </c>
      <c r="K41" s="37" t="str">
        <f t="shared" si="2"/>
        <v/>
      </c>
      <c r="L41" s="6" t="s">
        <v>6</v>
      </c>
      <c r="M41" s="27"/>
      <c r="N41" s="27"/>
    </row>
    <row r="42" spans="1:15" ht="18.75" customHeight="1" x14ac:dyDescent="0.15">
      <c r="A42" s="11">
        <v>39</v>
      </c>
      <c r="B42" s="2"/>
      <c r="C42" s="90"/>
      <c r="D42" s="93"/>
      <c r="E42" s="90"/>
      <c r="F42" s="91"/>
      <c r="G42" s="5"/>
      <c r="H42" s="5"/>
      <c r="I42" s="35"/>
      <c r="J42" s="6" t="s">
        <v>15</v>
      </c>
      <c r="K42" s="37"/>
      <c r="L42" s="6" t="s">
        <v>6</v>
      </c>
      <c r="M42" s="27"/>
      <c r="N42" s="27"/>
    </row>
    <row r="43" spans="1:15" ht="18.75" customHeight="1" thickBot="1" x14ac:dyDescent="0.2">
      <c r="A43" s="50">
        <v>40</v>
      </c>
      <c r="B43" s="51"/>
      <c r="C43" s="52"/>
      <c r="D43" s="94"/>
      <c r="E43" s="52"/>
      <c r="F43" s="53"/>
      <c r="G43" s="54"/>
      <c r="H43" s="54"/>
      <c r="I43" s="55"/>
      <c r="J43" s="56" t="s">
        <v>15</v>
      </c>
      <c r="K43" s="57"/>
      <c r="L43" s="56" t="s">
        <v>6</v>
      </c>
      <c r="M43" s="86" t="s">
        <v>21</v>
      </c>
      <c r="N43" s="86" t="s">
        <v>22</v>
      </c>
    </row>
    <row r="44" spans="1:15" ht="18.75" customHeight="1" thickTop="1" x14ac:dyDescent="0.15">
      <c r="B44" s="44"/>
      <c r="C44" s="44"/>
      <c r="D44" s="45"/>
      <c r="E44" s="44"/>
      <c r="F44" s="44" t="str">
        <f>IF(E44="","",E44-INT(E44/7)*7)</f>
        <v/>
      </c>
      <c r="G44" s="46"/>
      <c r="H44" s="46" t="str">
        <f>IF(G44="","",G44)</f>
        <v/>
      </c>
      <c r="I44" s="61">
        <f>SUM(I4:I43)</f>
        <v>0</v>
      </c>
      <c r="J44" s="8" t="s">
        <v>15</v>
      </c>
      <c r="K44" s="47">
        <f>SUM(K4:K43)</f>
        <v>0</v>
      </c>
      <c r="L44" s="8" t="s">
        <v>6</v>
      </c>
      <c r="M44" s="48">
        <f>SUM(K44)-N44</f>
        <v>0</v>
      </c>
      <c r="N44" s="72">
        <f>SUMIF(M4:M42,"",K4:K43)</f>
        <v>0</v>
      </c>
    </row>
    <row r="45" spans="1:15" ht="20.25" customHeight="1" x14ac:dyDescent="0.15">
      <c r="B45" s="95" t="s">
        <v>9</v>
      </c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</row>
    <row r="46" spans="1:15" ht="21" customHeight="1" x14ac:dyDescent="0.15">
      <c r="B46" s="96" t="s">
        <v>0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</row>
    <row r="47" spans="1:15" ht="27" customHeight="1" x14ac:dyDescent="0.15">
      <c r="A47" s="11"/>
      <c r="B47" s="29" t="s">
        <v>1</v>
      </c>
      <c r="C47" s="102" t="s">
        <v>2</v>
      </c>
      <c r="D47" s="103"/>
      <c r="E47" s="104" t="s">
        <v>3</v>
      </c>
      <c r="F47" s="105"/>
      <c r="G47" s="92" t="s">
        <v>4</v>
      </c>
      <c r="H47" s="92" t="s">
        <v>7</v>
      </c>
      <c r="I47" s="106" t="s">
        <v>8</v>
      </c>
      <c r="J47" s="107"/>
      <c r="K47" s="106" t="s">
        <v>5</v>
      </c>
      <c r="L47" s="106"/>
      <c r="M47" s="30" t="s">
        <v>10</v>
      </c>
      <c r="N47" s="31" t="s">
        <v>18</v>
      </c>
    </row>
    <row r="48" spans="1:15" ht="18.75" customHeight="1" x14ac:dyDescent="0.15">
      <c r="A48" s="11">
        <v>41</v>
      </c>
      <c r="B48" s="2"/>
      <c r="C48" s="90"/>
      <c r="D48" s="93"/>
      <c r="E48" s="90"/>
      <c r="F48" s="91" t="str">
        <f t="shared" ref="F48:F88" si="3">IF(E48="","",E48-INT(E48/7)*7)</f>
        <v/>
      </c>
      <c r="G48" s="5"/>
      <c r="H48" s="5" t="str">
        <f t="shared" ref="H48:H88" si="4">IF(G48="","",G48)</f>
        <v/>
      </c>
      <c r="I48" s="32"/>
      <c r="J48" s="6" t="s">
        <v>15</v>
      </c>
      <c r="K48" s="33" t="str">
        <f t="shared" ref="K48:K85" si="5">IF(I48&gt;0,I48*0.2,"")</f>
        <v/>
      </c>
      <c r="L48" s="6" t="s">
        <v>6</v>
      </c>
      <c r="M48" s="27"/>
      <c r="N48" s="34"/>
    </row>
    <row r="49" spans="1:14" ht="18.75" customHeight="1" x14ac:dyDescent="0.15">
      <c r="A49" s="11">
        <v>42</v>
      </c>
      <c r="B49" s="2"/>
      <c r="C49" s="90"/>
      <c r="D49" s="93"/>
      <c r="E49" s="7"/>
      <c r="F49" s="91" t="str">
        <f t="shared" si="3"/>
        <v/>
      </c>
      <c r="G49" s="5"/>
      <c r="H49" s="5" t="str">
        <f t="shared" si="4"/>
        <v/>
      </c>
      <c r="I49" s="35"/>
      <c r="J49" s="36" t="s">
        <v>15</v>
      </c>
      <c r="K49" s="37" t="str">
        <f t="shared" si="5"/>
        <v/>
      </c>
      <c r="L49" s="6" t="s">
        <v>6</v>
      </c>
      <c r="M49" s="27"/>
      <c r="N49" s="27"/>
    </row>
    <row r="50" spans="1:14" ht="18.75" customHeight="1" x14ac:dyDescent="0.15">
      <c r="A50" s="11">
        <v>43</v>
      </c>
      <c r="B50" s="2"/>
      <c r="C50" s="90"/>
      <c r="D50" s="93"/>
      <c r="E50" s="90"/>
      <c r="F50" s="91" t="str">
        <f t="shared" si="3"/>
        <v/>
      </c>
      <c r="G50" s="5"/>
      <c r="H50" s="5" t="str">
        <f t="shared" si="4"/>
        <v/>
      </c>
      <c r="I50" s="38"/>
      <c r="J50" s="8" t="s">
        <v>15</v>
      </c>
      <c r="K50" s="39" t="str">
        <f t="shared" si="5"/>
        <v/>
      </c>
      <c r="L50" s="9" t="s">
        <v>6</v>
      </c>
      <c r="M50" s="40"/>
      <c r="N50" s="27"/>
    </row>
    <row r="51" spans="1:14" ht="18.75" customHeight="1" x14ac:dyDescent="0.15">
      <c r="A51" s="11">
        <v>44</v>
      </c>
      <c r="B51" s="2"/>
      <c r="C51" s="90"/>
      <c r="D51" s="93"/>
      <c r="E51" s="90"/>
      <c r="F51" s="91" t="str">
        <f t="shared" si="3"/>
        <v/>
      </c>
      <c r="G51" s="5"/>
      <c r="H51" s="5" t="str">
        <f t="shared" si="4"/>
        <v/>
      </c>
      <c r="I51" s="35"/>
      <c r="J51" s="6" t="s">
        <v>15</v>
      </c>
      <c r="K51" s="33" t="str">
        <f t="shared" si="5"/>
        <v/>
      </c>
      <c r="L51" s="6" t="s">
        <v>6</v>
      </c>
      <c r="M51" s="27"/>
      <c r="N51" s="27"/>
    </row>
    <row r="52" spans="1:14" ht="18.75" customHeight="1" x14ac:dyDescent="0.15">
      <c r="A52" s="11">
        <v>45</v>
      </c>
      <c r="B52" s="2"/>
      <c r="C52" s="90"/>
      <c r="D52" s="93"/>
      <c r="E52" s="90"/>
      <c r="F52" s="91" t="str">
        <f t="shared" si="3"/>
        <v/>
      </c>
      <c r="G52" s="5"/>
      <c r="H52" s="5" t="str">
        <f t="shared" si="4"/>
        <v/>
      </c>
      <c r="I52" s="35"/>
      <c r="J52" s="6" t="s">
        <v>15</v>
      </c>
      <c r="K52" s="33" t="str">
        <f t="shared" si="5"/>
        <v/>
      </c>
      <c r="L52" s="6" t="s">
        <v>6</v>
      </c>
      <c r="M52" s="27"/>
      <c r="N52" s="27"/>
    </row>
    <row r="53" spans="1:14" ht="18.75" customHeight="1" x14ac:dyDescent="0.15">
      <c r="A53" s="11">
        <v>46</v>
      </c>
      <c r="B53" s="2"/>
      <c r="C53" s="90"/>
      <c r="D53" s="93"/>
      <c r="E53" s="90"/>
      <c r="F53" s="91" t="str">
        <f t="shared" si="3"/>
        <v/>
      </c>
      <c r="G53" s="5"/>
      <c r="H53" s="5" t="str">
        <f t="shared" si="4"/>
        <v/>
      </c>
      <c r="I53" s="35"/>
      <c r="J53" s="6" t="s">
        <v>15</v>
      </c>
      <c r="K53" s="33" t="str">
        <f t="shared" si="5"/>
        <v/>
      </c>
      <c r="L53" s="6" t="s">
        <v>6</v>
      </c>
      <c r="M53" s="27"/>
      <c r="N53" s="27"/>
    </row>
    <row r="54" spans="1:14" ht="18.75" customHeight="1" x14ac:dyDescent="0.15">
      <c r="A54" s="11">
        <v>47</v>
      </c>
      <c r="B54" s="2"/>
      <c r="C54" s="90"/>
      <c r="D54" s="93"/>
      <c r="E54" s="90"/>
      <c r="F54" s="91" t="str">
        <f t="shared" si="3"/>
        <v/>
      </c>
      <c r="G54" s="5"/>
      <c r="H54" s="5" t="str">
        <f t="shared" si="4"/>
        <v/>
      </c>
      <c r="I54" s="35"/>
      <c r="J54" s="6" t="s">
        <v>15</v>
      </c>
      <c r="K54" s="33" t="str">
        <f t="shared" si="5"/>
        <v/>
      </c>
      <c r="L54" s="6" t="s">
        <v>6</v>
      </c>
      <c r="M54" s="27"/>
      <c r="N54" s="27"/>
    </row>
    <row r="55" spans="1:14" ht="18.75" customHeight="1" x14ac:dyDescent="0.15">
      <c r="A55" s="11">
        <v>48</v>
      </c>
      <c r="B55" s="2"/>
      <c r="C55" s="90"/>
      <c r="D55" s="93"/>
      <c r="E55" s="90"/>
      <c r="F55" s="91" t="str">
        <f t="shared" si="3"/>
        <v/>
      </c>
      <c r="G55" s="5"/>
      <c r="H55" s="5" t="str">
        <f t="shared" si="4"/>
        <v/>
      </c>
      <c r="I55" s="41"/>
      <c r="J55" s="8" t="s">
        <v>15</v>
      </c>
      <c r="K55" s="33" t="str">
        <f t="shared" si="5"/>
        <v/>
      </c>
      <c r="L55" s="9" t="s">
        <v>6</v>
      </c>
      <c r="M55" s="27"/>
      <c r="N55" s="27"/>
    </row>
    <row r="56" spans="1:14" ht="18.75" customHeight="1" x14ac:dyDescent="0.15">
      <c r="A56" s="11">
        <v>49</v>
      </c>
      <c r="B56" s="2"/>
      <c r="C56" s="90"/>
      <c r="D56" s="93"/>
      <c r="E56" s="90"/>
      <c r="F56" s="91" t="str">
        <f t="shared" si="3"/>
        <v/>
      </c>
      <c r="G56" s="5"/>
      <c r="H56" s="5" t="str">
        <f t="shared" si="4"/>
        <v/>
      </c>
      <c r="I56" s="35"/>
      <c r="J56" s="6" t="s">
        <v>15</v>
      </c>
      <c r="K56" s="33" t="str">
        <f t="shared" si="5"/>
        <v/>
      </c>
      <c r="L56" s="6" t="s">
        <v>6</v>
      </c>
      <c r="M56" s="27"/>
      <c r="N56" s="27"/>
    </row>
    <row r="57" spans="1:14" ht="18.75" customHeight="1" x14ac:dyDescent="0.15">
      <c r="A57" s="11">
        <v>50</v>
      </c>
      <c r="B57" s="2"/>
      <c r="C57" s="90"/>
      <c r="D57" s="93"/>
      <c r="E57" s="90"/>
      <c r="F57" s="91" t="str">
        <f t="shared" si="3"/>
        <v/>
      </c>
      <c r="G57" s="5"/>
      <c r="H57" s="5" t="str">
        <f t="shared" si="4"/>
        <v/>
      </c>
      <c r="I57" s="41"/>
      <c r="J57" s="8" t="s">
        <v>15</v>
      </c>
      <c r="K57" s="33" t="str">
        <f t="shared" si="5"/>
        <v/>
      </c>
      <c r="L57" s="9" t="s">
        <v>6</v>
      </c>
      <c r="M57" s="27"/>
      <c r="N57" s="27"/>
    </row>
    <row r="58" spans="1:14" ht="18.75" customHeight="1" x14ac:dyDescent="0.15">
      <c r="A58" s="11">
        <v>51</v>
      </c>
      <c r="B58" s="2"/>
      <c r="C58" s="90"/>
      <c r="D58" s="93"/>
      <c r="E58" s="90"/>
      <c r="F58" s="91" t="str">
        <f t="shared" si="3"/>
        <v/>
      </c>
      <c r="G58" s="5"/>
      <c r="H58" s="5" t="str">
        <f t="shared" si="4"/>
        <v/>
      </c>
      <c r="I58" s="35"/>
      <c r="J58" s="6" t="s">
        <v>15</v>
      </c>
      <c r="K58" s="33" t="str">
        <f t="shared" si="5"/>
        <v/>
      </c>
      <c r="L58" s="6" t="s">
        <v>6</v>
      </c>
      <c r="M58" s="27"/>
      <c r="N58" s="27"/>
    </row>
    <row r="59" spans="1:14" ht="18.75" customHeight="1" x14ac:dyDescent="0.15">
      <c r="A59" s="11">
        <v>52</v>
      </c>
      <c r="B59" s="2"/>
      <c r="C59" s="90"/>
      <c r="D59" s="93"/>
      <c r="E59" s="90"/>
      <c r="F59" s="91" t="str">
        <f t="shared" si="3"/>
        <v/>
      </c>
      <c r="G59" s="5"/>
      <c r="H59" s="5" t="str">
        <f t="shared" si="4"/>
        <v/>
      </c>
      <c r="I59" s="42"/>
      <c r="J59" s="8" t="s">
        <v>15</v>
      </c>
      <c r="K59" s="33" t="str">
        <f t="shared" si="5"/>
        <v/>
      </c>
      <c r="L59" s="6" t="s">
        <v>6</v>
      </c>
      <c r="M59" s="27"/>
      <c r="N59" s="27"/>
    </row>
    <row r="60" spans="1:14" ht="18.75" customHeight="1" x14ac:dyDescent="0.15">
      <c r="A60" s="11">
        <v>53</v>
      </c>
      <c r="B60" s="2"/>
      <c r="C60" s="90"/>
      <c r="D60" s="93"/>
      <c r="E60" s="90"/>
      <c r="F60" s="91" t="str">
        <f t="shared" si="3"/>
        <v/>
      </c>
      <c r="G60" s="5"/>
      <c r="H60" s="5" t="str">
        <f t="shared" si="4"/>
        <v/>
      </c>
      <c r="I60" s="35"/>
      <c r="J60" s="6" t="s">
        <v>15</v>
      </c>
      <c r="K60" s="33" t="str">
        <f t="shared" si="5"/>
        <v/>
      </c>
      <c r="L60" s="6" t="s">
        <v>6</v>
      </c>
      <c r="M60" s="27"/>
      <c r="N60" s="27"/>
    </row>
    <row r="61" spans="1:14" ht="18.75" customHeight="1" x14ac:dyDescent="0.15">
      <c r="A61" s="11">
        <v>54</v>
      </c>
      <c r="B61" s="2"/>
      <c r="C61" s="90"/>
      <c r="D61" s="93"/>
      <c r="E61" s="90"/>
      <c r="F61" s="91" t="str">
        <f t="shared" si="3"/>
        <v/>
      </c>
      <c r="G61" s="5"/>
      <c r="H61" s="5" t="str">
        <f t="shared" si="4"/>
        <v/>
      </c>
      <c r="I61" s="35"/>
      <c r="J61" s="6" t="s">
        <v>15</v>
      </c>
      <c r="K61" s="33" t="str">
        <f t="shared" si="5"/>
        <v/>
      </c>
      <c r="L61" s="6" t="s">
        <v>6</v>
      </c>
      <c r="M61" s="27"/>
      <c r="N61" s="27"/>
    </row>
    <row r="62" spans="1:14" ht="18.75" customHeight="1" x14ac:dyDescent="0.15">
      <c r="A62" s="11">
        <v>55</v>
      </c>
      <c r="B62" s="2"/>
      <c r="C62" s="90"/>
      <c r="D62" s="93"/>
      <c r="E62" s="90"/>
      <c r="F62" s="91" t="str">
        <f t="shared" si="3"/>
        <v/>
      </c>
      <c r="G62" s="5"/>
      <c r="H62" s="5" t="str">
        <f t="shared" si="4"/>
        <v/>
      </c>
      <c r="I62" s="41"/>
      <c r="J62" s="6" t="s">
        <v>15</v>
      </c>
      <c r="K62" s="33" t="str">
        <f t="shared" si="5"/>
        <v/>
      </c>
      <c r="L62" s="9" t="s">
        <v>6</v>
      </c>
      <c r="M62" s="27"/>
      <c r="N62" s="27"/>
    </row>
    <row r="63" spans="1:14" ht="18.75" customHeight="1" x14ac:dyDescent="0.15">
      <c r="A63" s="11">
        <v>56</v>
      </c>
      <c r="B63" s="2"/>
      <c r="C63" s="90"/>
      <c r="D63" s="93"/>
      <c r="E63" s="90"/>
      <c r="F63" s="91" t="str">
        <f t="shared" si="3"/>
        <v/>
      </c>
      <c r="G63" s="5"/>
      <c r="H63" s="5" t="str">
        <f t="shared" si="4"/>
        <v/>
      </c>
      <c r="I63" s="35"/>
      <c r="J63" s="6" t="s">
        <v>15</v>
      </c>
      <c r="K63" s="33" t="str">
        <f t="shared" si="5"/>
        <v/>
      </c>
      <c r="L63" s="6" t="s">
        <v>6</v>
      </c>
      <c r="M63" s="27"/>
      <c r="N63" s="27"/>
    </row>
    <row r="64" spans="1:14" ht="18.75" customHeight="1" x14ac:dyDescent="0.15">
      <c r="A64" s="11">
        <v>57</v>
      </c>
      <c r="B64" s="2"/>
      <c r="C64" s="90"/>
      <c r="D64" s="93"/>
      <c r="E64" s="7"/>
      <c r="F64" s="91" t="str">
        <f t="shared" si="3"/>
        <v/>
      </c>
      <c r="G64" s="5"/>
      <c r="H64" s="5" t="str">
        <f t="shared" si="4"/>
        <v/>
      </c>
      <c r="I64" s="42"/>
      <c r="J64" s="8" t="s">
        <v>15</v>
      </c>
      <c r="K64" s="33" t="str">
        <f t="shared" si="5"/>
        <v/>
      </c>
      <c r="L64" s="6" t="s">
        <v>6</v>
      </c>
      <c r="M64" s="27"/>
      <c r="N64" s="34"/>
    </row>
    <row r="65" spans="1:14" ht="18.75" customHeight="1" x14ac:dyDescent="0.15">
      <c r="A65" s="11">
        <v>58</v>
      </c>
      <c r="B65" s="2"/>
      <c r="C65" s="90"/>
      <c r="D65" s="93"/>
      <c r="E65" s="90"/>
      <c r="F65" s="91" t="str">
        <f t="shared" si="3"/>
        <v/>
      </c>
      <c r="G65" s="5"/>
      <c r="H65" s="5" t="str">
        <f t="shared" si="4"/>
        <v/>
      </c>
      <c r="I65" s="35"/>
      <c r="J65" s="6" t="s">
        <v>15</v>
      </c>
      <c r="K65" s="33" t="str">
        <f t="shared" si="5"/>
        <v/>
      </c>
      <c r="L65" s="6" t="s">
        <v>6</v>
      </c>
      <c r="M65" s="27"/>
      <c r="N65" s="27"/>
    </row>
    <row r="66" spans="1:14" ht="18.75" customHeight="1" x14ac:dyDescent="0.15">
      <c r="A66" s="11">
        <v>59</v>
      </c>
      <c r="B66" s="2"/>
      <c r="C66" s="90"/>
      <c r="D66" s="93"/>
      <c r="E66" s="90"/>
      <c r="F66" s="91" t="str">
        <f t="shared" si="3"/>
        <v/>
      </c>
      <c r="G66" s="5"/>
      <c r="H66" s="5" t="str">
        <f t="shared" si="4"/>
        <v/>
      </c>
      <c r="I66" s="35"/>
      <c r="J66" s="6" t="s">
        <v>15</v>
      </c>
      <c r="K66" s="33" t="str">
        <f t="shared" si="5"/>
        <v/>
      </c>
      <c r="L66" s="6" t="s">
        <v>6</v>
      </c>
      <c r="M66" s="27"/>
      <c r="N66" s="27"/>
    </row>
    <row r="67" spans="1:14" ht="18.75" customHeight="1" x14ac:dyDescent="0.15">
      <c r="A67" s="11">
        <v>60</v>
      </c>
      <c r="B67" s="2"/>
      <c r="C67" s="90"/>
      <c r="D67" s="93"/>
      <c r="E67" s="90"/>
      <c r="F67" s="91" t="str">
        <f t="shared" si="3"/>
        <v/>
      </c>
      <c r="G67" s="5"/>
      <c r="H67" s="5" t="str">
        <f t="shared" si="4"/>
        <v/>
      </c>
      <c r="I67" s="35"/>
      <c r="J67" s="6" t="s">
        <v>11</v>
      </c>
      <c r="K67" s="33" t="str">
        <f t="shared" si="5"/>
        <v/>
      </c>
      <c r="L67" s="6" t="s">
        <v>6</v>
      </c>
      <c r="M67" s="27"/>
      <c r="N67" s="27"/>
    </row>
    <row r="68" spans="1:14" ht="18.75" customHeight="1" x14ac:dyDescent="0.15">
      <c r="A68" s="11">
        <v>61</v>
      </c>
      <c r="B68" s="2"/>
      <c r="C68" s="90"/>
      <c r="D68" s="93"/>
      <c r="E68" s="90"/>
      <c r="F68" s="91" t="str">
        <f t="shared" si="3"/>
        <v/>
      </c>
      <c r="G68" s="5"/>
      <c r="H68" s="5" t="str">
        <f t="shared" si="4"/>
        <v/>
      </c>
      <c r="I68" s="35"/>
      <c r="J68" s="8" t="s">
        <v>11</v>
      </c>
      <c r="K68" s="33" t="str">
        <f t="shared" si="5"/>
        <v/>
      </c>
      <c r="L68" s="6" t="s">
        <v>6</v>
      </c>
      <c r="M68" s="27"/>
      <c r="N68" s="27"/>
    </row>
    <row r="69" spans="1:14" ht="18.75" customHeight="1" x14ac:dyDescent="0.15">
      <c r="A69" s="11">
        <v>62</v>
      </c>
      <c r="B69" s="2"/>
      <c r="C69" s="90"/>
      <c r="D69" s="93"/>
      <c r="E69" s="90"/>
      <c r="F69" s="91" t="str">
        <f t="shared" si="3"/>
        <v/>
      </c>
      <c r="G69" s="5"/>
      <c r="H69" s="5" t="str">
        <f t="shared" si="4"/>
        <v/>
      </c>
      <c r="I69" s="41"/>
      <c r="J69" s="6" t="s">
        <v>11</v>
      </c>
      <c r="K69" s="33" t="str">
        <f t="shared" si="5"/>
        <v/>
      </c>
      <c r="L69" s="6" t="s">
        <v>6</v>
      </c>
      <c r="M69" s="27"/>
      <c r="N69" s="27"/>
    </row>
    <row r="70" spans="1:14" ht="18.75" customHeight="1" x14ac:dyDescent="0.15">
      <c r="A70" s="11">
        <v>63</v>
      </c>
      <c r="B70" s="2"/>
      <c r="C70" s="90"/>
      <c r="D70" s="93"/>
      <c r="E70" s="90"/>
      <c r="F70" s="91" t="str">
        <f t="shared" si="3"/>
        <v/>
      </c>
      <c r="G70" s="5"/>
      <c r="H70" s="5" t="str">
        <f t="shared" si="4"/>
        <v/>
      </c>
      <c r="I70" s="41"/>
      <c r="J70" s="6" t="s">
        <v>15</v>
      </c>
      <c r="K70" s="33" t="str">
        <f t="shared" si="5"/>
        <v/>
      </c>
      <c r="L70" s="6" t="s">
        <v>6</v>
      </c>
      <c r="M70" s="27"/>
      <c r="N70" s="27"/>
    </row>
    <row r="71" spans="1:14" ht="18.75" customHeight="1" x14ac:dyDescent="0.15">
      <c r="A71" s="11">
        <v>64</v>
      </c>
      <c r="B71" s="2"/>
      <c r="C71" s="90"/>
      <c r="D71" s="93"/>
      <c r="E71" s="90"/>
      <c r="F71" s="91" t="str">
        <f t="shared" si="3"/>
        <v/>
      </c>
      <c r="G71" s="5"/>
      <c r="H71" s="5" t="str">
        <f t="shared" si="4"/>
        <v/>
      </c>
      <c r="I71" s="35"/>
      <c r="J71" s="8" t="s">
        <v>15</v>
      </c>
      <c r="K71" s="33" t="str">
        <f t="shared" si="5"/>
        <v/>
      </c>
      <c r="L71" s="6" t="s">
        <v>6</v>
      </c>
      <c r="M71" s="27"/>
      <c r="N71" s="27"/>
    </row>
    <row r="72" spans="1:14" ht="18.75" customHeight="1" x14ac:dyDescent="0.15">
      <c r="A72" s="11">
        <v>65</v>
      </c>
      <c r="B72" s="2"/>
      <c r="C72" s="90"/>
      <c r="D72" s="93"/>
      <c r="E72" s="90"/>
      <c r="F72" s="91" t="str">
        <f t="shared" si="3"/>
        <v/>
      </c>
      <c r="G72" s="5"/>
      <c r="H72" s="5" t="str">
        <f t="shared" si="4"/>
        <v/>
      </c>
      <c r="I72" s="35"/>
      <c r="J72" s="6" t="s">
        <v>15</v>
      </c>
      <c r="K72" s="33" t="str">
        <f t="shared" si="5"/>
        <v/>
      </c>
      <c r="L72" s="6" t="s">
        <v>6</v>
      </c>
      <c r="M72" s="27"/>
      <c r="N72" s="27"/>
    </row>
    <row r="73" spans="1:14" ht="18.75" customHeight="1" x14ac:dyDescent="0.15">
      <c r="A73" s="11">
        <v>66</v>
      </c>
      <c r="B73" s="2"/>
      <c r="C73" s="90"/>
      <c r="D73" s="93"/>
      <c r="E73" s="90"/>
      <c r="F73" s="91" t="str">
        <f t="shared" si="3"/>
        <v/>
      </c>
      <c r="G73" s="5"/>
      <c r="H73" s="5" t="str">
        <f t="shared" si="4"/>
        <v/>
      </c>
      <c r="I73" s="35"/>
      <c r="J73" s="6" t="s">
        <v>15</v>
      </c>
      <c r="K73" s="33" t="str">
        <f t="shared" si="5"/>
        <v/>
      </c>
      <c r="L73" s="6" t="s">
        <v>6</v>
      </c>
      <c r="M73" s="27"/>
      <c r="N73" s="27"/>
    </row>
    <row r="74" spans="1:14" ht="18.75" customHeight="1" x14ac:dyDescent="0.15">
      <c r="A74" s="11">
        <v>67</v>
      </c>
      <c r="B74" s="2"/>
      <c r="C74" s="90"/>
      <c r="D74" s="93"/>
      <c r="E74" s="90"/>
      <c r="F74" s="91" t="str">
        <f t="shared" si="3"/>
        <v/>
      </c>
      <c r="G74" s="5"/>
      <c r="H74" s="5" t="str">
        <f t="shared" si="4"/>
        <v/>
      </c>
      <c r="I74" s="35"/>
      <c r="J74" s="8" t="s">
        <v>15</v>
      </c>
      <c r="K74" s="33" t="str">
        <f t="shared" si="5"/>
        <v/>
      </c>
      <c r="L74" s="6" t="s">
        <v>6</v>
      </c>
      <c r="M74" s="27"/>
      <c r="N74" s="27"/>
    </row>
    <row r="75" spans="1:14" ht="18.75" customHeight="1" x14ac:dyDescent="0.15">
      <c r="A75" s="11">
        <v>68</v>
      </c>
      <c r="B75" s="2"/>
      <c r="C75" s="90"/>
      <c r="D75" s="93"/>
      <c r="E75" s="7"/>
      <c r="F75" s="91" t="str">
        <f t="shared" si="3"/>
        <v/>
      </c>
      <c r="G75" s="5"/>
      <c r="H75" s="5" t="str">
        <f t="shared" si="4"/>
        <v/>
      </c>
      <c r="I75" s="41"/>
      <c r="J75" s="6" t="s">
        <v>15</v>
      </c>
      <c r="K75" s="33" t="str">
        <f t="shared" si="5"/>
        <v/>
      </c>
      <c r="L75" s="6" t="s">
        <v>6</v>
      </c>
      <c r="M75" s="27"/>
      <c r="N75" s="27"/>
    </row>
    <row r="76" spans="1:14" ht="18.75" customHeight="1" x14ac:dyDescent="0.15">
      <c r="A76" s="11">
        <v>69</v>
      </c>
      <c r="B76" s="2"/>
      <c r="C76" s="90"/>
      <c r="D76" s="93"/>
      <c r="E76" s="90"/>
      <c r="F76" s="91" t="str">
        <f t="shared" si="3"/>
        <v/>
      </c>
      <c r="G76" s="5"/>
      <c r="H76" s="5" t="str">
        <f t="shared" si="4"/>
        <v/>
      </c>
      <c r="I76" s="35"/>
      <c r="J76" s="6" t="s">
        <v>15</v>
      </c>
      <c r="K76" s="33" t="str">
        <f t="shared" si="5"/>
        <v/>
      </c>
      <c r="L76" s="6" t="s">
        <v>6</v>
      </c>
      <c r="M76" s="27"/>
      <c r="N76" s="27"/>
    </row>
    <row r="77" spans="1:14" ht="18.75" customHeight="1" x14ac:dyDescent="0.15">
      <c r="A77" s="11">
        <v>70</v>
      </c>
      <c r="B77" s="2"/>
      <c r="C77" s="90"/>
      <c r="D77" s="93"/>
      <c r="E77" s="90"/>
      <c r="F77" s="91" t="str">
        <f t="shared" si="3"/>
        <v/>
      </c>
      <c r="G77" s="5"/>
      <c r="H77" s="5" t="str">
        <f t="shared" si="4"/>
        <v/>
      </c>
      <c r="I77" s="35"/>
      <c r="J77" s="6" t="s">
        <v>15</v>
      </c>
      <c r="K77" s="33" t="str">
        <f t="shared" si="5"/>
        <v/>
      </c>
      <c r="L77" s="6" t="s">
        <v>6</v>
      </c>
      <c r="M77" s="27"/>
      <c r="N77" s="27"/>
    </row>
    <row r="78" spans="1:14" ht="18.75" customHeight="1" x14ac:dyDescent="0.15">
      <c r="A78" s="11">
        <v>71</v>
      </c>
      <c r="B78" s="2"/>
      <c r="C78" s="90"/>
      <c r="D78" s="93"/>
      <c r="E78" s="90"/>
      <c r="F78" s="91" t="str">
        <f t="shared" si="3"/>
        <v/>
      </c>
      <c r="G78" s="5"/>
      <c r="H78" s="5" t="str">
        <f t="shared" si="4"/>
        <v/>
      </c>
      <c r="I78" s="42"/>
      <c r="J78" s="6" t="s">
        <v>15</v>
      </c>
      <c r="K78" s="33" t="str">
        <f t="shared" si="5"/>
        <v/>
      </c>
      <c r="L78" s="6" t="s">
        <v>6</v>
      </c>
      <c r="M78" s="27"/>
      <c r="N78" s="27"/>
    </row>
    <row r="79" spans="1:14" ht="18.75" customHeight="1" x14ac:dyDescent="0.15">
      <c r="A79" s="11">
        <v>72</v>
      </c>
      <c r="B79" s="2"/>
      <c r="C79" s="90"/>
      <c r="D79" s="93"/>
      <c r="E79" s="7"/>
      <c r="F79" s="91" t="str">
        <f t="shared" si="3"/>
        <v/>
      </c>
      <c r="G79" s="5"/>
      <c r="H79" s="5" t="str">
        <f t="shared" si="4"/>
        <v/>
      </c>
      <c r="I79" s="35"/>
      <c r="J79" s="6" t="s">
        <v>15</v>
      </c>
      <c r="K79" s="33" t="str">
        <f t="shared" si="5"/>
        <v/>
      </c>
      <c r="L79" s="6" t="s">
        <v>6</v>
      </c>
      <c r="M79" s="27"/>
      <c r="N79" s="27"/>
    </row>
    <row r="80" spans="1:14" ht="18.75" customHeight="1" x14ac:dyDescent="0.15">
      <c r="A80" s="11">
        <v>73</v>
      </c>
      <c r="B80" s="2"/>
      <c r="C80" s="90"/>
      <c r="D80" s="93"/>
      <c r="E80" s="90"/>
      <c r="F80" s="91" t="str">
        <f t="shared" si="3"/>
        <v/>
      </c>
      <c r="G80" s="5"/>
      <c r="H80" s="5" t="str">
        <f t="shared" si="4"/>
        <v/>
      </c>
      <c r="I80" s="43"/>
      <c r="J80" s="6" t="s">
        <v>15</v>
      </c>
      <c r="K80" s="33" t="str">
        <f t="shared" si="5"/>
        <v/>
      </c>
      <c r="L80" s="6" t="s">
        <v>6</v>
      </c>
      <c r="M80" s="27"/>
      <c r="N80" s="27"/>
    </row>
    <row r="81" spans="1:14" ht="18.75" customHeight="1" x14ac:dyDescent="0.15">
      <c r="A81" s="11">
        <v>74</v>
      </c>
      <c r="B81" s="2"/>
      <c r="C81" s="90"/>
      <c r="D81" s="93"/>
      <c r="E81" s="90"/>
      <c r="F81" s="91" t="str">
        <f t="shared" si="3"/>
        <v/>
      </c>
      <c r="G81" s="5"/>
      <c r="H81" s="5" t="str">
        <f t="shared" si="4"/>
        <v/>
      </c>
      <c r="I81" s="35"/>
      <c r="J81" s="6" t="s">
        <v>15</v>
      </c>
      <c r="K81" s="33" t="str">
        <f t="shared" si="5"/>
        <v/>
      </c>
      <c r="L81" s="6" t="s">
        <v>6</v>
      </c>
      <c r="M81" s="27"/>
      <c r="N81" s="27"/>
    </row>
    <row r="82" spans="1:14" ht="18.75" customHeight="1" x14ac:dyDescent="0.15">
      <c r="A82" s="11">
        <v>75</v>
      </c>
      <c r="B82" s="2"/>
      <c r="C82" s="90"/>
      <c r="D82" s="93"/>
      <c r="E82" s="7"/>
      <c r="F82" s="91" t="str">
        <f t="shared" si="3"/>
        <v/>
      </c>
      <c r="G82" s="5"/>
      <c r="H82" s="5" t="str">
        <f t="shared" si="4"/>
        <v/>
      </c>
      <c r="I82" s="42"/>
      <c r="J82" s="6" t="s">
        <v>15</v>
      </c>
      <c r="K82" s="33" t="str">
        <f t="shared" si="5"/>
        <v/>
      </c>
      <c r="L82" s="6" t="s">
        <v>6</v>
      </c>
      <c r="M82" s="27"/>
      <c r="N82" s="27"/>
    </row>
    <row r="83" spans="1:14" ht="18.75" customHeight="1" x14ac:dyDescent="0.15">
      <c r="A83" s="11">
        <v>76</v>
      </c>
      <c r="B83" s="2"/>
      <c r="C83" s="90"/>
      <c r="D83" s="93"/>
      <c r="E83" s="90"/>
      <c r="F83" s="91" t="str">
        <f t="shared" si="3"/>
        <v/>
      </c>
      <c r="G83" s="5"/>
      <c r="H83" s="5" t="str">
        <f t="shared" si="4"/>
        <v/>
      </c>
      <c r="I83" s="35"/>
      <c r="J83" s="6" t="s">
        <v>15</v>
      </c>
      <c r="K83" s="33" t="str">
        <f t="shared" si="5"/>
        <v/>
      </c>
      <c r="L83" s="6" t="s">
        <v>6</v>
      </c>
      <c r="M83" s="27"/>
      <c r="N83" s="27"/>
    </row>
    <row r="84" spans="1:14" ht="18.75" customHeight="1" x14ac:dyDescent="0.15">
      <c r="A84" s="11">
        <v>77</v>
      </c>
      <c r="B84" s="2"/>
      <c r="C84" s="90"/>
      <c r="D84" s="93"/>
      <c r="E84" s="90"/>
      <c r="F84" s="91" t="str">
        <f t="shared" si="3"/>
        <v/>
      </c>
      <c r="G84" s="5"/>
      <c r="H84" s="5" t="str">
        <f t="shared" si="4"/>
        <v/>
      </c>
      <c r="I84" s="35"/>
      <c r="J84" s="6" t="s">
        <v>15</v>
      </c>
      <c r="K84" s="33" t="str">
        <f t="shared" si="5"/>
        <v/>
      </c>
      <c r="L84" s="6" t="s">
        <v>6</v>
      </c>
      <c r="M84" s="27"/>
      <c r="N84" s="27"/>
    </row>
    <row r="85" spans="1:14" ht="18.75" customHeight="1" x14ac:dyDescent="0.15">
      <c r="A85" s="11">
        <v>78</v>
      </c>
      <c r="B85" s="2"/>
      <c r="C85" s="90"/>
      <c r="D85" s="93"/>
      <c r="E85" s="90"/>
      <c r="F85" s="91" t="str">
        <f t="shared" si="3"/>
        <v/>
      </c>
      <c r="G85" s="5"/>
      <c r="H85" s="5" t="str">
        <f t="shared" si="4"/>
        <v/>
      </c>
      <c r="I85" s="35"/>
      <c r="J85" s="6" t="s">
        <v>15</v>
      </c>
      <c r="K85" s="37" t="str">
        <f t="shared" si="5"/>
        <v/>
      </c>
      <c r="L85" s="6" t="s">
        <v>6</v>
      </c>
      <c r="M85" s="27"/>
      <c r="N85" s="27"/>
    </row>
    <row r="86" spans="1:14" ht="18.75" customHeight="1" x14ac:dyDescent="0.15">
      <c r="A86" s="11">
        <v>79</v>
      </c>
      <c r="B86" s="2"/>
      <c r="C86" s="90"/>
      <c r="D86" s="93"/>
      <c r="E86" s="90"/>
      <c r="F86" s="91"/>
      <c r="G86" s="5"/>
      <c r="H86" s="5"/>
      <c r="I86" s="35"/>
      <c r="J86" s="6" t="s">
        <v>15</v>
      </c>
      <c r="K86" s="37"/>
      <c r="L86" s="6" t="s">
        <v>6</v>
      </c>
      <c r="M86" s="27"/>
      <c r="N86" s="27"/>
    </row>
    <row r="87" spans="1:14" ht="18.75" customHeight="1" x14ac:dyDescent="0.15">
      <c r="A87" s="11">
        <v>80</v>
      </c>
      <c r="B87" s="2"/>
      <c r="C87" s="90"/>
      <c r="D87" s="93"/>
      <c r="E87" s="90"/>
      <c r="F87" s="91" t="str">
        <f t="shared" si="3"/>
        <v/>
      </c>
      <c r="G87" s="5"/>
      <c r="H87" s="5" t="str">
        <f t="shared" si="4"/>
        <v/>
      </c>
      <c r="I87" s="35"/>
      <c r="J87" s="6" t="s">
        <v>15</v>
      </c>
      <c r="K87" s="37" t="str">
        <f>IF(I87&gt;0,I87*0.2,"")</f>
        <v/>
      </c>
      <c r="L87" s="6" t="s">
        <v>6</v>
      </c>
      <c r="M87" s="27"/>
      <c r="N87" s="27"/>
    </row>
    <row r="88" spans="1:14" ht="18.75" customHeight="1" x14ac:dyDescent="0.15">
      <c r="B88" s="44"/>
      <c r="C88" s="44"/>
      <c r="D88" s="45"/>
      <c r="E88" s="44"/>
      <c r="F88" s="44" t="str">
        <f t="shared" si="3"/>
        <v/>
      </c>
      <c r="G88" s="46"/>
      <c r="H88" s="46" t="str">
        <f t="shared" si="4"/>
        <v/>
      </c>
      <c r="I88" s="61">
        <f>SUM(I48:I87)+I44</f>
        <v>0</v>
      </c>
      <c r="J88" s="8" t="s">
        <v>15</v>
      </c>
      <c r="K88" s="47">
        <f>SUM(K48:K87)+K44</f>
        <v>0</v>
      </c>
      <c r="L88" s="8" t="s">
        <v>6</v>
      </c>
      <c r="M88" s="48"/>
      <c r="N88" s="48"/>
    </row>
  </sheetData>
  <mergeCells count="12">
    <mergeCell ref="B45:M45"/>
    <mergeCell ref="B46:M46"/>
    <mergeCell ref="C47:D47"/>
    <mergeCell ref="E47:F47"/>
    <mergeCell ref="I47:J47"/>
    <mergeCell ref="K47:L47"/>
    <mergeCell ref="B1:M1"/>
    <mergeCell ref="B2:M2"/>
    <mergeCell ref="C3:D3"/>
    <mergeCell ref="E3:F3"/>
    <mergeCell ref="I3:J3"/>
    <mergeCell ref="K3:L3"/>
  </mergeCells>
  <phoneticPr fontId="2"/>
  <dataValidations count="6">
    <dataValidation imeMode="on" allowBlank="1" showInputMessage="1" showErrorMessage="1" sqref="B44:C44 B88:C88" xr:uid="{C6F2C251-E005-48DE-A6DC-18D3EDB5FA0C}"/>
    <dataValidation imeMode="disabled" allowBlank="1" showInputMessage="1" showErrorMessage="1" sqref="G4:G40 N21:N42 H4:M42 N49:N63 N5:N19 G48:G84 E48:E88 N65:N88 H48:M88 E4:E44 M44:N44 H43:L44" xr:uid="{A572AAE5-A2AE-4C7B-B14E-46FC986E165A}"/>
    <dataValidation type="list" imeMode="on" allowBlank="1" showInputMessage="1" prompt="なければ直接入力" sqref="D44 D88" xr:uid="{BDC547B9-0B53-415B-8A41-7D96A9B6718F}">
      <formula1>"利尻島国保中央病院,福士水産㈱,高橋水産㈱"</formula1>
    </dataValidation>
    <dataValidation imeMode="disabled" allowBlank="1" showInputMessage="1" sqref="G85:G88 G41:G44" xr:uid="{180D77AB-503E-454A-B92E-FAE65D69E685}"/>
    <dataValidation type="list" imeMode="on" allowBlank="1" showInputMessage="1" prompt="なければ直接入力" sqref="D4:D43 D48:D87" xr:uid="{84DF4790-7FB7-48E2-8145-B9964E3542E0}">
      <formula1>"利尻島国保中央病院,道立鬼脇診療所,カムイウィスキー,福士水産㈱,糀谷商店,米田商店"</formula1>
    </dataValidation>
    <dataValidation type="list" imeMode="on" allowBlank="1" showInputMessage="1" showErrorMessage="1" sqref="B4:C43 B48:C87" xr:uid="{E42C1AF8-BB06-4E5D-ACC0-A26C16AADDB4}">
      <formula1>"水産系燃え殻,医療系燃え殻"</formula1>
    </dataValidation>
  </dataValidations>
  <printOptions horizontalCentered="1" verticalCentered="1"/>
  <pageMargins left="0.59055118110236227" right="0.59055118110236227" top="0.59055118110236227" bottom="0.59055118110236227" header="0" footer="0"/>
  <pageSetup paperSize="9" orientation="portrait" horizontalDpi="4294967293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59325-DC19-48BA-ADA4-CC15171F4CC9}">
  <dimension ref="A1:O88"/>
  <sheetViews>
    <sheetView tabSelected="1" topLeftCell="A31" workbookViewId="0">
      <selection activeCell="D48" sqref="D48"/>
    </sheetView>
  </sheetViews>
  <sheetFormatPr defaultRowHeight="13.5" x14ac:dyDescent="0.15"/>
  <cols>
    <col min="1" max="1" width="3.375" style="12" customWidth="1"/>
    <col min="2" max="2" width="12.25" style="10" customWidth="1"/>
    <col min="3" max="3" width="1" style="10" customWidth="1"/>
    <col min="4" max="4" width="17.625" style="12" customWidth="1"/>
    <col min="5" max="5" width="10.625" style="10" customWidth="1"/>
    <col min="6" max="6" width="2.125" style="10" customWidth="1"/>
    <col min="7" max="8" width="8.125" style="10" customWidth="1"/>
    <col min="9" max="9" width="6" style="13" customWidth="1"/>
    <col min="10" max="10" width="2.375" style="10" customWidth="1"/>
    <col min="11" max="11" width="5.5" style="10" customWidth="1"/>
    <col min="12" max="12" width="2.25" style="10" customWidth="1"/>
    <col min="13" max="13" width="6.25" style="49" customWidth="1"/>
    <col min="14" max="14" width="6.25" style="10" customWidth="1"/>
    <col min="15" max="16" width="13.25" style="10" bestFit="1" customWidth="1"/>
    <col min="17" max="17" width="9" style="10"/>
    <col min="18" max="18" width="12.125" style="10" bestFit="1" customWidth="1"/>
    <col min="19" max="16384" width="9" style="10"/>
  </cols>
  <sheetData>
    <row r="1" spans="1:15" ht="20.25" customHeight="1" x14ac:dyDescent="0.15">
      <c r="B1" s="95" t="s">
        <v>9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5" ht="21" customHeight="1" x14ac:dyDescent="0.15"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</row>
    <row r="3" spans="1:15" ht="27" customHeight="1" x14ac:dyDescent="0.15">
      <c r="A3" s="11"/>
      <c r="B3" s="29" t="s">
        <v>1</v>
      </c>
      <c r="C3" s="102" t="s">
        <v>2</v>
      </c>
      <c r="D3" s="103"/>
      <c r="E3" s="104" t="s">
        <v>3</v>
      </c>
      <c r="F3" s="105"/>
      <c r="G3" s="92" t="s">
        <v>4</v>
      </c>
      <c r="H3" s="92" t="s">
        <v>7</v>
      </c>
      <c r="I3" s="106" t="s">
        <v>8</v>
      </c>
      <c r="J3" s="107"/>
      <c r="K3" s="106" t="s">
        <v>5</v>
      </c>
      <c r="L3" s="106"/>
      <c r="M3" s="30" t="s">
        <v>10</v>
      </c>
      <c r="N3" s="31" t="s">
        <v>18</v>
      </c>
    </row>
    <row r="4" spans="1:15" ht="18.75" customHeight="1" x14ac:dyDescent="0.15">
      <c r="A4" s="11">
        <v>1</v>
      </c>
      <c r="B4" s="2"/>
      <c r="C4" s="90"/>
      <c r="D4" s="93"/>
      <c r="E4" s="90"/>
      <c r="F4" s="91" t="str">
        <f t="shared" ref="F4:F41" si="0">IF(E4="","",E4-INT(E4/7)*7)</f>
        <v/>
      </c>
      <c r="G4" s="5"/>
      <c r="H4" s="5" t="str">
        <f t="shared" ref="H4:H41" si="1">IF(G4="","",G4)</f>
        <v/>
      </c>
      <c r="I4" s="32"/>
      <c r="J4" s="6" t="s">
        <v>15</v>
      </c>
      <c r="K4" s="33" t="str">
        <f t="shared" ref="K4:K41" si="2">IF(I4&gt;0,I4*0.2,"")</f>
        <v/>
      </c>
      <c r="L4" s="6" t="s">
        <v>6</v>
      </c>
      <c r="M4" s="27"/>
      <c r="N4" s="34"/>
    </row>
    <row r="5" spans="1:15" ht="18.75" customHeight="1" x14ac:dyDescent="0.15">
      <c r="A5" s="11">
        <v>2</v>
      </c>
      <c r="B5" s="2"/>
      <c r="C5" s="90"/>
      <c r="D5" s="93"/>
      <c r="E5" s="7"/>
      <c r="F5" s="91" t="str">
        <f t="shared" si="0"/>
        <v/>
      </c>
      <c r="G5" s="5"/>
      <c r="H5" s="5" t="str">
        <f t="shared" si="1"/>
        <v/>
      </c>
      <c r="I5" s="35"/>
      <c r="J5" s="36" t="s">
        <v>15</v>
      </c>
      <c r="K5" s="37" t="str">
        <f t="shared" si="2"/>
        <v/>
      </c>
      <c r="L5" s="6" t="s">
        <v>6</v>
      </c>
      <c r="M5" s="27"/>
      <c r="N5" s="27"/>
    </row>
    <row r="6" spans="1:15" ht="18.75" customHeight="1" x14ac:dyDescent="0.15">
      <c r="A6" s="11">
        <v>3</v>
      </c>
      <c r="B6" s="2"/>
      <c r="C6" s="90"/>
      <c r="D6" s="93"/>
      <c r="E6" s="90"/>
      <c r="F6" s="91" t="str">
        <f t="shared" si="0"/>
        <v/>
      </c>
      <c r="G6" s="5"/>
      <c r="H6" s="5" t="str">
        <f t="shared" si="1"/>
        <v/>
      </c>
      <c r="I6" s="38"/>
      <c r="J6" s="8" t="s">
        <v>15</v>
      </c>
      <c r="K6" s="39" t="str">
        <f t="shared" si="2"/>
        <v/>
      </c>
      <c r="L6" s="9" t="s">
        <v>6</v>
      </c>
      <c r="M6" s="40"/>
      <c r="N6" s="27"/>
    </row>
    <row r="7" spans="1:15" ht="18.75" customHeight="1" x14ac:dyDescent="0.15">
      <c r="A7" s="11">
        <v>4</v>
      </c>
      <c r="B7" s="2"/>
      <c r="C7" s="90"/>
      <c r="D7" s="93"/>
      <c r="E7" s="90"/>
      <c r="F7" s="91" t="str">
        <f t="shared" si="0"/>
        <v/>
      </c>
      <c r="G7" s="5"/>
      <c r="H7" s="5" t="str">
        <f t="shared" si="1"/>
        <v/>
      </c>
      <c r="I7" s="35"/>
      <c r="J7" s="6" t="s">
        <v>15</v>
      </c>
      <c r="K7" s="33" t="str">
        <f t="shared" si="2"/>
        <v/>
      </c>
      <c r="L7" s="6" t="s">
        <v>6</v>
      </c>
      <c r="M7" s="27"/>
      <c r="N7" s="27"/>
    </row>
    <row r="8" spans="1:15" ht="18.75" customHeight="1" x14ac:dyDescent="0.15">
      <c r="A8" s="11">
        <v>5</v>
      </c>
      <c r="B8" s="2"/>
      <c r="C8" s="90"/>
      <c r="D8" s="93"/>
      <c r="E8" s="90"/>
      <c r="F8" s="91" t="str">
        <f t="shared" si="0"/>
        <v/>
      </c>
      <c r="G8" s="5"/>
      <c r="H8" s="5" t="str">
        <f t="shared" si="1"/>
        <v/>
      </c>
      <c r="I8" s="35"/>
      <c r="J8" s="6" t="s">
        <v>15</v>
      </c>
      <c r="K8" s="33" t="str">
        <f t="shared" si="2"/>
        <v/>
      </c>
      <c r="L8" s="6" t="s">
        <v>6</v>
      </c>
      <c r="M8" s="27"/>
      <c r="N8" s="27"/>
    </row>
    <row r="9" spans="1:15" ht="18.75" customHeight="1" x14ac:dyDescent="0.15">
      <c r="A9" s="11">
        <v>6</v>
      </c>
      <c r="B9" s="2"/>
      <c r="C9" s="90"/>
      <c r="D9" s="93"/>
      <c r="E9" s="90"/>
      <c r="F9" s="91" t="str">
        <f t="shared" si="0"/>
        <v/>
      </c>
      <c r="G9" s="5"/>
      <c r="H9" s="5" t="str">
        <f t="shared" si="1"/>
        <v/>
      </c>
      <c r="I9" s="35"/>
      <c r="J9" s="6" t="s">
        <v>15</v>
      </c>
      <c r="K9" s="33" t="str">
        <f t="shared" si="2"/>
        <v/>
      </c>
      <c r="L9" s="6" t="s">
        <v>6</v>
      </c>
      <c r="M9" s="27"/>
      <c r="N9" s="27"/>
    </row>
    <row r="10" spans="1:15" ht="18.75" customHeight="1" x14ac:dyDescent="0.15">
      <c r="A10" s="11">
        <v>7</v>
      </c>
      <c r="B10" s="2"/>
      <c r="C10" s="90"/>
      <c r="D10" s="93"/>
      <c r="E10" s="90"/>
      <c r="F10" s="91" t="str">
        <f t="shared" si="0"/>
        <v/>
      </c>
      <c r="G10" s="5"/>
      <c r="H10" s="5" t="str">
        <f t="shared" si="1"/>
        <v/>
      </c>
      <c r="I10" s="35"/>
      <c r="J10" s="6" t="s">
        <v>15</v>
      </c>
      <c r="K10" s="33" t="str">
        <f t="shared" si="2"/>
        <v/>
      </c>
      <c r="L10" s="6" t="s">
        <v>6</v>
      </c>
      <c r="M10" s="27"/>
      <c r="N10" s="27"/>
    </row>
    <row r="11" spans="1:15" ht="18.75" customHeight="1" x14ac:dyDescent="0.15">
      <c r="A11" s="11">
        <v>8</v>
      </c>
      <c r="B11" s="2"/>
      <c r="C11" s="90"/>
      <c r="D11" s="93"/>
      <c r="E11" s="90"/>
      <c r="F11" s="91" t="str">
        <f t="shared" si="0"/>
        <v/>
      </c>
      <c r="G11" s="5"/>
      <c r="H11" s="5" t="str">
        <f t="shared" si="1"/>
        <v/>
      </c>
      <c r="I11" s="41"/>
      <c r="J11" s="8" t="s">
        <v>15</v>
      </c>
      <c r="K11" s="33" t="str">
        <f t="shared" si="2"/>
        <v/>
      </c>
      <c r="L11" s="9" t="s">
        <v>6</v>
      </c>
      <c r="M11" s="27"/>
      <c r="N11" s="27"/>
    </row>
    <row r="12" spans="1:15" ht="18.75" customHeight="1" x14ac:dyDescent="0.15">
      <c r="A12" s="11">
        <v>9</v>
      </c>
      <c r="B12" s="2"/>
      <c r="C12" s="90"/>
      <c r="D12" s="93"/>
      <c r="E12" s="90"/>
      <c r="F12" s="91" t="str">
        <f t="shared" si="0"/>
        <v/>
      </c>
      <c r="G12" s="5"/>
      <c r="H12" s="5" t="str">
        <f t="shared" si="1"/>
        <v/>
      </c>
      <c r="I12" s="35"/>
      <c r="J12" s="6" t="s">
        <v>15</v>
      </c>
      <c r="K12" s="33" t="str">
        <f t="shared" si="2"/>
        <v/>
      </c>
      <c r="L12" s="6" t="s">
        <v>6</v>
      </c>
      <c r="M12" s="27"/>
      <c r="N12" s="27"/>
    </row>
    <row r="13" spans="1:15" ht="18.75" customHeight="1" x14ac:dyDescent="0.15">
      <c r="A13" s="11">
        <v>10</v>
      </c>
      <c r="B13" s="2"/>
      <c r="C13" s="90"/>
      <c r="D13" s="93"/>
      <c r="E13" s="90"/>
      <c r="F13" s="91" t="str">
        <f t="shared" si="0"/>
        <v/>
      </c>
      <c r="G13" s="5"/>
      <c r="H13" s="5" t="str">
        <f t="shared" si="1"/>
        <v/>
      </c>
      <c r="I13" s="41"/>
      <c r="J13" s="8" t="s">
        <v>15</v>
      </c>
      <c r="K13" s="33" t="str">
        <f t="shared" si="2"/>
        <v/>
      </c>
      <c r="L13" s="9" t="s">
        <v>6</v>
      </c>
      <c r="M13" s="27"/>
      <c r="N13" s="27"/>
    </row>
    <row r="14" spans="1:15" ht="18.75" customHeight="1" x14ac:dyDescent="0.15">
      <c r="A14" s="11">
        <v>11</v>
      </c>
      <c r="B14" s="2"/>
      <c r="C14" s="90"/>
      <c r="D14" s="93"/>
      <c r="E14" s="90"/>
      <c r="F14" s="91" t="str">
        <f t="shared" si="0"/>
        <v/>
      </c>
      <c r="G14" s="5"/>
      <c r="H14" s="5" t="str">
        <f t="shared" si="1"/>
        <v/>
      </c>
      <c r="I14" s="35"/>
      <c r="J14" s="6" t="s">
        <v>15</v>
      </c>
      <c r="K14" s="33" t="str">
        <f t="shared" si="2"/>
        <v/>
      </c>
      <c r="L14" s="6" t="s">
        <v>6</v>
      </c>
      <c r="M14" s="27"/>
      <c r="N14" s="27"/>
      <c r="O14" s="59"/>
    </row>
    <row r="15" spans="1:15" ht="18.75" customHeight="1" x14ac:dyDescent="0.15">
      <c r="A15" s="11">
        <v>12</v>
      </c>
      <c r="B15" s="2"/>
      <c r="C15" s="90"/>
      <c r="D15" s="93"/>
      <c r="E15" s="90"/>
      <c r="F15" s="91" t="str">
        <f t="shared" si="0"/>
        <v/>
      </c>
      <c r="G15" s="5"/>
      <c r="H15" s="5" t="str">
        <f t="shared" si="1"/>
        <v/>
      </c>
      <c r="I15" s="42"/>
      <c r="J15" s="8" t="s">
        <v>15</v>
      </c>
      <c r="K15" s="33" t="str">
        <f t="shared" si="2"/>
        <v/>
      </c>
      <c r="L15" s="6" t="s">
        <v>6</v>
      </c>
      <c r="M15" s="27"/>
      <c r="N15" s="27"/>
    </row>
    <row r="16" spans="1:15" ht="18.75" customHeight="1" x14ac:dyDescent="0.15">
      <c r="A16" s="11">
        <v>13</v>
      </c>
      <c r="B16" s="2"/>
      <c r="C16" s="90"/>
      <c r="D16" s="93"/>
      <c r="E16" s="90"/>
      <c r="F16" s="91" t="str">
        <f t="shared" si="0"/>
        <v/>
      </c>
      <c r="G16" s="5"/>
      <c r="H16" s="5" t="str">
        <f t="shared" si="1"/>
        <v/>
      </c>
      <c r="I16" s="35"/>
      <c r="J16" s="6" t="s">
        <v>15</v>
      </c>
      <c r="K16" s="33" t="str">
        <f t="shared" si="2"/>
        <v/>
      </c>
      <c r="L16" s="6" t="s">
        <v>6</v>
      </c>
      <c r="M16" s="27"/>
      <c r="N16" s="27"/>
    </row>
    <row r="17" spans="1:15" ht="18.75" customHeight="1" x14ac:dyDescent="0.15">
      <c r="A17" s="11">
        <v>14</v>
      </c>
      <c r="B17" s="2"/>
      <c r="C17" s="90"/>
      <c r="D17" s="93"/>
      <c r="E17" s="90"/>
      <c r="F17" s="91" t="str">
        <f t="shared" si="0"/>
        <v/>
      </c>
      <c r="G17" s="5"/>
      <c r="H17" s="5" t="str">
        <f t="shared" si="1"/>
        <v/>
      </c>
      <c r="I17" s="35"/>
      <c r="J17" s="6" t="s">
        <v>15</v>
      </c>
      <c r="K17" s="33" t="str">
        <f t="shared" si="2"/>
        <v/>
      </c>
      <c r="L17" s="6" t="s">
        <v>6</v>
      </c>
      <c r="M17" s="27"/>
      <c r="N17" s="27"/>
    </row>
    <row r="18" spans="1:15" ht="18.75" customHeight="1" x14ac:dyDescent="0.15">
      <c r="A18" s="11">
        <v>15</v>
      </c>
      <c r="B18" s="2"/>
      <c r="C18" s="90"/>
      <c r="D18" s="93"/>
      <c r="E18" s="90"/>
      <c r="F18" s="91" t="str">
        <f t="shared" si="0"/>
        <v/>
      </c>
      <c r="G18" s="5"/>
      <c r="H18" s="5" t="str">
        <f t="shared" si="1"/>
        <v/>
      </c>
      <c r="I18" s="41"/>
      <c r="J18" s="6" t="s">
        <v>15</v>
      </c>
      <c r="K18" s="33" t="str">
        <f t="shared" si="2"/>
        <v/>
      </c>
      <c r="L18" s="9" t="s">
        <v>6</v>
      </c>
      <c r="M18" s="27"/>
      <c r="N18" s="27"/>
    </row>
    <row r="19" spans="1:15" ht="18.75" customHeight="1" x14ac:dyDescent="0.15">
      <c r="A19" s="11">
        <v>16</v>
      </c>
      <c r="B19" s="2"/>
      <c r="C19" s="90"/>
      <c r="D19" s="93"/>
      <c r="E19" s="90"/>
      <c r="F19" s="91" t="str">
        <f t="shared" si="0"/>
        <v/>
      </c>
      <c r="G19" s="5"/>
      <c r="H19" s="5" t="str">
        <f t="shared" si="1"/>
        <v/>
      </c>
      <c r="I19" s="35"/>
      <c r="J19" s="6" t="s">
        <v>15</v>
      </c>
      <c r="K19" s="33" t="str">
        <f t="shared" si="2"/>
        <v/>
      </c>
      <c r="L19" s="6" t="s">
        <v>6</v>
      </c>
      <c r="M19" s="27"/>
      <c r="N19" s="27"/>
    </row>
    <row r="20" spans="1:15" ht="18.75" customHeight="1" x14ac:dyDescent="0.15">
      <c r="A20" s="11">
        <v>17</v>
      </c>
      <c r="B20" s="2"/>
      <c r="C20" s="90"/>
      <c r="D20" s="93"/>
      <c r="E20" s="7"/>
      <c r="F20" s="91" t="str">
        <f t="shared" si="0"/>
        <v/>
      </c>
      <c r="G20" s="5"/>
      <c r="H20" s="5" t="str">
        <f t="shared" si="1"/>
        <v/>
      </c>
      <c r="I20" s="42"/>
      <c r="J20" s="8" t="s">
        <v>15</v>
      </c>
      <c r="K20" s="33" t="str">
        <f t="shared" si="2"/>
        <v/>
      </c>
      <c r="L20" s="6" t="s">
        <v>6</v>
      </c>
      <c r="M20" s="27"/>
      <c r="N20" s="34"/>
    </row>
    <row r="21" spans="1:15" ht="18.75" customHeight="1" x14ac:dyDescent="0.15">
      <c r="A21" s="11">
        <v>18</v>
      </c>
      <c r="B21" s="2"/>
      <c r="C21" s="90"/>
      <c r="D21" s="93"/>
      <c r="E21" s="90"/>
      <c r="F21" s="91" t="str">
        <f t="shared" si="0"/>
        <v/>
      </c>
      <c r="G21" s="5"/>
      <c r="H21" s="5" t="str">
        <f t="shared" si="1"/>
        <v/>
      </c>
      <c r="I21" s="35"/>
      <c r="J21" s="6" t="s">
        <v>15</v>
      </c>
      <c r="K21" s="33" t="str">
        <f t="shared" si="2"/>
        <v/>
      </c>
      <c r="L21" s="6" t="s">
        <v>6</v>
      </c>
      <c r="M21" s="27"/>
      <c r="N21" s="27"/>
    </row>
    <row r="22" spans="1:15" ht="18.75" customHeight="1" x14ac:dyDescent="0.15">
      <c r="A22" s="11">
        <v>19</v>
      </c>
      <c r="B22" s="2"/>
      <c r="C22" s="90"/>
      <c r="D22" s="93"/>
      <c r="E22" s="90"/>
      <c r="F22" s="91" t="str">
        <f t="shared" si="0"/>
        <v/>
      </c>
      <c r="G22" s="5"/>
      <c r="H22" s="5" t="str">
        <f t="shared" si="1"/>
        <v/>
      </c>
      <c r="I22" s="35"/>
      <c r="J22" s="6" t="s">
        <v>15</v>
      </c>
      <c r="K22" s="33" t="str">
        <f t="shared" si="2"/>
        <v/>
      </c>
      <c r="L22" s="6" t="s">
        <v>6</v>
      </c>
      <c r="M22" s="27"/>
      <c r="N22" s="27"/>
    </row>
    <row r="23" spans="1:15" ht="18.75" customHeight="1" x14ac:dyDescent="0.15">
      <c r="A23" s="11">
        <v>20</v>
      </c>
      <c r="B23" s="2"/>
      <c r="C23" s="90"/>
      <c r="D23" s="93"/>
      <c r="E23" s="90"/>
      <c r="F23" s="91" t="str">
        <f t="shared" si="0"/>
        <v/>
      </c>
      <c r="G23" s="5"/>
      <c r="H23" s="5" t="str">
        <f t="shared" si="1"/>
        <v/>
      </c>
      <c r="I23" s="35"/>
      <c r="J23" s="6" t="s">
        <v>11</v>
      </c>
      <c r="K23" s="33" t="str">
        <f t="shared" si="2"/>
        <v/>
      </c>
      <c r="L23" s="6" t="s">
        <v>6</v>
      </c>
      <c r="M23" s="27"/>
      <c r="N23" s="27"/>
    </row>
    <row r="24" spans="1:15" ht="18.75" customHeight="1" x14ac:dyDescent="0.15">
      <c r="A24" s="11">
        <v>21</v>
      </c>
      <c r="B24" s="2"/>
      <c r="C24" s="90"/>
      <c r="D24" s="93"/>
      <c r="E24" s="90"/>
      <c r="F24" s="91" t="str">
        <f t="shared" si="0"/>
        <v/>
      </c>
      <c r="G24" s="5"/>
      <c r="H24" s="5" t="str">
        <f t="shared" si="1"/>
        <v/>
      </c>
      <c r="I24" s="35"/>
      <c r="J24" s="8" t="s">
        <v>11</v>
      </c>
      <c r="K24" s="33" t="str">
        <f t="shared" si="2"/>
        <v/>
      </c>
      <c r="L24" s="6" t="s">
        <v>6</v>
      </c>
      <c r="M24" s="27"/>
      <c r="N24" s="27"/>
    </row>
    <row r="25" spans="1:15" ht="18.75" customHeight="1" x14ac:dyDescent="0.15">
      <c r="A25" s="11">
        <v>22</v>
      </c>
      <c r="B25" s="2"/>
      <c r="C25" s="90"/>
      <c r="D25" s="93"/>
      <c r="E25" s="90"/>
      <c r="F25" s="91" t="str">
        <f t="shared" si="0"/>
        <v/>
      </c>
      <c r="G25" s="5"/>
      <c r="H25" s="5" t="str">
        <f t="shared" si="1"/>
        <v/>
      </c>
      <c r="I25" s="41"/>
      <c r="J25" s="6" t="s">
        <v>11</v>
      </c>
      <c r="K25" s="33" t="str">
        <f t="shared" si="2"/>
        <v/>
      </c>
      <c r="L25" s="6" t="s">
        <v>6</v>
      </c>
      <c r="M25" s="27"/>
      <c r="N25" s="27"/>
    </row>
    <row r="26" spans="1:15" ht="18.75" customHeight="1" x14ac:dyDescent="0.15">
      <c r="A26" s="11">
        <v>23</v>
      </c>
      <c r="B26" s="2"/>
      <c r="C26" s="90"/>
      <c r="D26" s="93"/>
      <c r="E26" s="90"/>
      <c r="F26" s="91" t="str">
        <f t="shared" si="0"/>
        <v/>
      </c>
      <c r="G26" s="5"/>
      <c r="H26" s="5" t="str">
        <f t="shared" si="1"/>
        <v/>
      </c>
      <c r="I26" s="41"/>
      <c r="J26" s="6" t="s">
        <v>15</v>
      </c>
      <c r="K26" s="33" t="str">
        <f t="shared" si="2"/>
        <v/>
      </c>
      <c r="L26" s="6" t="s">
        <v>6</v>
      </c>
      <c r="M26" s="27"/>
      <c r="N26" s="27"/>
    </row>
    <row r="27" spans="1:15" ht="18.75" customHeight="1" x14ac:dyDescent="0.15">
      <c r="A27" s="11">
        <v>24</v>
      </c>
      <c r="B27" s="2"/>
      <c r="C27" s="90"/>
      <c r="D27" s="93"/>
      <c r="E27" s="90"/>
      <c r="F27" s="91" t="str">
        <f t="shared" si="0"/>
        <v/>
      </c>
      <c r="G27" s="5"/>
      <c r="H27" s="5" t="str">
        <f t="shared" si="1"/>
        <v/>
      </c>
      <c r="I27" s="35"/>
      <c r="J27" s="8" t="s">
        <v>15</v>
      </c>
      <c r="K27" s="33" t="str">
        <f t="shared" si="2"/>
        <v/>
      </c>
      <c r="L27" s="6" t="s">
        <v>6</v>
      </c>
      <c r="M27" s="27"/>
      <c r="N27" s="27"/>
      <c r="O27" s="59"/>
    </row>
    <row r="28" spans="1:15" ht="18.75" customHeight="1" x14ac:dyDescent="0.15">
      <c r="A28" s="11">
        <v>25</v>
      </c>
      <c r="B28" s="2"/>
      <c r="C28" s="90"/>
      <c r="D28" s="93"/>
      <c r="E28" s="90"/>
      <c r="F28" s="91" t="str">
        <f t="shared" si="0"/>
        <v/>
      </c>
      <c r="G28" s="5"/>
      <c r="H28" s="5" t="str">
        <f t="shared" si="1"/>
        <v/>
      </c>
      <c r="I28" s="35"/>
      <c r="J28" s="6" t="s">
        <v>15</v>
      </c>
      <c r="K28" s="33" t="str">
        <f t="shared" si="2"/>
        <v/>
      </c>
      <c r="L28" s="6" t="s">
        <v>6</v>
      </c>
      <c r="M28" s="27"/>
      <c r="N28" s="27"/>
    </row>
    <row r="29" spans="1:15" ht="18.75" customHeight="1" x14ac:dyDescent="0.15">
      <c r="A29" s="11">
        <v>26</v>
      </c>
      <c r="B29" s="2"/>
      <c r="C29" s="90"/>
      <c r="D29" s="93"/>
      <c r="E29" s="90"/>
      <c r="F29" s="91" t="str">
        <f t="shared" si="0"/>
        <v/>
      </c>
      <c r="G29" s="5"/>
      <c r="H29" s="5" t="str">
        <f t="shared" si="1"/>
        <v/>
      </c>
      <c r="I29" s="35"/>
      <c r="J29" s="6" t="s">
        <v>15</v>
      </c>
      <c r="K29" s="33" t="str">
        <f t="shared" si="2"/>
        <v/>
      </c>
      <c r="L29" s="6" t="s">
        <v>6</v>
      </c>
      <c r="M29" s="27"/>
      <c r="N29" s="27"/>
    </row>
    <row r="30" spans="1:15" ht="18.75" customHeight="1" x14ac:dyDescent="0.15">
      <c r="A30" s="11">
        <v>27</v>
      </c>
      <c r="B30" s="2"/>
      <c r="C30" s="90"/>
      <c r="D30" s="93"/>
      <c r="E30" s="90"/>
      <c r="F30" s="91" t="str">
        <f t="shared" si="0"/>
        <v/>
      </c>
      <c r="G30" s="5"/>
      <c r="H30" s="5" t="str">
        <f t="shared" si="1"/>
        <v/>
      </c>
      <c r="I30" s="35"/>
      <c r="J30" s="8" t="s">
        <v>15</v>
      </c>
      <c r="K30" s="33" t="str">
        <f t="shared" si="2"/>
        <v/>
      </c>
      <c r="L30" s="6" t="s">
        <v>6</v>
      </c>
      <c r="M30" s="27"/>
      <c r="N30" s="27"/>
    </row>
    <row r="31" spans="1:15" ht="18.75" customHeight="1" x14ac:dyDescent="0.15">
      <c r="A31" s="11">
        <v>28</v>
      </c>
      <c r="B31" s="2"/>
      <c r="C31" s="90"/>
      <c r="D31" s="93"/>
      <c r="E31" s="7"/>
      <c r="F31" s="91" t="str">
        <f t="shared" si="0"/>
        <v/>
      </c>
      <c r="G31" s="5"/>
      <c r="H31" s="5" t="str">
        <f t="shared" si="1"/>
        <v/>
      </c>
      <c r="I31" s="41"/>
      <c r="J31" s="6" t="s">
        <v>15</v>
      </c>
      <c r="K31" s="33" t="str">
        <f t="shared" si="2"/>
        <v/>
      </c>
      <c r="L31" s="6" t="s">
        <v>6</v>
      </c>
      <c r="M31" s="27"/>
      <c r="N31" s="27"/>
    </row>
    <row r="32" spans="1:15" ht="18.75" customHeight="1" x14ac:dyDescent="0.15">
      <c r="A32" s="11">
        <v>29</v>
      </c>
      <c r="B32" s="2"/>
      <c r="C32" s="90"/>
      <c r="D32" s="93"/>
      <c r="E32" s="90"/>
      <c r="F32" s="91" t="str">
        <f t="shared" si="0"/>
        <v/>
      </c>
      <c r="G32" s="5"/>
      <c r="H32" s="5" t="str">
        <f t="shared" si="1"/>
        <v/>
      </c>
      <c r="I32" s="35"/>
      <c r="J32" s="6" t="s">
        <v>15</v>
      </c>
      <c r="K32" s="33" t="str">
        <f t="shared" si="2"/>
        <v/>
      </c>
      <c r="L32" s="6" t="s">
        <v>6</v>
      </c>
      <c r="M32" s="27"/>
      <c r="N32" s="27"/>
    </row>
    <row r="33" spans="1:15" ht="18.75" customHeight="1" x14ac:dyDescent="0.15">
      <c r="A33" s="11">
        <v>30</v>
      </c>
      <c r="B33" s="2"/>
      <c r="C33" s="90"/>
      <c r="D33" s="93"/>
      <c r="E33" s="90"/>
      <c r="F33" s="91" t="str">
        <f t="shared" si="0"/>
        <v/>
      </c>
      <c r="G33" s="5"/>
      <c r="H33" s="5" t="str">
        <f t="shared" si="1"/>
        <v/>
      </c>
      <c r="I33" s="35"/>
      <c r="J33" s="6" t="s">
        <v>15</v>
      </c>
      <c r="K33" s="33" t="str">
        <f t="shared" si="2"/>
        <v/>
      </c>
      <c r="L33" s="6" t="s">
        <v>6</v>
      </c>
      <c r="M33" s="27"/>
      <c r="N33" s="27"/>
    </row>
    <row r="34" spans="1:15" ht="18.75" customHeight="1" x14ac:dyDescent="0.15">
      <c r="A34" s="11">
        <v>31</v>
      </c>
      <c r="B34" s="2"/>
      <c r="C34" s="90"/>
      <c r="D34" s="93"/>
      <c r="E34" s="90"/>
      <c r="F34" s="91" t="str">
        <f t="shared" si="0"/>
        <v/>
      </c>
      <c r="G34" s="5"/>
      <c r="H34" s="5" t="str">
        <f t="shared" si="1"/>
        <v/>
      </c>
      <c r="I34" s="42"/>
      <c r="J34" s="6" t="s">
        <v>15</v>
      </c>
      <c r="K34" s="33" t="str">
        <f t="shared" si="2"/>
        <v/>
      </c>
      <c r="L34" s="6" t="s">
        <v>6</v>
      </c>
      <c r="M34" s="27"/>
      <c r="N34" s="27"/>
      <c r="O34" s="59"/>
    </row>
    <row r="35" spans="1:15" ht="18.75" customHeight="1" x14ac:dyDescent="0.15">
      <c r="A35" s="11">
        <v>32</v>
      </c>
      <c r="B35" s="2"/>
      <c r="C35" s="90"/>
      <c r="D35" s="93"/>
      <c r="E35" s="7"/>
      <c r="F35" s="91" t="str">
        <f t="shared" si="0"/>
        <v/>
      </c>
      <c r="G35" s="5"/>
      <c r="H35" s="5" t="str">
        <f t="shared" si="1"/>
        <v/>
      </c>
      <c r="I35" s="35"/>
      <c r="J35" s="6" t="s">
        <v>15</v>
      </c>
      <c r="K35" s="33" t="str">
        <f t="shared" si="2"/>
        <v/>
      </c>
      <c r="L35" s="6" t="s">
        <v>6</v>
      </c>
      <c r="M35" s="27"/>
      <c r="N35" s="27"/>
    </row>
    <row r="36" spans="1:15" ht="18.75" customHeight="1" x14ac:dyDescent="0.15">
      <c r="A36" s="11">
        <v>33</v>
      </c>
      <c r="B36" s="2"/>
      <c r="C36" s="90"/>
      <c r="D36" s="93"/>
      <c r="E36" s="90"/>
      <c r="F36" s="91" t="str">
        <f t="shared" si="0"/>
        <v/>
      </c>
      <c r="G36" s="5"/>
      <c r="H36" s="5" t="str">
        <f t="shared" si="1"/>
        <v/>
      </c>
      <c r="I36" s="43"/>
      <c r="J36" s="6" t="s">
        <v>15</v>
      </c>
      <c r="K36" s="33" t="str">
        <f t="shared" si="2"/>
        <v/>
      </c>
      <c r="L36" s="6" t="s">
        <v>6</v>
      </c>
      <c r="M36" s="27"/>
      <c r="N36" s="27"/>
    </row>
    <row r="37" spans="1:15" ht="18.75" customHeight="1" x14ac:dyDescent="0.15">
      <c r="A37" s="11">
        <v>34</v>
      </c>
      <c r="B37" s="2"/>
      <c r="C37" s="90"/>
      <c r="D37" s="93"/>
      <c r="E37" s="90"/>
      <c r="F37" s="91" t="str">
        <f t="shared" si="0"/>
        <v/>
      </c>
      <c r="G37" s="5"/>
      <c r="H37" s="5" t="str">
        <f t="shared" si="1"/>
        <v/>
      </c>
      <c r="I37" s="35"/>
      <c r="J37" s="6" t="s">
        <v>15</v>
      </c>
      <c r="K37" s="33" t="str">
        <f t="shared" si="2"/>
        <v/>
      </c>
      <c r="L37" s="6" t="s">
        <v>6</v>
      </c>
      <c r="M37" s="27"/>
      <c r="N37" s="27"/>
    </row>
    <row r="38" spans="1:15" ht="18.75" customHeight="1" x14ac:dyDescent="0.15">
      <c r="A38" s="11">
        <v>35</v>
      </c>
      <c r="B38" s="2"/>
      <c r="C38" s="90"/>
      <c r="D38" s="93"/>
      <c r="E38" s="7"/>
      <c r="F38" s="91" t="str">
        <f t="shared" si="0"/>
        <v/>
      </c>
      <c r="G38" s="5"/>
      <c r="H38" s="5" t="str">
        <f t="shared" si="1"/>
        <v/>
      </c>
      <c r="I38" s="42"/>
      <c r="J38" s="6" t="s">
        <v>15</v>
      </c>
      <c r="K38" s="33" t="str">
        <f t="shared" si="2"/>
        <v/>
      </c>
      <c r="L38" s="6" t="s">
        <v>6</v>
      </c>
      <c r="M38" s="27"/>
      <c r="N38" s="27"/>
    </row>
    <row r="39" spans="1:15" ht="18.75" customHeight="1" x14ac:dyDescent="0.15">
      <c r="A39" s="11">
        <v>36</v>
      </c>
      <c r="B39" s="2"/>
      <c r="C39" s="90"/>
      <c r="D39" s="93"/>
      <c r="E39" s="90"/>
      <c r="F39" s="91" t="str">
        <f t="shared" si="0"/>
        <v/>
      </c>
      <c r="G39" s="5"/>
      <c r="H39" s="5" t="str">
        <f t="shared" si="1"/>
        <v/>
      </c>
      <c r="I39" s="35"/>
      <c r="J39" s="6" t="s">
        <v>15</v>
      </c>
      <c r="K39" s="33" t="str">
        <f t="shared" si="2"/>
        <v/>
      </c>
      <c r="L39" s="6" t="s">
        <v>6</v>
      </c>
      <c r="M39" s="27"/>
      <c r="N39" s="27"/>
    </row>
    <row r="40" spans="1:15" ht="18.75" customHeight="1" x14ac:dyDescent="0.15">
      <c r="A40" s="11">
        <v>37</v>
      </c>
      <c r="B40" s="2"/>
      <c r="C40" s="90"/>
      <c r="D40" s="93"/>
      <c r="E40" s="90"/>
      <c r="F40" s="91" t="str">
        <f t="shared" si="0"/>
        <v/>
      </c>
      <c r="G40" s="5"/>
      <c r="H40" s="5" t="str">
        <f t="shared" si="1"/>
        <v/>
      </c>
      <c r="I40" s="35"/>
      <c r="J40" s="6" t="s">
        <v>15</v>
      </c>
      <c r="K40" s="33" t="str">
        <f t="shared" si="2"/>
        <v/>
      </c>
      <c r="L40" s="6" t="s">
        <v>6</v>
      </c>
      <c r="M40" s="27"/>
      <c r="N40" s="27"/>
    </row>
    <row r="41" spans="1:15" ht="18.75" customHeight="1" x14ac:dyDescent="0.15">
      <c r="A41" s="11">
        <v>38</v>
      </c>
      <c r="B41" s="2"/>
      <c r="C41" s="90"/>
      <c r="D41" s="93"/>
      <c r="E41" s="90"/>
      <c r="F41" s="91" t="str">
        <f t="shared" si="0"/>
        <v/>
      </c>
      <c r="G41" s="5"/>
      <c r="H41" s="5" t="str">
        <f t="shared" si="1"/>
        <v/>
      </c>
      <c r="I41" s="35"/>
      <c r="J41" s="6" t="s">
        <v>15</v>
      </c>
      <c r="K41" s="37" t="str">
        <f t="shared" si="2"/>
        <v/>
      </c>
      <c r="L41" s="6" t="s">
        <v>6</v>
      </c>
      <c r="M41" s="27"/>
      <c r="N41" s="27"/>
    </row>
    <row r="42" spans="1:15" ht="18.75" customHeight="1" x14ac:dyDescent="0.15">
      <c r="A42" s="11">
        <v>39</v>
      </c>
      <c r="B42" s="2"/>
      <c r="C42" s="90"/>
      <c r="D42" s="93"/>
      <c r="E42" s="90"/>
      <c r="F42" s="91"/>
      <c r="G42" s="5"/>
      <c r="H42" s="5"/>
      <c r="I42" s="35"/>
      <c r="J42" s="6" t="s">
        <v>15</v>
      </c>
      <c r="K42" s="37"/>
      <c r="L42" s="6" t="s">
        <v>6</v>
      </c>
      <c r="M42" s="27"/>
      <c r="N42" s="27"/>
    </row>
    <row r="43" spans="1:15" ht="18.75" customHeight="1" thickBot="1" x14ac:dyDescent="0.2">
      <c r="A43" s="50">
        <v>40</v>
      </c>
      <c r="B43" s="51"/>
      <c r="C43" s="52"/>
      <c r="D43" s="94"/>
      <c r="E43" s="52"/>
      <c r="F43" s="53"/>
      <c r="G43" s="54"/>
      <c r="H43" s="54"/>
      <c r="I43" s="55"/>
      <c r="J43" s="56" t="s">
        <v>15</v>
      </c>
      <c r="K43" s="57"/>
      <c r="L43" s="56" t="s">
        <v>6</v>
      </c>
      <c r="M43" s="86" t="s">
        <v>21</v>
      </c>
      <c r="N43" s="86" t="s">
        <v>22</v>
      </c>
    </row>
    <row r="44" spans="1:15" ht="18.75" customHeight="1" thickTop="1" x14ac:dyDescent="0.15">
      <c r="B44" s="44"/>
      <c r="C44" s="44"/>
      <c r="D44" s="45"/>
      <c r="E44" s="44"/>
      <c r="F44" s="44" t="str">
        <f>IF(E44="","",E44-INT(E44/7)*7)</f>
        <v/>
      </c>
      <c r="G44" s="46"/>
      <c r="H44" s="46" t="str">
        <f>IF(G44="","",G44)</f>
        <v/>
      </c>
      <c r="I44" s="61">
        <f>SUM(I4:I43)</f>
        <v>0</v>
      </c>
      <c r="J44" s="8" t="s">
        <v>15</v>
      </c>
      <c r="K44" s="47">
        <f>SUM(K4:K43)</f>
        <v>0</v>
      </c>
      <c r="L44" s="8" t="s">
        <v>6</v>
      </c>
      <c r="M44" s="48">
        <f>SUM(K44)-N44</f>
        <v>0</v>
      </c>
      <c r="N44" s="72">
        <f>SUMIF(M4:M42,"",K4:K43)</f>
        <v>0</v>
      </c>
    </row>
    <row r="45" spans="1:15" ht="20.25" customHeight="1" x14ac:dyDescent="0.15">
      <c r="B45" s="95" t="s">
        <v>9</v>
      </c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</row>
    <row r="46" spans="1:15" ht="21" customHeight="1" x14ac:dyDescent="0.15">
      <c r="B46" s="96" t="s">
        <v>0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</row>
    <row r="47" spans="1:15" ht="27" customHeight="1" x14ac:dyDescent="0.15">
      <c r="A47" s="11"/>
      <c r="B47" s="29" t="s">
        <v>1</v>
      </c>
      <c r="C47" s="102" t="s">
        <v>2</v>
      </c>
      <c r="D47" s="103"/>
      <c r="E47" s="104" t="s">
        <v>3</v>
      </c>
      <c r="F47" s="105"/>
      <c r="G47" s="92" t="s">
        <v>4</v>
      </c>
      <c r="H47" s="92" t="s">
        <v>7</v>
      </c>
      <c r="I47" s="106" t="s">
        <v>8</v>
      </c>
      <c r="J47" s="107"/>
      <c r="K47" s="106" t="s">
        <v>5</v>
      </c>
      <c r="L47" s="106"/>
      <c r="M47" s="30" t="s">
        <v>10</v>
      </c>
      <c r="N47" s="31" t="s">
        <v>18</v>
      </c>
    </row>
    <row r="48" spans="1:15" ht="18.75" customHeight="1" x14ac:dyDescent="0.15">
      <c r="A48" s="11">
        <v>41</v>
      </c>
      <c r="B48" s="2"/>
      <c r="C48" s="90"/>
      <c r="D48" s="93"/>
      <c r="E48" s="90"/>
      <c r="F48" s="91" t="str">
        <f t="shared" ref="F48:F88" si="3">IF(E48="","",E48-INT(E48/7)*7)</f>
        <v/>
      </c>
      <c r="G48" s="5"/>
      <c r="H48" s="5" t="str">
        <f t="shared" ref="H48:H88" si="4">IF(G48="","",G48)</f>
        <v/>
      </c>
      <c r="I48" s="32"/>
      <c r="J48" s="6" t="s">
        <v>15</v>
      </c>
      <c r="K48" s="33" t="str">
        <f t="shared" ref="K48:K85" si="5">IF(I48&gt;0,I48*0.2,"")</f>
        <v/>
      </c>
      <c r="L48" s="6" t="s">
        <v>6</v>
      </c>
      <c r="M48" s="27"/>
      <c r="N48" s="34"/>
    </row>
    <row r="49" spans="1:14" ht="18.75" customHeight="1" x14ac:dyDescent="0.15">
      <c r="A49" s="11">
        <v>42</v>
      </c>
      <c r="B49" s="2"/>
      <c r="C49" s="90"/>
      <c r="D49" s="93"/>
      <c r="E49" s="7"/>
      <c r="F49" s="91" t="str">
        <f t="shared" si="3"/>
        <v/>
      </c>
      <c r="G49" s="5"/>
      <c r="H49" s="5" t="str">
        <f t="shared" si="4"/>
        <v/>
      </c>
      <c r="I49" s="35"/>
      <c r="J49" s="36" t="s">
        <v>15</v>
      </c>
      <c r="K49" s="37" t="str">
        <f t="shared" si="5"/>
        <v/>
      </c>
      <c r="L49" s="6" t="s">
        <v>6</v>
      </c>
      <c r="M49" s="27"/>
      <c r="N49" s="27"/>
    </row>
    <row r="50" spans="1:14" ht="18.75" customHeight="1" x14ac:dyDescent="0.15">
      <c r="A50" s="11">
        <v>43</v>
      </c>
      <c r="B50" s="2"/>
      <c r="C50" s="90"/>
      <c r="D50" s="93"/>
      <c r="E50" s="90"/>
      <c r="F50" s="91" t="str">
        <f t="shared" si="3"/>
        <v/>
      </c>
      <c r="G50" s="5"/>
      <c r="H50" s="5" t="str">
        <f t="shared" si="4"/>
        <v/>
      </c>
      <c r="I50" s="38"/>
      <c r="J50" s="8" t="s">
        <v>15</v>
      </c>
      <c r="K50" s="39" t="str">
        <f t="shared" si="5"/>
        <v/>
      </c>
      <c r="L50" s="9" t="s">
        <v>6</v>
      </c>
      <c r="M50" s="40"/>
      <c r="N50" s="27"/>
    </row>
    <row r="51" spans="1:14" ht="18.75" customHeight="1" x14ac:dyDescent="0.15">
      <c r="A51" s="11">
        <v>44</v>
      </c>
      <c r="B51" s="2"/>
      <c r="C51" s="90"/>
      <c r="D51" s="93"/>
      <c r="E51" s="90"/>
      <c r="F51" s="91" t="str">
        <f t="shared" si="3"/>
        <v/>
      </c>
      <c r="G51" s="5"/>
      <c r="H51" s="5" t="str">
        <f t="shared" si="4"/>
        <v/>
      </c>
      <c r="I51" s="35"/>
      <c r="J51" s="6" t="s">
        <v>15</v>
      </c>
      <c r="K51" s="33" t="str">
        <f t="shared" si="5"/>
        <v/>
      </c>
      <c r="L51" s="6" t="s">
        <v>6</v>
      </c>
      <c r="M51" s="27"/>
      <c r="N51" s="27"/>
    </row>
    <row r="52" spans="1:14" ht="18.75" customHeight="1" x14ac:dyDescent="0.15">
      <c r="A52" s="11">
        <v>45</v>
      </c>
      <c r="B52" s="2"/>
      <c r="C52" s="90"/>
      <c r="D52" s="93"/>
      <c r="E52" s="90"/>
      <c r="F52" s="91" t="str">
        <f t="shared" si="3"/>
        <v/>
      </c>
      <c r="G52" s="5"/>
      <c r="H52" s="5" t="str">
        <f t="shared" si="4"/>
        <v/>
      </c>
      <c r="I52" s="35"/>
      <c r="J52" s="6" t="s">
        <v>15</v>
      </c>
      <c r="K52" s="33" t="str">
        <f t="shared" si="5"/>
        <v/>
      </c>
      <c r="L52" s="6" t="s">
        <v>6</v>
      </c>
      <c r="M52" s="27"/>
      <c r="N52" s="27"/>
    </row>
    <row r="53" spans="1:14" ht="18.75" customHeight="1" x14ac:dyDescent="0.15">
      <c r="A53" s="11">
        <v>46</v>
      </c>
      <c r="B53" s="2"/>
      <c r="C53" s="90"/>
      <c r="D53" s="93"/>
      <c r="E53" s="90"/>
      <c r="F53" s="91" t="str">
        <f t="shared" si="3"/>
        <v/>
      </c>
      <c r="G53" s="5"/>
      <c r="H53" s="5" t="str">
        <f t="shared" si="4"/>
        <v/>
      </c>
      <c r="I53" s="35"/>
      <c r="J53" s="6" t="s">
        <v>15</v>
      </c>
      <c r="K53" s="33" t="str">
        <f t="shared" si="5"/>
        <v/>
      </c>
      <c r="L53" s="6" t="s">
        <v>6</v>
      </c>
      <c r="M53" s="27"/>
      <c r="N53" s="27"/>
    </row>
    <row r="54" spans="1:14" ht="18.75" customHeight="1" x14ac:dyDescent="0.15">
      <c r="A54" s="11">
        <v>47</v>
      </c>
      <c r="B54" s="2"/>
      <c r="C54" s="90"/>
      <c r="D54" s="93"/>
      <c r="E54" s="90"/>
      <c r="F54" s="91" t="str">
        <f t="shared" si="3"/>
        <v/>
      </c>
      <c r="G54" s="5"/>
      <c r="H54" s="5" t="str">
        <f t="shared" si="4"/>
        <v/>
      </c>
      <c r="I54" s="35"/>
      <c r="J54" s="6" t="s">
        <v>15</v>
      </c>
      <c r="K54" s="33" t="str">
        <f t="shared" si="5"/>
        <v/>
      </c>
      <c r="L54" s="6" t="s">
        <v>6</v>
      </c>
      <c r="M54" s="27"/>
      <c r="N54" s="27"/>
    </row>
    <row r="55" spans="1:14" ht="18.75" customHeight="1" x14ac:dyDescent="0.15">
      <c r="A55" s="11">
        <v>48</v>
      </c>
      <c r="B55" s="2"/>
      <c r="C55" s="90"/>
      <c r="D55" s="93"/>
      <c r="E55" s="90"/>
      <c r="F55" s="91" t="str">
        <f t="shared" si="3"/>
        <v/>
      </c>
      <c r="G55" s="5"/>
      <c r="H55" s="5" t="str">
        <f t="shared" si="4"/>
        <v/>
      </c>
      <c r="I55" s="41"/>
      <c r="J55" s="8" t="s">
        <v>15</v>
      </c>
      <c r="K55" s="33" t="str">
        <f t="shared" si="5"/>
        <v/>
      </c>
      <c r="L55" s="9" t="s">
        <v>6</v>
      </c>
      <c r="M55" s="27"/>
      <c r="N55" s="27"/>
    </row>
    <row r="56" spans="1:14" ht="18.75" customHeight="1" x14ac:dyDescent="0.15">
      <c r="A56" s="11">
        <v>49</v>
      </c>
      <c r="B56" s="2"/>
      <c r="C56" s="90"/>
      <c r="D56" s="93"/>
      <c r="E56" s="90"/>
      <c r="F56" s="91" t="str">
        <f t="shared" si="3"/>
        <v/>
      </c>
      <c r="G56" s="5"/>
      <c r="H56" s="5" t="str">
        <f t="shared" si="4"/>
        <v/>
      </c>
      <c r="I56" s="35"/>
      <c r="J56" s="6" t="s">
        <v>15</v>
      </c>
      <c r="K56" s="33" t="str">
        <f t="shared" si="5"/>
        <v/>
      </c>
      <c r="L56" s="6" t="s">
        <v>6</v>
      </c>
      <c r="M56" s="27"/>
      <c r="N56" s="27"/>
    </row>
    <row r="57" spans="1:14" ht="18.75" customHeight="1" x14ac:dyDescent="0.15">
      <c r="A57" s="11">
        <v>50</v>
      </c>
      <c r="B57" s="2"/>
      <c r="C57" s="90"/>
      <c r="D57" s="93"/>
      <c r="E57" s="90"/>
      <c r="F57" s="91" t="str">
        <f t="shared" si="3"/>
        <v/>
      </c>
      <c r="G57" s="5"/>
      <c r="H57" s="5" t="str">
        <f t="shared" si="4"/>
        <v/>
      </c>
      <c r="I57" s="41"/>
      <c r="J57" s="8" t="s">
        <v>15</v>
      </c>
      <c r="K57" s="33" t="str">
        <f t="shared" si="5"/>
        <v/>
      </c>
      <c r="L57" s="9" t="s">
        <v>6</v>
      </c>
      <c r="M57" s="27"/>
      <c r="N57" s="27"/>
    </row>
    <row r="58" spans="1:14" ht="18.75" customHeight="1" x14ac:dyDescent="0.15">
      <c r="A58" s="11">
        <v>51</v>
      </c>
      <c r="B58" s="2"/>
      <c r="C58" s="90"/>
      <c r="D58" s="93"/>
      <c r="E58" s="90"/>
      <c r="F58" s="91" t="str">
        <f t="shared" si="3"/>
        <v/>
      </c>
      <c r="G58" s="5"/>
      <c r="H58" s="5" t="str">
        <f t="shared" si="4"/>
        <v/>
      </c>
      <c r="I58" s="35"/>
      <c r="J58" s="6" t="s">
        <v>15</v>
      </c>
      <c r="K58" s="33" t="str">
        <f t="shared" si="5"/>
        <v/>
      </c>
      <c r="L58" s="6" t="s">
        <v>6</v>
      </c>
      <c r="M58" s="27"/>
      <c r="N58" s="27"/>
    </row>
    <row r="59" spans="1:14" ht="18.75" customHeight="1" x14ac:dyDescent="0.15">
      <c r="A59" s="11">
        <v>52</v>
      </c>
      <c r="B59" s="2"/>
      <c r="C59" s="90"/>
      <c r="D59" s="93"/>
      <c r="E59" s="90"/>
      <c r="F59" s="91" t="str">
        <f t="shared" si="3"/>
        <v/>
      </c>
      <c r="G59" s="5"/>
      <c r="H59" s="5" t="str">
        <f t="shared" si="4"/>
        <v/>
      </c>
      <c r="I59" s="42"/>
      <c r="J59" s="8" t="s">
        <v>15</v>
      </c>
      <c r="K59" s="33" t="str">
        <f t="shared" si="5"/>
        <v/>
      </c>
      <c r="L59" s="6" t="s">
        <v>6</v>
      </c>
      <c r="M59" s="27"/>
      <c r="N59" s="27"/>
    </row>
    <row r="60" spans="1:14" ht="18.75" customHeight="1" x14ac:dyDescent="0.15">
      <c r="A60" s="11">
        <v>53</v>
      </c>
      <c r="B60" s="2"/>
      <c r="C60" s="90"/>
      <c r="D60" s="93"/>
      <c r="E60" s="90"/>
      <c r="F60" s="91" t="str">
        <f t="shared" si="3"/>
        <v/>
      </c>
      <c r="G60" s="5"/>
      <c r="H60" s="5" t="str">
        <f t="shared" si="4"/>
        <v/>
      </c>
      <c r="I60" s="35"/>
      <c r="J60" s="6" t="s">
        <v>15</v>
      </c>
      <c r="K60" s="33" t="str">
        <f t="shared" si="5"/>
        <v/>
      </c>
      <c r="L60" s="6" t="s">
        <v>6</v>
      </c>
      <c r="M60" s="27"/>
      <c r="N60" s="27"/>
    </row>
    <row r="61" spans="1:14" ht="18.75" customHeight="1" x14ac:dyDescent="0.15">
      <c r="A61" s="11">
        <v>54</v>
      </c>
      <c r="B61" s="2"/>
      <c r="C61" s="90"/>
      <c r="D61" s="93"/>
      <c r="E61" s="90"/>
      <c r="F61" s="91" t="str">
        <f t="shared" si="3"/>
        <v/>
      </c>
      <c r="G61" s="5"/>
      <c r="H61" s="5" t="str">
        <f t="shared" si="4"/>
        <v/>
      </c>
      <c r="I61" s="35"/>
      <c r="J61" s="6" t="s">
        <v>15</v>
      </c>
      <c r="K61" s="33" t="str">
        <f t="shared" si="5"/>
        <v/>
      </c>
      <c r="L61" s="6" t="s">
        <v>6</v>
      </c>
      <c r="M61" s="27"/>
      <c r="N61" s="27"/>
    </row>
    <row r="62" spans="1:14" ht="18.75" customHeight="1" x14ac:dyDescent="0.15">
      <c r="A62" s="11">
        <v>55</v>
      </c>
      <c r="B62" s="2"/>
      <c r="C62" s="90"/>
      <c r="D62" s="93"/>
      <c r="E62" s="90"/>
      <c r="F62" s="91" t="str">
        <f t="shared" si="3"/>
        <v/>
      </c>
      <c r="G62" s="5"/>
      <c r="H62" s="5" t="str">
        <f t="shared" si="4"/>
        <v/>
      </c>
      <c r="I62" s="41"/>
      <c r="J62" s="6" t="s">
        <v>15</v>
      </c>
      <c r="K62" s="33" t="str">
        <f t="shared" si="5"/>
        <v/>
      </c>
      <c r="L62" s="9" t="s">
        <v>6</v>
      </c>
      <c r="M62" s="27"/>
      <c r="N62" s="27"/>
    </row>
    <row r="63" spans="1:14" ht="18.75" customHeight="1" x14ac:dyDescent="0.15">
      <c r="A63" s="11">
        <v>56</v>
      </c>
      <c r="B63" s="2"/>
      <c r="C63" s="90"/>
      <c r="D63" s="93"/>
      <c r="E63" s="90"/>
      <c r="F63" s="91" t="str">
        <f t="shared" si="3"/>
        <v/>
      </c>
      <c r="G63" s="5"/>
      <c r="H63" s="5" t="str">
        <f t="shared" si="4"/>
        <v/>
      </c>
      <c r="I63" s="35"/>
      <c r="J63" s="6" t="s">
        <v>15</v>
      </c>
      <c r="K63" s="33" t="str">
        <f t="shared" si="5"/>
        <v/>
      </c>
      <c r="L63" s="6" t="s">
        <v>6</v>
      </c>
      <c r="M63" s="27"/>
      <c r="N63" s="27"/>
    </row>
    <row r="64" spans="1:14" ht="18.75" customHeight="1" x14ac:dyDescent="0.15">
      <c r="A64" s="11">
        <v>57</v>
      </c>
      <c r="B64" s="2"/>
      <c r="C64" s="90"/>
      <c r="D64" s="93"/>
      <c r="E64" s="7"/>
      <c r="F64" s="91" t="str">
        <f t="shared" si="3"/>
        <v/>
      </c>
      <c r="G64" s="5"/>
      <c r="H64" s="5" t="str">
        <f t="shared" si="4"/>
        <v/>
      </c>
      <c r="I64" s="42"/>
      <c r="J64" s="8" t="s">
        <v>15</v>
      </c>
      <c r="K64" s="33" t="str">
        <f t="shared" si="5"/>
        <v/>
      </c>
      <c r="L64" s="6" t="s">
        <v>6</v>
      </c>
      <c r="M64" s="27"/>
      <c r="N64" s="34"/>
    </row>
    <row r="65" spans="1:14" ht="18.75" customHeight="1" x14ac:dyDescent="0.15">
      <c r="A65" s="11">
        <v>58</v>
      </c>
      <c r="B65" s="2"/>
      <c r="C65" s="90"/>
      <c r="D65" s="93"/>
      <c r="E65" s="90"/>
      <c r="F65" s="91" t="str">
        <f t="shared" si="3"/>
        <v/>
      </c>
      <c r="G65" s="5"/>
      <c r="H65" s="5" t="str">
        <f t="shared" si="4"/>
        <v/>
      </c>
      <c r="I65" s="35"/>
      <c r="J65" s="6" t="s">
        <v>15</v>
      </c>
      <c r="K65" s="33" t="str">
        <f t="shared" si="5"/>
        <v/>
      </c>
      <c r="L65" s="6" t="s">
        <v>6</v>
      </c>
      <c r="M65" s="27"/>
      <c r="N65" s="27"/>
    </row>
    <row r="66" spans="1:14" ht="18.75" customHeight="1" x14ac:dyDescent="0.15">
      <c r="A66" s="11">
        <v>59</v>
      </c>
      <c r="B66" s="2"/>
      <c r="C66" s="90"/>
      <c r="D66" s="93"/>
      <c r="E66" s="90"/>
      <c r="F66" s="91" t="str">
        <f t="shared" si="3"/>
        <v/>
      </c>
      <c r="G66" s="5"/>
      <c r="H66" s="5" t="str">
        <f t="shared" si="4"/>
        <v/>
      </c>
      <c r="I66" s="35"/>
      <c r="J66" s="6" t="s">
        <v>15</v>
      </c>
      <c r="K66" s="33" t="str">
        <f t="shared" si="5"/>
        <v/>
      </c>
      <c r="L66" s="6" t="s">
        <v>6</v>
      </c>
      <c r="M66" s="27"/>
      <c r="N66" s="27"/>
    </row>
    <row r="67" spans="1:14" ht="18.75" customHeight="1" x14ac:dyDescent="0.15">
      <c r="A67" s="11">
        <v>60</v>
      </c>
      <c r="B67" s="2"/>
      <c r="C67" s="90"/>
      <c r="D67" s="93"/>
      <c r="E67" s="90"/>
      <c r="F67" s="91" t="str">
        <f t="shared" si="3"/>
        <v/>
      </c>
      <c r="G67" s="5"/>
      <c r="H67" s="5" t="str">
        <f t="shared" si="4"/>
        <v/>
      </c>
      <c r="I67" s="35"/>
      <c r="J67" s="6" t="s">
        <v>11</v>
      </c>
      <c r="K67" s="33" t="str">
        <f t="shared" si="5"/>
        <v/>
      </c>
      <c r="L67" s="6" t="s">
        <v>6</v>
      </c>
      <c r="M67" s="27"/>
      <c r="N67" s="27"/>
    </row>
    <row r="68" spans="1:14" ht="18.75" customHeight="1" x14ac:dyDescent="0.15">
      <c r="A68" s="11">
        <v>61</v>
      </c>
      <c r="B68" s="2"/>
      <c r="C68" s="90"/>
      <c r="D68" s="93"/>
      <c r="E68" s="90"/>
      <c r="F68" s="91" t="str">
        <f t="shared" si="3"/>
        <v/>
      </c>
      <c r="G68" s="5"/>
      <c r="H68" s="5" t="str">
        <f t="shared" si="4"/>
        <v/>
      </c>
      <c r="I68" s="35"/>
      <c r="J68" s="8" t="s">
        <v>11</v>
      </c>
      <c r="K68" s="33" t="str">
        <f t="shared" si="5"/>
        <v/>
      </c>
      <c r="L68" s="6" t="s">
        <v>6</v>
      </c>
      <c r="M68" s="27"/>
      <c r="N68" s="27"/>
    </row>
    <row r="69" spans="1:14" ht="18.75" customHeight="1" x14ac:dyDescent="0.15">
      <c r="A69" s="11">
        <v>62</v>
      </c>
      <c r="B69" s="2"/>
      <c r="C69" s="90"/>
      <c r="D69" s="93"/>
      <c r="E69" s="90"/>
      <c r="F69" s="91" t="str">
        <f t="shared" si="3"/>
        <v/>
      </c>
      <c r="G69" s="5"/>
      <c r="H69" s="5" t="str">
        <f t="shared" si="4"/>
        <v/>
      </c>
      <c r="I69" s="41"/>
      <c r="J69" s="6" t="s">
        <v>11</v>
      </c>
      <c r="K69" s="33" t="str">
        <f t="shared" si="5"/>
        <v/>
      </c>
      <c r="L69" s="6" t="s">
        <v>6</v>
      </c>
      <c r="M69" s="27"/>
      <c r="N69" s="27"/>
    </row>
    <row r="70" spans="1:14" ht="18.75" customHeight="1" x14ac:dyDescent="0.15">
      <c r="A70" s="11">
        <v>63</v>
      </c>
      <c r="B70" s="2"/>
      <c r="C70" s="90"/>
      <c r="D70" s="93"/>
      <c r="E70" s="90"/>
      <c r="F70" s="91" t="str">
        <f t="shared" si="3"/>
        <v/>
      </c>
      <c r="G70" s="5"/>
      <c r="H70" s="5" t="str">
        <f t="shared" si="4"/>
        <v/>
      </c>
      <c r="I70" s="41"/>
      <c r="J70" s="6" t="s">
        <v>15</v>
      </c>
      <c r="K70" s="33" t="str">
        <f t="shared" si="5"/>
        <v/>
      </c>
      <c r="L70" s="6" t="s">
        <v>6</v>
      </c>
      <c r="M70" s="27"/>
      <c r="N70" s="27"/>
    </row>
    <row r="71" spans="1:14" ht="18.75" customHeight="1" x14ac:dyDescent="0.15">
      <c r="A71" s="11">
        <v>64</v>
      </c>
      <c r="B71" s="2"/>
      <c r="C71" s="90"/>
      <c r="D71" s="93"/>
      <c r="E71" s="90"/>
      <c r="F71" s="91" t="str">
        <f t="shared" si="3"/>
        <v/>
      </c>
      <c r="G71" s="5"/>
      <c r="H71" s="5" t="str">
        <f t="shared" si="4"/>
        <v/>
      </c>
      <c r="I71" s="35"/>
      <c r="J71" s="8" t="s">
        <v>15</v>
      </c>
      <c r="K71" s="33" t="str">
        <f t="shared" si="5"/>
        <v/>
      </c>
      <c r="L71" s="6" t="s">
        <v>6</v>
      </c>
      <c r="M71" s="27"/>
      <c r="N71" s="27"/>
    </row>
    <row r="72" spans="1:14" ht="18.75" customHeight="1" x14ac:dyDescent="0.15">
      <c r="A72" s="11">
        <v>65</v>
      </c>
      <c r="B72" s="2"/>
      <c r="C72" s="90"/>
      <c r="D72" s="93"/>
      <c r="E72" s="90"/>
      <c r="F72" s="91" t="str">
        <f t="shared" si="3"/>
        <v/>
      </c>
      <c r="G72" s="5"/>
      <c r="H72" s="5" t="str">
        <f t="shared" si="4"/>
        <v/>
      </c>
      <c r="I72" s="35"/>
      <c r="J72" s="6" t="s">
        <v>15</v>
      </c>
      <c r="K72" s="33" t="str">
        <f t="shared" si="5"/>
        <v/>
      </c>
      <c r="L72" s="6" t="s">
        <v>6</v>
      </c>
      <c r="M72" s="27"/>
      <c r="N72" s="27"/>
    </row>
    <row r="73" spans="1:14" ht="18.75" customHeight="1" x14ac:dyDescent="0.15">
      <c r="A73" s="11">
        <v>66</v>
      </c>
      <c r="B73" s="2"/>
      <c r="C73" s="90"/>
      <c r="D73" s="93"/>
      <c r="E73" s="90"/>
      <c r="F73" s="91" t="str">
        <f t="shared" si="3"/>
        <v/>
      </c>
      <c r="G73" s="5"/>
      <c r="H73" s="5" t="str">
        <f t="shared" si="4"/>
        <v/>
      </c>
      <c r="I73" s="35"/>
      <c r="J73" s="6" t="s">
        <v>15</v>
      </c>
      <c r="K73" s="33" t="str">
        <f t="shared" si="5"/>
        <v/>
      </c>
      <c r="L73" s="6" t="s">
        <v>6</v>
      </c>
      <c r="M73" s="27"/>
      <c r="N73" s="27"/>
    </row>
    <row r="74" spans="1:14" ht="18.75" customHeight="1" x14ac:dyDescent="0.15">
      <c r="A74" s="11">
        <v>67</v>
      </c>
      <c r="B74" s="2"/>
      <c r="C74" s="90"/>
      <c r="D74" s="93"/>
      <c r="E74" s="90"/>
      <c r="F74" s="91" t="str">
        <f t="shared" si="3"/>
        <v/>
      </c>
      <c r="G74" s="5"/>
      <c r="H74" s="5" t="str">
        <f t="shared" si="4"/>
        <v/>
      </c>
      <c r="I74" s="35"/>
      <c r="J74" s="8" t="s">
        <v>15</v>
      </c>
      <c r="K74" s="33" t="str">
        <f t="shared" si="5"/>
        <v/>
      </c>
      <c r="L74" s="6" t="s">
        <v>6</v>
      </c>
      <c r="M74" s="27"/>
      <c r="N74" s="27"/>
    </row>
    <row r="75" spans="1:14" ht="18.75" customHeight="1" x14ac:dyDescent="0.15">
      <c r="A75" s="11">
        <v>68</v>
      </c>
      <c r="B75" s="2"/>
      <c r="C75" s="90"/>
      <c r="D75" s="93"/>
      <c r="E75" s="7"/>
      <c r="F75" s="91" t="str">
        <f t="shared" si="3"/>
        <v/>
      </c>
      <c r="G75" s="5"/>
      <c r="H75" s="5" t="str">
        <f t="shared" si="4"/>
        <v/>
      </c>
      <c r="I75" s="41"/>
      <c r="J75" s="6" t="s">
        <v>15</v>
      </c>
      <c r="K75" s="33" t="str">
        <f t="shared" si="5"/>
        <v/>
      </c>
      <c r="L75" s="6" t="s">
        <v>6</v>
      </c>
      <c r="M75" s="27"/>
      <c r="N75" s="27"/>
    </row>
    <row r="76" spans="1:14" ht="18.75" customHeight="1" x14ac:dyDescent="0.15">
      <c r="A76" s="11">
        <v>69</v>
      </c>
      <c r="B76" s="2"/>
      <c r="C76" s="90"/>
      <c r="D76" s="93"/>
      <c r="E76" s="90"/>
      <c r="F76" s="91" t="str">
        <f t="shared" si="3"/>
        <v/>
      </c>
      <c r="G76" s="5"/>
      <c r="H76" s="5" t="str">
        <f t="shared" si="4"/>
        <v/>
      </c>
      <c r="I76" s="35"/>
      <c r="J76" s="6" t="s">
        <v>15</v>
      </c>
      <c r="K76" s="33" t="str">
        <f t="shared" si="5"/>
        <v/>
      </c>
      <c r="L76" s="6" t="s">
        <v>6</v>
      </c>
      <c r="M76" s="27"/>
      <c r="N76" s="27"/>
    </row>
    <row r="77" spans="1:14" ht="18.75" customHeight="1" x14ac:dyDescent="0.15">
      <c r="A77" s="11">
        <v>70</v>
      </c>
      <c r="B77" s="2"/>
      <c r="C77" s="90"/>
      <c r="D77" s="93"/>
      <c r="E77" s="90"/>
      <c r="F77" s="91" t="str">
        <f t="shared" si="3"/>
        <v/>
      </c>
      <c r="G77" s="5"/>
      <c r="H77" s="5" t="str">
        <f t="shared" si="4"/>
        <v/>
      </c>
      <c r="I77" s="35"/>
      <c r="J77" s="6" t="s">
        <v>15</v>
      </c>
      <c r="K77" s="33" t="str">
        <f t="shared" si="5"/>
        <v/>
      </c>
      <c r="L77" s="6" t="s">
        <v>6</v>
      </c>
      <c r="M77" s="27"/>
      <c r="N77" s="27"/>
    </row>
    <row r="78" spans="1:14" ht="18.75" customHeight="1" x14ac:dyDescent="0.15">
      <c r="A78" s="11">
        <v>71</v>
      </c>
      <c r="B78" s="2"/>
      <c r="C78" s="90"/>
      <c r="D78" s="93"/>
      <c r="E78" s="90"/>
      <c r="F78" s="91" t="str">
        <f t="shared" si="3"/>
        <v/>
      </c>
      <c r="G78" s="5"/>
      <c r="H78" s="5" t="str">
        <f t="shared" si="4"/>
        <v/>
      </c>
      <c r="I78" s="42"/>
      <c r="J78" s="6" t="s">
        <v>15</v>
      </c>
      <c r="K78" s="33" t="str">
        <f t="shared" si="5"/>
        <v/>
      </c>
      <c r="L78" s="6" t="s">
        <v>6</v>
      </c>
      <c r="M78" s="27"/>
      <c r="N78" s="27"/>
    </row>
    <row r="79" spans="1:14" ht="18.75" customHeight="1" x14ac:dyDescent="0.15">
      <c r="A79" s="11">
        <v>72</v>
      </c>
      <c r="B79" s="2"/>
      <c r="C79" s="90"/>
      <c r="D79" s="93"/>
      <c r="E79" s="7"/>
      <c r="F79" s="91" t="str">
        <f t="shared" si="3"/>
        <v/>
      </c>
      <c r="G79" s="5"/>
      <c r="H79" s="5" t="str">
        <f t="shared" si="4"/>
        <v/>
      </c>
      <c r="I79" s="35"/>
      <c r="J79" s="6" t="s">
        <v>15</v>
      </c>
      <c r="K79" s="33" t="str">
        <f t="shared" si="5"/>
        <v/>
      </c>
      <c r="L79" s="6" t="s">
        <v>6</v>
      </c>
      <c r="M79" s="27"/>
      <c r="N79" s="27"/>
    </row>
    <row r="80" spans="1:14" ht="18.75" customHeight="1" x14ac:dyDescent="0.15">
      <c r="A80" s="11">
        <v>73</v>
      </c>
      <c r="B80" s="2"/>
      <c r="C80" s="90"/>
      <c r="D80" s="93"/>
      <c r="E80" s="90"/>
      <c r="F80" s="91" t="str">
        <f t="shared" si="3"/>
        <v/>
      </c>
      <c r="G80" s="5"/>
      <c r="H80" s="5" t="str">
        <f t="shared" si="4"/>
        <v/>
      </c>
      <c r="I80" s="43"/>
      <c r="J80" s="6" t="s">
        <v>15</v>
      </c>
      <c r="K80" s="33" t="str">
        <f t="shared" si="5"/>
        <v/>
      </c>
      <c r="L80" s="6" t="s">
        <v>6</v>
      </c>
      <c r="M80" s="27"/>
      <c r="N80" s="27"/>
    </row>
    <row r="81" spans="1:14" ht="18.75" customHeight="1" x14ac:dyDescent="0.15">
      <c r="A81" s="11">
        <v>74</v>
      </c>
      <c r="B81" s="2"/>
      <c r="C81" s="90"/>
      <c r="D81" s="93"/>
      <c r="E81" s="90"/>
      <c r="F81" s="91" t="str">
        <f t="shared" si="3"/>
        <v/>
      </c>
      <c r="G81" s="5"/>
      <c r="H81" s="5" t="str">
        <f t="shared" si="4"/>
        <v/>
      </c>
      <c r="I81" s="35"/>
      <c r="J81" s="6" t="s">
        <v>15</v>
      </c>
      <c r="K81" s="33" t="str">
        <f t="shared" si="5"/>
        <v/>
      </c>
      <c r="L81" s="6" t="s">
        <v>6</v>
      </c>
      <c r="M81" s="27"/>
      <c r="N81" s="27"/>
    </row>
    <row r="82" spans="1:14" ht="18.75" customHeight="1" x14ac:dyDescent="0.15">
      <c r="A82" s="11">
        <v>75</v>
      </c>
      <c r="B82" s="2"/>
      <c r="C82" s="90"/>
      <c r="D82" s="93"/>
      <c r="E82" s="7"/>
      <c r="F82" s="91" t="str">
        <f t="shared" si="3"/>
        <v/>
      </c>
      <c r="G82" s="5"/>
      <c r="H82" s="5" t="str">
        <f t="shared" si="4"/>
        <v/>
      </c>
      <c r="I82" s="42"/>
      <c r="J82" s="6" t="s">
        <v>15</v>
      </c>
      <c r="K82" s="33" t="str">
        <f t="shared" si="5"/>
        <v/>
      </c>
      <c r="L82" s="6" t="s">
        <v>6</v>
      </c>
      <c r="M82" s="27"/>
      <c r="N82" s="27"/>
    </row>
    <row r="83" spans="1:14" ht="18.75" customHeight="1" x14ac:dyDescent="0.15">
      <c r="A83" s="11">
        <v>76</v>
      </c>
      <c r="B83" s="2"/>
      <c r="C83" s="90"/>
      <c r="D83" s="93"/>
      <c r="E83" s="90"/>
      <c r="F83" s="91" t="str">
        <f t="shared" si="3"/>
        <v/>
      </c>
      <c r="G83" s="5"/>
      <c r="H83" s="5" t="str">
        <f t="shared" si="4"/>
        <v/>
      </c>
      <c r="I83" s="35"/>
      <c r="J83" s="6" t="s">
        <v>15</v>
      </c>
      <c r="K83" s="33" t="str">
        <f t="shared" si="5"/>
        <v/>
      </c>
      <c r="L83" s="6" t="s">
        <v>6</v>
      </c>
      <c r="M83" s="27"/>
      <c r="N83" s="27"/>
    </row>
    <row r="84" spans="1:14" ht="18.75" customHeight="1" x14ac:dyDescent="0.15">
      <c r="A84" s="11">
        <v>77</v>
      </c>
      <c r="B84" s="2"/>
      <c r="C84" s="90"/>
      <c r="D84" s="93"/>
      <c r="E84" s="90"/>
      <c r="F84" s="91" t="str">
        <f t="shared" si="3"/>
        <v/>
      </c>
      <c r="G84" s="5"/>
      <c r="H84" s="5" t="str">
        <f t="shared" si="4"/>
        <v/>
      </c>
      <c r="I84" s="35"/>
      <c r="J84" s="6" t="s">
        <v>15</v>
      </c>
      <c r="K84" s="33" t="str">
        <f t="shared" si="5"/>
        <v/>
      </c>
      <c r="L84" s="6" t="s">
        <v>6</v>
      </c>
      <c r="M84" s="27"/>
      <c r="N84" s="27"/>
    </row>
    <row r="85" spans="1:14" ht="18.75" customHeight="1" x14ac:dyDescent="0.15">
      <c r="A85" s="11">
        <v>78</v>
      </c>
      <c r="B85" s="2"/>
      <c r="C85" s="90"/>
      <c r="D85" s="93"/>
      <c r="E85" s="90"/>
      <c r="F85" s="91" t="str">
        <f t="shared" si="3"/>
        <v/>
      </c>
      <c r="G85" s="5"/>
      <c r="H85" s="5" t="str">
        <f t="shared" si="4"/>
        <v/>
      </c>
      <c r="I85" s="35"/>
      <c r="J85" s="6" t="s">
        <v>15</v>
      </c>
      <c r="K85" s="37" t="str">
        <f t="shared" si="5"/>
        <v/>
      </c>
      <c r="L85" s="6" t="s">
        <v>6</v>
      </c>
      <c r="M85" s="27"/>
      <c r="N85" s="27"/>
    </row>
    <row r="86" spans="1:14" ht="18.75" customHeight="1" x14ac:dyDescent="0.15">
      <c r="A86" s="11">
        <v>79</v>
      </c>
      <c r="B86" s="2"/>
      <c r="C86" s="90"/>
      <c r="D86" s="93"/>
      <c r="E86" s="90"/>
      <c r="F86" s="91"/>
      <c r="G86" s="5"/>
      <c r="H86" s="5"/>
      <c r="I86" s="35"/>
      <c r="J86" s="6" t="s">
        <v>15</v>
      </c>
      <c r="K86" s="37"/>
      <c r="L86" s="6" t="s">
        <v>6</v>
      </c>
      <c r="M86" s="27"/>
      <c r="N86" s="27"/>
    </row>
    <row r="87" spans="1:14" ht="18.75" customHeight="1" x14ac:dyDescent="0.15">
      <c r="A87" s="11">
        <v>80</v>
      </c>
      <c r="B87" s="2"/>
      <c r="C87" s="90"/>
      <c r="D87" s="93"/>
      <c r="E87" s="90"/>
      <c r="F87" s="91" t="str">
        <f t="shared" si="3"/>
        <v/>
      </c>
      <c r="G87" s="5"/>
      <c r="H87" s="5" t="str">
        <f t="shared" si="4"/>
        <v/>
      </c>
      <c r="I87" s="35"/>
      <c r="J87" s="6" t="s">
        <v>15</v>
      </c>
      <c r="K87" s="37" t="str">
        <f>IF(I87&gt;0,I87*0.2,"")</f>
        <v/>
      </c>
      <c r="L87" s="6" t="s">
        <v>6</v>
      </c>
      <c r="M87" s="27"/>
      <c r="N87" s="27"/>
    </row>
    <row r="88" spans="1:14" ht="18.75" customHeight="1" x14ac:dyDescent="0.15">
      <c r="B88" s="44"/>
      <c r="C88" s="44"/>
      <c r="D88" s="45"/>
      <c r="E88" s="44"/>
      <c r="F88" s="44" t="str">
        <f t="shared" si="3"/>
        <v/>
      </c>
      <c r="G88" s="46"/>
      <c r="H88" s="46" t="str">
        <f t="shared" si="4"/>
        <v/>
      </c>
      <c r="I88" s="61">
        <f>SUM(I48:I87)+I44</f>
        <v>0</v>
      </c>
      <c r="J88" s="8" t="s">
        <v>15</v>
      </c>
      <c r="K88" s="47">
        <f>SUM(K48:K87)+K44</f>
        <v>0</v>
      </c>
      <c r="L88" s="8" t="s">
        <v>6</v>
      </c>
      <c r="M88" s="48"/>
      <c r="N88" s="48"/>
    </row>
  </sheetData>
  <mergeCells count="12">
    <mergeCell ref="B1:M1"/>
    <mergeCell ref="B2:M2"/>
    <mergeCell ref="C3:D3"/>
    <mergeCell ref="E3:F3"/>
    <mergeCell ref="I3:J3"/>
    <mergeCell ref="K3:L3"/>
    <mergeCell ref="B45:M45"/>
    <mergeCell ref="B46:M46"/>
    <mergeCell ref="C47:D47"/>
    <mergeCell ref="E47:F47"/>
    <mergeCell ref="I47:J47"/>
    <mergeCell ref="K47:L47"/>
  </mergeCells>
  <phoneticPr fontId="2"/>
  <dataValidations count="6">
    <dataValidation imeMode="on" allowBlank="1" showInputMessage="1" showErrorMessage="1" sqref="B44:C44 B88:C88" xr:uid="{9FAD5B48-D802-4229-81AC-5BBA87DB3726}"/>
    <dataValidation imeMode="disabled" allowBlank="1" showInputMessage="1" showErrorMessage="1" sqref="G4:G40 N21:N42 H4:M42 N49:N63 N5:N19 G48:G84 E48:E88 N65:N88 H48:M88 E4:E44 M44:N44 H43:L44" xr:uid="{C746378F-A396-4954-BDBC-E6A43121E554}"/>
    <dataValidation type="list" imeMode="on" allowBlank="1" showInputMessage="1" prompt="なければ直接入力" sqref="D44 D88" xr:uid="{856D9CF9-921A-4127-A827-F2BD30D8C0C6}">
      <formula1>"利尻島国保中央病院,福士水産㈱,高橋水産㈱"</formula1>
    </dataValidation>
    <dataValidation imeMode="disabled" allowBlank="1" showInputMessage="1" sqref="G85:G88 G41:G44" xr:uid="{D769F0A1-37BD-407F-8729-F633D0784565}"/>
    <dataValidation type="list" imeMode="on" allowBlank="1" showInputMessage="1" prompt="なければ直接入力" sqref="D4:D43 D48:D87" xr:uid="{D85051C9-A59F-4491-A059-E7416260EC06}">
      <formula1>"利尻島国保中央病院,道立鬼脇診療所,カムイウィスキー,福士水産㈱,糀谷商店,米田商店"</formula1>
    </dataValidation>
    <dataValidation type="list" imeMode="on" allowBlank="1" showInputMessage="1" showErrorMessage="1" sqref="B4:C43 B48:C87" xr:uid="{5AD38808-9452-4854-BB8B-AD2B0B475F48}">
      <formula1>"水産系燃え殻,医療系燃え殻"</formula1>
    </dataValidation>
  </dataValidations>
  <printOptions horizontalCentered="1" verticalCentered="1"/>
  <pageMargins left="0.59055118110236227" right="0.59055118110236227" top="0.59055118110236227" bottom="0.59055118110236227" header="0" footer="0"/>
  <pageSetup paperSize="9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24</vt:i4>
      </vt:variant>
    </vt:vector>
  </HeadingPairs>
  <TitlesOfParts>
    <vt:vector size="24" baseType="lpstr">
      <vt:lpstr>汚泥04</vt:lpstr>
      <vt:lpstr>汚泥05</vt:lpstr>
      <vt:lpstr>汚泥06</vt:lpstr>
      <vt:lpstr>汚泥07</vt:lpstr>
      <vt:lpstr>汚泥08</vt:lpstr>
      <vt:lpstr>汚泥09</vt:lpstr>
      <vt:lpstr>汚泥10</vt:lpstr>
      <vt:lpstr>汚泥11</vt:lpstr>
      <vt:lpstr>汚泥12</vt:lpstr>
      <vt:lpstr>汚泥01</vt:lpstr>
      <vt:lpstr>汚泥02</vt:lpstr>
      <vt:lpstr>汚泥03</vt:lpstr>
      <vt:lpstr>産廃04</vt:lpstr>
      <vt:lpstr>産廃05</vt:lpstr>
      <vt:lpstr>産廃06</vt:lpstr>
      <vt:lpstr>産廃07</vt:lpstr>
      <vt:lpstr>産廃08</vt:lpstr>
      <vt:lpstr>産廃09</vt:lpstr>
      <vt:lpstr>産廃10</vt:lpstr>
      <vt:lpstr>産廃11</vt:lpstr>
      <vt:lpstr>産廃12</vt:lpstr>
      <vt:lpstr>産廃01</vt:lpstr>
      <vt:lpstr>産廃02</vt:lpstr>
      <vt:lpstr>産廃03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"ごみ焼却場" &lt;inciner@sweet.ocn.ne.jp&gt;</dc:creator>
  <cp:lastModifiedBy>Lay Hirosaki</cp:lastModifiedBy>
  <cp:lastPrinted>2015-03-12T05:20:32Z</cp:lastPrinted>
  <dcterms:created xsi:type="dcterms:W3CDTF">2006-05-29T02:28:27Z</dcterms:created>
  <dcterms:modified xsi:type="dcterms:W3CDTF">2026-04-01T04:37:52Z</dcterms:modified>
</cp:coreProperties>
</file>