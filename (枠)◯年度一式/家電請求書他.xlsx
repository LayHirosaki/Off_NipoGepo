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ayhi\OneDrive\Desktop\R８年度一式\"/>
    </mc:Choice>
  </mc:AlternateContent>
  <xr:revisionPtr revIDLastSave="0" documentId="8_{EAE5E21B-1D65-4810-BD46-21769B9A81CA}" xr6:coauthVersionLast="47" xr6:coauthVersionMax="47" xr10:uidLastSave="{00000000-0000-0000-0000-000000000000}"/>
  <bookViews>
    <workbookView xWindow="3330" yWindow="0" windowWidth="15015" windowHeight="15480" xr2:uid="{E11FB8C8-18E9-4173-BB44-1FE0F6C9C714}"/>
  </bookViews>
  <sheets>
    <sheet name="ウニ施設" sheetId="1" r:id="rId1"/>
    <sheet name="富士町" sheetId="3" r:id="rId2"/>
    <sheet name="教育委員会" sheetId="2" r:id="rId3"/>
    <sheet name="特養秀峰園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4" i="1" l="1"/>
  <c r="L6" i="1"/>
  <c r="O6" i="1"/>
  <c r="Q9" i="1"/>
  <c r="R9" i="1"/>
  <c r="S9" i="1"/>
  <c r="H25" i="1"/>
  <c r="R25" i="1"/>
  <c r="H27" i="1"/>
  <c r="Q27" i="1"/>
  <c r="Q33" i="1" s="1"/>
  <c r="R27" i="1"/>
  <c r="H28" i="1"/>
  <c r="H33" i="1" s="1"/>
  <c r="Q28" i="1"/>
  <c r="R28" i="1"/>
  <c r="R33" i="1" s="1"/>
  <c r="H29" i="1"/>
  <c r="Q29" i="1"/>
  <c r="R29" i="1" s="1"/>
  <c r="H30" i="1"/>
  <c r="Q30" i="1"/>
  <c r="H31" i="1"/>
  <c r="Q31" i="1"/>
  <c r="R31" i="1"/>
  <c r="H32" i="1"/>
  <c r="Q32" i="1"/>
  <c r="R32" i="1"/>
  <c r="G33" i="1"/>
  <c r="M4" i="2"/>
  <c r="R25" i="2"/>
  <c r="L6" i="2"/>
  <c r="O6" i="2"/>
  <c r="Q9" i="2"/>
  <c r="R9" i="2"/>
  <c r="S9" i="2"/>
  <c r="H25" i="2"/>
  <c r="H27" i="2"/>
  <c r="Q27" i="2"/>
  <c r="Q33" i="2" s="1"/>
  <c r="R27" i="2"/>
  <c r="H28" i="2"/>
  <c r="Q28" i="2"/>
  <c r="R28" i="2"/>
  <c r="H29" i="2"/>
  <c r="H33" i="2" s="1"/>
  <c r="Q29" i="2"/>
  <c r="R29" i="2"/>
  <c r="R33" i="2" s="1"/>
  <c r="H30" i="2"/>
  <c r="Q30" i="2"/>
  <c r="R30" i="2"/>
  <c r="H31" i="2"/>
  <c r="Q31" i="2"/>
  <c r="R31" i="2"/>
  <c r="H32" i="2"/>
  <c r="Q32" i="2"/>
  <c r="R32" i="2"/>
  <c r="G33" i="2"/>
  <c r="M4" i="4"/>
  <c r="R25" i="4" s="1"/>
  <c r="L6" i="4"/>
  <c r="O6" i="4"/>
  <c r="Q9" i="4"/>
  <c r="R9" i="4"/>
  <c r="S9" i="4"/>
  <c r="H25" i="4"/>
  <c r="H27" i="4"/>
  <c r="Q27" i="4"/>
  <c r="Q33" i="4" s="1"/>
  <c r="R27" i="4"/>
  <c r="R33" i="4" s="1"/>
  <c r="H28" i="4"/>
  <c r="H33" i="4" s="1"/>
  <c r="Q28" i="4"/>
  <c r="R28" i="4"/>
  <c r="H29" i="4"/>
  <c r="Q29" i="4"/>
  <c r="R29" i="4"/>
  <c r="H30" i="4"/>
  <c r="Q30" i="4"/>
  <c r="R30" i="4" s="1"/>
  <c r="H31" i="4"/>
  <c r="Q31" i="4"/>
  <c r="H32" i="4"/>
  <c r="Q32" i="4"/>
  <c r="R32" i="4"/>
  <c r="G33" i="4"/>
  <c r="M4" i="3"/>
  <c r="R25" i="3"/>
  <c r="L6" i="3"/>
  <c r="O6" i="3"/>
  <c r="Q9" i="3"/>
  <c r="R9" i="3"/>
  <c r="S9" i="3"/>
  <c r="H25" i="3"/>
  <c r="H27" i="3"/>
  <c r="Q27" i="3"/>
  <c r="R27" i="3"/>
  <c r="H28" i="3"/>
  <c r="H33" i="3" s="1"/>
  <c r="Q28" i="3"/>
  <c r="Q33" i="3" s="1"/>
  <c r="R28" i="3"/>
  <c r="H29" i="3"/>
  <c r="Q29" i="3"/>
  <c r="R29" i="3" s="1"/>
  <c r="H30" i="3"/>
  <c r="Q30" i="3"/>
  <c r="R30" i="3" s="1"/>
  <c r="H31" i="3"/>
  <c r="Q31" i="3"/>
  <c r="R31" i="3" s="1"/>
  <c r="H32" i="3"/>
  <c r="Q32" i="3"/>
  <c r="R32" i="3" s="1"/>
  <c r="G33" i="3"/>
  <c r="R30" i="1"/>
  <c r="R31" i="4"/>
  <c r="F9" i="4" l="1"/>
  <c r="P9" i="4" s="1"/>
  <c r="E9" i="4"/>
  <c r="O9" i="4" s="1"/>
  <c r="R33" i="3"/>
  <c r="E9" i="3"/>
  <c r="O9" i="3" s="1"/>
  <c r="F9" i="3"/>
  <c r="P9" i="3" s="1"/>
  <c r="E9" i="1"/>
  <c r="O9" i="1" s="1"/>
  <c r="F9" i="1"/>
  <c r="P9" i="1" s="1"/>
  <c r="F9" i="2"/>
  <c r="P9" i="2" s="1"/>
  <c r="E9" i="2"/>
  <c r="O9" i="2" s="1"/>
</calcChain>
</file>

<file path=xl/sharedStrings.xml><?xml version="1.0" encoding="utf-8"?>
<sst xmlns="http://schemas.openxmlformats.org/spreadsheetml/2006/main" count="304" uniqueCount="58">
  <si>
    <t>納額通知書</t>
    <rPh sb="0" eb="1">
      <t>オサム</t>
    </rPh>
    <rPh sb="1" eb="2">
      <t>ガク</t>
    </rPh>
    <rPh sb="2" eb="5">
      <t>ツウチショ</t>
    </rPh>
    <phoneticPr fontId="19"/>
  </si>
  <si>
    <t>領収書</t>
    <rPh sb="0" eb="3">
      <t>リョウシュウショ</t>
    </rPh>
    <phoneticPr fontId="19"/>
  </si>
  <si>
    <t>第</t>
    <rPh sb="0" eb="1">
      <t>ダイ</t>
    </rPh>
    <phoneticPr fontId="19"/>
  </si>
  <si>
    <t>号</t>
    <rPh sb="0" eb="1">
      <t>ゴウ</t>
    </rPh>
    <phoneticPr fontId="19"/>
  </si>
  <si>
    <t>納入者</t>
    <rPh sb="0" eb="2">
      <t>ノウニュウ</t>
    </rPh>
    <rPh sb="2" eb="3">
      <t>シャ</t>
    </rPh>
    <phoneticPr fontId="19"/>
  </si>
  <si>
    <t>殿</t>
    <rPh sb="0" eb="1">
      <t>ドノ</t>
    </rPh>
    <phoneticPr fontId="19"/>
  </si>
  <si>
    <t>使用料及　　手 数 料</t>
    <rPh sb="0" eb="2">
      <t>シヨウ</t>
    </rPh>
    <rPh sb="2" eb="3">
      <t>リョウ</t>
    </rPh>
    <rPh sb="3" eb="4">
      <t>オヨ</t>
    </rPh>
    <rPh sb="6" eb="7">
      <t>テ</t>
    </rPh>
    <rPh sb="8" eb="9">
      <t>スウ</t>
    </rPh>
    <rPh sb="10" eb="11">
      <t>リョウ</t>
    </rPh>
    <phoneticPr fontId="19"/>
  </si>
  <si>
    <t>収 集 運 搬 手 数 料</t>
    <rPh sb="0" eb="1">
      <t>オサム</t>
    </rPh>
    <rPh sb="2" eb="3">
      <t>シュウ</t>
    </rPh>
    <rPh sb="4" eb="5">
      <t>ウン</t>
    </rPh>
    <rPh sb="6" eb="7">
      <t>ハコ</t>
    </rPh>
    <rPh sb="8" eb="9">
      <t>テ</t>
    </rPh>
    <rPh sb="10" eb="11">
      <t>スウ</t>
    </rPh>
    <rPh sb="12" eb="13">
      <t>リョウ</t>
    </rPh>
    <phoneticPr fontId="19"/>
  </si>
  <si>
    <t>金</t>
    <rPh sb="0" eb="1">
      <t>キン</t>
    </rPh>
    <phoneticPr fontId="19"/>
  </si>
  <si>
    <t>万</t>
    <rPh sb="0" eb="1">
      <t>マン</t>
    </rPh>
    <phoneticPr fontId="19"/>
  </si>
  <si>
    <t>千</t>
    <rPh sb="0" eb="1">
      <t>セン</t>
    </rPh>
    <phoneticPr fontId="19"/>
  </si>
  <si>
    <t>百</t>
    <rPh sb="0" eb="1">
      <t>ヒャク</t>
    </rPh>
    <phoneticPr fontId="19"/>
  </si>
  <si>
    <t>十</t>
    <rPh sb="0" eb="1">
      <t>ジュウ</t>
    </rPh>
    <phoneticPr fontId="19"/>
  </si>
  <si>
    <t>円</t>
    <rPh sb="0" eb="1">
      <t>エン</t>
    </rPh>
    <phoneticPr fontId="19"/>
  </si>
  <si>
    <t>\</t>
    <phoneticPr fontId="19"/>
  </si>
  <si>
    <t>　上記</t>
    <rPh sb="1" eb="3">
      <t>ジョウキ</t>
    </rPh>
    <phoneticPr fontId="19"/>
  </si>
  <si>
    <t>月分</t>
    <rPh sb="0" eb="1">
      <t>ツキ</t>
    </rPh>
    <rPh sb="1" eb="2">
      <t>ブン</t>
    </rPh>
    <phoneticPr fontId="19"/>
  </si>
  <si>
    <t>　組合会計管理者に納付せられたい</t>
    <rPh sb="1" eb="3">
      <t>クミアイ</t>
    </rPh>
    <rPh sb="3" eb="5">
      <t>カイケイ</t>
    </rPh>
    <rPh sb="5" eb="8">
      <t>カンリシャ</t>
    </rPh>
    <rPh sb="9" eb="11">
      <t>ノウフ</t>
    </rPh>
    <phoneticPr fontId="19"/>
  </si>
  <si>
    <t>　上記の金額領収しました</t>
    <rPh sb="1" eb="3">
      <t>ジョウキ</t>
    </rPh>
    <rPh sb="4" eb="6">
      <t>キンガク</t>
    </rPh>
    <rPh sb="6" eb="8">
      <t>リョウシュウ</t>
    </rPh>
    <phoneticPr fontId="19"/>
  </si>
  <si>
    <t>　　平成　　　年　　　月　　　日</t>
    <rPh sb="2" eb="4">
      <t>ヘイセイ</t>
    </rPh>
    <rPh sb="7" eb="8">
      <t>ネン</t>
    </rPh>
    <rPh sb="11" eb="12">
      <t>ツキ</t>
    </rPh>
    <rPh sb="15" eb="16">
      <t>ニチ</t>
    </rPh>
    <phoneticPr fontId="19"/>
  </si>
  <si>
    <t>　　利尻郡清掃施設組合</t>
    <rPh sb="2" eb="5">
      <t>リシリグン</t>
    </rPh>
    <rPh sb="5" eb="7">
      <t>セイソウ</t>
    </rPh>
    <rPh sb="7" eb="9">
      <t>シセツ</t>
    </rPh>
    <rPh sb="9" eb="11">
      <t>クミアイ</t>
    </rPh>
    <phoneticPr fontId="19"/>
  </si>
  <si>
    <r>
      <t>　　　　　助　役　　</t>
    </r>
    <r>
      <rPr>
        <sz val="12"/>
        <rFont val="ＭＳ 明朝"/>
        <family val="1"/>
        <charset val="128"/>
      </rPr>
      <t>田　村　祥　三</t>
    </r>
    <rPh sb="5" eb="6">
      <t>スケ</t>
    </rPh>
    <rPh sb="7" eb="8">
      <t>エキ</t>
    </rPh>
    <rPh sb="10" eb="11">
      <t>タ</t>
    </rPh>
    <rPh sb="12" eb="13">
      <t>ムラ</t>
    </rPh>
    <rPh sb="14" eb="15">
      <t>ショ</t>
    </rPh>
    <rPh sb="16" eb="17">
      <t>サン</t>
    </rPh>
    <phoneticPr fontId="19"/>
  </si>
  <si>
    <t>会計管理者</t>
    <rPh sb="0" eb="2">
      <t>カイケイ</t>
    </rPh>
    <rPh sb="2" eb="5">
      <t>カンリシャ</t>
    </rPh>
    <phoneticPr fontId="19"/>
  </si>
  <si>
    <t>㈱洋商</t>
    <rPh sb="0" eb="3">
      <t>ヨウ</t>
    </rPh>
    <phoneticPr fontId="19"/>
  </si>
  <si>
    <t>不二商会</t>
    <rPh sb="0" eb="2">
      <t>フジ</t>
    </rPh>
    <rPh sb="2" eb="4">
      <t>ショウカイ</t>
    </rPh>
    <phoneticPr fontId="19"/>
  </si>
  <si>
    <t>㈲電器のオオミ</t>
    <phoneticPr fontId="19"/>
  </si>
  <si>
    <t>内訳書</t>
    <rPh sb="0" eb="2">
      <t>ウチワケ</t>
    </rPh>
    <rPh sb="2" eb="3">
      <t>ショ</t>
    </rPh>
    <phoneticPr fontId="19"/>
  </si>
  <si>
    <t>番号</t>
    <rPh sb="0" eb="2">
      <t>バンゴウ</t>
    </rPh>
    <phoneticPr fontId="19"/>
  </si>
  <si>
    <t>品　名</t>
    <rPh sb="0" eb="1">
      <t>シナ</t>
    </rPh>
    <rPh sb="2" eb="3">
      <t>メイ</t>
    </rPh>
    <phoneticPr fontId="19"/>
  </si>
  <si>
    <t>単　価</t>
    <rPh sb="0" eb="1">
      <t>タン</t>
    </rPh>
    <rPh sb="2" eb="3">
      <t>アタイ</t>
    </rPh>
    <phoneticPr fontId="19"/>
  </si>
  <si>
    <t>数量</t>
    <rPh sb="0" eb="2">
      <t>スウリョウ</t>
    </rPh>
    <phoneticPr fontId="19"/>
  </si>
  <si>
    <t>金　額</t>
    <rPh sb="0" eb="1">
      <t>キン</t>
    </rPh>
    <rPh sb="2" eb="3">
      <t>ガク</t>
    </rPh>
    <phoneticPr fontId="19"/>
  </si>
  <si>
    <t>エアコン</t>
    <phoneticPr fontId="19"/>
  </si>
  <si>
    <t>テ レ ビ</t>
    <phoneticPr fontId="19"/>
  </si>
  <si>
    <t>冷 蔵 庫</t>
    <rPh sb="0" eb="1">
      <t>ヒヤ</t>
    </rPh>
    <rPh sb="2" eb="3">
      <t>クラ</t>
    </rPh>
    <rPh sb="4" eb="5">
      <t>コ</t>
    </rPh>
    <phoneticPr fontId="19"/>
  </si>
  <si>
    <t>冷 凍 庫</t>
    <rPh sb="0" eb="1">
      <t>ヒヤ</t>
    </rPh>
    <rPh sb="2" eb="3">
      <t>コオ</t>
    </rPh>
    <rPh sb="4" eb="5">
      <t>コ</t>
    </rPh>
    <phoneticPr fontId="19"/>
  </si>
  <si>
    <t>洗 濯 機</t>
    <rPh sb="0" eb="1">
      <t>ススグ</t>
    </rPh>
    <rPh sb="2" eb="3">
      <t>タク</t>
    </rPh>
    <rPh sb="4" eb="5">
      <t>キ</t>
    </rPh>
    <phoneticPr fontId="19"/>
  </si>
  <si>
    <t>乾　燥　機</t>
    <rPh sb="0" eb="1">
      <t>イヌイ</t>
    </rPh>
    <rPh sb="2" eb="3">
      <t>ソウ</t>
    </rPh>
    <rPh sb="4" eb="5">
      <t>キ</t>
    </rPh>
    <phoneticPr fontId="19"/>
  </si>
  <si>
    <t>合　  計</t>
    <rPh sb="0" eb="1">
      <t>ゴウ</t>
    </rPh>
    <rPh sb="4" eb="5">
      <t>ケイ</t>
    </rPh>
    <phoneticPr fontId="19"/>
  </si>
  <si>
    <t>\</t>
    <phoneticPr fontId="19"/>
  </si>
  <si>
    <t>\</t>
    <phoneticPr fontId="19"/>
  </si>
  <si>
    <t>㈲電器のオオミ</t>
    <phoneticPr fontId="19"/>
  </si>
  <si>
    <t>エアコン</t>
    <phoneticPr fontId="19"/>
  </si>
  <si>
    <t>テ レ ビ</t>
    <phoneticPr fontId="19"/>
  </si>
  <si>
    <t>テ レ ビ</t>
    <phoneticPr fontId="19"/>
  </si>
  <si>
    <t>利尻富士町福祉課</t>
    <rPh sb="0" eb="2">
      <t>リシリ</t>
    </rPh>
    <rPh sb="2" eb="5">
      <t>フジチョウ</t>
    </rPh>
    <rPh sb="5" eb="8">
      <t>フクシカ</t>
    </rPh>
    <phoneticPr fontId="19"/>
  </si>
  <si>
    <t>特別養護老人ホーム秀峰園</t>
    <rPh sb="0" eb="2">
      <t>トクベツ</t>
    </rPh>
    <rPh sb="2" eb="4">
      <t>ヨウゴ</t>
    </rPh>
    <rPh sb="4" eb="6">
      <t>ロウジン</t>
    </rPh>
    <rPh sb="9" eb="11">
      <t>シュウホウ</t>
    </rPh>
    <rPh sb="11" eb="12">
      <t>エン</t>
    </rPh>
    <phoneticPr fontId="19"/>
  </si>
  <si>
    <t>組合長</t>
    <rPh sb="0" eb="3">
      <t>クミアイチョウ</t>
    </rPh>
    <phoneticPr fontId="19"/>
  </si>
  <si>
    <t>田　村　祥　三　</t>
    <rPh sb="0" eb="1">
      <t>タ</t>
    </rPh>
    <rPh sb="2" eb="3">
      <t>ムラ</t>
    </rPh>
    <rPh sb="4" eb="5">
      <t>ショウ</t>
    </rPh>
    <rPh sb="6" eb="7">
      <t>サン</t>
    </rPh>
    <phoneticPr fontId="19"/>
  </si>
  <si>
    <t>　３月 　１４日</t>
    <rPh sb="2" eb="3">
      <t>ガツ</t>
    </rPh>
    <rPh sb="7" eb="8">
      <t>ニチ</t>
    </rPh>
    <phoneticPr fontId="19"/>
  </si>
  <si>
    <t>(株)中田組事業部</t>
    <rPh sb="0" eb="3">
      <t>カブ</t>
    </rPh>
    <rPh sb="3" eb="6">
      <t>ナカタグミ</t>
    </rPh>
    <rPh sb="6" eb="8">
      <t>ジギョウ</t>
    </rPh>
    <rPh sb="8" eb="9">
      <t>ブ</t>
    </rPh>
    <phoneticPr fontId="19"/>
  </si>
  <si>
    <t>　７月 　　４日</t>
    <rPh sb="2" eb="3">
      <t>ガツ</t>
    </rPh>
    <rPh sb="7" eb="8">
      <t>ニチ</t>
    </rPh>
    <phoneticPr fontId="19"/>
  </si>
  <si>
    <t>利尻町教育委員会</t>
    <rPh sb="0" eb="3">
      <t>リシリチョウ</t>
    </rPh>
    <rPh sb="3" eb="5">
      <t>キョウイク</t>
    </rPh>
    <rPh sb="5" eb="8">
      <t>イインカイ</t>
    </rPh>
    <phoneticPr fontId="19"/>
  </si>
  <si>
    <t>　５月 　１０日</t>
    <rPh sb="2" eb="3">
      <t>ガツ</t>
    </rPh>
    <rPh sb="7" eb="8">
      <t>ニチ</t>
    </rPh>
    <phoneticPr fontId="19"/>
  </si>
  <si>
    <t>熊　谷　洋　人</t>
    <rPh sb="0" eb="1">
      <t>クマ</t>
    </rPh>
    <rPh sb="2" eb="3">
      <t>タニ</t>
    </rPh>
    <rPh sb="4" eb="5">
      <t>ヨウ</t>
    </rPh>
    <rPh sb="6" eb="7">
      <t>ヒト</t>
    </rPh>
    <phoneticPr fontId="19"/>
  </si>
  <si>
    <t>令和　　年度</t>
    <rPh sb="0" eb="2">
      <t>レイワ</t>
    </rPh>
    <rPh sb="4" eb="5">
      <t>ネン</t>
    </rPh>
    <rPh sb="5" eb="6">
      <t>ド</t>
    </rPh>
    <phoneticPr fontId="19"/>
  </si>
  <si>
    <t>令和　年</t>
    <rPh sb="0" eb="2">
      <t>レイワ</t>
    </rPh>
    <rPh sb="3" eb="4">
      <t>トシ</t>
    </rPh>
    <phoneticPr fontId="19"/>
  </si>
  <si>
    <t>令和　　年度</t>
    <rPh sb="0" eb="2">
      <t>レイワ</t>
    </rPh>
    <rPh sb="4" eb="6">
      <t>ネンド</t>
    </rPh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</si>
</sst>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_);[Red]\(0\)"/>
    <numFmt numFmtId="179" formatCode="#,##0_);\(#,##0\)"/>
    <numFmt numFmtId="181" formatCode="#,##0_ "/>
    <numFmt numFmtId="182" formatCode="0_ "/>
    <numFmt numFmtId="183" formatCode="0;[Red]0"/>
    <numFmt numFmtId="187" formatCode="0;&quot;▲ &quot;0"/>
    <numFmt numFmtId="188" formatCode="0_);\(0\)"/>
  </numFmts>
  <fonts count="29" x14ac:knownFonts="1"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8"/>
      <name val="ＭＳ 明朝"/>
      <family val="1"/>
      <charset val="128"/>
    </font>
    <font>
      <sz val="12"/>
      <name val="ＭＳ 明朝"/>
      <family val="1"/>
      <charset val="128"/>
    </font>
    <font>
      <sz val="9"/>
      <name val="ＭＳ 明朝"/>
      <family val="1"/>
      <charset val="128"/>
    </font>
    <font>
      <sz val="11"/>
      <name val="ＭＳ 明朝"/>
      <family val="1"/>
      <charset val="128"/>
    </font>
    <font>
      <sz val="14"/>
      <name val="ＭＳ 明朝"/>
      <family val="1"/>
      <charset val="128"/>
    </font>
    <font>
      <b/>
      <sz val="20"/>
      <name val="ＭＳ 明朝"/>
      <family val="1"/>
      <charset val="128"/>
    </font>
    <font>
      <sz val="16"/>
      <name val="HG創英角ｺﾞｼｯｸUB"/>
      <family val="3"/>
      <charset val="128"/>
    </font>
    <font>
      <b/>
      <sz val="12"/>
      <name val="HGPｺﾞｼｯｸE"/>
      <family val="3"/>
      <charset val="128"/>
    </font>
    <font>
      <b/>
      <sz val="12"/>
      <name val="ＭＳ 明朝"/>
      <family val="1"/>
      <charset val="128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</fills>
  <borders count="41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0" borderId="1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22" borderId="2" applyNumberFormat="0" applyFon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23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23" borderId="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18" fillId="4" borderId="0" applyNumberFormat="0" applyBorder="0" applyAlignment="0" applyProtection="0">
      <alignment vertical="center"/>
    </xf>
  </cellStyleXfs>
  <cellXfs count="93">
    <xf numFmtId="0" fontId="0" fillId="0" borderId="0" xfId="0"/>
    <xf numFmtId="0" fontId="0" fillId="0" borderId="0" xfId="0" applyBorder="1"/>
    <xf numFmtId="0" fontId="0" fillId="0" borderId="10" xfId="0" applyBorder="1"/>
    <xf numFmtId="182" fontId="21" fillId="0" borderId="11" xfId="0" applyNumberFormat="1" applyFont="1" applyBorder="1" applyAlignment="1">
      <alignment horizontal="distributed" vertical="center" justifyLastLine="1"/>
    </xf>
    <xf numFmtId="182" fontId="21" fillId="0" borderId="12" xfId="0" applyNumberFormat="1" applyFont="1" applyBorder="1" applyAlignment="1">
      <alignment horizontal="distributed" vertical="center" justifyLastLine="1"/>
    </xf>
    <xf numFmtId="182" fontId="21" fillId="0" borderId="13" xfId="0" applyNumberFormat="1" applyFont="1" applyBorder="1" applyAlignment="1">
      <alignment horizontal="distributed" vertical="center" justifyLastLine="1"/>
    </xf>
    <xf numFmtId="0" fontId="0" fillId="0" borderId="12" xfId="0" applyBorder="1"/>
    <xf numFmtId="0" fontId="0" fillId="0" borderId="14" xfId="0" applyBorder="1"/>
    <xf numFmtId="0" fontId="21" fillId="0" borderId="11" xfId="0" applyFont="1" applyBorder="1" applyAlignment="1">
      <alignment horizontal="distributed" vertical="center" justifyLastLine="1"/>
    </xf>
    <xf numFmtId="0" fontId="21" fillId="0" borderId="12" xfId="0" applyFont="1" applyBorder="1" applyAlignment="1">
      <alignment horizontal="distributed" vertical="center" justifyLastLine="1"/>
    </xf>
    <xf numFmtId="0" fontId="21" fillId="0" borderId="13" xfId="0" applyFont="1" applyBorder="1" applyAlignment="1">
      <alignment horizontal="distributed" vertical="center" justifyLastLine="1"/>
    </xf>
    <xf numFmtId="0" fontId="22" fillId="0" borderId="0" xfId="0" applyFont="1" applyBorder="1" applyAlignment="1">
      <alignment vertical="top"/>
    </xf>
    <xf numFmtId="0" fontId="23" fillId="0" borderId="0" xfId="0" applyFont="1" applyBorder="1" applyAlignment="1">
      <alignment vertical="center"/>
    </xf>
    <xf numFmtId="0" fontId="23" fillId="0" borderId="15" xfId="0" applyFont="1" applyBorder="1" applyAlignment="1">
      <alignment vertical="center"/>
    </xf>
    <xf numFmtId="0" fontId="24" fillId="0" borderId="16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23" fillId="0" borderId="17" xfId="0" applyFont="1" applyBorder="1" applyAlignment="1">
      <alignment vertical="center"/>
    </xf>
    <xf numFmtId="0" fontId="23" fillId="0" borderId="17" xfId="0" applyFont="1" applyBorder="1" applyAlignment="1">
      <alignment horizontal="right" vertical="center"/>
    </xf>
    <xf numFmtId="0" fontId="22" fillId="0" borderId="17" xfId="0" applyFont="1" applyBorder="1" applyAlignment="1">
      <alignment horizontal="right" vertical="center"/>
    </xf>
    <xf numFmtId="0" fontId="22" fillId="0" borderId="18" xfId="0" applyFont="1" applyBorder="1" applyAlignment="1">
      <alignment horizontal="right" vertical="center"/>
    </xf>
    <xf numFmtId="0" fontId="25" fillId="0" borderId="19" xfId="0" applyFont="1" applyBorder="1" applyAlignment="1">
      <alignment horizontal="center" vertical="center"/>
    </xf>
    <xf numFmtId="0" fontId="26" fillId="0" borderId="19" xfId="0" applyFont="1" applyBorder="1" applyAlignment="1">
      <alignment vertical="center"/>
    </xf>
    <xf numFmtId="0" fontId="26" fillId="0" borderId="20" xfId="0" applyFont="1" applyBorder="1" applyAlignment="1">
      <alignment vertical="center"/>
    </xf>
    <xf numFmtId="0" fontId="23" fillId="0" borderId="21" xfId="0" applyFont="1" applyBorder="1" applyAlignment="1">
      <alignment vertical="center"/>
    </xf>
    <xf numFmtId="0" fontId="0" fillId="0" borderId="21" xfId="0" applyBorder="1"/>
    <xf numFmtId="0" fontId="23" fillId="0" borderId="0" xfId="0" applyFont="1" applyBorder="1" applyAlignment="1">
      <alignment horizontal="left" vertical="center"/>
    </xf>
    <xf numFmtId="0" fontId="23" fillId="0" borderId="22" xfId="0" applyFont="1" applyBorder="1" applyAlignment="1">
      <alignment vertical="center"/>
    </xf>
    <xf numFmtId="0" fontId="23" fillId="0" borderId="23" xfId="0" applyFont="1" applyBorder="1" applyAlignment="1">
      <alignment vertical="center"/>
    </xf>
    <xf numFmtId="0" fontId="23" fillId="0" borderId="24" xfId="0" applyFont="1" applyBorder="1" applyAlignment="1">
      <alignment vertical="center"/>
    </xf>
    <xf numFmtId="0" fontId="23" fillId="0" borderId="12" xfId="0" applyFont="1" applyBorder="1" applyAlignment="1">
      <alignment vertical="center"/>
    </xf>
    <xf numFmtId="0" fontId="23" fillId="0" borderId="25" xfId="0" applyFont="1" applyBorder="1" applyAlignment="1">
      <alignment vertical="center"/>
    </xf>
    <xf numFmtId="0" fontId="0" fillId="0" borderId="25" xfId="0" applyBorder="1"/>
    <xf numFmtId="0" fontId="0" fillId="0" borderId="26" xfId="0" applyBorder="1"/>
    <xf numFmtId="0" fontId="2" fillId="0" borderId="0" xfId="0" applyFont="1" applyBorder="1"/>
    <xf numFmtId="0" fontId="24" fillId="0" borderId="0" xfId="0" applyFont="1" applyBorder="1" applyAlignment="1">
      <alignment vertical="center"/>
    </xf>
    <xf numFmtId="0" fontId="24" fillId="0" borderId="10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21" fillId="0" borderId="27" xfId="0" applyFont="1" applyBorder="1" applyAlignment="1">
      <alignment horizontal="center" vertical="center" shrinkToFit="1"/>
    </xf>
    <xf numFmtId="3" fontId="28" fillId="0" borderId="23" xfId="0" applyNumberFormat="1" applyFont="1" applyBorder="1" applyAlignment="1">
      <alignment horizontal="center" vertical="center"/>
    </xf>
    <xf numFmtId="0" fontId="28" fillId="0" borderId="28" xfId="0" applyFont="1" applyBorder="1" applyAlignment="1">
      <alignment horizontal="center" vertical="center"/>
    </xf>
    <xf numFmtId="176" fontId="23" fillId="0" borderId="0" xfId="0" applyNumberFormat="1" applyFont="1" applyBorder="1" applyAlignment="1">
      <alignment horizontal="right" vertical="center"/>
    </xf>
    <xf numFmtId="0" fontId="23" fillId="0" borderId="27" xfId="0" applyFont="1" applyBorder="1" applyAlignment="1">
      <alignment horizontal="center" vertical="center" shrinkToFit="1"/>
    </xf>
    <xf numFmtId="0" fontId="21" fillId="0" borderId="39" xfId="0" applyFont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21" fillId="0" borderId="40" xfId="0" applyFont="1" applyBorder="1" applyAlignment="1">
      <alignment horizontal="center" vertical="center"/>
    </xf>
    <xf numFmtId="187" fontId="23" fillId="0" borderId="39" xfId="0" applyNumberFormat="1" applyFont="1" applyBorder="1" applyAlignment="1">
      <alignment horizontal="center" vertical="center"/>
    </xf>
    <xf numFmtId="187" fontId="23" fillId="0" borderId="27" xfId="0" applyNumberFormat="1" applyFont="1" applyBorder="1" applyAlignment="1">
      <alignment horizontal="center" vertical="center"/>
    </xf>
    <xf numFmtId="188" fontId="21" fillId="0" borderId="27" xfId="0" applyNumberFormat="1" applyFont="1" applyBorder="1" applyAlignment="1">
      <alignment horizontal="center" vertical="center"/>
    </xf>
    <xf numFmtId="183" fontId="27" fillId="0" borderId="27" xfId="0" applyNumberFormat="1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181" fontId="28" fillId="0" borderId="22" xfId="0" applyNumberFormat="1" applyFont="1" applyBorder="1" applyAlignment="1">
      <alignment horizontal="right" vertical="center"/>
    </xf>
    <xf numFmtId="181" fontId="28" fillId="0" borderId="24" xfId="0" applyNumberFormat="1" applyFont="1" applyBorder="1" applyAlignment="1">
      <alignment horizontal="right" vertical="center"/>
    </xf>
    <xf numFmtId="179" fontId="28" fillId="0" borderId="22" xfId="0" applyNumberFormat="1" applyFont="1" applyBorder="1" applyAlignment="1">
      <alignment vertical="center"/>
    </xf>
    <xf numFmtId="179" fontId="28" fillId="0" borderId="24" xfId="0" applyNumberFormat="1" applyFont="1" applyBorder="1" applyAlignment="1">
      <alignment vertical="center"/>
    </xf>
    <xf numFmtId="179" fontId="28" fillId="0" borderId="39" xfId="0" applyNumberFormat="1" applyFont="1" applyBorder="1" applyAlignment="1">
      <alignment vertical="center"/>
    </xf>
    <xf numFmtId="179" fontId="28" fillId="0" borderId="40" xfId="0" applyNumberFormat="1" applyFont="1" applyBorder="1" applyAlignment="1">
      <alignment vertical="center"/>
    </xf>
    <xf numFmtId="0" fontId="28" fillId="0" borderId="39" xfId="0" applyFont="1" applyBorder="1" applyAlignment="1">
      <alignment vertical="center"/>
    </xf>
    <xf numFmtId="0" fontId="28" fillId="0" borderId="40" xfId="0" applyFont="1" applyBorder="1" applyAlignment="1">
      <alignment vertical="center"/>
    </xf>
    <xf numFmtId="0" fontId="21" fillId="0" borderId="39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/>
    </xf>
    <xf numFmtId="0" fontId="20" fillId="0" borderId="0" xfId="0" applyFont="1" applyAlignment="1">
      <alignment horizontal="distributed"/>
    </xf>
    <xf numFmtId="0" fontId="23" fillId="0" borderId="0" xfId="0" applyFont="1" applyBorder="1" applyAlignment="1">
      <alignment horizontal="center" vertical="center"/>
    </xf>
    <xf numFmtId="0" fontId="24" fillId="0" borderId="0" xfId="0" applyFont="1" applyBorder="1" applyAlignment="1">
      <alignment horizontal="left" vertical="center"/>
    </xf>
    <xf numFmtId="0" fontId="24" fillId="0" borderId="15" xfId="0" applyFont="1" applyBorder="1" applyAlignment="1">
      <alignment horizontal="left" vertical="center"/>
    </xf>
    <xf numFmtId="0" fontId="23" fillId="0" borderId="0" xfId="0" applyFont="1" applyBorder="1" applyAlignment="1">
      <alignment horizontal="left" vertical="center"/>
    </xf>
    <xf numFmtId="0" fontId="23" fillId="0" borderId="21" xfId="0" applyFont="1" applyBorder="1" applyAlignment="1">
      <alignment horizontal="left" vertical="center"/>
    </xf>
    <xf numFmtId="0" fontId="23" fillId="0" borderId="15" xfId="0" applyFont="1" applyBorder="1" applyAlignment="1">
      <alignment horizontal="left" vertical="center"/>
    </xf>
    <xf numFmtId="0" fontId="24" fillId="0" borderId="37" xfId="0" applyFont="1" applyFill="1" applyBorder="1" applyAlignment="1">
      <alignment horizontal="center" vertical="center"/>
    </xf>
    <xf numFmtId="0" fontId="24" fillId="0" borderId="38" xfId="0" applyFont="1" applyFill="1" applyBorder="1" applyAlignment="1">
      <alignment horizontal="center" vertical="center"/>
    </xf>
    <xf numFmtId="0" fontId="21" fillId="0" borderId="21" xfId="0" applyFont="1" applyBorder="1" applyAlignment="1">
      <alignment horizontal="left" vertical="center"/>
    </xf>
    <xf numFmtId="0" fontId="21" fillId="0" borderId="0" xfId="0" applyFont="1" applyBorder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0" fontId="22" fillId="0" borderId="32" xfId="0" applyFont="1" applyBorder="1" applyAlignment="1">
      <alignment horizontal="center" vertical="center" wrapText="1"/>
    </xf>
    <xf numFmtId="0" fontId="22" fillId="0" borderId="33" xfId="0" applyFont="1" applyBorder="1" applyAlignment="1">
      <alignment horizontal="center" vertical="center" wrapText="1"/>
    </xf>
    <xf numFmtId="0" fontId="21" fillId="0" borderId="34" xfId="0" applyFont="1" applyBorder="1" applyAlignment="1">
      <alignment horizontal="center" vertical="center"/>
    </xf>
    <xf numFmtId="0" fontId="21" fillId="0" borderId="35" xfId="0" applyFont="1" applyBorder="1" applyAlignment="1">
      <alignment horizontal="center" vertical="center"/>
    </xf>
    <xf numFmtId="0" fontId="21" fillId="0" borderId="36" xfId="0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49" fontId="24" fillId="0" borderId="26" xfId="0" applyNumberFormat="1" applyFont="1" applyBorder="1" applyAlignment="1">
      <alignment horizontal="right" vertical="center" shrinkToFit="1"/>
    </xf>
    <xf numFmtId="49" fontId="24" fillId="0" borderId="25" xfId="0" applyNumberFormat="1" applyFont="1" applyBorder="1" applyAlignment="1">
      <alignment horizontal="right" vertical="center" shrinkToFit="1"/>
    </xf>
    <xf numFmtId="0" fontId="24" fillId="0" borderId="26" xfId="0" applyNumberFormat="1" applyFont="1" applyBorder="1" applyAlignment="1">
      <alignment horizontal="right" vertical="center" shrinkToFit="1"/>
    </xf>
    <xf numFmtId="0" fontId="24" fillId="0" borderId="25" xfId="0" applyNumberFormat="1" applyFont="1" applyBorder="1" applyAlignment="1">
      <alignment horizontal="right" vertical="center" shrinkToFit="1"/>
    </xf>
    <xf numFmtId="182" fontId="21" fillId="0" borderId="21" xfId="0" applyNumberFormat="1" applyFont="1" applyBorder="1" applyAlignment="1">
      <alignment horizontal="right" vertical="center" justifyLastLine="1"/>
    </xf>
    <xf numFmtId="182" fontId="21" fillId="0" borderId="29" xfId="0" applyNumberFormat="1" applyFont="1" applyBorder="1" applyAlignment="1">
      <alignment horizontal="right" vertical="center" justifyLastLine="1"/>
    </xf>
    <xf numFmtId="183" fontId="21" fillId="0" borderId="0" xfId="0" applyNumberFormat="1" applyFont="1" applyBorder="1" applyAlignment="1">
      <alignment horizontal="center" vertical="center" justifyLastLine="1"/>
    </xf>
    <xf numFmtId="183" fontId="21" fillId="0" borderId="25" xfId="0" applyNumberFormat="1" applyFont="1" applyBorder="1" applyAlignment="1">
      <alignment horizontal="center" vertical="center" justifyLastLine="1"/>
    </xf>
    <xf numFmtId="182" fontId="21" fillId="0" borderId="30" xfId="0" applyNumberFormat="1" applyFont="1" applyBorder="1" applyAlignment="1">
      <alignment horizontal="left" vertical="center" justifyLastLine="1"/>
    </xf>
    <xf numFmtId="182" fontId="21" fillId="0" borderId="31" xfId="0" applyNumberFormat="1" applyFont="1" applyBorder="1" applyAlignment="1">
      <alignment horizontal="left" vertical="center" justifyLastLine="1"/>
    </xf>
    <xf numFmtId="181" fontId="28" fillId="0" borderId="39" xfId="0" applyNumberFormat="1" applyFont="1" applyBorder="1" applyAlignment="1">
      <alignment horizontal="right" vertical="center"/>
    </xf>
    <xf numFmtId="181" fontId="28" fillId="0" borderId="40" xfId="0" applyNumberFormat="1" applyFont="1" applyBorder="1" applyAlignment="1">
      <alignment horizontal="right" vertical="center"/>
    </xf>
    <xf numFmtId="0" fontId="21" fillId="0" borderId="27" xfId="0" applyFont="1" applyBorder="1" applyAlignment="1">
      <alignment horizontal="center" vertical="center" wrapText="1"/>
    </xf>
    <xf numFmtId="0" fontId="21" fillId="0" borderId="40" xfId="0" applyFont="1" applyBorder="1" applyAlignment="1">
      <alignment horizontal="center" vertical="center" wrapText="1"/>
    </xf>
  </cellXfs>
  <cellStyles count="42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CAF9F-AC04-43E2-9B7F-3478AA6C4B42}">
  <dimension ref="B1:W35"/>
  <sheetViews>
    <sheetView tabSelected="1" workbookViewId="0">
      <selection activeCell="Y22" sqref="Y22"/>
    </sheetView>
  </sheetViews>
  <sheetFormatPr defaultRowHeight="13.5" x14ac:dyDescent="0.15"/>
  <cols>
    <col min="1" max="1" width="1.25" customWidth="1"/>
    <col min="2" max="2" width="4" customWidth="1"/>
    <col min="3" max="3" width="5.75" customWidth="1"/>
    <col min="4" max="6" width="5.25" customWidth="1"/>
    <col min="7" max="7" width="5.125" customWidth="1"/>
    <col min="8" max="9" width="5.25" customWidth="1"/>
    <col min="10" max="11" width="6.25" customWidth="1"/>
    <col min="12" max="12" width="4" customWidth="1"/>
    <col min="13" max="13" width="5.75" customWidth="1"/>
    <col min="14" max="19" width="5.25" customWidth="1"/>
    <col min="20" max="20" width="1.5" customWidth="1"/>
    <col min="21" max="21" width="4.375" customWidth="1"/>
    <col min="22" max="22" width="1.75" customWidth="1"/>
  </cols>
  <sheetData>
    <row r="1" spans="2:23" ht="37.5" customHeight="1" x14ac:dyDescent="0.2">
      <c r="D1" s="60" t="s">
        <v>0</v>
      </c>
      <c r="E1" s="60"/>
      <c r="F1" s="60"/>
      <c r="G1" s="60"/>
      <c r="J1" s="1"/>
      <c r="K1" s="2"/>
      <c r="N1" s="60" t="s">
        <v>1</v>
      </c>
      <c r="O1" s="60"/>
      <c r="P1" s="60"/>
      <c r="Q1" s="60"/>
    </row>
    <row r="2" spans="2:23" ht="13.5" customHeight="1" x14ac:dyDescent="0.15">
      <c r="J2" s="1"/>
      <c r="K2" s="2"/>
    </row>
    <row r="3" spans="2:23" ht="1.5" customHeight="1" x14ac:dyDescent="0.15">
      <c r="B3" s="3"/>
      <c r="C3" s="4"/>
      <c r="D3" s="5"/>
      <c r="E3" s="6"/>
      <c r="F3" s="6"/>
      <c r="G3" s="6"/>
      <c r="H3" s="6"/>
      <c r="I3" s="7"/>
      <c r="J3" s="1"/>
      <c r="K3" s="2"/>
      <c r="L3" s="8"/>
      <c r="M3" s="9"/>
      <c r="N3" s="10"/>
      <c r="O3" s="6"/>
      <c r="P3" s="6"/>
      <c r="Q3" s="6"/>
      <c r="R3" s="6"/>
      <c r="S3" s="7"/>
    </row>
    <row r="4" spans="2:23" ht="13.5" customHeight="1" x14ac:dyDescent="0.15">
      <c r="B4" s="83" t="s">
        <v>2</v>
      </c>
      <c r="C4" s="85"/>
      <c r="D4" s="87" t="s">
        <v>3</v>
      </c>
      <c r="E4" s="11" t="s">
        <v>4</v>
      </c>
      <c r="F4" s="12"/>
      <c r="G4" s="12"/>
      <c r="H4" s="12"/>
      <c r="I4" s="13"/>
      <c r="J4" s="1"/>
      <c r="K4" s="2"/>
      <c r="L4" s="83" t="s">
        <v>2</v>
      </c>
      <c r="M4" s="85">
        <f>C4</f>
        <v>0</v>
      </c>
      <c r="N4" s="87" t="s">
        <v>3</v>
      </c>
      <c r="O4" s="11" t="s">
        <v>4</v>
      </c>
      <c r="P4" s="12"/>
      <c r="Q4" s="12"/>
      <c r="R4" s="12"/>
      <c r="S4" s="13"/>
    </row>
    <row r="5" spans="2:23" ht="13.5" customHeight="1" x14ac:dyDescent="0.15">
      <c r="B5" s="84"/>
      <c r="C5" s="86"/>
      <c r="D5" s="88"/>
      <c r="E5" s="12"/>
      <c r="F5" s="12"/>
      <c r="G5" s="12"/>
      <c r="H5" s="12"/>
      <c r="I5" s="13"/>
      <c r="J5" s="1"/>
      <c r="K5" s="2"/>
      <c r="L5" s="84"/>
      <c r="M5" s="86"/>
      <c r="N5" s="88"/>
      <c r="O5" s="12"/>
      <c r="P5" s="12"/>
      <c r="Q5" s="12"/>
      <c r="R5" s="12"/>
      <c r="S5" s="13"/>
    </row>
    <row r="6" spans="2:23" ht="26.25" customHeight="1" x14ac:dyDescent="0.15">
      <c r="B6" s="77" t="s">
        <v>55</v>
      </c>
      <c r="C6" s="75"/>
      <c r="D6" s="78"/>
      <c r="E6" s="79" t="s">
        <v>50</v>
      </c>
      <c r="F6" s="80"/>
      <c r="G6" s="80"/>
      <c r="H6" s="80"/>
      <c r="I6" s="14" t="s">
        <v>5</v>
      </c>
      <c r="J6" s="1"/>
      <c r="K6" s="2"/>
      <c r="L6" s="77" t="str">
        <f>B6</f>
        <v>令和　　年度</v>
      </c>
      <c r="M6" s="75"/>
      <c r="N6" s="78"/>
      <c r="O6" s="81" t="str">
        <f>IF(E6="","",E6)</f>
        <v>(株)中田組事業部</v>
      </c>
      <c r="P6" s="82"/>
      <c r="Q6" s="82"/>
      <c r="R6" s="82"/>
      <c r="S6" s="14" t="s">
        <v>5</v>
      </c>
    </row>
    <row r="7" spans="2:23" ht="35.25" customHeight="1" x14ac:dyDescent="0.15">
      <c r="B7" s="72" t="s">
        <v>6</v>
      </c>
      <c r="C7" s="73"/>
      <c r="D7" s="74" t="s">
        <v>7</v>
      </c>
      <c r="E7" s="75"/>
      <c r="F7" s="75"/>
      <c r="G7" s="75"/>
      <c r="H7" s="75"/>
      <c r="I7" s="76"/>
      <c r="J7" s="1"/>
      <c r="K7" s="2"/>
      <c r="L7" s="72" t="s">
        <v>6</v>
      </c>
      <c r="M7" s="73"/>
      <c r="N7" s="74" t="s">
        <v>7</v>
      </c>
      <c r="O7" s="75"/>
      <c r="P7" s="75"/>
      <c r="Q7" s="75"/>
      <c r="R7" s="75"/>
      <c r="S7" s="76"/>
      <c r="W7" s="15"/>
    </row>
    <row r="8" spans="2:23" ht="14.25" customHeight="1" x14ac:dyDescent="0.15">
      <c r="B8" s="67" t="s">
        <v>8</v>
      </c>
      <c r="C8" s="16"/>
      <c r="D8" s="16"/>
      <c r="E8" s="17" t="s">
        <v>9</v>
      </c>
      <c r="F8" s="18" t="s">
        <v>10</v>
      </c>
      <c r="G8" s="18" t="s">
        <v>11</v>
      </c>
      <c r="H8" s="18" t="s">
        <v>12</v>
      </c>
      <c r="I8" s="19" t="s">
        <v>13</v>
      </c>
      <c r="J8" s="1"/>
      <c r="K8" s="2"/>
      <c r="L8" s="67" t="s">
        <v>8</v>
      </c>
      <c r="M8" s="16"/>
      <c r="N8" s="16"/>
      <c r="O8" s="17" t="s">
        <v>9</v>
      </c>
      <c r="P8" s="18" t="s">
        <v>10</v>
      </c>
      <c r="Q8" s="18" t="s">
        <v>11</v>
      </c>
      <c r="R8" s="18" t="s">
        <v>12</v>
      </c>
      <c r="S8" s="19" t="s">
        <v>13</v>
      </c>
    </row>
    <row r="9" spans="2:23" ht="33.75" customHeight="1" x14ac:dyDescent="0.15">
      <c r="B9" s="68"/>
      <c r="C9" s="20"/>
      <c r="D9" s="20" t="s">
        <v>14</v>
      </c>
      <c r="E9" s="21" t="str">
        <f>IF(H33="","",IF(ROUNDDOWN(H33/10000,0)=0,"",ROUNDDOWN(H33/10000,0)))</f>
        <v/>
      </c>
      <c r="F9" s="21" t="str">
        <f>IF(H33="","",H33/1000-ROUNDDOWN(H33/10000,0)*10)</f>
        <v/>
      </c>
      <c r="G9" s="21">
        <v>0</v>
      </c>
      <c r="H9" s="21">
        <v>0</v>
      </c>
      <c r="I9" s="22">
        <v>0</v>
      </c>
      <c r="J9" s="1"/>
      <c r="K9" s="2"/>
      <c r="L9" s="68"/>
      <c r="M9" s="20"/>
      <c r="N9" s="20" t="s">
        <v>14</v>
      </c>
      <c r="O9" s="21" t="str">
        <f>IF(E9="","",E9)</f>
        <v/>
      </c>
      <c r="P9" s="21" t="str">
        <f>F9</f>
        <v/>
      </c>
      <c r="Q9" s="21">
        <f>G9</f>
        <v>0</v>
      </c>
      <c r="R9" s="21">
        <f>H9</f>
        <v>0</v>
      </c>
      <c r="S9" s="22">
        <f>I9</f>
        <v>0</v>
      </c>
    </row>
    <row r="10" spans="2:23" ht="11.25" customHeight="1" x14ac:dyDescent="0.15">
      <c r="B10" s="23"/>
      <c r="C10" s="12"/>
      <c r="D10" s="12"/>
      <c r="E10" s="12"/>
      <c r="F10" s="12"/>
      <c r="G10" s="12"/>
      <c r="H10" s="12"/>
      <c r="I10" s="12"/>
      <c r="J10" s="24"/>
      <c r="K10" s="2"/>
      <c r="L10" s="23"/>
      <c r="M10" s="12"/>
      <c r="N10" s="12"/>
      <c r="O10" s="12"/>
      <c r="P10" s="12"/>
      <c r="Q10" s="12"/>
      <c r="R10" s="12"/>
      <c r="S10" s="13"/>
    </row>
    <row r="11" spans="2:23" ht="18.75" customHeight="1" x14ac:dyDescent="0.15">
      <c r="B11" s="69" t="s">
        <v>15</v>
      </c>
      <c r="C11" s="70"/>
      <c r="D11" s="40">
        <v>7</v>
      </c>
      <c r="E11" s="25" t="s">
        <v>16</v>
      </c>
      <c r="F11" s="12"/>
      <c r="G11" s="12"/>
      <c r="H11" s="12"/>
      <c r="I11" s="12"/>
      <c r="J11" s="24"/>
      <c r="K11" s="2"/>
      <c r="L11" s="23"/>
      <c r="M11" s="12"/>
      <c r="N11" s="12"/>
      <c r="O11" s="12"/>
      <c r="P11" s="12"/>
      <c r="Q11" s="12"/>
      <c r="R11" s="12"/>
      <c r="S11" s="13"/>
    </row>
    <row r="12" spans="2:23" ht="7.5" customHeight="1" x14ac:dyDescent="0.15">
      <c r="B12" s="23"/>
      <c r="C12" s="12"/>
      <c r="D12" s="12"/>
      <c r="E12" s="12"/>
      <c r="F12" s="12"/>
      <c r="G12" s="12"/>
      <c r="H12" s="12"/>
      <c r="I12" s="12"/>
      <c r="J12" s="24"/>
      <c r="K12" s="2"/>
      <c r="L12" s="23"/>
      <c r="M12" s="12"/>
      <c r="N12" s="12"/>
      <c r="O12" s="12"/>
      <c r="P12" s="12"/>
      <c r="Q12" s="12"/>
      <c r="R12" s="12"/>
      <c r="S12" s="13"/>
    </row>
    <row r="13" spans="2:23" ht="22.5" customHeight="1" x14ac:dyDescent="0.15">
      <c r="B13" s="69" t="s">
        <v>17</v>
      </c>
      <c r="C13" s="70"/>
      <c r="D13" s="70"/>
      <c r="E13" s="70"/>
      <c r="F13" s="70"/>
      <c r="G13" s="70"/>
      <c r="H13" s="70"/>
      <c r="I13" s="71"/>
      <c r="J13" s="24"/>
      <c r="K13" s="2"/>
      <c r="L13" s="69" t="s">
        <v>18</v>
      </c>
      <c r="M13" s="70"/>
      <c r="N13" s="70"/>
      <c r="O13" s="70"/>
      <c r="P13" s="70"/>
      <c r="Q13" s="70"/>
      <c r="R13" s="70"/>
      <c r="S13" s="71"/>
    </row>
    <row r="14" spans="2:23" ht="25.5" customHeight="1" x14ac:dyDescent="0.15">
      <c r="B14" s="23"/>
      <c r="C14" s="12"/>
      <c r="D14" s="12"/>
      <c r="E14" s="12"/>
      <c r="F14" s="12"/>
      <c r="G14" s="12"/>
      <c r="H14" s="12"/>
      <c r="I14" s="12"/>
      <c r="J14" s="24"/>
      <c r="K14" s="2"/>
      <c r="L14" s="23"/>
      <c r="M14" s="12"/>
      <c r="N14" s="12"/>
      <c r="O14" s="12"/>
      <c r="P14" s="12"/>
      <c r="Q14" s="12"/>
      <c r="R14" s="12"/>
      <c r="S14" s="13"/>
    </row>
    <row r="15" spans="2:23" ht="18.75" customHeight="1" x14ac:dyDescent="0.15">
      <c r="B15" s="65" t="s">
        <v>19</v>
      </c>
      <c r="C15" s="64"/>
      <c r="D15" s="64"/>
      <c r="E15" s="64"/>
      <c r="F15" s="64"/>
      <c r="G15" s="64"/>
      <c r="H15" s="64"/>
      <c r="I15" s="66"/>
      <c r="J15" s="24"/>
      <c r="K15" s="2"/>
      <c r="L15" s="65" t="s">
        <v>19</v>
      </c>
      <c r="M15" s="64"/>
      <c r="N15" s="64"/>
      <c r="O15" s="64"/>
      <c r="P15" s="64"/>
      <c r="Q15" s="64"/>
      <c r="R15" s="64"/>
      <c r="S15" s="66"/>
    </row>
    <row r="16" spans="2:23" x14ac:dyDescent="0.15">
      <c r="B16" s="23"/>
      <c r="C16" s="12"/>
      <c r="D16" s="12"/>
      <c r="E16" s="12"/>
      <c r="F16" s="12"/>
      <c r="G16" s="12"/>
      <c r="H16" s="12"/>
      <c r="I16" s="12"/>
      <c r="J16" s="24"/>
      <c r="K16" s="2"/>
      <c r="L16" s="23"/>
      <c r="M16" s="12"/>
      <c r="N16" s="12"/>
      <c r="O16" s="12"/>
      <c r="P16" s="12"/>
      <c r="Q16" s="12"/>
      <c r="R16" s="12"/>
      <c r="S16" s="13"/>
    </row>
    <row r="17" spans="2:19" ht="18.75" customHeight="1" x14ac:dyDescent="0.15">
      <c r="B17" s="23"/>
      <c r="C17" s="12"/>
      <c r="D17" s="12"/>
      <c r="E17" s="12"/>
      <c r="F17" s="12"/>
      <c r="G17" s="12"/>
      <c r="H17" s="12"/>
      <c r="I17" s="12"/>
      <c r="J17" s="24"/>
      <c r="K17" s="2"/>
      <c r="L17" s="23"/>
      <c r="M17" s="12"/>
      <c r="N17" s="12"/>
      <c r="O17" s="12"/>
      <c r="P17" s="12"/>
      <c r="Q17" s="12"/>
      <c r="R17" s="12"/>
      <c r="S17" s="13"/>
    </row>
    <row r="18" spans="2:19" ht="18.75" customHeight="1" x14ac:dyDescent="0.15">
      <c r="B18" s="23" t="s">
        <v>20</v>
      </c>
      <c r="C18" s="12"/>
      <c r="D18" s="12"/>
      <c r="E18" s="12"/>
      <c r="F18" s="12"/>
      <c r="G18" s="12"/>
      <c r="H18" s="12"/>
      <c r="I18" s="12"/>
      <c r="J18" s="24"/>
      <c r="K18" s="2"/>
      <c r="L18" s="23" t="s">
        <v>20</v>
      </c>
      <c r="M18" s="12"/>
      <c r="N18" s="12"/>
      <c r="O18" s="12"/>
      <c r="P18" s="12"/>
      <c r="Q18" s="12"/>
      <c r="R18" s="12"/>
      <c r="S18" s="13"/>
    </row>
    <row r="19" spans="2:19" ht="18.75" customHeight="1" x14ac:dyDescent="0.15">
      <c r="B19" s="23"/>
      <c r="C19" s="61" t="s">
        <v>47</v>
      </c>
      <c r="D19" s="61"/>
      <c r="E19" s="61"/>
      <c r="F19" s="62" t="s">
        <v>48</v>
      </c>
      <c r="G19" s="62"/>
      <c r="H19" s="62"/>
      <c r="I19" s="63"/>
      <c r="J19" s="24"/>
      <c r="K19" s="2"/>
      <c r="L19" s="23" t="s">
        <v>21</v>
      </c>
      <c r="M19" s="64" t="s">
        <v>22</v>
      </c>
      <c r="N19" s="64"/>
      <c r="O19" s="64"/>
      <c r="P19" s="62" t="s">
        <v>54</v>
      </c>
      <c r="Q19" s="62"/>
      <c r="R19" s="62"/>
      <c r="S19" s="63"/>
    </row>
    <row r="20" spans="2:19" ht="21" customHeight="1" x14ac:dyDescent="0.15">
      <c r="B20" s="26"/>
      <c r="C20" s="27"/>
      <c r="D20" s="27"/>
      <c r="E20" s="27"/>
      <c r="F20" s="27"/>
      <c r="G20" s="27"/>
      <c r="H20" s="27"/>
      <c r="I20" s="27"/>
      <c r="J20" s="24"/>
      <c r="K20" s="2"/>
      <c r="L20" s="26"/>
      <c r="M20" s="27"/>
      <c r="N20" s="27"/>
      <c r="O20" s="27"/>
      <c r="P20" s="27"/>
      <c r="Q20" s="27"/>
      <c r="R20" s="27"/>
      <c r="S20" s="28"/>
    </row>
    <row r="21" spans="2:19" ht="32.25" customHeight="1" x14ac:dyDescent="0.15">
      <c r="B21" s="29"/>
      <c r="C21" s="30"/>
      <c r="D21" s="30"/>
      <c r="E21" s="30"/>
      <c r="F21" s="30"/>
      <c r="G21" s="30"/>
      <c r="H21" s="30"/>
      <c r="I21" s="30"/>
      <c r="J21" s="31"/>
      <c r="K21" s="32"/>
      <c r="L21" s="30"/>
      <c r="M21" s="30"/>
      <c r="N21" s="30"/>
      <c r="O21" s="30"/>
      <c r="P21" s="30"/>
      <c r="Q21" s="30"/>
      <c r="R21" s="30"/>
      <c r="S21" s="29"/>
    </row>
    <row r="22" spans="2:19" ht="37.5" customHeight="1" x14ac:dyDescent="0.15">
      <c r="B22" s="1"/>
      <c r="C22" s="33" t="s">
        <v>23</v>
      </c>
      <c r="D22" s="33" t="s">
        <v>24</v>
      </c>
      <c r="E22" s="33" t="s">
        <v>25</v>
      </c>
      <c r="F22" s="33"/>
      <c r="G22" s="1"/>
      <c r="H22" s="1"/>
      <c r="I22" s="1"/>
      <c r="J22" s="1"/>
      <c r="K22" s="2"/>
      <c r="L22" s="1"/>
      <c r="M22" s="1"/>
      <c r="N22" s="1"/>
      <c r="O22" s="1"/>
      <c r="P22" s="1"/>
      <c r="Q22" s="1"/>
      <c r="R22" s="1"/>
      <c r="S22" s="1"/>
    </row>
    <row r="23" spans="2:19" ht="30" customHeight="1" x14ac:dyDescent="0.2">
      <c r="D23" s="60" t="s">
        <v>26</v>
      </c>
      <c r="E23" s="60"/>
      <c r="F23" s="60"/>
      <c r="G23" s="60"/>
      <c r="J23" s="1"/>
      <c r="K23" s="2"/>
      <c r="N23" s="60" t="s">
        <v>26</v>
      </c>
      <c r="O23" s="60"/>
      <c r="P23" s="60"/>
      <c r="Q23" s="60"/>
    </row>
    <row r="24" spans="2:19" x14ac:dyDescent="0.15">
      <c r="J24" s="1"/>
      <c r="K24" s="2"/>
    </row>
    <row r="25" spans="2:19" s="36" customFormat="1" ht="23.25" customHeight="1" x14ac:dyDescent="0.15">
      <c r="B25" s="45" t="s">
        <v>56</v>
      </c>
      <c r="C25" s="46"/>
      <c r="D25" s="47" t="s">
        <v>51</v>
      </c>
      <c r="E25" s="47"/>
      <c r="F25" s="47"/>
      <c r="G25" s="41" t="s">
        <v>27</v>
      </c>
      <c r="H25" s="48">
        <f>C4</f>
        <v>0</v>
      </c>
      <c r="I25" s="49"/>
      <c r="J25" s="34"/>
      <c r="K25" s="35"/>
      <c r="L25" s="45" t="s">
        <v>56</v>
      </c>
      <c r="M25" s="46"/>
      <c r="N25" s="47" t="s">
        <v>51</v>
      </c>
      <c r="O25" s="47"/>
      <c r="P25" s="47"/>
      <c r="Q25" s="41" t="s">
        <v>27</v>
      </c>
      <c r="R25" s="48">
        <f>M4</f>
        <v>0</v>
      </c>
      <c r="S25" s="49"/>
    </row>
    <row r="26" spans="2:19" s="36" customFormat="1" ht="23.25" customHeight="1" x14ac:dyDescent="0.15">
      <c r="B26" s="42" t="s">
        <v>28</v>
      </c>
      <c r="C26" s="43"/>
      <c r="D26" s="59"/>
      <c r="E26" s="42" t="s">
        <v>29</v>
      </c>
      <c r="F26" s="44"/>
      <c r="G26" s="37" t="s">
        <v>30</v>
      </c>
      <c r="H26" s="42" t="s">
        <v>31</v>
      </c>
      <c r="I26" s="44"/>
      <c r="J26" s="34"/>
      <c r="K26" s="35"/>
      <c r="L26" s="42" t="s">
        <v>28</v>
      </c>
      <c r="M26" s="43"/>
      <c r="N26" s="59"/>
      <c r="O26" s="42" t="s">
        <v>29</v>
      </c>
      <c r="P26" s="44"/>
      <c r="Q26" s="37" t="s">
        <v>30</v>
      </c>
      <c r="R26" s="42" t="s">
        <v>31</v>
      </c>
      <c r="S26" s="44"/>
    </row>
    <row r="27" spans="2:19" s="36" customFormat="1" ht="39.75" customHeight="1" x14ac:dyDescent="0.15">
      <c r="B27" s="42" t="s">
        <v>32</v>
      </c>
      <c r="C27" s="43"/>
      <c r="D27" s="44"/>
      <c r="E27" s="50">
        <v>2000</v>
      </c>
      <c r="F27" s="51"/>
      <c r="G27" s="38"/>
      <c r="H27" s="52" t="str">
        <f t="shared" ref="H27:H32" si="0">IF(G27="","",G27*E27)</f>
        <v/>
      </c>
      <c r="I27" s="53"/>
      <c r="J27" s="34"/>
      <c r="K27" s="35"/>
      <c r="L27" s="42" t="s">
        <v>32</v>
      </c>
      <c r="M27" s="43"/>
      <c r="N27" s="44"/>
      <c r="O27" s="50">
        <v>2000</v>
      </c>
      <c r="P27" s="51"/>
      <c r="Q27" s="38" t="str">
        <f t="shared" ref="Q27:Q32" si="1">IF(G27="","",G27)</f>
        <v/>
      </c>
      <c r="R27" s="52" t="str">
        <f t="shared" ref="R27:R32" si="2">IF(Q27="","",Q27*O27)</f>
        <v/>
      </c>
      <c r="S27" s="53"/>
    </row>
    <row r="28" spans="2:19" s="36" customFormat="1" ht="39.75" customHeight="1" x14ac:dyDescent="0.15">
      <c r="B28" s="42" t="s">
        <v>33</v>
      </c>
      <c r="C28" s="43"/>
      <c r="D28" s="44"/>
      <c r="E28" s="50">
        <v>3000</v>
      </c>
      <c r="F28" s="51"/>
      <c r="G28" s="38"/>
      <c r="H28" s="52" t="str">
        <f t="shared" si="0"/>
        <v/>
      </c>
      <c r="I28" s="53"/>
      <c r="J28" s="34"/>
      <c r="K28" s="35"/>
      <c r="L28" s="42" t="s">
        <v>33</v>
      </c>
      <c r="M28" s="43"/>
      <c r="N28" s="44"/>
      <c r="O28" s="50">
        <v>3000</v>
      </c>
      <c r="P28" s="51"/>
      <c r="Q28" s="38" t="str">
        <f t="shared" si="1"/>
        <v/>
      </c>
      <c r="R28" s="52" t="str">
        <f t="shared" si="2"/>
        <v/>
      </c>
      <c r="S28" s="53"/>
    </row>
    <row r="29" spans="2:19" s="36" customFormat="1" ht="39.75" customHeight="1" x14ac:dyDescent="0.15">
      <c r="B29" s="42" t="s">
        <v>34</v>
      </c>
      <c r="C29" s="43"/>
      <c r="D29" s="44"/>
      <c r="E29" s="50">
        <v>3000</v>
      </c>
      <c r="F29" s="51"/>
      <c r="G29" s="38"/>
      <c r="H29" s="52" t="str">
        <f t="shared" si="0"/>
        <v/>
      </c>
      <c r="I29" s="53"/>
      <c r="J29" s="34"/>
      <c r="K29" s="35"/>
      <c r="L29" s="42" t="s">
        <v>34</v>
      </c>
      <c r="M29" s="43"/>
      <c r="N29" s="44"/>
      <c r="O29" s="50">
        <v>3000</v>
      </c>
      <c r="P29" s="51"/>
      <c r="Q29" s="38" t="str">
        <f t="shared" si="1"/>
        <v/>
      </c>
      <c r="R29" s="52" t="str">
        <f t="shared" si="2"/>
        <v/>
      </c>
      <c r="S29" s="53"/>
    </row>
    <row r="30" spans="2:19" s="36" customFormat="1" ht="39.75" customHeight="1" x14ac:dyDescent="0.15">
      <c r="B30" s="42" t="s">
        <v>35</v>
      </c>
      <c r="C30" s="43"/>
      <c r="D30" s="44"/>
      <c r="E30" s="50">
        <v>3000</v>
      </c>
      <c r="F30" s="51"/>
      <c r="G30" s="38"/>
      <c r="H30" s="52" t="str">
        <f t="shared" si="0"/>
        <v/>
      </c>
      <c r="I30" s="53"/>
      <c r="K30" s="35"/>
      <c r="L30" s="42" t="s">
        <v>35</v>
      </c>
      <c r="M30" s="43"/>
      <c r="N30" s="44"/>
      <c r="O30" s="50">
        <v>3000</v>
      </c>
      <c r="P30" s="51"/>
      <c r="Q30" s="38" t="str">
        <f t="shared" si="1"/>
        <v/>
      </c>
      <c r="R30" s="52" t="str">
        <f t="shared" si="2"/>
        <v/>
      </c>
      <c r="S30" s="53"/>
    </row>
    <row r="31" spans="2:19" s="36" customFormat="1" ht="39.75" customHeight="1" x14ac:dyDescent="0.15">
      <c r="B31" s="42" t="s">
        <v>36</v>
      </c>
      <c r="C31" s="43"/>
      <c r="D31" s="44"/>
      <c r="E31" s="50">
        <v>2000</v>
      </c>
      <c r="F31" s="51"/>
      <c r="G31" s="38"/>
      <c r="H31" s="52" t="str">
        <f t="shared" si="0"/>
        <v/>
      </c>
      <c r="I31" s="53"/>
      <c r="J31" s="34"/>
      <c r="K31" s="35"/>
      <c r="L31" s="42" t="s">
        <v>36</v>
      </c>
      <c r="M31" s="43"/>
      <c r="N31" s="44"/>
      <c r="O31" s="50">
        <v>2000</v>
      </c>
      <c r="P31" s="51"/>
      <c r="Q31" s="38" t="str">
        <f t="shared" si="1"/>
        <v/>
      </c>
      <c r="R31" s="52" t="str">
        <f t="shared" si="2"/>
        <v/>
      </c>
      <c r="S31" s="53"/>
    </row>
    <row r="32" spans="2:19" s="36" customFormat="1" ht="39.75" customHeight="1" x14ac:dyDescent="0.15">
      <c r="B32" s="58" t="s">
        <v>37</v>
      </c>
      <c r="C32" s="43"/>
      <c r="D32" s="44"/>
      <c r="E32" s="50">
        <v>2000</v>
      </c>
      <c r="F32" s="51"/>
      <c r="G32" s="38"/>
      <c r="H32" s="52" t="str">
        <f t="shared" si="0"/>
        <v/>
      </c>
      <c r="I32" s="53"/>
      <c r="J32" s="34"/>
      <c r="K32" s="35"/>
      <c r="L32" s="58" t="s">
        <v>37</v>
      </c>
      <c r="M32" s="43"/>
      <c r="N32" s="44"/>
      <c r="O32" s="50">
        <v>2000</v>
      </c>
      <c r="P32" s="51"/>
      <c r="Q32" s="38" t="str">
        <f t="shared" si="1"/>
        <v/>
      </c>
      <c r="R32" s="52" t="str">
        <f t="shared" si="2"/>
        <v/>
      </c>
      <c r="S32" s="53"/>
    </row>
    <row r="33" spans="2:19" s="36" customFormat="1" ht="39.75" customHeight="1" x14ac:dyDescent="0.15">
      <c r="B33" s="42" t="s">
        <v>38</v>
      </c>
      <c r="C33" s="43"/>
      <c r="D33" s="44"/>
      <c r="E33" s="56"/>
      <c r="F33" s="57"/>
      <c r="G33" s="39" t="str">
        <f>IF(SUM(G27:G32)=0,"",SUM(G27:G32))</f>
        <v/>
      </c>
      <c r="H33" s="54" t="str">
        <f>IF(SUM(H27:I32)=0,"",SUM(H27:I32))</f>
        <v/>
      </c>
      <c r="I33" s="55"/>
      <c r="J33" s="34"/>
      <c r="K33" s="35"/>
      <c r="L33" s="42" t="s">
        <v>38</v>
      </c>
      <c r="M33" s="43"/>
      <c r="N33" s="44"/>
      <c r="O33" s="56"/>
      <c r="P33" s="57"/>
      <c r="Q33" s="39" t="str">
        <f>IF(SUM(Q27:Q32)=0,"",SUM(Q27:Q32))</f>
        <v/>
      </c>
      <c r="R33" s="54" t="str">
        <f>IF(SUM(R27:S32)=0,"",SUM(R27:S32))</f>
        <v/>
      </c>
      <c r="S33" s="55"/>
    </row>
    <row r="34" spans="2:19" x14ac:dyDescent="0.15">
      <c r="B34" s="1"/>
      <c r="C34" s="1"/>
      <c r="D34" s="1"/>
      <c r="E34" s="1"/>
      <c r="F34" s="1"/>
      <c r="G34" s="1"/>
      <c r="H34" s="1"/>
      <c r="I34" s="1"/>
      <c r="K34" s="1"/>
      <c r="L34" s="1"/>
      <c r="M34" s="1"/>
      <c r="N34" s="1"/>
      <c r="O34" s="1"/>
      <c r="P34" s="1"/>
      <c r="Q34" s="1"/>
      <c r="R34" s="1"/>
    </row>
    <row r="35" spans="2:19" x14ac:dyDescent="0.15">
      <c r="B35" s="1"/>
      <c r="C35" s="1"/>
      <c r="D35" s="1"/>
      <c r="E35" s="1"/>
      <c r="F35" s="1"/>
      <c r="G35" s="1"/>
      <c r="H35" s="1"/>
      <c r="I35" s="1"/>
      <c r="L35" s="1"/>
      <c r="M35" s="1"/>
      <c r="N35" s="1"/>
      <c r="O35" s="1"/>
      <c r="P35" s="1"/>
      <c r="Q35" s="1"/>
      <c r="R35" s="1"/>
      <c r="S35" s="1"/>
    </row>
  </sheetData>
  <mergeCells count="83">
    <mergeCell ref="D1:G1"/>
    <mergeCell ref="N1:Q1"/>
    <mergeCell ref="B4:B5"/>
    <mergeCell ref="C4:C5"/>
    <mergeCell ref="D4:D5"/>
    <mergeCell ref="L4:L5"/>
    <mergeCell ref="M4:M5"/>
    <mergeCell ref="N4:N5"/>
    <mergeCell ref="B7:C7"/>
    <mergeCell ref="D7:I7"/>
    <mergeCell ref="L7:M7"/>
    <mergeCell ref="N7:S7"/>
    <mergeCell ref="B6:D6"/>
    <mergeCell ref="E6:H6"/>
    <mergeCell ref="L6:N6"/>
    <mergeCell ref="O6:R6"/>
    <mergeCell ref="B15:I15"/>
    <mergeCell ref="L15:S15"/>
    <mergeCell ref="B8:B9"/>
    <mergeCell ref="L8:L9"/>
    <mergeCell ref="B11:C11"/>
    <mergeCell ref="B13:I13"/>
    <mergeCell ref="L13:S13"/>
    <mergeCell ref="D23:G23"/>
    <mergeCell ref="N23:Q23"/>
    <mergeCell ref="C19:E19"/>
    <mergeCell ref="L27:N27"/>
    <mergeCell ref="O27:P27"/>
    <mergeCell ref="F19:I19"/>
    <mergeCell ref="M19:O19"/>
    <mergeCell ref="P19:S19"/>
    <mergeCell ref="R25:S25"/>
    <mergeCell ref="B26:D26"/>
    <mergeCell ref="H28:I28"/>
    <mergeCell ref="L28:N28"/>
    <mergeCell ref="O28:P28"/>
    <mergeCell ref="R28:S28"/>
    <mergeCell ref="E26:F26"/>
    <mergeCell ref="H26:I26"/>
    <mergeCell ref="L26:N26"/>
    <mergeCell ref="O26:P26"/>
    <mergeCell ref="R26:S26"/>
    <mergeCell ref="R27:S27"/>
    <mergeCell ref="E27:F27"/>
    <mergeCell ref="H27:I27"/>
    <mergeCell ref="B29:D29"/>
    <mergeCell ref="E29:F29"/>
    <mergeCell ref="H29:I29"/>
    <mergeCell ref="B30:D30"/>
    <mergeCell ref="E30:F30"/>
    <mergeCell ref="H30:I30"/>
    <mergeCell ref="B28:D28"/>
    <mergeCell ref="E28:F28"/>
    <mergeCell ref="B33:D33"/>
    <mergeCell ref="E33:F33"/>
    <mergeCell ref="H33:I33"/>
    <mergeCell ref="L33:N33"/>
    <mergeCell ref="O33:P33"/>
    <mergeCell ref="B32:D32"/>
    <mergeCell ref="E32:F32"/>
    <mergeCell ref="O32:P32"/>
    <mergeCell ref="H32:I32"/>
    <mergeCell ref="L32:N32"/>
    <mergeCell ref="R29:S29"/>
    <mergeCell ref="O30:P30"/>
    <mergeCell ref="R30:S30"/>
    <mergeCell ref="H31:I31"/>
    <mergeCell ref="L31:N31"/>
    <mergeCell ref="R33:S33"/>
    <mergeCell ref="L30:N30"/>
    <mergeCell ref="R32:S32"/>
    <mergeCell ref="O31:P31"/>
    <mergeCell ref="R31:S31"/>
    <mergeCell ref="B31:D31"/>
    <mergeCell ref="L29:N29"/>
    <mergeCell ref="B25:C25"/>
    <mergeCell ref="D25:F25"/>
    <mergeCell ref="L25:M25"/>
    <mergeCell ref="N25:P25"/>
    <mergeCell ref="H25:I25"/>
    <mergeCell ref="O29:P29"/>
    <mergeCell ref="B27:D27"/>
    <mergeCell ref="E31:F31"/>
  </mergeCells>
  <phoneticPr fontId="19"/>
  <dataValidations count="2">
    <dataValidation type="list" allowBlank="1" sqref="E6:H6" xr:uid="{9564921E-46A8-4E31-851A-BE4E2B4741F1}">
      <formula1>"ベスト電器利尻店,㈱洋　商,電器のオオミ,でんきのカトウ,㈲カワムラ電器,ツチヤ電気店,不二商会"</formula1>
    </dataValidation>
    <dataValidation type="decimal" operator="lessThan" allowBlank="1" showInputMessage="1" showErrorMessage="1" error="自動計算されるので入力不可_x000a_" sqref="E9:I9" xr:uid="{87A682A0-1728-47EA-9D16-02FA7335117C}">
      <formula1>0</formula1>
    </dataValidation>
  </dataValidations>
  <pageMargins left="0.51181102362204722" right="0" top="0.70866141732283472" bottom="0" header="0" footer="0"/>
  <pageSetup paperSize="13" scale="83" orientation="portrait" horizontalDpi="4294967293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126D1-73CA-45C9-BE59-3BC757E3135E}">
  <dimension ref="B1:W35"/>
  <sheetViews>
    <sheetView workbookViewId="0">
      <selection activeCell="Y25" sqref="Y25"/>
    </sheetView>
  </sheetViews>
  <sheetFormatPr defaultRowHeight="13.5" x14ac:dyDescent="0.15"/>
  <cols>
    <col min="1" max="1" width="1.25" customWidth="1"/>
    <col min="2" max="2" width="4" customWidth="1"/>
    <col min="3" max="3" width="5.75" customWidth="1"/>
    <col min="4" max="6" width="5.25" customWidth="1"/>
    <col min="7" max="7" width="5.125" customWidth="1"/>
    <col min="8" max="9" width="5.25" customWidth="1"/>
    <col min="10" max="11" width="6.25" customWidth="1"/>
    <col min="12" max="12" width="4" customWidth="1"/>
    <col min="13" max="13" width="5.75" customWidth="1"/>
    <col min="14" max="19" width="5.25" customWidth="1"/>
    <col min="20" max="20" width="1.5" customWidth="1"/>
    <col min="21" max="21" width="4.375" customWidth="1"/>
    <col min="22" max="22" width="1.75" customWidth="1"/>
  </cols>
  <sheetData>
    <row r="1" spans="2:23" ht="37.5" customHeight="1" x14ac:dyDescent="0.2">
      <c r="D1" s="60" t="s">
        <v>0</v>
      </c>
      <c r="E1" s="60"/>
      <c r="F1" s="60"/>
      <c r="G1" s="60"/>
      <c r="J1" s="1"/>
      <c r="K1" s="2"/>
      <c r="N1" s="60" t="s">
        <v>1</v>
      </c>
      <c r="O1" s="60"/>
      <c r="P1" s="60"/>
      <c r="Q1" s="60"/>
    </row>
    <row r="2" spans="2:23" ht="13.5" customHeight="1" x14ac:dyDescent="0.15">
      <c r="J2" s="1"/>
      <c r="K2" s="2"/>
    </row>
    <row r="3" spans="2:23" ht="1.5" customHeight="1" x14ac:dyDescent="0.15">
      <c r="B3" s="3"/>
      <c r="C3" s="4"/>
      <c r="D3" s="5"/>
      <c r="E3" s="6"/>
      <c r="F3" s="6"/>
      <c r="G3" s="6"/>
      <c r="H3" s="6"/>
      <c r="I3" s="7"/>
      <c r="J3" s="1"/>
      <c r="K3" s="2"/>
      <c r="L3" s="8"/>
      <c r="M3" s="9"/>
      <c r="N3" s="10"/>
      <c r="O3" s="6"/>
      <c r="P3" s="6"/>
      <c r="Q3" s="6"/>
      <c r="R3" s="6"/>
      <c r="S3" s="7"/>
    </row>
    <row r="4" spans="2:23" ht="13.5" customHeight="1" x14ac:dyDescent="0.15">
      <c r="B4" s="83" t="s">
        <v>2</v>
      </c>
      <c r="C4" s="85"/>
      <c r="D4" s="87" t="s">
        <v>3</v>
      </c>
      <c r="E4" s="11" t="s">
        <v>4</v>
      </c>
      <c r="F4" s="12"/>
      <c r="G4" s="12"/>
      <c r="H4" s="12"/>
      <c r="I4" s="13"/>
      <c r="J4" s="1"/>
      <c r="K4" s="2"/>
      <c r="L4" s="83" t="s">
        <v>2</v>
      </c>
      <c r="M4" s="85">
        <f>C4</f>
        <v>0</v>
      </c>
      <c r="N4" s="87" t="s">
        <v>3</v>
      </c>
      <c r="O4" s="11" t="s">
        <v>4</v>
      </c>
      <c r="P4" s="12"/>
      <c r="Q4" s="12"/>
      <c r="R4" s="12"/>
      <c r="S4" s="13"/>
    </row>
    <row r="5" spans="2:23" ht="13.5" customHeight="1" x14ac:dyDescent="0.15">
      <c r="B5" s="84"/>
      <c r="C5" s="86"/>
      <c r="D5" s="88"/>
      <c r="E5" s="12"/>
      <c r="F5" s="12"/>
      <c r="G5" s="12"/>
      <c r="H5" s="12"/>
      <c r="I5" s="13"/>
      <c r="J5" s="1"/>
      <c r="K5" s="2"/>
      <c r="L5" s="84"/>
      <c r="M5" s="86"/>
      <c r="N5" s="88"/>
      <c r="O5" s="12"/>
      <c r="P5" s="12"/>
      <c r="Q5" s="12"/>
      <c r="R5" s="12"/>
      <c r="S5" s="13"/>
    </row>
    <row r="6" spans="2:23" ht="26.25" customHeight="1" x14ac:dyDescent="0.15">
      <c r="B6" s="77" t="s">
        <v>57</v>
      </c>
      <c r="C6" s="75"/>
      <c r="D6" s="78"/>
      <c r="E6" s="79" t="s">
        <v>45</v>
      </c>
      <c r="F6" s="80"/>
      <c r="G6" s="80"/>
      <c r="H6" s="80"/>
      <c r="I6" s="14" t="s">
        <v>5</v>
      </c>
      <c r="J6" s="1"/>
      <c r="K6" s="2"/>
      <c r="L6" s="77" t="str">
        <f>B6</f>
        <v>令和　　年度</v>
      </c>
      <c r="M6" s="75"/>
      <c r="N6" s="78"/>
      <c r="O6" s="81" t="str">
        <f>IF(E6="","",E6)</f>
        <v>利尻富士町福祉課</v>
      </c>
      <c r="P6" s="82"/>
      <c r="Q6" s="82"/>
      <c r="R6" s="82"/>
      <c r="S6" s="14" t="s">
        <v>5</v>
      </c>
    </row>
    <row r="7" spans="2:23" ht="35.25" customHeight="1" x14ac:dyDescent="0.15">
      <c r="B7" s="72" t="s">
        <v>6</v>
      </c>
      <c r="C7" s="73"/>
      <c r="D7" s="74" t="s">
        <v>7</v>
      </c>
      <c r="E7" s="75"/>
      <c r="F7" s="75"/>
      <c r="G7" s="75"/>
      <c r="H7" s="75"/>
      <c r="I7" s="76"/>
      <c r="J7" s="1"/>
      <c r="K7" s="2"/>
      <c r="L7" s="72" t="s">
        <v>6</v>
      </c>
      <c r="M7" s="73"/>
      <c r="N7" s="74" t="s">
        <v>7</v>
      </c>
      <c r="O7" s="75"/>
      <c r="P7" s="75"/>
      <c r="Q7" s="75"/>
      <c r="R7" s="75"/>
      <c r="S7" s="76"/>
      <c r="W7" s="15"/>
    </row>
    <row r="8" spans="2:23" ht="14.25" customHeight="1" x14ac:dyDescent="0.15">
      <c r="B8" s="67" t="s">
        <v>8</v>
      </c>
      <c r="C8" s="16"/>
      <c r="D8" s="16"/>
      <c r="E8" s="17" t="s">
        <v>9</v>
      </c>
      <c r="F8" s="18" t="s">
        <v>10</v>
      </c>
      <c r="G8" s="18" t="s">
        <v>11</v>
      </c>
      <c r="H8" s="18" t="s">
        <v>12</v>
      </c>
      <c r="I8" s="19" t="s">
        <v>13</v>
      </c>
      <c r="J8" s="1"/>
      <c r="K8" s="2"/>
      <c r="L8" s="67" t="s">
        <v>8</v>
      </c>
      <c r="M8" s="16"/>
      <c r="N8" s="16"/>
      <c r="O8" s="17" t="s">
        <v>9</v>
      </c>
      <c r="P8" s="18" t="s">
        <v>10</v>
      </c>
      <c r="Q8" s="18" t="s">
        <v>11</v>
      </c>
      <c r="R8" s="18" t="s">
        <v>12</v>
      </c>
      <c r="S8" s="19" t="s">
        <v>13</v>
      </c>
    </row>
    <row r="9" spans="2:23" ht="33.75" customHeight="1" x14ac:dyDescent="0.15">
      <c r="B9" s="68"/>
      <c r="C9" s="20"/>
      <c r="D9" s="20" t="s">
        <v>14</v>
      </c>
      <c r="E9" s="21" t="str">
        <f>IF(H33="","",IF(ROUNDDOWN(H33/10000,0)=0,"",ROUNDDOWN(H33/10000,0)))</f>
        <v/>
      </c>
      <c r="F9" s="21" t="str">
        <f>IF(H33="","",H33/1000-ROUNDDOWN(H33/10000,0)*10)</f>
        <v/>
      </c>
      <c r="G9" s="21">
        <v>0</v>
      </c>
      <c r="H9" s="21">
        <v>0</v>
      </c>
      <c r="I9" s="22">
        <v>0</v>
      </c>
      <c r="J9" s="1"/>
      <c r="K9" s="2"/>
      <c r="L9" s="68"/>
      <c r="M9" s="20"/>
      <c r="N9" s="20" t="s">
        <v>14</v>
      </c>
      <c r="O9" s="21" t="str">
        <f>IF(E9="","",E9)</f>
        <v/>
      </c>
      <c r="P9" s="21" t="str">
        <f>F9</f>
        <v/>
      </c>
      <c r="Q9" s="21">
        <f>G9</f>
        <v>0</v>
      </c>
      <c r="R9" s="21">
        <f>H9</f>
        <v>0</v>
      </c>
      <c r="S9" s="22">
        <f>I9</f>
        <v>0</v>
      </c>
    </row>
    <row r="10" spans="2:23" ht="11.25" customHeight="1" x14ac:dyDescent="0.15">
      <c r="B10" s="23"/>
      <c r="C10" s="12"/>
      <c r="D10" s="12"/>
      <c r="E10" s="12"/>
      <c r="F10" s="12"/>
      <c r="G10" s="12"/>
      <c r="H10" s="12"/>
      <c r="I10" s="12"/>
      <c r="J10" s="24"/>
      <c r="K10" s="2"/>
      <c r="L10" s="23"/>
      <c r="M10" s="12"/>
      <c r="N10" s="12"/>
      <c r="O10" s="12"/>
      <c r="P10" s="12"/>
      <c r="Q10" s="12"/>
      <c r="R10" s="12"/>
      <c r="S10" s="13"/>
    </row>
    <row r="11" spans="2:23" ht="18.75" customHeight="1" x14ac:dyDescent="0.15">
      <c r="B11" s="69" t="s">
        <v>15</v>
      </c>
      <c r="C11" s="70"/>
      <c r="D11" s="40">
        <v>12</v>
      </c>
      <c r="E11" s="25" t="s">
        <v>16</v>
      </c>
      <c r="F11" s="12"/>
      <c r="G11" s="12"/>
      <c r="H11" s="12"/>
      <c r="I11" s="12"/>
      <c r="J11" s="24"/>
      <c r="K11" s="2"/>
      <c r="L11" s="23"/>
      <c r="M11" s="12"/>
      <c r="N11" s="12"/>
      <c r="O11" s="12"/>
      <c r="P11" s="12"/>
      <c r="Q11" s="12"/>
      <c r="R11" s="12"/>
      <c r="S11" s="13"/>
    </row>
    <row r="12" spans="2:23" ht="7.5" customHeight="1" x14ac:dyDescent="0.15">
      <c r="B12" s="23"/>
      <c r="C12" s="12"/>
      <c r="D12" s="12"/>
      <c r="E12" s="12"/>
      <c r="F12" s="12"/>
      <c r="G12" s="12"/>
      <c r="H12" s="12"/>
      <c r="I12" s="12"/>
      <c r="J12" s="24"/>
      <c r="K12" s="2"/>
      <c r="L12" s="23"/>
      <c r="M12" s="12"/>
      <c r="N12" s="12"/>
      <c r="O12" s="12"/>
      <c r="P12" s="12"/>
      <c r="Q12" s="12"/>
      <c r="R12" s="12"/>
      <c r="S12" s="13"/>
    </row>
    <row r="13" spans="2:23" ht="22.5" customHeight="1" x14ac:dyDescent="0.15">
      <c r="B13" s="69" t="s">
        <v>17</v>
      </c>
      <c r="C13" s="70"/>
      <c r="D13" s="70"/>
      <c r="E13" s="70"/>
      <c r="F13" s="70"/>
      <c r="G13" s="70"/>
      <c r="H13" s="70"/>
      <c r="I13" s="71"/>
      <c r="J13" s="24"/>
      <c r="K13" s="2"/>
      <c r="L13" s="69" t="s">
        <v>18</v>
      </c>
      <c r="M13" s="70"/>
      <c r="N13" s="70"/>
      <c r="O13" s="70"/>
      <c r="P13" s="70"/>
      <c r="Q13" s="70"/>
      <c r="R13" s="70"/>
      <c r="S13" s="71"/>
    </row>
    <row r="14" spans="2:23" ht="25.5" customHeight="1" x14ac:dyDescent="0.15">
      <c r="B14" s="23"/>
      <c r="C14" s="12"/>
      <c r="D14" s="12"/>
      <c r="E14" s="12"/>
      <c r="F14" s="12"/>
      <c r="G14" s="12"/>
      <c r="H14" s="12"/>
      <c r="I14" s="12"/>
      <c r="J14" s="24"/>
      <c r="K14" s="2"/>
      <c r="L14" s="23"/>
      <c r="M14" s="12"/>
      <c r="N14" s="12"/>
      <c r="O14" s="12"/>
      <c r="P14" s="12"/>
      <c r="Q14" s="12"/>
      <c r="R14" s="12"/>
      <c r="S14" s="13"/>
    </row>
    <row r="15" spans="2:23" ht="18.75" customHeight="1" x14ac:dyDescent="0.15">
      <c r="B15" s="65" t="s">
        <v>19</v>
      </c>
      <c r="C15" s="64"/>
      <c r="D15" s="64"/>
      <c r="E15" s="64"/>
      <c r="F15" s="64"/>
      <c r="G15" s="64"/>
      <c r="H15" s="64"/>
      <c r="I15" s="66"/>
      <c r="J15" s="24"/>
      <c r="K15" s="2"/>
      <c r="L15" s="65" t="s">
        <v>19</v>
      </c>
      <c r="M15" s="64"/>
      <c r="N15" s="64"/>
      <c r="O15" s="64"/>
      <c r="P15" s="64"/>
      <c r="Q15" s="64"/>
      <c r="R15" s="64"/>
      <c r="S15" s="66"/>
    </row>
    <row r="16" spans="2:23" x14ac:dyDescent="0.15">
      <c r="B16" s="23"/>
      <c r="C16" s="12"/>
      <c r="D16" s="12"/>
      <c r="E16" s="12"/>
      <c r="F16" s="12"/>
      <c r="G16" s="12"/>
      <c r="H16" s="12"/>
      <c r="I16" s="12"/>
      <c r="J16" s="24"/>
      <c r="K16" s="2"/>
      <c r="L16" s="23"/>
      <c r="M16" s="12"/>
      <c r="N16" s="12"/>
      <c r="O16" s="12"/>
      <c r="P16" s="12"/>
      <c r="Q16" s="12"/>
      <c r="R16" s="12"/>
      <c r="S16" s="13"/>
    </row>
    <row r="17" spans="2:19" ht="18.75" customHeight="1" x14ac:dyDescent="0.15">
      <c r="B17" s="23"/>
      <c r="C17" s="12"/>
      <c r="D17" s="12"/>
      <c r="E17" s="12"/>
      <c r="F17" s="12"/>
      <c r="G17" s="12"/>
      <c r="H17" s="12"/>
      <c r="I17" s="12"/>
      <c r="J17" s="24"/>
      <c r="K17" s="2"/>
      <c r="L17" s="23"/>
      <c r="M17" s="12"/>
      <c r="N17" s="12"/>
      <c r="O17" s="12"/>
      <c r="P17" s="12"/>
      <c r="Q17" s="12"/>
      <c r="R17" s="12"/>
      <c r="S17" s="13"/>
    </row>
    <row r="18" spans="2:19" ht="18.75" customHeight="1" x14ac:dyDescent="0.15">
      <c r="B18" s="23" t="s">
        <v>20</v>
      </c>
      <c r="C18" s="12"/>
      <c r="D18" s="12"/>
      <c r="E18" s="12"/>
      <c r="F18" s="12"/>
      <c r="G18" s="12"/>
      <c r="H18" s="12"/>
      <c r="I18" s="12"/>
      <c r="J18" s="24"/>
      <c r="K18" s="2"/>
      <c r="L18" s="23" t="s">
        <v>20</v>
      </c>
      <c r="M18" s="12"/>
      <c r="N18" s="12"/>
      <c r="O18" s="12"/>
      <c r="P18" s="12"/>
      <c r="Q18" s="12"/>
      <c r="R18" s="12"/>
      <c r="S18" s="13"/>
    </row>
    <row r="19" spans="2:19" ht="18.75" customHeight="1" x14ac:dyDescent="0.15">
      <c r="B19" s="23"/>
      <c r="C19" s="61" t="s">
        <v>47</v>
      </c>
      <c r="D19" s="61"/>
      <c r="E19" s="61"/>
      <c r="F19" s="62" t="s">
        <v>48</v>
      </c>
      <c r="G19" s="62"/>
      <c r="H19" s="62"/>
      <c r="I19" s="63"/>
      <c r="J19" s="24"/>
      <c r="K19" s="2"/>
      <c r="L19" s="23" t="s">
        <v>21</v>
      </c>
      <c r="M19" s="64" t="s">
        <v>22</v>
      </c>
      <c r="N19" s="64"/>
      <c r="O19" s="64"/>
      <c r="P19" s="62" t="s">
        <v>54</v>
      </c>
      <c r="Q19" s="62"/>
      <c r="R19" s="62"/>
      <c r="S19" s="63"/>
    </row>
    <row r="20" spans="2:19" ht="21" customHeight="1" x14ac:dyDescent="0.15">
      <c r="B20" s="26"/>
      <c r="C20" s="27"/>
      <c r="D20" s="27"/>
      <c r="E20" s="27"/>
      <c r="F20" s="27"/>
      <c r="G20" s="27"/>
      <c r="H20" s="27"/>
      <c r="I20" s="27"/>
      <c r="J20" s="24"/>
      <c r="K20" s="2"/>
      <c r="L20" s="26"/>
      <c r="M20" s="27"/>
      <c r="N20" s="27"/>
      <c r="O20" s="27"/>
      <c r="P20" s="27"/>
      <c r="Q20" s="27"/>
      <c r="R20" s="27"/>
      <c r="S20" s="28"/>
    </row>
    <row r="21" spans="2:19" ht="32.25" customHeight="1" x14ac:dyDescent="0.15">
      <c r="B21" s="29"/>
      <c r="C21" s="30"/>
      <c r="D21" s="30"/>
      <c r="E21" s="30"/>
      <c r="F21" s="30"/>
      <c r="G21" s="30"/>
      <c r="H21" s="30"/>
      <c r="I21" s="30"/>
      <c r="J21" s="31"/>
      <c r="K21" s="32"/>
      <c r="L21" s="30"/>
      <c r="M21" s="30"/>
      <c r="N21" s="30"/>
      <c r="O21" s="30"/>
      <c r="P21" s="30"/>
      <c r="Q21" s="30"/>
      <c r="R21" s="30"/>
      <c r="S21" s="29"/>
    </row>
    <row r="22" spans="2:19" ht="37.5" customHeight="1" x14ac:dyDescent="0.15">
      <c r="B22" s="1"/>
      <c r="C22" s="33" t="s">
        <v>23</v>
      </c>
      <c r="D22" s="33" t="s">
        <v>24</v>
      </c>
      <c r="E22" s="33" t="s">
        <v>25</v>
      </c>
      <c r="F22" s="33"/>
      <c r="G22" s="1"/>
      <c r="H22" s="1"/>
      <c r="I22" s="1"/>
      <c r="J22" s="1"/>
      <c r="K22" s="2"/>
      <c r="L22" s="1"/>
      <c r="M22" s="1"/>
      <c r="N22" s="1"/>
      <c r="O22" s="1"/>
      <c r="P22" s="1"/>
      <c r="Q22" s="1"/>
      <c r="R22" s="1"/>
      <c r="S22" s="1"/>
    </row>
    <row r="23" spans="2:19" ht="30" customHeight="1" x14ac:dyDescent="0.2">
      <c r="D23" s="60" t="s">
        <v>26</v>
      </c>
      <c r="E23" s="60"/>
      <c r="F23" s="60"/>
      <c r="G23" s="60"/>
      <c r="J23" s="1"/>
      <c r="K23" s="2"/>
      <c r="N23" s="60" t="s">
        <v>26</v>
      </c>
      <c r="O23" s="60"/>
      <c r="P23" s="60"/>
      <c r="Q23" s="60"/>
    </row>
    <row r="24" spans="2:19" x14ac:dyDescent="0.15">
      <c r="J24" s="1"/>
      <c r="K24" s="2"/>
    </row>
    <row r="25" spans="2:19" s="36" customFormat="1" ht="23.25" customHeight="1" x14ac:dyDescent="0.15">
      <c r="B25" s="45" t="s">
        <v>56</v>
      </c>
      <c r="C25" s="46"/>
      <c r="D25" s="47" t="s">
        <v>49</v>
      </c>
      <c r="E25" s="47"/>
      <c r="F25" s="47"/>
      <c r="G25" s="41" t="s">
        <v>27</v>
      </c>
      <c r="H25" s="48">
        <f>C4</f>
        <v>0</v>
      </c>
      <c r="I25" s="49"/>
      <c r="J25" s="34"/>
      <c r="K25" s="35"/>
      <c r="L25" s="45" t="s">
        <v>56</v>
      </c>
      <c r="M25" s="46"/>
      <c r="N25" s="47" t="s">
        <v>49</v>
      </c>
      <c r="O25" s="47"/>
      <c r="P25" s="47"/>
      <c r="Q25" s="41" t="s">
        <v>27</v>
      </c>
      <c r="R25" s="48">
        <f>M4</f>
        <v>0</v>
      </c>
      <c r="S25" s="49"/>
    </row>
    <row r="26" spans="2:19" s="36" customFormat="1" ht="23.25" customHeight="1" x14ac:dyDescent="0.15">
      <c r="B26" s="42" t="s">
        <v>28</v>
      </c>
      <c r="C26" s="43"/>
      <c r="D26" s="59"/>
      <c r="E26" s="42" t="s">
        <v>29</v>
      </c>
      <c r="F26" s="44"/>
      <c r="G26" s="37" t="s">
        <v>30</v>
      </c>
      <c r="H26" s="42" t="s">
        <v>31</v>
      </c>
      <c r="I26" s="44"/>
      <c r="J26" s="34"/>
      <c r="K26" s="35"/>
      <c r="L26" s="42" t="s">
        <v>28</v>
      </c>
      <c r="M26" s="43"/>
      <c r="N26" s="59"/>
      <c r="O26" s="42" t="s">
        <v>29</v>
      </c>
      <c r="P26" s="44"/>
      <c r="Q26" s="37" t="s">
        <v>30</v>
      </c>
      <c r="R26" s="42" t="s">
        <v>31</v>
      </c>
      <c r="S26" s="44"/>
    </row>
    <row r="27" spans="2:19" s="36" customFormat="1" ht="39.75" customHeight="1" x14ac:dyDescent="0.15">
      <c r="B27" s="42" t="s">
        <v>32</v>
      </c>
      <c r="C27" s="43"/>
      <c r="D27" s="44"/>
      <c r="E27" s="50">
        <v>2000</v>
      </c>
      <c r="F27" s="51"/>
      <c r="G27" s="38"/>
      <c r="H27" s="52" t="str">
        <f t="shared" ref="H27:H32" si="0">IF(G27="","",G27*E27)</f>
        <v/>
      </c>
      <c r="I27" s="53"/>
      <c r="J27" s="34"/>
      <c r="K27" s="35"/>
      <c r="L27" s="42" t="s">
        <v>32</v>
      </c>
      <c r="M27" s="43"/>
      <c r="N27" s="44"/>
      <c r="O27" s="50">
        <v>2000</v>
      </c>
      <c r="P27" s="51"/>
      <c r="Q27" s="38" t="str">
        <f t="shared" ref="Q27:Q32" si="1">IF(G27="","",G27)</f>
        <v/>
      </c>
      <c r="R27" s="52" t="str">
        <f t="shared" ref="R27:R32" si="2">IF(Q27="","",Q27*O27)</f>
        <v/>
      </c>
      <c r="S27" s="53"/>
    </row>
    <row r="28" spans="2:19" s="36" customFormat="1" ht="39.75" customHeight="1" x14ac:dyDescent="0.15">
      <c r="B28" s="42" t="s">
        <v>33</v>
      </c>
      <c r="C28" s="43"/>
      <c r="D28" s="44"/>
      <c r="E28" s="50">
        <v>3000</v>
      </c>
      <c r="F28" s="51"/>
      <c r="G28" s="38"/>
      <c r="H28" s="52" t="str">
        <f t="shared" si="0"/>
        <v/>
      </c>
      <c r="I28" s="53"/>
      <c r="J28" s="34"/>
      <c r="K28" s="35"/>
      <c r="L28" s="42" t="s">
        <v>33</v>
      </c>
      <c r="M28" s="43"/>
      <c r="N28" s="44"/>
      <c r="O28" s="50">
        <v>3000</v>
      </c>
      <c r="P28" s="51"/>
      <c r="Q28" s="38" t="str">
        <f t="shared" si="1"/>
        <v/>
      </c>
      <c r="R28" s="52" t="str">
        <f t="shared" si="2"/>
        <v/>
      </c>
      <c r="S28" s="53"/>
    </row>
    <row r="29" spans="2:19" s="36" customFormat="1" ht="39.75" customHeight="1" x14ac:dyDescent="0.15">
      <c r="B29" s="42" t="s">
        <v>34</v>
      </c>
      <c r="C29" s="43"/>
      <c r="D29" s="44"/>
      <c r="E29" s="50">
        <v>3000</v>
      </c>
      <c r="F29" s="51"/>
      <c r="G29" s="38"/>
      <c r="H29" s="52" t="str">
        <f t="shared" si="0"/>
        <v/>
      </c>
      <c r="I29" s="53"/>
      <c r="J29" s="34"/>
      <c r="K29" s="35"/>
      <c r="L29" s="42" t="s">
        <v>34</v>
      </c>
      <c r="M29" s="43"/>
      <c r="N29" s="44"/>
      <c r="O29" s="50">
        <v>3000</v>
      </c>
      <c r="P29" s="51"/>
      <c r="Q29" s="38" t="str">
        <f t="shared" si="1"/>
        <v/>
      </c>
      <c r="R29" s="52" t="str">
        <f t="shared" si="2"/>
        <v/>
      </c>
      <c r="S29" s="53"/>
    </row>
    <row r="30" spans="2:19" s="36" customFormat="1" ht="39.75" customHeight="1" x14ac:dyDescent="0.15">
      <c r="B30" s="42" t="s">
        <v>35</v>
      </c>
      <c r="C30" s="43"/>
      <c r="D30" s="44"/>
      <c r="E30" s="50">
        <v>3000</v>
      </c>
      <c r="F30" s="51"/>
      <c r="G30" s="38"/>
      <c r="H30" s="52" t="str">
        <f t="shared" si="0"/>
        <v/>
      </c>
      <c r="I30" s="53"/>
      <c r="K30" s="35"/>
      <c r="L30" s="42" t="s">
        <v>35</v>
      </c>
      <c r="M30" s="43"/>
      <c r="N30" s="44"/>
      <c r="O30" s="50">
        <v>3000</v>
      </c>
      <c r="P30" s="51"/>
      <c r="Q30" s="38" t="str">
        <f t="shared" si="1"/>
        <v/>
      </c>
      <c r="R30" s="52" t="str">
        <f t="shared" si="2"/>
        <v/>
      </c>
      <c r="S30" s="53"/>
    </row>
    <row r="31" spans="2:19" s="36" customFormat="1" ht="39.75" customHeight="1" x14ac:dyDescent="0.15">
      <c r="B31" s="42" t="s">
        <v>36</v>
      </c>
      <c r="C31" s="43"/>
      <c r="D31" s="44"/>
      <c r="E31" s="50">
        <v>2000</v>
      </c>
      <c r="F31" s="51"/>
      <c r="G31" s="38"/>
      <c r="H31" s="52" t="str">
        <f t="shared" si="0"/>
        <v/>
      </c>
      <c r="I31" s="53"/>
      <c r="J31" s="34"/>
      <c r="K31" s="35"/>
      <c r="L31" s="42" t="s">
        <v>36</v>
      </c>
      <c r="M31" s="43"/>
      <c r="N31" s="44"/>
      <c r="O31" s="50">
        <v>2000</v>
      </c>
      <c r="P31" s="51"/>
      <c r="Q31" s="38" t="str">
        <f t="shared" si="1"/>
        <v/>
      </c>
      <c r="R31" s="52" t="str">
        <f t="shared" si="2"/>
        <v/>
      </c>
      <c r="S31" s="53"/>
    </row>
    <row r="32" spans="2:19" s="36" customFormat="1" ht="39.75" customHeight="1" x14ac:dyDescent="0.15">
      <c r="B32" s="58" t="s">
        <v>37</v>
      </c>
      <c r="C32" s="43"/>
      <c r="D32" s="44"/>
      <c r="E32" s="50">
        <v>2000</v>
      </c>
      <c r="F32" s="51"/>
      <c r="G32" s="38"/>
      <c r="H32" s="52" t="str">
        <f t="shared" si="0"/>
        <v/>
      </c>
      <c r="I32" s="53"/>
      <c r="J32" s="34"/>
      <c r="K32" s="35"/>
      <c r="L32" s="58" t="s">
        <v>37</v>
      </c>
      <c r="M32" s="43"/>
      <c r="N32" s="44"/>
      <c r="O32" s="50">
        <v>2000</v>
      </c>
      <c r="P32" s="51"/>
      <c r="Q32" s="38" t="str">
        <f t="shared" si="1"/>
        <v/>
      </c>
      <c r="R32" s="52" t="str">
        <f t="shared" si="2"/>
        <v/>
      </c>
      <c r="S32" s="53"/>
    </row>
    <row r="33" spans="2:19" s="36" customFormat="1" ht="39.75" customHeight="1" x14ac:dyDescent="0.15">
      <c r="B33" s="42" t="s">
        <v>38</v>
      </c>
      <c r="C33" s="43"/>
      <c r="D33" s="44"/>
      <c r="E33" s="56"/>
      <c r="F33" s="57"/>
      <c r="G33" s="39" t="str">
        <f>IF(SUM(G27:G32)=0,"",SUM(G27:G32))</f>
        <v/>
      </c>
      <c r="H33" s="54" t="str">
        <f>IF(SUM(H27:I32)=0,"",SUM(H27:I32))</f>
        <v/>
      </c>
      <c r="I33" s="55"/>
      <c r="J33" s="34"/>
      <c r="K33" s="35"/>
      <c r="L33" s="42" t="s">
        <v>38</v>
      </c>
      <c r="M33" s="43"/>
      <c r="N33" s="44"/>
      <c r="O33" s="56"/>
      <c r="P33" s="57"/>
      <c r="Q33" s="39" t="str">
        <f>IF(SUM(Q27:Q32)=0,"",SUM(Q27:Q32))</f>
        <v/>
      </c>
      <c r="R33" s="54" t="str">
        <f>IF(SUM(R27:S32)=0,"",SUM(R27:S32))</f>
        <v/>
      </c>
      <c r="S33" s="55"/>
    </row>
    <row r="34" spans="2:19" x14ac:dyDescent="0.15">
      <c r="B34" s="1"/>
      <c r="C34" s="1"/>
      <c r="D34" s="1"/>
      <c r="E34" s="1"/>
      <c r="F34" s="1"/>
      <c r="G34" s="1"/>
      <c r="H34" s="1"/>
      <c r="I34" s="1"/>
      <c r="K34" s="1"/>
      <c r="L34" s="1"/>
      <c r="M34" s="1"/>
      <c r="N34" s="1"/>
      <c r="O34" s="1"/>
      <c r="P34" s="1"/>
      <c r="Q34" s="1"/>
      <c r="R34" s="1"/>
    </row>
    <row r="35" spans="2:19" x14ac:dyDescent="0.15">
      <c r="B35" s="1"/>
      <c r="C35" s="1"/>
      <c r="D35" s="1"/>
      <c r="E35" s="1"/>
      <c r="F35" s="1"/>
      <c r="G35" s="1"/>
      <c r="H35" s="1"/>
      <c r="I35" s="1"/>
      <c r="L35" s="1"/>
      <c r="M35" s="1"/>
      <c r="N35" s="1"/>
      <c r="O35" s="1"/>
      <c r="P35" s="1"/>
      <c r="Q35" s="1"/>
      <c r="R35" s="1"/>
      <c r="S35" s="1"/>
    </row>
  </sheetData>
  <mergeCells count="83">
    <mergeCell ref="D1:G1"/>
    <mergeCell ref="N1:Q1"/>
    <mergeCell ref="B4:B5"/>
    <mergeCell ref="C4:C5"/>
    <mergeCell ref="D4:D5"/>
    <mergeCell ref="L4:L5"/>
    <mergeCell ref="M4:M5"/>
    <mergeCell ref="N4:N5"/>
    <mergeCell ref="B7:C7"/>
    <mergeCell ref="D7:I7"/>
    <mergeCell ref="L7:M7"/>
    <mergeCell ref="N7:S7"/>
    <mergeCell ref="B6:D6"/>
    <mergeCell ref="E6:H6"/>
    <mergeCell ref="L6:N6"/>
    <mergeCell ref="O6:R6"/>
    <mergeCell ref="M19:O19"/>
    <mergeCell ref="P19:S19"/>
    <mergeCell ref="B15:I15"/>
    <mergeCell ref="L15:S15"/>
    <mergeCell ref="B8:B9"/>
    <mergeCell ref="L8:L9"/>
    <mergeCell ref="B11:C11"/>
    <mergeCell ref="B13:I13"/>
    <mergeCell ref="L13:S13"/>
    <mergeCell ref="D23:G23"/>
    <mergeCell ref="N23:Q23"/>
    <mergeCell ref="C19:E19"/>
    <mergeCell ref="B26:D26"/>
    <mergeCell ref="E26:F26"/>
    <mergeCell ref="H26:I26"/>
    <mergeCell ref="L26:N26"/>
    <mergeCell ref="B25:C25"/>
    <mergeCell ref="D25:F25"/>
    <mergeCell ref="F19:I19"/>
    <mergeCell ref="O27:P27"/>
    <mergeCell ref="R27:S27"/>
    <mergeCell ref="H25:I25"/>
    <mergeCell ref="R25:S25"/>
    <mergeCell ref="O26:P26"/>
    <mergeCell ref="R26:S26"/>
    <mergeCell ref="L25:M25"/>
    <mergeCell ref="N25:P25"/>
    <mergeCell ref="B29:D29"/>
    <mergeCell ref="E29:F29"/>
    <mergeCell ref="B27:D27"/>
    <mergeCell ref="E27:F27"/>
    <mergeCell ref="H27:I27"/>
    <mergeCell ref="L27:N27"/>
    <mergeCell ref="B28:D28"/>
    <mergeCell ref="E28:F28"/>
    <mergeCell ref="H28:I28"/>
    <mergeCell ref="L28:N28"/>
    <mergeCell ref="O28:P28"/>
    <mergeCell ref="R28:S28"/>
    <mergeCell ref="H29:I29"/>
    <mergeCell ref="L29:N29"/>
    <mergeCell ref="O31:P31"/>
    <mergeCell ref="R31:S31"/>
    <mergeCell ref="O30:P30"/>
    <mergeCell ref="R30:S30"/>
    <mergeCell ref="H31:I31"/>
    <mergeCell ref="L31:N31"/>
    <mergeCell ref="O29:P29"/>
    <mergeCell ref="R29:S29"/>
    <mergeCell ref="O32:P32"/>
    <mergeCell ref="R32:S32"/>
    <mergeCell ref="B33:D33"/>
    <mergeCell ref="E33:F33"/>
    <mergeCell ref="B30:D30"/>
    <mergeCell ref="E30:F30"/>
    <mergeCell ref="H30:I30"/>
    <mergeCell ref="L30:N30"/>
    <mergeCell ref="H33:I33"/>
    <mergeCell ref="L33:N33"/>
    <mergeCell ref="B31:D31"/>
    <mergeCell ref="E31:F31"/>
    <mergeCell ref="O33:P33"/>
    <mergeCell ref="R33:S33"/>
    <mergeCell ref="B32:D32"/>
    <mergeCell ref="E32:F32"/>
    <mergeCell ref="H32:I32"/>
    <mergeCell ref="L32:N32"/>
  </mergeCells>
  <phoneticPr fontId="19"/>
  <dataValidations count="2">
    <dataValidation type="decimal" operator="lessThan" allowBlank="1" showInputMessage="1" showErrorMessage="1" error="自動計算されるので入力不可_x000a_" sqref="E9:I9" xr:uid="{D56D81F0-718C-48A2-AC5D-9FACBDA1028B}">
      <formula1>0</formula1>
    </dataValidation>
    <dataValidation type="list" allowBlank="1" sqref="E6:H6" xr:uid="{34893AC9-58CD-405A-BB8E-336C90A0D396}">
      <formula1>"ベスト電器利尻店,㈱洋　商,電器のオオミ,でんきのカトウ,㈲カワムラ電器,ツチヤ電気店,不二商会"</formula1>
    </dataValidation>
  </dataValidations>
  <pageMargins left="0.51181102362204722" right="0" top="0.70866141732283472" bottom="0" header="0" footer="0"/>
  <pageSetup paperSize="13" scale="83" orientation="portrait" horizontalDpi="4294967293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9F45-42E3-42ED-9F77-8448A7EC8F37}">
  <dimension ref="B1:W35"/>
  <sheetViews>
    <sheetView topLeftCell="A16" workbookViewId="0">
      <selection activeCell="X11" sqref="X11"/>
    </sheetView>
  </sheetViews>
  <sheetFormatPr defaultRowHeight="13.5" x14ac:dyDescent="0.15"/>
  <cols>
    <col min="1" max="1" width="1.25" customWidth="1"/>
    <col min="2" max="2" width="4" customWidth="1"/>
    <col min="3" max="3" width="5.75" customWidth="1"/>
    <col min="4" max="6" width="5.25" customWidth="1"/>
    <col min="7" max="7" width="5.125" customWidth="1"/>
    <col min="8" max="9" width="5.25" customWidth="1"/>
    <col min="10" max="11" width="6.25" customWidth="1"/>
    <col min="12" max="12" width="4" customWidth="1"/>
    <col min="13" max="13" width="5.75" customWidth="1"/>
    <col min="14" max="19" width="5.25" customWidth="1"/>
    <col min="20" max="20" width="1.5" customWidth="1"/>
    <col min="21" max="21" width="4.375" customWidth="1"/>
    <col min="22" max="22" width="1.75" customWidth="1"/>
  </cols>
  <sheetData>
    <row r="1" spans="2:23" ht="37.5" customHeight="1" x14ac:dyDescent="0.2">
      <c r="D1" s="60" t="s">
        <v>0</v>
      </c>
      <c r="E1" s="60"/>
      <c r="F1" s="60"/>
      <c r="G1" s="60"/>
      <c r="J1" s="1"/>
      <c r="K1" s="2"/>
      <c r="N1" s="60" t="s">
        <v>1</v>
      </c>
      <c r="O1" s="60"/>
      <c r="P1" s="60"/>
      <c r="Q1" s="60"/>
    </row>
    <row r="2" spans="2:23" ht="13.5" customHeight="1" x14ac:dyDescent="0.15">
      <c r="J2" s="1"/>
      <c r="K2" s="2"/>
    </row>
    <row r="3" spans="2:23" ht="1.5" customHeight="1" x14ac:dyDescent="0.15">
      <c r="B3" s="3"/>
      <c r="C3" s="4"/>
      <c r="D3" s="5"/>
      <c r="E3" s="6"/>
      <c r="F3" s="6"/>
      <c r="G3" s="6"/>
      <c r="H3" s="6"/>
      <c r="I3" s="7"/>
      <c r="J3" s="1"/>
      <c r="K3" s="2"/>
      <c r="L3" s="8"/>
      <c r="M3" s="9"/>
      <c r="N3" s="10"/>
      <c r="O3" s="6"/>
      <c r="P3" s="6"/>
      <c r="Q3" s="6"/>
      <c r="R3" s="6"/>
      <c r="S3" s="7"/>
    </row>
    <row r="4" spans="2:23" ht="13.5" customHeight="1" x14ac:dyDescent="0.15">
      <c r="B4" s="83" t="s">
        <v>2</v>
      </c>
      <c r="C4" s="85"/>
      <c r="D4" s="87" t="s">
        <v>3</v>
      </c>
      <c r="E4" s="11" t="s">
        <v>4</v>
      </c>
      <c r="F4" s="12"/>
      <c r="G4" s="12"/>
      <c r="H4" s="12"/>
      <c r="I4" s="13"/>
      <c r="J4" s="1"/>
      <c r="K4" s="2"/>
      <c r="L4" s="83" t="s">
        <v>2</v>
      </c>
      <c r="M4" s="85">
        <f>C4</f>
        <v>0</v>
      </c>
      <c r="N4" s="87" t="s">
        <v>3</v>
      </c>
      <c r="O4" s="11" t="s">
        <v>4</v>
      </c>
      <c r="P4" s="12"/>
      <c r="Q4" s="12"/>
      <c r="R4" s="12"/>
      <c r="S4" s="13"/>
    </row>
    <row r="5" spans="2:23" ht="13.5" customHeight="1" x14ac:dyDescent="0.15">
      <c r="B5" s="84"/>
      <c r="C5" s="86"/>
      <c r="D5" s="88"/>
      <c r="E5" s="12"/>
      <c r="F5" s="12"/>
      <c r="G5" s="12"/>
      <c r="H5" s="12"/>
      <c r="I5" s="13"/>
      <c r="J5" s="1"/>
      <c r="K5" s="2"/>
      <c r="L5" s="84"/>
      <c r="M5" s="86"/>
      <c r="N5" s="88"/>
      <c r="O5" s="12"/>
      <c r="P5" s="12"/>
      <c r="Q5" s="12"/>
      <c r="R5" s="12"/>
      <c r="S5" s="13"/>
    </row>
    <row r="6" spans="2:23" ht="26.25" customHeight="1" x14ac:dyDescent="0.15">
      <c r="B6" s="77" t="s">
        <v>55</v>
      </c>
      <c r="C6" s="75"/>
      <c r="D6" s="78"/>
      <c r="E6" s="79" t="s">
        <v>52</v>
      </c>
      <c r="F6" s="80"/>
      <c r="G6" s="80"/>
      <c r="H6" s="80"/>
      <c r="I6" s="14" t="s">
        <v>5</v>
      </c>
      <c r="J6" s="1"/>
      <c r="K6" s="2"/>
      <c r="L6" s="77" t="str">
        <f>B6</f>
        <v>令和　　年度</v>
      </c>
      <c r="M6" s="75"/>
      <c r="N6" s="78"/>
      <c r="O6" s="81" t="str">
        <f>IF(E6="","",E6)</f>
        <v>利尻町教育委員会</v>
      </c>
      <c r="P6" s="82"/>
      <c r="Q6" s="82"/>
      <c r="R6" s="82"/>
      <c r="S6" s="14" t="s">
        <v>5</v>
      </c>
    </row>
    <row r="7" spans="2:23" ht="35.25" customHeight="1" x14ac:dyDescent="0.15">
      <c r="B7" s="72" t="s">
        <v>6</v>
      </c>
      <c r="C7" s="73"/>
      <c r="D7" s="74" t="s">
        <v>7</v>
      </c>
      <c r="E7" s="75"/>
      <c r="F7" s="75"/>
      <c r="G7" s="75"/>
      <c r="H7" s="75"/>
      <c r="I7" s="76"/>
      <c r="J7" s="1"/>
      <c r="K7" s="2"/>
      <c r="L7" s="72" t="s">
        <v>6</v>
      </c>
      <c r="M7" s="73"/>
      <c r="N7" s="74" t="s">
        <v>7</v>
      </c>
      <c r="O7" s="75"/>
      <c r="P7" s="75"/>
      <c r="Q7" s="75"/>
      <c r="R7" s="75"/>
      <c r="S7" s="76"/>
      <c r="W7" s="15"/>
    </row>
    <row r="8" spans="2:23" ht="14.25" customHeight="1" x14ac:dyDescent="0.15">
      <c r="B8" s="67" t="s">
        <v>8</v>
      </c>
      <c r="C8" s="16"/>
      <c r="D8" s="16"/>
      <c r="E8" s="17" t="s">
        <v>9</v>
      </c>
      <c r="F8" s="18" t="s">
        <v>10</v>
      </c>
      <c r="G8" s="18" t="s">
        <v>11</v>
      </c>
      <c r="H8" s="18" t="s">
        <v>12</v>
      </c>
      <c r="I8" s="19" t="s">
        <v>13</v>
      </c>
      <c r="J8" s="1"/>
      <c r="K8" s="2"/>
      <c r="L8" s="67" t="s">
        <v>8</v>
      </c>
      <c r="M8" s="16"/>
      <c r="N8" s="16"/>
      <c r="O8" s="17" t="s">
        <v>9</v>
      </c>
      <c r="P8" s="18" t="s">
        <v>10</v>
      </c>
      <c r="Q8" s="18" t="s">
        <v>11</v>
      </c>
      <c r="R8" s="18" t="s">
        <v>12</v>
      </c>
      <c r="S8" s="19" t="s">
        <v>13</v>
      </c>
    </row>
    <row r="9" spans="2:23" ht="33.75" customHeight="1" x14ac:dyDescent="0.15">
      <c r="B9" s="68"/>
      <c r="C9" s="20"/>
      <c r="D9" s="20" t="s">
        <v>39</v>
      </c>
      <c r="E9" s="21" t="str">
        <f>IF(H33="","",IF(ROUNDDOWN(H33/10000,0)=0,"",ROUNDDOWN(H33/10000,0)))</f>
        <v/>
      </c>
      <c r="F9" s="21">
        <f>IF(H33="","",H33/1000-ROUNDDOWN(H33/10000,0)*10)</f>
        <v>9</v>
      </c>
      <c r="G9" s="21">
        <v>0</v>
      </c>
      <c r="H9" s="21">
        <v>0</v>
      </c>
      <c r="I9" s="22">
        <v>0</v>
      </c>
      <c r="J9" s="1"/>
      <c r="K9" s="2"/>
      <c r="L9" s="68"/>
      <c r="M9" s="20"/>
      <c r="N9" s="20" t="s">
        <v>40</v>
      </c>
      <c r="O9" s="21" t="str">
        <f>IF(E9="","",E9)</f>
        <v/>
      </c>
      <c r="P9" s="21">
        <f>F9</f>
        <v>9</v>
      </c>
      <c r="Q9" s="21">
        <f>G9</f>
        <v>0</v>
      </c>
      <c r="R9" s="21">
        <f>H9</f>
        <v>0</v>
      </c>
      <c r="S9" s="22">
        <f>I9</f>
        <v>0</v>
      </c>
    </row>
    <row r="10" spans="2:23" ht="11.25" customHeight="1" x14ac:dyDescent="0.15">
      <c r="B10" s="23"/>
      <c r="C10" s="12"/>
      <c r="D10" s="12"/>
      <c r="E10" s="12"/>
      <c r="F10" s="12"/>
      <c r="G10" s="12"/>
      <c r="H10" s="12"/>
      <c r="I10" s="12"/>
      <c r="J10" s="24"/>
      <c r="K10" s="2"/>
      <c r="L10" s="23"/>
      <c r="M10" s="12"/>
      <c r="N10" s="12"/>
      <c r="O10" s="12"/>
      <c r="P10" s="12"/>
      <c r="Q10" s="12"/>
      <c r="R10" s="12"/>
      <c r="S10" s="13"/>
    </row>
    <row r="11" spans="2:23" ht="18.75" customHeight="1" x14ac:dyDescent="0.15">
      <c r="B11" s="69" t="s">
        <v>15</v>
      </c>
      <c r="C11" s="70"/>
      <c r="D11" s="40">
        <v>5</v>
      </c>
      <c r="E11" s="25" t="s">
        <v>16</v>
      </c>
      <c r="F11" s="12"/>
      <c r="G11" s="12"/>
      <c r="H11" s="12"/>
      <c r="I11" s="12"/>
      <c r="J11" s="24"/>
      <c r="K11" s="2"/>
      <c r="L11" s="23"/>
      <c r="M11" s="12"/>
      <c r="N11" s="12"/>
      <c r="O11" s="12"/>
      <c r="P11" s="12"/>
      <c r="Q11" s="12"/>
      <c r="R11" s="12"/>
      <c r="S11" s="13"/>
    </row>
    <row r="12" spans="2:23" ht="7.5" customHeight="1" x14ac:dyDescent="0.15">
      <c r="B12" s="23"/>
      <c r="C12" s="12"/>
      <c r="D12" s="12"/>
      <c r="E12" s="12"/>
      <c r="F12" s="12"/>
      <c r="G12" s="12"/>
      <c r="H12" s="12"/>
      <c r="I12" s="12"/>
      <c r="J12" s="24"/>
      <c r="K12" s="2"/>
      <c r="L12" s="23"/>
      <c r="M12" s="12"/>
      <c r="N12" s="12"/>
      <c r="O12" s="12"/>
      <c r="P12" s="12"/>
      <c r="Q12" s="12"/>
      <c r="R12" s="12"/>
      <c r="S12" s="13"/>
    </row>
    <row r="13" spans="2:23" ht="22.5" customHeight="1" x14ac:dyDescent="0.15">
      <c r="B13" s="69" t="s">
        <v>17</v>
      </c>
      <c r="C13" s="70"/>
      <c r="D13" s="70"/>
      <c r="E13" s="70"/>
      <c r="F13" s="70"/>
      <c r="G13" s="70"/>
      <c r="H13" s="70"/>
      <c r="I13" s="71"/>
      <c r="J13" s="24"/>
      <c r="K13" s="2"/>
      <c r="L13" s="69" t="s">
        <v>18</v>
      </c>
      <c r="M13" s="70"/>
      <c r="N13" s="70"/>
      <c r="O13" s="70"/>
      <c r="P13" s="70"/>
      <c r="Q13" s="70"/>
      <c r="R13" s="70"/>
      <c r="S13" s="71"/>
    </row>
    <row r="14" spans="2:23" ht="25.5" customHeight="1" x14ac:dyDescent="0.15">
      <c r="B14" s="23"/>
      <c r="C14" s="12"/>
      <c r="D14" s="12"/>
      <c r="E14" s="12"/>
      <c r="F14" s="12"/>
      <c r="G14" s="12"/>
      <c r="H14" s="12"/>
      <c r="I14" s="12"/>
      <c r="J14" s="24"/>
      <c r="K14" s="2"/>
      <c r="L14" s="23"/>
      <c r="M14" s="12"/>
      <c r="N14" s="12"/>
      <c r="O14" s="12"/>
      <c r="P14" s="12"/>
      <c r="Q14" s="12"/>
      <c r="R14" s="12"/>
      <c r="S14" s="13"/>
    </row>
    <row r="15" spans="2:23" ht="18.75" customHeight="1" x14ac:dyDescent="0.15">
      <c r="B15" s="65" t="s">
        <v>19</v>
      </c>
      <c r="C15" s="64"/>
      <c r="D15" s="64"/>
      <c r="E15" s="64"/>
      <c r="F15" s="64"/>
      <c r="G15" s="64"/>
      <c r="H15" s="64"/>
      <c r="I15" s="66"/>
      <c r="J15" s="24"/>
      <c r="K15" s="2"/>
      <c r="L15" s="65" t="s">
        <v>19</v>
      </c>
      <c r="M15" s="64"/>
      <c r="N15" s="64"/>
      <c r="O15" s="64"/>
      <c r="P15" s="64"/>
      <c r="Q15" s="64"/>
      <c r="R15" s="64"/>
      <c r="S15" s="66"/>
    </row>
    <row r="16" spans="2:23" x14ac:dyDescent="0.15">
      <c r="B16" s="23"/>
      <c r="C16" s="12"/>
      <c r="D16" s="12"/>
      <c r="E16" s="12"/>
      <c r="F16" s="12"/>
      <c r="G16" s="12"/>
      <c r="H16" s="12"/>
      <c r="I16" s="12"/>
      <c r="J16" s="24"/>
      <c r="K16" s="2"/>
      <c r="L16" s="23"/>
      <c r="M16" s="12"/>
      <c r="N16" s="12"/>
      <c r="O16" s="12"/>
      <c r="P16" s="12"/>
      <c r="Q16" s="12"/>
      <c r="R16" s="12"/>
      <c r="S16" s="13"/>
    </row>
    <row r="17" spans="2:19" ht="18.75" customHeight="1" x14ac:dyDescent="0.15">
      <c r="B17" s="23"/>
      <c r="C17" s="12"/>
      <c r="D17" s="12"/>
      <c r="E17" s="12"/>
      <c r="F17" s="12"/>
      <c r="G17" s="12"/>
      <c r="H17" s="12"/>
      <c r="I17" s="12"/>
      <c r="J17" s="24"/>
      <c r="K17" s="2"/>
      <c r="L17" s="23"/>
      <c r="M17" s="12"/>
      <c r="N17" s="12"/>
      <c r="O17" s="12"/>
      <c r="P17" s="12"/>
      <c r="Q17" s="12"/>
      <c r="R17" s="12"/>
      <c r="S17" s="13"/>
    </row>
    <row r="18" spans="2:19" ht="18.75" customHeight="1" x14ac:dyDescent="0.15">
      <c r="B18" s="23" t="s">
        <v>20</v>
      </c>
      <c r="C18" s="12"/>
      <c r="D18" s="12"/>
      <c r="E18" s="12"/>
      <c r="F18" s="12"/>
      <c r="G18" s="12"/>
      <c r="H18" s="12"/>
      <c r="I18" s="12"/>
      <c r="J18" s="24"/>
      <c r="K18" s="2"/>
      <c r="L18" s="23" t="s">
        <v>20</v>
      </c>
      <c r="M18" s="12"/>
      <c r="N18" s="12"/>
      <c r="O18" s="12"/>
      <c r="P18" s="12"/>
      <c r="Q18" s="12"/>
      <c r="R18" s="12"/>
      <c r="S18" s="13"/>
    </row>
    <row r="19" spans="2:19" ht="18.75" customHeight="1" x14ac:dyDescent="0.15">
      <c r="B19" s="23"/>
      <c r="C19" s="61" t="s">
        <v>47</v>
      </c>
      <c r="D19" s="61"/>
      <c r="E19" s="61"/>
      <c r="F19" s="62" t="s">
        <v>48</v>
      </c>
      <c r="G19" s="62"/>
      <c r="H19" s="62"/>
      <c r="I19" s="63"/>
      <c r="J19" s="24"/>
      <c r="K19" s="2"/>
      <c r="L19" s="23" t="s">
        <v>21</v>
      </c>
      <c r="M19" s="64" t="s">
        <v>22</v>
      </c>
      <c r="N19" s="64"/>
      <c r="O19" s="64"/>
      <c r="P19" s="62" t="s">
        <v>54</v>
      </c>
      <c r="Q19" s="62"/>
      <c r="R19" s="62"/>
      <c r="S19" s="63"/>
    </row>
    <row r="20" spans="2:19" ht="21" customHeight="1" x14ac:dyDescent="0.15">
      <c r="B20" s="26"/>
      <c r="C20" s="27"/>
      <c r="D20" s="27"/>
      <c r="E20" s="27"/>
      <c r="F20" s="27"/>
      <c r="G20" s="27"/>
      <c r="H20" s="27"/>
      <c r="I20" s="27"/>
      <c r="J20" s="24"/>
      <c r="K20" s="2"/>
      <c r="L20" s="26"/>
      <c r="M20" s="27"/>
      <c r="N20" s="27"/>
      <c r="O20" s="27"/>
      <c r="P20" s="27"/>
      <c r="Q20" s="27"/>
      <c r="R20" s="27"/>
      <c r="S20" s="28"/>
    </row>
    <row r="21" spans="2:19" ht="32.25" customHeight="1" x14ac:dyDescent="0.15">
      <c r="B21" s="29"/>
      <c r="C21" s="30"/>
      <c r="D21" s="30"/>
      <c r="E21" s="30"/>
      <c r="F21" s="30"/>
      <c r="G21" s="30"/>
      <c r="H21" s="30"/>
      <c r="I21" s="30"/>
      <c r="J21" s="31"/>
      <c r="K21" s="32"/>
      <c r="L21" s="30"/>
      <c r="M21" s="30"/>
      <c r="N21" s="30"/>
      <c r="O21" s="30"/>
      <c r="P21" s="30"/>
      <c r="Q21" s="30"/>
      <c r="R21" s="30"/>
      <c r="S21" s="29"/>
    </row>
    <row r="22" spans="2:19" ht="37.5" customHeight="1" x14ac:dyDescent="0.15">
      <c r="B22" s="1"/>
      <c r="C22" s="33" t="s">
        <v>23</v>
      </c>
      <c r="D22" s="33" t="s">
        <v>24</v>
      </c>
      <c r="E22" s="33" t="s">
        <v>41</v>
      </c>
      <c r="F22" s="33"/>
      <c r="G22" s="1"/>
      <c r="H22" s="1"/>
      <c r="I22" s="1"/>
      <c r="J22" s="1"/>
      <c r="K22" s="2"/>
      <c r="L22" s="1"/>
      <c r="M22" s="1"/>
      <c r="N22" s="1"/>
      <c r="O22" s="1"/>
      <c r="P22" s="1"/>
      <c r="Q22" s="1"/>
      <c r="R22" s="1"/>
      <c r="S22" s="1"/>
    </row>
    <row r="23" spans="2:19" ht="30" customHeight="1" x14ac:dyDescent="0.2">
      <c r="D23" s="60" t="s">
        <v>26</v>
      </c>
      <c r="E23" s="60"/>
      <c r="F23" s="60"/>
      <c r="G23" s="60"/>
      <c r="J23" s="1"/>
      <c r="K23" s="2"/>
      <c r="N23" s="60" t="s">
        <v>26</v>
      </c>
      <c r="O23" s="60"/>
      <c r="P23" s="60"/>
      <c r="Q23" s="60"/>
    </row>
    <row r="24" spans="2:19" x14ac:dyDescent="0.15">
      <c r="J24" s="1"/>
      <c r="K24" s="2"/>
    </row>
    <row r="25" spans="2:19" s="36" customFormat="1" ht="23.25" customHeight="1" x14ac:dyDescent="0.15">
      <c r="B25" s="45" t="s">
        <v>56</v>
      </c>
      <c r="C25" s="46"/>
      <c r="D25" s="47" t="s">
        <v>53</v>
      </c>
      <c r="E25" s="47"/>
      <c r="F25" s="47"/>
      <c r="G25" s="41" t="s">
        <v>27</v>
      </c>
      <c r="H25" s="48">
        <f>C4</f>
        <v>0</v>
      </c>
      <c r="I25" s="49"/>
      <c r="J25" s="34"/>
      <c r="K25" s="35"/>
      <c r="L25" s="45" t="s">
        <v>56</v>
      </c>
      <c r="M25" s="46"/>
      <c r="N25" s="47" t="s">
        <v>53</v>
      </c>
      <c r="O25" s="47"/>
      <c r="P25" s="47"/>
      <c r="Q25" s="41" t="s">
        <v>27</v>
      </c>
      <c r="R25" s="48">
        <f>M4</f>
        <v>0</v>
      </c>
      <c r="S25" s="49"/>
    </row>
    <row r="26" spans="2:19" s="36" customFormat="1" ht="23.25" customHeight="1" x14ac:dyDescent="0.15">
      <c r="B26" s="42" t="s">
        <v>28</v>
      </c>
      <c r="C26" s="43"/>
      <c r="D26" s="59"/>
      <c r="E26" s="42" t="s">
        <v>29</v>
      </c>
      <c r="F26" s="44"/>
      <c r="G26" s="37" t="s">
        <v>30</v>
      </c>
      <c r="H26" s="42" t="s">
        <v>31</v>
      </c>
      <c r="I26" s="44"/>
      <c r="J26" s="34"/>
      <c r="K26" s="35"/>
      <c r="L26" s="42" t="s">
        <v>28</v>
      </c>
      <c r="M26" s="43"/>
      <c r="N26" s="59"/>
      <c r="O26" s="42" t="s">
        <v>29</v>
      </c>
      <c r="P26" s="44"/>
      <c r="Q26" s="37" t="s">
        <v>30</v>
      </c>
      <c r="R26" s="42" t="s">
        <v>31</v>
      </c>
      <c r="S26" s="44"/>
    </row>
    <row r="27" spans="2:19" s="36" customFormat="1" ht="39.75" customHeight="1" x14ac:dyDescent="0.15">
      <c r="B27" s="42" t="s">
        <v>42</v>
      </c>
      <c r="C27" s="43"/>
      <c r="D27" s="44"/>
      <c r="E27" s="50">
        <v>2000</v>
      </c>
      <c r="F27" s="51"/>
      <c r="G27" s="38"/>
      <c r="H27" s="52" t="str">
        <f t="shared" ref="H27:H32" si="0">IF(G27="","",G27*E27)</f>
        <v/>
      </c>
      <c r="I27" s="53"/>
      <c r="J27" s="34"/>
      <c r="K27" s="35"/>
      <c r="L27" s="42" t="s">
        <v>42</v>
      </c>
      <c r="M27" s="43"/>
      <c r="N27" s="44"/>
      <c r="O27" s="50">
        <v>2000</v>
      </c>
      <c r="P27" s="51"/>
      <c r="Q27" s="38" t="str">
        <f t="shared" ref="Q27:Q32" si="1">IF(G27="","",G27)</f>
        <v/>
      </c>
      <c r="R27" s="52" t="str">
        <f t="shared" ref="R27:R32" si="2">IF(Q27="","",Q27*O27)</f>
        <v/>
      </c>
      <c r="S27" s="53"/>
    </row>
    <row r="28" spans="2:19" s="36" customFormat="1" ht="39.75" customHeight="1" x14ac:dyDescent="0.15">
      <c r="B28" s="42" t="s">
        <v>43</v>
      </c>
      <c r="C28" s="43"/>
      <c r="D28" s="44"/>
      <c r="E28" s="50">
        <v>3000</v>
      </c>
      <c r="F28" s="51"/>
      <c r="G28" s="38">
        <v>3</v>
      </c>
      <c r="H28" s="52">
        <f t="shared" si="0"/>
        <v>9000</v>
      </c>
      <c r="I28" s="53"/>
      <c r="J28" s="34"/>
      <c r="K28" s="35"/>
      <c r="L28" s="42" t="s">
        <v>44</v>
      </c>
      <c r="M28" s="43"/>
      <c r="N28" s="44"/>
      <c r="O28" s="50">
        <v>3000</v>
      </c>
      <c r="P28" s="51"/>
      <c r="Q28" s="38">
        <f t="shared" si="1"/>
        <v>3</v>
      </c>
      <c r="R28" s="52">
        <f t="shared" si="2"/>
        <v>9000</v>
      </c>
      <c r="S28" s="53"/>
    </row>
    <row r="29" spans="2:19" s="36" customFormat="1" ht="39.75" customHeight="1" x14ac:dyDescent="0.15">
      <c r="B29" s="42" t="s">
        <v>34</v>
      </c>
      <c r="C29" s="43"/>
      <c r="D29" s="44"/>
      <c r="E29" s="50">
        <v>3000</v>
      </c>
      <c r="F29" s="51"/>
      <c r="G29" s="38"/>
      <c r="H29" s="52" t="str">
        <f t="shared" si="0"/>
        <v/>
      </c>
      <c r="I29" s="53"/>
      <c r="J29" s="34"/>
      <c r="K29" s="35"/>
      <c r="L29" s="42" t="s">
        <v>34</v>
      </c>
      <c r="M29" s="43"/>
      <c r="N29" s="44"/>
      <c r="O29" s="50">
        <v>3000</v>
      </c>
      <c r="P29" s="51"/>
      <c r="Q29" s="38" t="str">
        <f t="shared" si="1"/>
        <v/>
      </c>
      <c r="R29" s="52" t="str">
        <f t="shared" si="2"/>
        <v/>
      </c>
      <c r="S29" s="53"/>
    </row>
    <row r="30" spans="2:19" s="36" customFormat="1" ht="39.75" customHeight="1" x14ac:dyDescent="0.15">
      <c r="B30" s="42" t="s">
        <v>35</v>
      </c>
      <c r="C30" s="43"/>
      <c r="D30" s="44"/>
      <c r="E30" s="50">
        <v>3000</v>
      </c>
      <c r="F30" s="51"/>
      <c r="G30" s="38"/>
      <c r="H30" s="52" t="str">
        <f t="shared" si="0"/>
        <v/>
      </c>
      <c r="I30" s="53"/>
      <c r="K30" s="35"/>
      <c r="L30" s="42" t="s">
        <v>35</v>
      </c>
      <c r="M30" s="43"/>
      <c r="N30" s="44"/>
      <c r="O30" s="50">
        <v>3000</v>
      </c>
      <c r="P30" s="51"/>
      <c r="Q30" s="38" t="str">
        <f t="shared" si="1"/>
        <v/>
      </c>
      <c r="R30" s="52" t="str">
        <f t="shared" si="2"/>
        <v/>
      </c>
      <c r="S30" s="53"/>
    </row>
    <row r="31" spans="2:19" s="36" customFormat="1" ht="39.75" customHeight="1" x14ac:dyDescent="0.15">
      <c r="B31" s="42" t="s">
        <v>36</v>
      </c>
      <c r="C31" s="43"/>
      <c r="D31" s="44"/>
      <c r="E31" s="50">
        <v>2000</v>
      </c>
      <c r="F31" s="51"/>
      <c r="G31" s="38"/>
      <c r="H31" s="52" t="str">
        <f t="shared" si="0"/>
        <v/>
      </c>
      <c r="I31" s="53"/>
      <c r="J31" s="34"/>
      <c r="K31" s="35"/>
      <c r="L31" s="42" t="s">
        <v>36</v>
      </c>
      <c r="M31" s="43"/>
      <c r="N31" s="44"/>
      <c r="O31" s="50">
        <v>2000</v>
      </c>
      <c r="P31" s="51"/>
      <c r="Q31" s="38" t="str">
        <f t="shared" si="1"/>
        <v/>
      </c>
      <c r="R31" s="52" t="str">
        <f t="shared" si="2"/>
        <v/>
      </c>
      <c r="S31" s="53"/>
    </row>
    <row r="32" spans="2:19" s="36" customFormat="1" ht="39.75" customHeight="1" x14ac:dyDescent="0.15">
      <c r="B32" s="58" t="s">
        <v>37</v>
      </c>
      <c r="C32" s="43"/>
      <c r="D32" s="44"/>
      <c r="E32" s="50">
        <v>2000</v>
      </c>
      <c r="F32" s="51"/>
      <c r="G32" s="38"/>
      <c r="H32" s="52" t="str">
        <f t="shared" si="0"/>
        <v/>
      </c>
      <c r="I32" s="53"/>
      <c r="J32" s="34"/>
      <c r="K32" s="35"/>
      <c r="L32" s="58" t="s">
        <v>37</v>
      </c>
      <c r="M32" s="43"/>
      <c r="N32" s="44"/>
      <c r="O32" s="50">
        <v>2000</v>
      </c>
      <c r="P32" s="51"/>
      <c r="Q32" s="38" t="str">
        <f t="shared" si="1"/>
        <v/>
      </c>
      <c r="R32" s="52" t="str">
        <f t="shared" si="2"/>
        <v/>
      </c>
      <c r="S32" s="53"/>
    </row>
    <row r="33" spans="2:19" s="36" customFormat="1" ht="39.75" customHeight="1" x14ac:dyDescent="0.15">
      <c r="B33" s="42" t="s">
        <v>38</v>
      </c>
      <c r="C33" s="43"/>
      <c r="D33" s="44"/>
      <c r="E33" s="56"/>
      <c r="F33" s="57"/>
      <c r="G33" s="39">
        <f>IF(SUM(G27:G32)=0,"",SUM(G27:G32))</f>
        <v>3</v>
      </c>
      <c r="H33" s="54">
        <f>IF(SUM(H27:I32)=0,"",SUM(H27:I32))</f>
        <v>9000</v>
      </c>
      <c r="I33" s="55"/>
      <c r="J33" s="34"/>
      <c r="K33" s="35"/>
      <c r="L33" s="42" t="s">
        <v>38</v>
      </c>
      <c r="M33" s="43"/>
      <c r="N33" s="44"/>
      <c r="O33" s="56"/>
      <c r="P33" s="57"/>
      <c r="Q33" s="39">
        <f>IF(SUM(Q27:Q32)=0,"",SUM(Q27:Q32))</f>
        <v>3</v>
      </c>
      <c r="R33" s="54">
        <f>IF(SUM(R27:S32)=0,"",SUM(R27:S32))</f>
        <v>9000</v>
      </c>
      <c r="S33" s="55"/>
    </row>
    <row r="34" spans="2:19" x14ac:dyDescent="0.15">
      <c r="B34" s="1"/>
      <c r="C34" s="1"/>
      <c r="D34" s="1"/>
      <c r="E34" s="1"/>
      <c r="F34" s="1"/>
      <c r="G34" s="1"/>
      <c r="H34" s="1"/>
      <c r="I34" s="1"/>
      <c r="K34" s="1"/>
      <c r="L34" s="1"/>
      <c r="M34" s="1"/>
      <c r="N34" s="1"/>
      <c r="O34" s="1"/>
      <c r="P34" s="1"/>
      <c r="Q34" s="1"/>
      <c r="R34" s="1"/>
    </row>
    <row r="35" spans="2:19" x14ac:dyDescent="0.15">
      <c r="B35" s="1"/>
      <c r="C35" s="1"/>
      <c r="D35" s="1"/>
      <c r="E35" s="1"/>
      <c r="F35" s="1"/>
      <c r="G35" s="1"/>
      <c r="H35" s="1"/>
      <c r="I35" s="1"/>
      <c r="L35" s="1"/>
      <c r="M35" s="1"/>
      <c r="N35" s="1"/>
      <c r="O35" s="1"/>
      <c r="P35" s="1"/>
      <c r="Q35" s="1"/>
      <c r="R35" s="1"/>
      <c r="S35" s="1"/>
    </row>
  </sheetData>
  <mergeCells count="83">
    <mergeCell ref="O31:P31"/>
    <mergeCell ref="R31:S31"/>
    <mergeCell ref="O33:P33"/>
    <mergeCell ref="R33:S33"/>
    <mergeCell ref="B33:D33"/>
    <mergeCell ref="E33:F33"/>
    <mergeCell ref="H33:I33"/>
    <mergeCell ref="L33:N33"/>
    <mergeCell ref="O32:P32"/>
    <mergeCell ref="R32:S32"/>
    <mergeCell ref="B31:D31"/>
    <mergeCell ref="E31:F31"/>
    <mergeCell ref="B32:D32"/>
    <mergeCell ref="E32:F32"/>
    <mergeCell ref="H32:I32"/>
    <mergeCell ref="L32:N32"/>
    <mergeCell ref="H31:I31"/>
    <mergeCell ref="L31:N31"/>
    <mergeCell ref="H29:I29"/>
    <mergeCell ref="L29:N29"/>
    <mergeCell ref="O29:P29"/>
    <mergeCell ref="R29:S29"/>
    <mergeCell ref="O30:P30"/>
    <mergeCell ref="R30:S30"/>
    <mergeCell ref="R27:S27"/>
    <mergeCell ref="B27:D27"/>
    <mergeCell ref="E27:F27"/>
    <mergeCell ref="H27:I27"/>
    <mergeCell ref="B30:D30"/>
    <mergeCell ref="E30:F30"/>
    <mergeCell ref="H30:I30"/>
    <mergeCell ref="L30:N30"/>
    <mergeCell ref="B29:D29"/>
    <mergeCell ref="E29:F29"/>
    <mergeCell ref="B28:D28"/>
    <mergeCell ref="E28:F28"/>
    <mergeCell ref="H28:I28"/>
    <mergeCell ref="R26:S26"/>
    <mergeCell ref="O28:P28"/>
    <mergeCell ref="R28:S28"/>
    <mergeCell ref="L28:N28"/>
    <mergeCell ref="L27:N27"/>
    <mergeCell ref="O27:P27"/>
    <mergeCell ref="B26:D26"/>
    <mergeCell ref="O26:P26"/>
    <mergeCell ref="B25:C25"/>
    <mergeCell ref="D23:G23"/>
    <mergeCell ref="N23:Q23"/>
    <mergeCell ref="H25:I25"/>
    <mergeCell ref="R25:S25"/>
    <mergeCell ref="D25:F25"/>
    <mergeCell ref="L25:M25"/>
    <mergeCell ref="N25:P25"/>
    <mergeCell ref="N7:S7"/>
    <mergeCell ref="O6:R6"/>
    <mergeCell ref="E26:F26"/>
    <mergeCell ref="B15:I15"/>
    <mergeCell ref="L15:S15"/>
    <mergeCell ref="F19:I19"/>
    <mergeCell ref="M19:O19"/>
    <mergeCell ref="P19:S19"/>
    <mergeCell ref="H26:I26"/>
    <mergeCell ref="L26:N26"/>
    <mergeCell ref="D1:G1"/>
    <mergeCell ref="N1:Q1"/>
    <mergeCell ref="B4:B5"/>
    <mergeCell ref="C4:C5"/>
    <mergeCell ref="D4:D5"/>
    <mergeCell ref="B11:C11"/>
    <mergeCell ref="B7:C7"/>
    <mergeCell ref="L4:L5"/>
    <mergeCell ref="M4:M5"/>
    <mergeCell ref="N4:N5"/>
    <mergeCell ref="C19:E19"/>
    <mergeCell ref="B6:D6"/>
    <mergeCell ref="E6:H6"/>
    <mergeCell ref="L6:N6"/>
    <mergeCell ref="B8:B9"/>
    <mergeCell ref="L8:L9"/>
    <mergeCell ref="B13:I13"/>
    <mergeCell ref="L13:S13"/>
    <mergeCell ref="D7:I7"/>
    <mergeCell ref="L7:M7"/>
  </mergeCells>
  <phoneticPr fontId="19"/>
  <dataValidations count="2">
    <dataValidation type="list" allowBlank="1" sqref="E6:H6" xr:uid="{8950C4F6-7973-47A8-83E5-AB94245843F3}">
      <formula1>"ベスト電器利尻店,㈱洋　商,電器のオオミ,でんきのカトウ,㈲カワムラ電器,ツチヤ電気店,不二商会"</formula1>
    </dataValidation>
    <dataValidation type="decimal" operator="lessThan" allowBlank="1" showInputMessage="1" showErrorMessage="1" error="自動計算されるので入力不可_x000a_" sqref="E9:I9" xr:uid="{8B4402CA-DA58-432E-9A03-61AC324467D5}">
      <formula1>0</formula1>
    </dataValidation>
  </dataValidations>
  <pageMargins left="0.7" right="0.7" top="0.75" bottom="0.75" header="0.3" footer="0.3"/>
  <pageSetup paperSize="9" scale="83" orientation="portrait" horizontalDpi="4294967293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0BE46-AA8E-4CB5-A3EE-D6DD6620BD5C}">
  <sheetPr>
    <pageSetUpPr fitToPage="1"/>
  </sheetPr>
  <dimension ref="B1:W35"/>
  <sheetViews>
    <sheetView topLeftCell="A21" workbookViewId="0">
      <selection activeCell="W27" sqref="W27"/>
    </sheetView>
  </sheetViews>
  <sheetFormatPr defaultColWidth="9" defaultRowHeight="13.5" x14ac:dyDescent="0.15"/>
  <cols>
    <col min="1" max="1" width="1.25" customWidth="1"/>
    <col min="2" max="2" width="4" customWidth="1"/>
    <col min="3" max="3" width="5.75" customWidth="1"/>
    <col min="4" max="6" width="5.25" customWidth="1"/>
    <col min="7" max="7" width="5.125" customWidth="1"/>
    <col min="8" max="9" width="5.25" customWidth="1"/>
    <col min="10" max="11" width="6.25" customWidth="1"/>
    <col min="12" max="12" width="4" customWidth="1"/>
    <col min="13" max="13" width="5.75" customWidth="1"/>
    <col min="14" max="19" width="5.25" customWidth="1"/>
    <col min="20" max="20" width="1.5" customWidth="1"/>
    <col min="21" max="21" width="4.375" customWidth="1"/>
    <col min="22" max="22" width="1.75" customWidth="1"/>
  </cols>
  <sheetData>
    <row r="1" spans="2:23" ht="37.5" customHeight="1" x14ac:dyDescent="0.2">
      <c r="D1" s="60" t="s">
        <v>0</v>
      </c>
      <c r="E1" s="60"/>
      <c r="F1" s="60"/>
      <c r="G1" s="60"/>
      <c r="J1" s="1"/>
      <c r="K1" s="2"/>
      <c r="N1" s="60" t="s">
        <v>1</v>
      </c>
      <c r="O1" s="60"/>
      <c r="P1" s="60"/>
      <c r="Q1" s="60"/>
    </row>
    <row r="2" spans="2:23" ht="13.5" customHeight="1" x14ac:dyDescent="0.15">
      <c r="J2" s="1"/>
      <c r="K2" s="2"/>
    </row>
    <row r="3" spans="2:23" ht="1.5" customHeight="1" x14ac:dyDescent="0.15">
      <c r="B3" s="3"/>
      <c r="C3" s="4"/>
      <c r="D3" s="5"/>
      <c r="E3" s="6"/>
      <c r="F3" s="6"/>
      <c r="G3" s="6"/>
      <c r="H3" s="6"/>
      <c r="I3" s="7"/>
      <c r="J3" s="1"/>
      <c r="K3" s="2"/>
      <c r="L3" s="8"/>
      <c r="M3" s="9"/>
      <c r="N3" s="10"/>
      <c r="O3" s="6"/>
      <c r="P3" s="6"/>
      <c r="Q3" s="6"/>
      <c r="R3" s="6"/>
      <c r="S3" s="7"/>
    </row>
    <row r="4" spans="2:23" ht="13.5" customHeight="1" x14ac:dyDescent="0.15">
      <c r="B4" s="83" t="s">
        <v>2</v>
      </c>
      <c r="C4" s="85">
        <v>0</v>
      </c>
      <c r="D4" s="87" t="s">
        <v>3</v>
      </c>
      <c r="E4" s="11" t="s">
        <v>4</v>
      </c>
      <c r="F4" s="12"/>
      <c r="G4" s="12"/>
      <c r="H4" s="12"/>
      <c r="I4" s="13"/>
      <c r="J4" s="1"/>
      <c r="K4" s="2"/>
      <c r="L4" s="83" t="s">
        <v>2</v>
      </c>
      <c r="M4" s="85">
        <f>C4</f>
        <v>0</v>
      </c>
      <c r="N4" s="87" t="s">
        <v>3</v>
      </c>
      <c r="O4" s="11" t="s">
        <v>4</v>
      </c>
      <c r="P4" s="12"/>
      <c r="Q4" s="12"/>
      <c r="R4" s="12"/>
      <c r="S4" s="13"/>
    </row>
    <row r="5" spans="2:23" ht="13.5" customHeight="1" x14ac:dyDescent="0.15">
      <c r="B5" s="84"/>
      <c r="C5" s="86"/>
      <c r="D5" s="88"/>
      <c r="E5" s="12"/>
      <c r="F5" s="12"/>
      <c r="G5" s="12"/>
      <c r="H5" s="12"/>
      <c r="I5" s="13"/>
      <c r="J5" s="1"/>
      <c r="K5" s="2"/>
      <c r="L5" s="84"/>
      <c r="M5" s="86"/>
      <c r="N5" s="88"/>
      <c r="O5" s="12"/>
      <c r="P5" s="12"/>
      <c r="Q5" s="12"/>
      <c r="R5" s="12"/>
      <c r="S5" s="13"/>
    </row>
    <row r="6" spans="2:23" ht="26.25" customHeight="1" x14ac:dyDescent="0.15">
      <c r="B6" s="77" t="s">
        <v>55</v>
      </c>
      <c r="C6" s="75"/>
      <c r="D6" s="78"/>
      <c r="E6" s="79" t="s">
        <v>46</v>
      </c>
      <c r="F6" s="80"/>
      <c r="G6" s="80"/>
      <c r="H6" s="80"/>
      <c r="I6" s="14" t="s">
        <v>5</v>
      </c>
      <c r="J6" s="1"/>
      <c r="K6" s="2"/>
      <c r="L6" s="77" t="str">
        <f>B6</f>
        <v>令和　　年度</v>
      </c>
      <c r="M6" s="75"/>
      <c r="N6" s="78"/>
      <c r="O6" s="81" t="str">
        <f>IF(E6="","",E6)</f>
        <v>特別養護老人ホーム秀峰園</v>
      </c>
      <c r="P6" s="82"/>
      <c r="Q6" s="82"/>
      <c r="R6" s="82"/>
      <c r="S6" s="14" t="s">
        <v>5</v>
      </c>
    </row>
    <row r="7" spans="2:23" ht="35.25" customHeight="1" x14ac:dyDescent="0.15">
      <c r="B7" s="72" t="s">
        <v>6</v>
      </c>
      <c r="C7" s="73"/>
      <c r="D7" s="74" t="s">
        <v>7</v>
      </c>
      <c r="E7" s="75"/>
      <c r="F7" s="75"/>
      <c r="G7" s="75"/>
      <c r="H7" s="75"/>
      <c r="I7" s="76"/>
      <c r="J7" s="1"/>
      <c r="K7" s="2"/>
      <c r="L7" s="72" t="s">
        <v>6</v>
      </c>
      <c r="M7" s="73"/>
      <c r="N7" s="74" t="s">
        <v>7</v>
      </c>
      <c r="O7" s="75"/>
      <c r="P7" s="75"/>
      <c r="Q7" s="75"/>
      <c r="R7" s="75"/>
      <c r="S7" s="76"/>
      <c r="W7" s="15"/>
    </row>
    <row r="8" spans="2:23" ht="14.25" customHeight="1" x14ac:dyDescent="0.15">
      <c r="B8" s="67" t="s">
        <v>8</v>
      </c>
      <c r="C8" s="16"/>
      <c r="D8" s="16"/>
      <c r="E8" s="17" t="s">
        <v>9</v>
      </c>
      <c r="F8" s="18" t="s">
        <v>10</v>
      </c>
      <c r="G8" s="18" t="s">
        <v>11</v>
      </c>
      <c r="H8" s="18" t="s">
        <v>12</v>
      </c>
      <c r="I8" s="19" t="s">
        <v>13</v>
      </c>
      <c r="J8" s="1"/>
      <c r="K8" s="2"/>
      <c r="L8" s="67" t="s">
        <v>8</v>
      </c>
      <c r="M8" s="16"/>
      <c r="N8" s="16"/>
      <c r="O8" s="17" t="s">
        <v>9</v>
      </c>
      <c r="P8" s="18" t="s">
        <v>10</v>
      </c>
      <c r="Q8" s="18" t="s">
        <v>11</v>
      </c>
      <c r="R8" s="18" t="s">
        <v>12</v>
      </c>
      <c r="S8" s="19" t="s">
        <v>13</v>
      </c>
    </row>
    <row r="9" spans="2:23" ht="33.75" customHeight="1" x14ac:dyDescent="0.15">
      <c r="B9" s="68"/>
      <c r="C9" s="20"/>
      <c r="D9" s="20" t="s">
        <v>14</v>
      </c>
      <c r="E9" s="21" t="str">
        <f>IF(H33="","",IF(ROUNDDOWN(H33/10000,0)=0,"",ROUNDDOWN(H33/10000,0)))</f>
        <v/>
      </c>
      <c r="F9" s="21" t="str">
        <f>IF(H33="","",H33/1000-ROUNDDOWN(H33/10000,0)*10)</f>
        <v/>
      </c>
      <c r="G9" s="21">
        <v>0</v>
      </c>
      <c r="H9" s="21">
        <v>0</v>
      </c>
      <c r="I9" s="22">
        <v>0</v>
      </c>
      <c r="J9" s="1"/>
      <c r="K9" s="2"/>
      <c r="L9" s="68"/>
      <c r="M9" s="20"/>
      <c r="N9" s="20" t="s">
        <v>14</v>
      </c>
      <c r="O9" s="21" t="str">
        <f>IF(E9="","",E9)</f>
        <v/>
      </c>
      <c r="P9" s="21" t="str">
        <f>F9</f>
        <v/>
      </c>
      <c r="Q9" s="21">
        <f>G9</f>
        <v>0</v>
      </c>
      <c r="R9" s="21">
        <f>H9</f>
        <v>0</v>
      </c>
      <c r="S9" s="22">
        <f>I9</f>
        <v>0</v>
      </c>
    </row>
    <row r="10" spans="2:23" ht="11.25" customHeight="1" x14ac:dyDescent="0.15">
      <c r="B10" s="23"/>
      <c r="C10" s="12"/>
      <c r="D10" s="12"/>
      <c r="E10" s="12"/>
      <c r="F10" s="12"/>
      <c r="G10" s="12"/>
      <c r="H10" s="12"/>
      <c r="I10" s="12"/>
      <c r="J10" s="24"/>
      <c r="K10" s="2"/>
      <c r="L10" s="23"/>
      <c r="M10" s="12"/>
      <c r="N10" s="12"/>
      <c r="O10" s="12"/>
      <c r="P10" s="12"/>
      <c r="Q10" s="12"/>
      <c r="R10" s="12"/>
      <c r="S10" s="13"/>
    </row>
    <row r="11" spans="2:23" ht="18.75" customHeight="1" x14ac:dyDescent="0.15">
      <c r="B11" s="69" t="s">
        <v>15</v>
      </c>
      <c r="C11" s="70"/>
      <c r="D11" s="40">
        <v>7</v>
      </c>
      <c r="E11" s="25" t="s">
        <v>16</v>
      </c>
      <c r="F11" s="12"/>
      <c r="G11" s="12"/>
      <c r="H11" s="12"/>
      <c r="I11" s="12"/>
      <c r="J11" s="24"/>
      <c r="K11" s="2"/>
      <c r="L11" s="23"/>
      <c r="M11" s="12"/>
      <c r="N11" s="12"/>
      <c r="O11" s="12"/>
      <c r="P11" s="12"/>
      <c r="Q11" s="12"/>
      <c r="R11" s="12"/>
      <c r="S11" s="13"/>
    </row>
    <row r="12" spans="2:23" ht="7.5" customHeight="1" x14ac:dyDescent="0.15">
      <c r="B12" s="23"/>
      <c r="C12" s="12"/>
      <c r="D12" s="12"/>
      <c r="E12" s="12"/>
      <c r="F12" s="12"/>
      <c r="G12" s="12"/>
      <c r="H12" s="12"/>
      <c r="I12" s="12"/>
      <c r="J12" s="24"/>
      <c r="K12" s="2"/>
      <c r="L12" s="23"/>
      <c r="M12" s="12"/>
      <c r="N12" s="12"/>
      <c r="O12" s="12"/>
      <c r="P12" s="12"/>
      <c r="Q12" s="12"/>
      <c r="R12" s="12"/>
      <c r="S12" s="13"/>
    </row>
    <row r="13" spans="2:23" ht="22.5" customHeight="1" x14ac:dyDescent="0.15">
      <c r="B13" s="69" t="s">
        <v>17</v>
      </c>
      <c r="C13" s="70"/>
      <c r="D13" s="70"/>
      <c r="E13" s="70"/>
      <c r="F13" s="70"/>
      <c r="G13" s="70"/>
      <c r="H13" s="70"/>
      <c r="I13" s="71"/>
      <c r="J13" s="24"/>
      <c r="K13" s="2"/>
      <c r="L13" s="69" t="s">
        <v>18</v>
      </c>
      <c r="M13" s="70"/>
      <c r="N13" s="70"/>
      <c r="O13" s="70"/>
      <c r="P13" s="70"/>
      <c r="Q13" s="70"/>
      <c r="R13" s="70"/>
      <c r="S13" s="71"/>
    </row>
    <row r="14" spans="2:23" ht="25.5" customHeight="1" x14ac:dyDescent="0.15">
      <c r="B14" s="23"/>
      <c r="C14" s="12"/>
      <c r="D14" s="12"/>
      <c r="E14" s="12"/>
      <c r="F14" s="12"/>
      <c r="G14" s="12"/>
      <c r="H14" s="12"/>
      <c r="I14" s="12"/>
      <c r="J14" s="24"/>
      <c r="K14" s="2"/>
      <c r="L14" s="23"/>
      <c r="M14" s="12"/>
      <c r="N14" s="12"/>
      <c r="O14" s="12"/>
      <c r="P14" s="12"/>
      <c r="Q14" s="12"/>
      <c r="R14" s="12"/>
      <c r="S14" s="13"/>
    </row>
    <row r="15" spans="2:23" ht="18.75" customHeight="1" x14ac:dyDescent="0.15">
      <c r="B15" s="65" t="s">
        <v>19</v>
      </c>
      <c r="C15" s="64"/>
      <c r="D15" s="64"/>
      <c r="E15" s="64"/>
      <c r="F15" s="64"/>
      <c r="G15" s="64"/>
      <c r="H15" s="64"/>
      <c r="I15" s="66"/>
      <c r="J15" s="24"/>
      <c r="K15" s="2"/>
      <c r="L15" s="65" t="s">
        <v>19</v>
      </c>
      <c r="M15" s="64"/>
      <c r="N15" s="64"/>
      <c r="O15" s="64"/>
      <c r="P15" s="64"/>
      <c r="Q15" s="64"/>
      <c r="R15" s="64"/>
      <c r="S15" s="66"/>
    </row>
    <row r="16" spans="2:23" x14ac:dyDescent="0.15">
      <c r="B16" s="23"/>
      <c r="C16" s="12"/>
      <c r="D16" s="12"/>
      <c r="E16" s="12"/>
      <c r="F16" s="12"/>
      <c r="G16" s="12"/>
      <c r="H16" s="12"/>
      <c r="I16" s="12"/>
      <c r="J16" s="24"/>
      <c r="K16" s="2"/>
      <c r="L16" s="23"/>
      <c r="M16" s="12"/>
      <c r="N16" s="12"/>
      <c r="O16" s="12"/>
      <c r="P16" s="12"/>
      <c r="Q16" s="12"/>
      <c r="R16" s="12"/>
      <c r="S16" s="13"/>
    </row>
    <row r="17" spans="2:19" ht="18.75" customHeight="1" x14ac:dyDescent="0.15">
      <c r="B17" s="23"/>
      <c r="C17" s="12"/>
      <c r="D17" s="12"/>
      <c r="E17" s="12"/>
      <c r="F17" s="12"/>
      <c r="G17" s="12"/>
      <c r="H17" s="12"/>
      <c r="I17" s="12"/>
      <c r="J17" s="24"/>
      <c r="K17" s="2"/>
      <c r="L17" s="23"/>
      <c r="M17" s="12"/>
      <c r="N17" s="12"/>
      <c r="O17" s="12"/>
      <c r="P17" s="12"/>
      <c r="Q17" s="12"/>
      <c r="R17" s="12"/>
      <c r="S17" s="13"/>
    </row>
    <row r="18" spans="2:19" ht="18.75" customHeight="1" x14ac:dyDescent="0.15">
      <c r="B18" s="23" t="s">
        <v>20</v>
      </c>
      <c r="C18" s="12"/>
      <c r="D18" s="12"/>
      <c r="E18" s="12"/>
      <c r="F18" s="12"/>
      <c r="G18" s="12"/>
      <c r="H18" s="12"/>
      <c r="I18" s="12"/>
      <c r="J18" s="24"/>
      <c r="K18" s="2"/>
      <c r="L18" s="23" t="s">
        <v>20</v>
      </c>
      <c r="M18" s="12"/>
      <c r="N18" s="12"/>
      <c r="O18" s="12"/>
      <c r="P18" s="12"/>
      <c r="Q18" s="12"/>
      <c r="R18" s="12"/>
      <c r="S18" s="13"/>
    </row>
    <row r="19" spans="2:19" ht="18.75" customHeight="1" x14ac:dyDescent="0.15">
      <c r="B19" s="23"/>
      <c r="C19" s="61" t="s">
        <v>47</v>
      </c>
      <c r="D19" s="61"/>
      <c r="E19" s="61"/>
      <c r="F19" s="62" t="s">
        <v>48</v>
      </c>
      <c r="G19" s="62"/>
      <c r="H19" s="62"/>
      <c r="I19" s="63"/>
      <c r="J19" s="24"/>
      <c r="K19" s="2"/>
      <c r="L19" s="23" t="s">
        <v>21</v>
      </c>
      <c r="M19" s="64" t="s">
        <v>22</v>
      </c>
      <c r="N19" s="64"/>
      <c r="O19" s="64"/>
      <c r="P19" s="62" t="s">
        <v>54</v>
      </c>
      <c r="Q19" s="62"/>
      <c r="R19" s="62"/>
      <c r="S19" s="63"/>
    </row>
    <row r="20" spans="2:19" ht="21" customHeight="1" x14ac:dyDescent="0.15">
      <c r="B20" s="26"/>
      <c r="C20" s="27"/>
      <c r="D20" s="27"/>
      <c r="E20" s="27"/>
      <c r="F20" s="27"/>
      <c r="G20" s="27"/>
      <c r="H20" s="27"/>
      <c r="I20" s="27"/>
      <c r="J20" s="24"/>
      <c r="K20" s="2"/>
      <c r="L20" s="26"/>
      <c r="M20" s="27"/>
      <c r="N20" s="27"/>
      <c r="O20" s="27"/>
      <c r="P20" s="27"/>
      <c r="Q20" s="27"/>
      <c r="R20" s="27"/>
      <c r="S20" s="28"/>
    </row>
    <row r="21" spans="2:19" ht="32.25" customHeight="1" x14ac:dyDescent="0.15">
      <c r="B21" s="29"/>
      <c r="C21" s="30"/>
      <c r="D21" s="30"/>
      <c r="E21" s="30"/>
      <c r="F21" s="30"/>
      <c r="G21" s="30"/>
      <c r="H21" s="30"/>
      <c r="I21" s="30"/>
      <c r="J21" s="31"/>
      <c r="K21" s="32"/>
      <c r="L21" s="30"/>
      <c r="M21" s="30"/>
      <c r="N21" s="30"/>
      <c r="O21" s="30"/>
      <c r="P21" s="30"/>
      <c r="Q21" s="30"/>
      <c r="R21" s="30"/>
      <c r="S21" s="29"/>
    </row>
    <row r="22" spans="2:19" ht="37.5" customHeight="1" x14ac:dyDescent="0.15">
      <c r="B22" s="1"/>
      <c r="C22" s="33" t="s">
        <v>23</v>
      </c>
      <c r="D22" s="33" t="s">
        <v>24</v>
      </c>
      <c r="E22" s="33" t="s">
        <v>25</v>
      </c>
      <c r="F22" s="33"/>
      <c r="G22" s="1"/>
      <c r="H22" s="1"/>
      <c r="I22" s="1"/>
      <c r="J22" s="1"/>
      <c r="K22" s="2"/>
      <c r="L22" s="1"/>
      <c r="M22" s="1"/>
      <c r="N22" s="1"/>
      <c r="O22" s="1"/>
      <c r="P22" s="1"/>
      <c r="Q22" s="1"/>
      <c r="R22" s="1"/>
      <c r="S22" s="1"/>
    </row>
    <row r="23" spans="2:19" ht="30" customHeight="1" x14ac:dyDescent="0.2">
      <c r="D23" s="60" t="s">
        <v>26</v>
      </c>
      <c r="E23" s="60"/>
      <c r="F23" s="60"/>
      <c r="G23" s="60"/>
      <c r="J23" s="1"/>
      <c r="K23" s="2"/>
      <c r="N23" s="60" t="s">
        <v>26</v>
      </c>
      <c r="O23" s="60"/>
      <c r="P23" s="60"/>
      <c r="Q23" s="60"/>
    </row>
    <row r="24" spans="2:19" x14ac:dyDescent="0.15">
      <c r="J24" s="1"/>
      <c r="K24" s="2"/>
    </row>
    <row r="25" spans="2:19" s="36" customFormat="1" ht="23.25" customHeight="1" x14ac:dyDescent="0.15">
      <c r="B25" s="45" t="s">
        <v>56</v>
      </c>
      <c r="C25" s="46"/>
      <c r="D25" s="47" t="s">
        <v>49</v>
      </c>
      <c r="E25" s="47"/>
      <c r="F25" s="47"/>
      <c r="G25" s="41" t="s">
        <v>27</v>
      </c>
      <c r="H25" s="48">
        <f>C4</f>
        <v>0</v>
      </c>
      <c r="I25" s="49"/>
      <c r="J25" s="34"/>
      <c r="K25" s="35"/>
      <c r="L25" s="45" t="s">
        <v>56</v>
      </c>
      <c r="M25" s="46"/>
      <c r="N25" s="47" t="s">
        <v>49</v>
      </c>
      <c r="O25" s="47"/>
      <c r="P25" s="47"/>
      <c r="Q25" s="41" t="s">
        <v>27</v>
      </c>
      <c r="R25" s="48">
        <f>M4</f>
        <v>0</v>
      </c>
      <c r="S25" s="49"/>
    </row>
    <row r="26" spans="2:19" s="36" customFormat="1" ht="23.25" customHeight="1" x14ac:dyDescent="0.15">
      <c r="B26" s="42" t="s">
        <v>28</v>
      </c>
      <c r="C26" s="43"/>
      <c r="D26" s="44"/>
      <c r="E26" s="42" t="s">
        <v>29</v>
      </c>
      <c r="F26" s="44"/>
      <c r="G26" s="37" t="s">
        <v>30</v>
      </c>
      <c r="H26" s="42" t="s">
        <v>31</v>
      </c>
      <c r="I26" s="44"/>
      <c r="J26" s="34"/>
      <c r="K26" s="35"/>
      <c r="L26" s="42" t="s">
        <v>28</v>
      </c>
      <c r="M26" s="43"/>
      <c r="N26" s="44"/>
      <c r="O26" s="42" t="s">
        <v>29</v>
      </c>
      <c r="P26" s="44"/>
      <c r="Q26" s="37" t="s">
        <v>30</v>
      </c>
      <c r="R26" s="42" t="s">
        <v>31</v>
      </c>
      <c r="S26" s="44"/>
    </row>
    <row r="27" spans="2:19" s="36" customFormat="1" ht="39.75" customHeight="1" x14ac:dyDescent="0.15">
      <c r="B27" s="42" t="s">
        <v>32</v>
      </c>
      <c r="C27" s="43"/>
      <c r="D27" s="44"/>
      <c r="E27" s="89">
        <v>2000</v>
      </c>
      <c r="F27" s="90"/>
      <c r="G27" s="38"/>
      <c r="H27" s="54" t="str">
        <f t="shared" ref="H27:H32" si="0">IF(G27="","",G27*E27)</f>
        <v/>
      </c>
      <c r="I27" s="55"/>
      <c r="J27" s="34"/>
      <c r="K27" s="35"/>
      <c r="L27" s="42" t="s">
        <v>32</v>
      </c>
      <c r="M27" s="43"/>
      <c r="N27" s="44"/>
      <c r="O27" s="89">
        <v>2000</v>
      </c>
      <c r="P27" s="90"/>
      <c r="Q27" s="38" t="str">
        <f t="shared" ref="Q27:Q32" si="1">IF(G27="","",G27)</f>
        <v/>
      </c>
      <c r="R27" s="54" t="str">
        <f t="shared" ref="R27:R32" si="2">IF(Q27="","",Q27*O27)</f>
        <v/>
      </c>
      <c r="S27" s="55"/>
    </row>
    <row r="28" spans="2:19" s="36" customFormat="1" ht="39.75" customHeight="1" x14ac:dyDescent="0.15">
      <c r="B28" s="42" t="s">
        <v>33</v>
      </c>
      <c r="C28" s="43"/>
      <c r="D28" s="44"/>
      <c r="E28" s="89">
        <v>3000</v>
      </c>
      <c r="F28" s="90"/>
      <c r="G28" s="38"/>
      <c r="H28" s="54" t="str">
        <f t="shared" si="0"/>
        <v/>
      </c>
      <c r="I28" s="55"/>
      <c r="J28" s="34"/>
      <c r="K28" s="35"/>
      <c r="L28" s="42" t="s">
        <v>33</v>
      </c>
      <c r="M28" s="43"/>
      <c r="N28" s="44"/>
      <c r="O28" s="89">
        <v>3000</v>
      </c>
      <c r="P28" s="90"/>
      <c r="Q28" s="38" t="str">
        <f t="shared" si="1"/>
        <v/>
      </c>
      <c r="R28" s="54" t="str">
        <f t="shared" si="2"/>
        <v/>
      </c>
      <c r="S28" s="55"/>
    </row>
    <row r="29" spans="2:19" s="36" customFormat="1" ht="39.75" customHeight="1" x14ac:dyDescent="0.15">
      <c r="B29" s="42" t="s">
        <v>34</v>
      </c>
      <c r="C29" s="43"/>
      <c r="D29" s="44"/>
      <c r="E29" s="89">
        <v>3000</v>
      </c>
      <c r="F29" s="90"/>
      <c r="G29" s="38"/>
      <c r="H29" s="54" t="str">
        <f t="shared" si="0"/>
        <v/>
      </c>
      <c r="I29" s="55"/>
      <c r="J29" s="34"/>
      <c r="K29" s="35"/>
      <c r="L29" s="42" t="s">
        <v>34</v>
      </c>
      <c r="M29" s="43"/>
      <c r="N29" s="44"/>
      <c r="O29" s="89">
        <v>3000</v>
      </c>
      <c r="P29" s="90"/>
      <c r="Q29" s="38" t="str">
        <f t="shared" si="1"/>
        <v/>
      </c>
      <c r="R29" s="54" t="str">
        <f t="shared" si="2"/>
        <v/>
      </c>
      <c r="S29" s="55"/>
    </row>
    <row r="30" spans="2:19" s="36" customFormat="1" ht="39.75" customHeight="1" x14ac:dyDescent="0.15">
      <c r="B30" s="42" t="s">
        <v>35</v>
      </c>
      <c r="C30" s="43"/>
      <c r="D30" s="44"/>
      <c r="E30" s="89">
        <v>3000</v>
      </c>
      <c r="F30" s="90"/>
      <c r="G30" s="38"/>
      <c r="H30" s="54" t="str">
        <f t="shared" si="0"/>
        <v/>
      </c>
      <c r="I30" s="55"/>
      <c r="K30" s="35"/>
      <c r="L30" s="42" t="s">
        <v>35</v>
      </c>
      <c r="M30" s="43"/>
      <c r="N30" s="44"/>
      <c r="O30" s="89">
        <v>3000</v>
      </c>
      <c r="P30" s="90"/>
      <c r="Q30" s="38" t="str">
        <f t="shared" si="1"/>
        <v/>
      </c>
      <c r="R30" s="54" t="str">
        <f t="shared" si="2"/>
        <v/>
      </c>
      <c r="S30" s="55"/>
    </row>
    <row r="31" spans="2:19" s="36" customFormat="1" ht="39.75" customHeight="1" x14ac:dyDescent="0.15">
      <c r="B31" s="42" t="s">
        <v>36</v>
      </c>
      <c r="C31" s="43"/>
      <c r="D31" s="44"/>
      <c r="E31" s="89">
        <v>2000</v>
      </c>
      <c r="F31" s="90"/>
      <c r="G31" s="38"/>
      <c r="H31" s="54" t="str">
        <f t="shared" si="0"/>
        <v/>
      </c>
      <c r="I31" s="55"/>
      <c r="J31" s="34"/>
      <c r="K31" s="35"/>
      <c r="L31" s="42" t="s">
        <v>36</v>
      </c>
      <c r="M31" s="43"/>
      <c r="N31" s="44"/>
      <c r="O31" s="89">
        <v>2000</v>
      </c>
      <c r="P31" s="90"/>
      <c r="Q31" s="38" t="str">
        <f t="shared" si="1"/>
        <v/>
      </c>
      <c r="R31" s="54" t="str">
        <f t="shared" si="2"/>
        <v/>
      </c>
      <c r="S31" s="55"/>
    </row>
    <row r="32" spans="2:19" s="36" customFormat="1" ht="39.75" customHeight="1" x14ac:dyDescent="0.15">
      <c r="B32" s="58" t="s">
        <v>37</v>
      </c>
      <c r="C32" s="91"/>
      <c r="D32" s="92"/>
      <c r="E32" s="89">
        <v>2000</v>
      </c>
      <c r="F32" s="90"/>
      <c r="G32" s="38"/>
      <c r="H32" s="54" t="str">
        <f t="shared" si="0"/>
        <v/>
      </c>
      <c r="I32" s="55"/>
      <c r="J32" s="34"/>
      <c r="K32" s="35"/>
      <c r="L32" s="58" t="s">
        <v>37</v>
      </c>
      <c r="M32" s="91"/>
      <c r="N32" s="92"/>
      <c r="O32" s="89">
        <v>2000</v>
      </c>
      <c r="P32" s="90"/>
      <c r="Q32" s="38" t="str">
        <f t="shared" si="1"/>
        <v/>
      </c>
      <c r="R32" s="54" t="str">
        <f t="shared" si="2"/>
        <v/>
      </c>
      <c r="S32" s="55"/>
    </row>
    <row r="33" spans="2:19" s="36" customFormat="1" ht="39.75" customHeight="1" x14ac:dyDescent="0.15">
      <c r="B33" s="42" t="s">
        <v>38</v>
      </c>
      <c r="C33" s="43"/>
      <c r="D33" s="44"/>
      <c r="E33" s="56"/>
      <c r="F33" s="57"/>
      <c r="G33" s="39" t="str">
        <f>IF(SUM(G27:G32)=0,"",SUM(G27:G32))</f>
        <v/>
      </c>
      <c r="H33" s="54" t="str">
        <f>IF(SUM(H27:I32)=0,"",SUM(H27:I32))</f>
        <v/>
      </c>
      <c r="I33" s="55"/>
      <c r="J33" s="34"/>
      <c r="K33" s="35"/>
      <c r="L33" s="42" t="s">
        <v>38</v>
      </c>
      <c r="M33" s="43"/>
      <c r="N33" s="44"/>
      <c r="O33" s="56"/>
      <c r="P33" s="57"/>
      <c r="Q33" s="39" t="str">
        <f>IF(SUM(Q27:Q32)=0,"",SUM(Q27:Q32))</f>
        <v/>
      </c>
      <c r="R33" s="54" t="str">
        <f>IF(SUM(R27:S32)=0,"",SUM(R27:S32))</f>
        <v/>
      </c>
      <c r="S33" s="55"/>
    </row>
    <row r="34" spans="2:19" ht="32.25" customHeight="1" x14ac:dyDescent="0.15">
      <c r="B34" s="29"/>
      <c r="C34" s="30"/>
      <c r="D34" s="30"/>
      <c r="E34" s="30"/>
      <c r="F34" s="30"/>
      <c r="G34" s="30"/>
      <c r="H34" s="30"/>
      <c r="I34" s="30"/>
      <c r="J34" s="31"/>
      <c r="K34" s="32"/>
      <c r="L34" s="30"/>
      <c r="M34" s="30"/>
      <c r="N34" s="30"/>
      <c r="O34" s="30"/>
      <c r="P34" s="30"/>
      <c r="Q34" s="30"/>
      <c r="R34" s="30"/>
      <c r="S34" s="29"/>
    </row>
    <row r="35" spans="2:19" x14ac:dyDescent="0.15">
      <c r="B35" s="1"/>
      <c r="C35" s="1"/>
      <c r="D35" s="1"/>
      <c r="E35" s="1"/>
      <c r="F35" s="1"/>
      <c r="G35" s="1"/>
      <c r="H35" s="1"/>
      <c r="I35" s="1"/>
      <c r="L35" s="1"/>
      <c r="M35" s="1"/>
      <c r="N35" s="1"/>
      <c r="O35" s="1"/>
      <c r="P35" s="1"/>
      <c r="Q35" s="1"/>
      <c r="R35" s="1"/>
      <c r="S35" s="1"/>
    </row>
  </sheetData>
  <mergeCells count="83">
    <mergeCell ref="D7:I7"/>
    <mergeCell ref="O6:R6"/>
    <mergeCell ref="N4:N5"/>
    <mergeCell ref="D4:D5"/>
    <mergeCell ref="L6:N6"/>
    <mergeCell ref="E6:H6"/>
    <mergeCell ref="B6:D6"/>
    <mergeCell ref="B4:B5"/>
    <mergeCell ref="C4:C5"/>
    <mergeCell ref="L7:M7"/>
    <mergeCell ref="N1:Q1"/>
    <mergeCell ref="D1:G1"/>
    <mergeCell ref="R27:S27"/>
    <mergeCell ref="O27:P27"/>
    <mergeCell ref="D23:G23"/>
    <mergeCell ref="R25:S25"/>
    <mergeCell ref="E26:F26"/>
    <mergeCell ref="B26:D26"/>
    <mergeCell ref="R26:S26"/>
    <mergeCell ref="O26:P26"/>
    <mergeCell ref="R28:S28"/>
    <mergeCell ref="O28:P28"/>
    <mergeCell ref="R31:S31"/>
    <mergeCell ref="O31:P31"/>
    <mergeCell ref="R29:S29"/>
    <mergeCell ref="O29:P29"/>
    <mergeCell ref="R30:S30"/>
    <mergeCell ref="O30:P30"/>
    <mergeCell ref="N23:Q23"/>
    <mergeCell ref="L26:N26"/>
    <mergeCell ref="H26:I26"/>
    <mergeCell ref="B7:C7"/>
    <mergeCell ref="L13:S13"/>
    <mergeCell ref="B13:I13"/>
    <mergeCell ref="B11:C11"/>
    <mergeCell ref="L8:L9"/>
    <mergeCell ref="B8:B9"/>
    <mergeCell ref="N7:S7"/>
    <mergeCell ref="L15:S15"/>
    <mergeCell ref="B15:I15"/>
    <mergeCell ref="P19:S19"/>
    <mergeCell ref="M19:O19"/>
    <mergeCell ref="F19:I19"/>
    <mergeCell ref="C19:E19"/>
    <mergeCell ref="L27:N27"/>
    <mergeCell ref="N25:P25"/>
    <mergeCell ref="L28:N28"/>
    <mergeCell ref="H28:I28"/>
    <mergeCell ref="E28:F28"/>
    <mergeCell ref="B28:D28"/>
    <mergeCell ref="H27:I27"/>
    <mergeCell ref="E27:F27"/>
    <mergeCell ref="B27:D27"/>
    <mergeCell ref="R33:S33"/>
    <mergeCell ref="O33:P33"/>
    <mergeCell ref="L31:N31"/>
    <mergeCell ref="H31:I31"/>
    <mergeCell ref="L33:N33"/>
    <mergeCell ref="H33:I33"/>
    <mergeCell ref="R32:S32"/>
    <mergeCell ref="O32:P32"/>
    <mergeCell ref="L32:N32"/>
    <mergeCell ref="H32:I32"/>
    <mergeCell ref="E33:F33"/>
    <mergeCell ref="B33:D33"/>
    <mergeCell ref="L30:N30"/>
    <mergeCell ref="H30:I30"/>
    <mergeCell ref="E31:F31"/>
    <mergeCell ref="B31:D31"/>
    <mergeCell ref="E30:F30"/>
    <mergeCell ref="B30:D30"/>
    <mergeCell ref="E32:F32"/>
    <mergeCell ref="B32:D32"/>
    <mergeCell ref="L4:L5"/>
    <mergeCell ref="M4:M5"/>
    <mergeCell ref="L29:N29"/>
    <mergeCell ref="H29:I29"/>
    <mergeCell ref="E29:F29"/>
    <mergeCell ref="B29:D29"/>
    <mergeCell ref="B25:C25"/>
    <mergeCell ref="D25:F25"/>
    <mergeCell ref="L25:M25"/>
    <mergeCell ref="H25:I25"/>
  </mergeCells>
  <phoneticPr fontId="19"/>
  <dataValidations count="2">
    <dataValidation type="decimal" operator="lessThan" allowBlank="1" showInputMessage="1" showErrorMessage="1" error="自動計算されるので入力不可_x000a_" sqref="E9:I9" xr:uid="{296B07AE-82EC-4958-ACA7-6CE1EBA10AB2}">
      <formula1>0</formula1>
    </dataValidation>
    <dataValidation type="list" allowBlank="1" sqref="E6:H6" xr:uid="{8FAB8165-0014-4E55-92DE-1C5AE9532779}">
      <formula1>"ベスト電器利尻店,㈱洋　商,電器のオオミ,でんきのカトウ,㈲カワムラ電器,ツチヤ電気店,不二商会"</formula1>
    </dataValidation>
  </dataValidations>
  <pageMargins left="0.7" right="0.7" top="0.75" bottom="0.75" header="0.3" footer="0.3"/>
  <pageSetup paperSize="9" scale="92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ウニ施設</vt:lpstr>
      <vt:lpstr>富士町</vt:lpstr>
      <vt:lpstr>教育委員会</vt:lpstr>
      <vt:lpstr>特養秀峰園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ごみ処理場</dc:creator>
  <cp:lastModifiedBy>Lay Hirosaki</cp:lastModifiedBy>
  <cp:lastPrinted>2017-05-10T05:16:00Z</cp:lastPrinted>
  <dcterms:created xsi:type="dcterms:W3CDTF">2012-07-16T23:41:10Z</dcterms:created>
  <dcterms:modified xsi:type="dcterms:W3CDTF">2026-03-05T04:28:10Z</dcterms:modified>
</cp:coreProperties>
</file>