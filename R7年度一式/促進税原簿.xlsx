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okyaku\Documents\R7年度一式\"/>
    </mc:Choice>
  </mc:AlternateContent>
  <xr:revisionPtr revIDLastSave="0" documentId="13_ncr:1_{6242C602-4704-444F-9C01-1695BF15A4C2}" xr6:coauthVersionLast="47" xr6:coauthVersionMax="47" xr10:uidLastSave="{00000000-0000-0000-0000-000000000000}"/>
  <bookViews>
    <workbookView xWindow="-120" yWindow="-120" windowWidth="29040" windowHeight="15720" tabRatio="937" firstSheet="2" activeTab="23" xr2:uid="{BC3ACB07-832E-4C85-9A72-D52422FDAE26}"/>
  </bookViews>
  <sheets>
    <sheet name="汚泥04" sheetId="11" r:id="rId1"/>
    <sheet name="汚泥05" sheetId="22" r:id="rId2"/>
    <sheet name="汚泥06" sheetId="21" r:id="rId3"/>
    <sheet name="汚泥07" sheetId="20" r:id="rId4"/>
    <sheet name="汚泥08" sheetId="19" r:id="rId5"/>
    <sheet name="汚泥09" sheetId="18" r:id="rId6"/>
    <sheet name="汚泥10" sheetId="17" r:id="rId7"/>
    <sheet name="汚泥11" sheetId="16" r:id="rId8"/>
    <sheet name="汚泥12" sheetId="15" r:id="rId9"/>
    <sheet name="汚泥01" sheetId="14" r:id="rId10"/>
    <sheet name="汚泥02" sheetId="12" r:id="rId11"/>
    <sheet name="産廃04" sheetId="5" r:id="rId12"/>
    <sheet name="汚泥03" sheetId="13" r:id="rId13"/>
    <sheet name="産廃05" sheetId="23" r:id="rId14"/>
    <sheet name="産廃06" sheetId="24" r:id="rId15"/>
    <sheet name="産廃07" sheetId="25" r:id="rId16"/>
    <sheet name="産廃08" sheetId="26" r:id="rId17"/>
    <sheet name="産廃09" sheetId="27" r:id="rId18"/>
    <sheet name="産廃10" sheetId="28" r:id="rId19"/>
    <sheet name="産廃11" sheetId="29" r:id="rId20"/>
    <sheet name="産廃12" sheetId="30" r:id="rId21"/>
    <sheet name="産廃01" sheetId="31" r:id="rId22"/>
    <sheet name="産廃02" sheetId="32" r:id="rId23"/>
    <sheet name="産廃03" sheetId="3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8" i="28" l="1"/>
  <c r="N44" i="28"/>
  <c r="K43" i="28"/>
  <c r="H43" i="28"/>
  <c r="F43" i="28"/>
  <c r="K42" i="28" l="1"/>
  <c r="H42" i="28"/>
  <c r="F42" i="28"/>
  <c r="H22" i="28" l="1"/>
  <c r="K8" i="18" l="1"/>
  <c r="K15" i="24" l="1"/>
  <c r="H88" i="33" l="1"/>
  <c r="F88" i="33"/>
  <c r="K87" i="33"/>
  <c r="H87" i="33"/>
  <c r="F87" i="33"/>
  <c r="K85" i="33"/>
  <c r="H85" i="33"/>
  <c r="F85" i="33"/>
  <c r="K84" i="33"/>
  <c r="H84" i="33"/>
  <c r="F84" i="33"/>
  <c r="K83" i="33"/>
  <c r="H83" i="33"/>
  <c r="F83" i="33"/>
  <c r="K82" i="33"/>
  <c r="H82" i="33"/>
  <c r="F82" i="33"/>
  <c r="K81" i="33"/>
  <c r="H81" i="33"/>
  <c r="F81" i="33"/>
  <c r="K80" i="33"/>
  <c r="H80" i="33"/>
  <c r="F80" i="33"/>
  <c r="K79" i="33"/>
  <c r="H79" i="33"/>
  <c r="F79" i="33"/>
  <c r="K78" i="33"/>
  <c r="H78" i="33"/>
  <c r="F78" i="33"/>
  <c r="K77" i="33"/>
  <c r="H77" i="33"/>
  <c r="F77" i="33"/>
  <c r="K76" i="33"/>
  <c r="H76" i="33"/>
  <c r="F76" i="33"/>
  <c r="K75" i="33"/>
  <c r="H75" i="33"/>
  <c r="F75" i="33"/>
  <c r="K74" i="33"/>
  <c r="H74" i="33"/>
  <c r="F74" i="33"/>
  <c r="K73" i="33"/>
  <c r="H73" i="33"/>
  <c r="F73" i="33"/>
  <c r="K72" i="33"/>
  <c r="H72" i="33"/>
  <c r="F72" i="33"/>
  <c r="K71" i="33"/>
  <c r="H71" i="33"/>
  <c r="F71" i="33"/>
  <c r="K70" i="33"/>
  <c r="H70" i="33"/>
  <c r="F70" i="33"/>
  <c r="K69" i="33"/>
  <c r="H69" i="33"/>
  <c r="F69" i="33"/>
  <c r="K68" i="33"/>
  <c r="H68" i="33"/>
  <c r="F68" i="33"/>
  <c r="K67" i="33"/>
  <c r="H67" i="33"/>
  <c r="F67" i="33"/>
  <c r="K66" i="33"/>
  <c r="H66" i="33"/>
  <c r="F66" i="33"/>
  <c r="K65" i="33"/>
  <c r="H65" i="33"/>
  <c r="F65" i="33"/>
  <c r="K64" i="33"/>
  <c r="H64" i="33"/>
  <c r="F64" i="33"/>
  <c r="K63" i="33"/>
  <c r="H63" i="33"/>
  <c r="F63" i="33"/>
  <c r="K62" i="33"/>
  <c r="H62" i="33"/>
  <c r="F62" i="33"/>
  <c r="K61" i="33"/>
  <c r="H61" i="33"/>
  <c r="F61" i="33"/>
  <c r="K60" i="33"/>
  <c r="H60" i="33"/>
  <c r="F60" i="33"/>
  <c r="K59" i="33"/>
  <c r="H59" i="33"/>
  <c r="F59" i="33"/>
  <c r="K58" i="33"/>
  <c r="H58" i="33"/>
  <c r="F58" i="33"/>
  <c r="K57" i="33"/>
  <c r="H57" i="33"/>
  <c r="F57" i="33"/>
  <c r="K56" i="33"/>
  <c r="H56" i="33"/>
  <c r="F56" i="33"/>
  <c r="K55" i="33"/>
  <c r="H55" i="33"/>
  <c r="F55" i="33"/>
  <c r="K54" i="33"/>
  <c r="H54" i="33"/>
  <c r="F54" i="33"/>
  <c r="K53" i="33"/>
  <c r="H53" i="33"/>
  <c r="F53" i="33"/>
  <c r="K52" i="33"/>
  <c r="H52" i="33"/>
  <c r="F52" i="33"/>
  <c r="K51" i="33"/>
  <c r="H51" i="33"/>
  <c r="F51" i="33"/>
  <c r="K50" i="33"/>
  <c r="H50" i="33"/>
  <c r="F50" i="33"/>
  <c r="K49" i="33"/>
  <c r="H49" i="33"/>
  <c r="F49" i="33"/>
  <c r="K48" i="33"/>
  <c r="H48" i="33"/>
  <c r="F48" i="33"/>
  <c r="I44" i="33"/>
  <c r="I88" i="33" s="1"/>
  <c r="H44" i="33"/>
  <c r="F44" i="33"/>
  <c r="K41" i="33"/>
  <c r="H41" i="33"/>
  <c r="F41" i="33"/>
  <c r="K40" i="33"/>
  <c r="H40" i="33"/>
  <c r="F40" i="33"/>
  <c r="K39" i="33"/>
  <c r="H39" i="33"/>
  <c r="F39" i="33"/>
  <c r="K38" i="33"/>
  <c r="H38" i="33"/>
  <c r="F38" i="33"/>
  <c r="K37" i="33"/>
  <c r="H37" i="33"/>
  <c r="F37" i="33"/>
  <c r="K36" i="33"/>
  <c r="H36" i="33"/>
  <c r="F36" i="33"/>
  <c r="K35" i="33"/>
  <c r="H35" i="33"/>
  <c r="F35" i="33"/>
  <c r="K34" i="33"/>
  <c r="H34" i="33"/>
  <c r="F34" i="33"/>
  <c r="K33" i="33"/>
  <c r="H33" i="33"/>
  <c r="F33" i="33"/>
  <c r="K32" i="33"/>
  <c r="H32" i="33"/>
  <c r="F32" i="33"/>
  <c r="K31" i="33"/>
  <c r="H31" i="33"/>
  <c r="F31" i="33"/>
  <c r="K30" i="33"/>
  <c r="H30" i="33"/>
  <c r="F30" i="33"/>
  <c r="K29" i="33"/>
  <c r="H29" i="33"/>
  <c r="F29" i="33"/>
  <c r="K28" i="33"/>
  <c r="H28" i="33"/>
  <c r="F28" i="33"/>
  <c r="K27" i="33"/>
  <c r="H27" i="33"/>
  <c r="F27" i="33"/>
  <c r="K26" i="33"/>
  <c r="H26" i="33"/>
  <c r="F26" i="33"/>
  <c r="K25" i="33"/>
  <c r="H25" i="33"/>
  <c r="F25" i="33"/>
  <c r="K24" i="33"/>
  <c r="H24" i="33"/>
  <c r="F24" i="33"/>
  <c r="K23" i="33"/>
  <c r="H23" i="33"/>
  <c r="F23" i="33"/>
  <c r="K22" i="33"/>
  <c r="H22" i="33"/>
  <c r="F22" i="33"/>
  <c r="K21" i="33"/>
  <c r="H21" i="33"/>
  <c r="F21" i="33"/>
  <c r="K20" i="33"/>
  <c r="H20" i="33"/>
  <c r="F20" i="33"/>
  <c r="K19" i="33"/>
  <c r="H19" i="33"/>
  <c r="F19" i="33"/>
  <c r="K18" i="33"/>
  <c r="H18" i="33"/>
  <c r="F18" i="33"/>
  <c r="K17" i="33"/>
  <c r="H17" i="33"/>
  <c r="F17" i="33"/>
  <c r="K16" i="33"/>
  <c r="H16" i="33"/>
  <c r="F16" i="33"/>
  <c r="K15" i="33"/>
  <c r="H15" i="33"/>
  <c r="F15" i="33"/>
  <c r="K14" i="33"/>
  <c r="H14" i="33"/>
  <c r="F14" i="33"/>
  <c r="K13" i="33"/>
  <c r="H13" i="33"/>
  <c r="F13" i="33"/>
  <c r="K12" i="33"/>
  <c r="H12" i="33"/>
  <c r="F12" i="33"/>
  <c r="K11" i="33"/>
  <c r="H11" i="33"/>
  <c r="F11" i="33"/>
  <c r="K10" i="33"/>
  <c r="H10" i="33"/>
  <c r="F10" i="33"/>
  <c r="K9" i="33"/>
  <c r="H9" i="33"/>
  <c r="F9" i="33"/>
  <c r="K8" i="33"/>
  <c r="H8" i="33"/>
  <c r="F8" i="33"/>
  <c r="K7" i="33"/>
  <c r="H7" i="33"/>
  <c r="F7" i="33"/>
  <c r="K6" i="33"/>
  <c r="H6" i="33"/>
  <c r="F6" i="33"/>
  <c r="K5" i="33"/>
  <c r="H5" i="33"/>
  <c r="F5" i="33"/>
  <c r="K4" i="33"/>
  <c r="H4" i="33"/>
  <c r="F4" i="33"/>
  <c r="H88" i="32"/>
  <c r="F88" i="32"/>
  <c r="K87" i="32"/>
  <c r="H87" i="32"/>
  <c r="F87" i="32"/>
  <c r="K85" i="32"/>
  <c r="H85" i="32"/>
  <c r="F85" i="32"/>
  <c r="K84" i="32"/>
  <c r="H84" i="32"/>
  <c r="F84" i="32"/>
  <c r="K83" i="32"/>
  <c r="H83" i="32"/>
  <c r="F83" i="32"/>
  <c r="K82" i="32"/>
  <c r="H82" i="32"/>
  <c r="F82" i="32"/>
  <c r="K81" i="32"/>
  <c r="H81" i="32"/>
  <c r="F81" i="32"/>
  <c r="K80" i="32"/>
  <c r="H80" i="32"/>
  <c r="F80" i="32"/>
  <c r="K79" i="32"/>
  <c r="H79" i="32"/>
  <c r="F79" i="32"/>
  <c r="K78" i="32"/>
  <c r="H78" i="32"/>
  <c r="F78" i="32"/>
  <c r="K77" i="32"/>
  <c r="H77" i="32"/>
  <c r="F77" i="32"/>
  <c r="K76" i="32"/>
  <c r="H76" i="32"/>
  <c r="F76" i="32"/>
  <c r="K75" i="32"/>
  <c r="H75" i="32"/>
  <c r="F75" i="32"/>
  <c r="K74" i="32"/>
  <c r="H74" i="32"/>
  <c r="F74" i="32"/>
  <c r="K73" i="32"/>
  <c r="H73" i="32"/>
  <c r="F73" i="32"/>
  <c r="K72" i="32"/>
  <c r="H72" i="32"/>
  <c r="F72" i="32"/>
  <c r="K71" i="32"/>
  <c r="H71" i="32"/>
  <c r="F71" i="32"/>
  <c r="K70" i="32"/>
  <c r="H70" i="32"/>
  <c r="F70" i="32"/>
  <c r="K69" i="32"/>
  <c r="H69" i="32"/>
  <c r="F69" i="32"/>
  <c r="K68" i="32"/>
  <c r="H68" i="32"/>
  <c r="F68" i="32"/>
  <c r="K67" i="32"/>
  <c r="H67" i="32"/>
  <c r="F67" i="32"/>
  <c r="K66" i="32"/>
  <c r="H66" i="32"/>
  <c r="F66" i="32"/>
  <c r="K65" i="32"/>
  <c r="H65" i="32"/>
  <c r="F65" i="32"/>
  <c r="K64" i="32"/>
  <c r="H64" i="32"/>
  <c r="F64" i="32"/>
  <c r="K63" i="32"/>
  <c r="H63" i="32"/>
  <c r="F63" i="32"/>
  <c r="K62" i="32"/>
  <c r="H62" i="32"/>
  <c r="F62" i="32"/>
  <c r="K61" i="32"/>
  <c r="H61" i="32"/>
  <c r="F61" i="32"/>
  <c r="K60" i="32"/>
  <c r="H60" i="32"/>
  <c r="F60" i="32"/>
  <c r="K59" i="32"/>
  <c r="H59" i="32"/>
  <c r="F59" i="32"/>
  <c r="K58" i="32"/>
  <c r="H58" i="32"/>
  <c r="F58" i="32"/>
  <c r="K57" i="32"/>
  <c r="H57" i="32"/>
  <c r="F57" i="32"/>
  <c r="K56" i="32"/>
  <c r="H56" i="32"/>
  <c r="F56" i="32"/>
  <c r="K55" i="32"/>
  <c r="H55" i="32"/>
  <c r="F55" i="32"/>
  <c r="K54" i="32"/>
  <c r="H54" i="32"/>
  <c r="F54" i="32"/>
  <c r="K53" i="32"/>
  <c r="H53" i="32"/>
  <c r="F53" i="32"/>
  <c r="K52" i="32"/>
  <c r="H52" i="32"/>
  <c r="F52" i="32"/>
  <c r="K51" i="32"/>
  <c r="H51" i="32"/>
  <c r="F51" i="32"/>
  <c r="K50" i="32"/>
  <c r="H50" i="32"/>
  <c r="F50" i="32"/>
  <c r="K49" i="32"/>
  <c r="H49" i="32"/>
  <c r="F49" i="32"/>
  <c r="K48" i="32"/>
  <c r="H48" i="32"/>
  <c r="F48" i="32"/>
  <c r="I44" i="32"/>
  <c r="I88" i="32" s="1"/>
  <c r="H44" i="32"/>
  <c r="F44" i="32"/>
  <c r="K41" i="32"/>
  <c r="H41" i="32"/>
  <c r="F41" i="32"/>
  <c r="K40" i="32"/>
  <c r="H40" i="32"/>
  <c r="F40" i="32"/>
  <c r="K39" i="32"/>
  <c r="H39" i="32"/>
  <c r="F39" i="32"/>
  <c r="K38" i="32"/>
  <c r="H38" i="32"/>
  <c r="F38" i="32"/>
  <c r="K37" i="32"/>
  <c r="H37" i="32"/>
  <c r="F37" i="32"/>
  <c r="K36" i="32"/>
  <c r="H36" i="32"/>
  <c r="F36" i="32"/>
  <c r="K35" i="32"/>
  <c r="H35" i="32"/>
  <c r="F35" i="32"/>
  <c r="K34" i="32"/>
  <c r="H34" i="32"/>
  <c r="F34" i="32"/>
  <c r="K33" i="32"/>
  <c r="H33" i="32"/>
  <c r="F33" i="32"/>
  <c r="K32" i="32"/>
  <c r="H32" i="32"/>
  <c r="F32" i="32"/>
  <c r="K31" i="32"/>
  <c r="H31" i="32"/>
  <c r="F31" i="32"/>
  <c r="K30" i="32"/>
  <c r="H30" i="32"/>
  <c r="F30" i="32"/>
  <c r="K29" i="32"/>
  <c r="H29" i="32"/>
  <c r="F29" i="32"/>
  <c r="K28" i="32"/>
  <c r="H28" i="32"/>
  <c r="F28" i="32"/>
  <c r="K27" i="32"/>
  <c r="H27" i="32"/>
  <c r="F27" i="32"/>
  <c r="K26" i="32"/>
  <c r="H26" i="32"/>
  <c r="F26" i="32"/>
  <c r="K25" i="32"/>
  <c r="H25" i="32"/>
  <c r="F25" i="32"/>
  <c r="K24" i="32"/>
  <c r="H24" i="32"/>
  <c r="F24" i="32"/>
  <c r="K23" i="32"/>
  <c r="H23" i="32"/>
  <c r="F23" i="32"/>
  <c r="K22" i="32"/>
  <c r="H22" i="32"/>
  <c r="F22" i="32"/>
  <c r="K21" i="32"/>
  <c r="H21" i="32"/>
  <c r="F21" i="32"/>
  <c r="K20" i="32"/>
  <c r="H20" i="32"/>
  <c r="F20" i="32"/>
  <c r="K19" i="32"/>
  <c r="H19" i="32"/>
  <c r="F19" i="32"/>
  <c r="K18" i="32"/>
  <c r="H18" i="32"/>
  <c r="F18" i="32"/>
  <c r="K17" i="32"/>
  <c r="H17" i="32"/>
  <c r="F17" i="32"/>
  <c r="K16" i="32"/>
  <c r="H16" i="32"/>
  <c r="F16" i="32"/>
  <c r="K15" i="32"/>
  <c r="H15" i="32"/>
  <c r="F15" i="32"/>
  <c r="K14" i="32"/>
  <c r="H14" i="32"/>
  <c r="F14" i="32"/>
  <c r="K13" i="32"/>
  <c r="H13" i="32"/>
  <c r="F13" i="32"/>
  <c r="K12" i="32"/>
  <c r="H12" i="32"/>
  <c r="F12" i="32"/>
  <c r="K11" i="32"/>
  <c r="H11" i="32"/>
  <c r="F11" i="32"/>
  <c r="K10" i="32"/>
  <c r="H10" i="32"/>
  <c r="F10" i="32"/>
  <c r="K9" i="32"/>
  <c r="H9" i="32"/>
  <c r="F9" i="32"/>
  <c r="K8" i="32"/>
  <c r="H8" i="32"/>
  <c r="F8" i="32"/>
  <c r="K7" i="32"/>
  <c r="H7" i="32"/>
  <c r="F7" i="32"/>
  <c r="K6" i="32"/>
  <c r="H6" i="32"/>
  <c r="F6" i="32"/>
  <c r="K5" i="32"/>
  <c r="H5" i="32"/>
  <c r="F5" i="32"/>
  <c r="K4" i="32"/>
  <c r="H4" i="32"/>
  <c r="F4" i="32"/>
  <c r="H88" i="31"/>
  <c r="F88" i="31"/>
  <c r="K87" i="31"/>
  <c r="H87" i="31"/>
  <c r="F87" i="31"/>
  <c r="K85" i="31"/>
  <c r="H85" i="31"/>
  <c r="F85" i="31"/>
  <c r="K84" i="31"/>
  <c r="H84" i="31"/>
  <c r="F84" i="31"/>
  <c r="K83" i="31"/>
  <c r="H83" i="31"/>
  <c r="F83" i="31"/>
  <c r="K82" i="31"/>
  <c r="H82" i="31"/>
  <c r="F82" i="31"/>
  <c r="K81" i="31"/>
  <c r="H81" i="31"/>
  <c r="F81" i="31"/>
  <c r="K80" i="31"/>
  <c r="H80" i="31"/>
  <c r="F80" i="31"/>
  <c r="K79" i="31"/>
  <c r="H79" i="31"/>
  <c r="F79" i="31"/>
  <c r="K78" i="31"/>
  <c r="H78" i="31"/>
  <c r="F78" i="31"/>
  <c r="K77" i="31"/>
  <c r="H77" i="31"/>
  <c r="F77" i="31"/>
  <c r="K76" i="31"/>
  <c r="H76" i="31"/>
  <c r="F76" i="31"/>
  <c r="K75" i="31"/>
  <c r="H75" i="31"/>
  <c r="F75" i="31"/>
  <c r="K74" i="31"/>
  <c r="H74" i="31"/>
  <c r="F74" i="31"/>
  <c r="K73" i="31"/>
  <c r="H73" i="31"/>
  <c r="F73" i="31"/>
  <c r="K72" i="31"/>
  <c r="H72" i="31"/>
  <c r="F72" i="31"/>
  <c r="K71" i="31"/>
  <c r="H71" i="31"/>
  <c r="F71" i="31"/>
  <c r="K70" i="31"/>
  <c r="H70" i="31"/>
  <c r="F70" i="31"/>
  <c r="K69" i="31"/>
  <c r="H69" i="31"/>
  <c r="F69" i="31"/>
  <c r="K68" i="31"/>
  <c r="H68" i="31"/>
  <c r="F68" i="31"/>
  <c r="K67" i="31"/>
  <c r="H67" i="31"/>
  <c r="F67" i="31"/>
  <c r="K66" i="31"/>
  <c r="H66" i="31"/>
  <c r="F66" i="31"/>
  <c r="K65" i="31"/>
  <c r="H65" i="31"/>
  <c r="F65" i="31"/>
  <c r="K64" i="31"/>
  <c r="H64" i="31"/>
  <c r="F64" i="31"/>
  <c r="K63" i="31"/>
  <c r="H63" i="31"/>
  <c r="F63" i="31"/>
  <c r="K62" i="31"/>
  <c r="H62" i="31"/>
  <c r="F62" i="31"/>
  <c r="K61" i="31"/>
  <c r="H61" i="31"/>
  <c r="F61" i="31"/>
  <c r="K60" i="31"/>
  <c r="H60" i="31"/>
  <c r="F60" i="31"/>
  <c r="K59" i="31"/>
  <c r="H59" i="31"/>
  <c r="F59" i="31"/>
  <c r="K58" i="31"/>
  <c r="H58" i="31"/>
  <c r="F58" i="31"/>
  <c r="K57" i="31"/>
  <c r="H57" i="31"/>
  <c r="F57" i="31"/>
  <c r="K56" i="31"/>
  <c r="H56" i="31"/>
  <c r="F56" i="31"/>
  <c r="K55" i="31"/>
  <c r="H55" i="31"/>
  <c r="F55" i="31"/>
  <c r="K54" i="31"/>
  <c r="H54" i="31"/>
  <c r="F54" i="31"/>
  <c r="K53" i="31"/>
  <c r="H53" i="31"/>
  <c r="F53" i="31"/>
  <c r="K52" i="31"/>
  <c r="H52" i="31"/>
  <c r="F52" i="31"/>
  <c r="K51" i="31"/>
  <c r="H51" i="31"/>
  <c r="F51" i="31"/>
  <c r="K50" i="31"/>
  <c r="H50" i="31"/>
  <c r="F50" i="31"/>
  <c r="K49" i="31"/>
  <c r="H49" i="31"/>
  <c r="F49" i="31"/>
  <c r="K48" i="31"/>
  <c r="H48" i="31"/>
  <c r="F48" i="31"/>
  <c r="I44" i="31"/>
  <c r="I88" i="31" s="1"/>
  <c r="H44" i="31"/>
  <c r="F44" i="31"/>
  <c r="K41" i="31"/>
  <c r="H41" i="31"/>
  <c r="F41" i="31"/>
  <c r="K40" i="31"/>
  <c r="H40" i="31"/>
  <c r="F40" i="31"/>
  <c r="K39" i="31"/>
  <c r="H39" i="31"/>
  <c r="F39" i="31"/>
  <c r="K38" i="31"/>
  <c r="H38" i="31"/>
  <c r="F38" i="31"/>
  <c r="K37" i="31"/>
  <c r="H37" i="31"/>
  <c r="F37" i="31"/>
  <c r="K36" i="31"/>
  <c r="H36" i="31"/>
  <c r="F36" i="31"/>
  <c r="K35" i="31"/>
  <c r="H35" i="31"/>
  <c r="F35" i="31"/>
  <c r="K34" i="31"/>
  <c r="H34" i="31"/>
  <c r="F34" i="31"/>
  <c r="K33" i="31"/>
  <c r="H33" i="31"/>
  <c r="F33" i="31"/>
  <c r="K32" i="31"/>
  <c r="H32" i="31"/>
  <c r="F32" i="31"/>
  <c r="K31" i="31"/>
  <c r="H31" i="31"/>
  <c r="F31" i="31"/>
  <c r="K30" i="31"/>
  <c r="H30" i="31"/>
  <c r="F30" i="31"/>
  <c r="K29" i="31"/>
  <c r="H29" i="31"/>
  <c r="F29" i="31"/>
  <c r="K28" i="31"/>
  <c r="H28" i="31"/>
  <c r="F28" i="31"/>
  <c r="K27" i="31"/>
  <c r="H27" i="31"/>
  <c r="F27" i="31"/>
  <c r="K26" i="31"/>
  <c r="H26" i="31"/>
  <c r="F26" i="31"/>
  <c r="K25" i="31"/>
  <c r="H25" i="31"/>
  <c r="F25" i="31"/>
  <c r="K24" i="31"/>
  <c r="H24" i="31"/>
  <c r="F24" i="31"/>
  <c r="K23" i="31"/>
  <c r="H23" i="31"/>
  <c r="F23" i="31"/>
  <c r="K22" i="31"/>
  <c r="H22" i="31"/>
  <c r="F22" i="31"/>
  <c r="K21" i="31"/>
  <c r="H21" i="31"/>
  <c r="F21" i="31"/>
  <c r="K20" i="31"/>
  <c r="H20" i="31"/>
  <c r="F20" i="31"/>
  <c r="K19" i="31"/>
  <c r="H19" i="31"/>
  <c r="F19" i="31"/>
  <c r="K18" i="31"/>
  <c r="H18" i="31"/>
  <c r="F18" i="31"/>
  <c r="K17" i="31"/>
  <c r="H17" i="31"/>
  <c r="F17" i="31"/>
  <c r="K16" i="31"/>
  <c r="H16" i="31"/>
  <c r="F16" i="31"/>
  <c r="K15" i="31"/>
  <c r="H15" i="31"/>
  <c r="F15" i="31"/>
  <c r="K14" i="31"/>
  <c r="H14" i="31"/>
  <c r="F14" i="31"/>
  <c r="K13" i="31"/>
  <c r="H13" i="31"/>
  <c r="F13" i="31"/>
  <c r="K12" i="31"/>
  <c r="H12" i="31"/>
  <c r="F12" i="31"/>
  <c r="K11" i="31"/>
  <c r="H11" i="31"/>
  <c r="F11" i="31"/>
  <c r="K10" i="31"/>
  <c r="H10" i="31"/>
  <c r="F10" i="31"/>
  <c r="K9" i="31"/>
  <c r="H9" i="31"/>
  <c r="F9" i="31"/>
  <c r="K8" i="31"/>
  <c r="H8" i="31"/>
  <c r="F8" i="31"/>
  <c r="K7" i="31"/>
  <c r="H7" i="31"/>
  <c r="F7" i="31"/>
  <c r="K6" i="31"/>
  <c r="H6" i="31"/>
  <c r="F6" i="31"/>
  <c r="K5" i="31"/>
  <c r="H5" i="31"/>
  <c r="F5" i="31"/>
  <c r="K4" i="31"/>
  <c r="H4" i="31"/>
  <c r="F4" i="31"/>
  <c r="H88" i="30"/>
  <c r="F88" i="30"/>
  <c r="K87" i="30"/>
  <c r="H87" i="30"/>
  <c r="F87" i="30"/>
  <c r="K85" i="30"/>
  <c r="H85" i="30"/>
  <c r="F85" i="30"/>
  <c r="K84" i="30"/>
  <c r="H84" i="30"/>
  <c r="F84" i="30"/>
  <c r="K83" i="30"/>
  <c r="H83" i="30"/>
  <c r="F83" i="30"/>
  <c r="K82" i="30"/>
  <c r="H82" i="30"/>
  <c r="F82" i="30"/>
  <c r="K81" i="30"/>
  <c r="H81" i="30"/>
  <c r="F81" i="30"/>
  <c r="K80" i="30"/>
  <c r="H80" i="30"/>
  <c r="F80" i="30"/>
  <c r="K79" i="30"/>
  <c r="H79" i="30"/>
  <c r="F79" i="30"/>
  <c r="K78" i="30"/>
  <c r="H78" i="30"/>
  <c r="F78" i="30"/>
  <c r="K77" i="30"/>
  <c r="H77" i="30"/>
  <c r="F77" i="30"/>
  <c r="K76" i="30"/>
  <c r="H76" i="30"/>
  <c r="F76" i="30"/>
  <c r="K75" i="30"/>
  <c r="H75" i="30"/>
  <c r="F75" i="30"/>
  <c r="K74" i="30"/>
  <c r="H74" i="30"/>
  <c r="F74" i="30"/>
  <c r="K73" i="30"/>
  <c r="H73" i="30"/>
  <c r="F73" i="30"/>
  <c r="K72" i="30"/>
  <c r="H72" i="30"/>
  <c r="F72" i="30"/>
  <c r="K71" i="30"/>
  <c r="H71" i="30"/>
  <c r="F71" i="30"/>
  <c r="K70" i="30"/>
  <c r="H70" i="30"/>
  <c r="F70" i="30"/>
  <c r="K69" i="30"/>
  <c r="H69" i="30"/>
  <c r="F69" i="30"/>
  <c r="K68" i="30"/>
  <c r="H68" i="30"/>
  <c r="F68" i="30"/>
  <c r="K67" i="30"/>
  <c r="H67" i="30"/>
  <c r="F67" i="30"/>
  <c r="K66" i="30"/>
  <c r="H66" i="30"/>
  <c r="F66" i="30"/>
  <c r="K65" i="30"/>
  <c r="H65" i="30"/>
  <c r="F65" i="30"/>
  <c r="K64" i="30"/>
  <c r="H64" i="30"/>
  <c r="F64" i="30"/>
  <c r="K63" i="30"/>
  <c r="H63" i="30"/>
  <c r="F63" i="30"/>
  <c r="K62" i="30"/>
  <c r="H62" i="30"/>
  <c r="F62" i="30"/>
  <c r="K61" i="30"/>
  <c r="H61" i="30"/>
  <c r="F61" i="30"/>
  <c r="K60" i="30"/>
  <c r="H60" i="30"/>
  <c r="F60" i="30"/>
  <c r="K59" i="30"/>
  <c r="H59" i="30"/>
  <c r="F59" i="30"/>
  <c r="K58" i="30"/>
  <c r="H58" i="30"/>
  <c r="F58" i="30"/>
  <c r="K57" i="30"/>
  <c r="H57" i="30"/>
  <c r="F57" i="30"/>
  <c r="K56" i="30"/>
  <c r="H56" i="30"/>
  <c r="F56" i="30"/>
  <c r="K55" i="30"/>
  <c r="H55" i="30"/>
  <c r="F55" i="30"/>
  <c r="K54" i="30"/>
  <c r="H54" i="30"/>
  <c r="F54" i="30"/>
  <c r="K53" i="30"/>
  <c r="H53" i="30"/>
  <c r="F53" i="30"/>
  <c r="K52" i="30"/>
  <c r="H52" i="30"/>
  <c r="F52" i="30"/>
  <c r="K51" i="30"/>
  <c r="H51" i="30"/>
  <c r="F51" i="30"/>
  <c r="K50" i="30"/>
  <c r="H50" i="30"/>
  <c r="F50" i="30"/>
  <c r="K49" i="30"/>
  <c r="H49" i="30"/>
  <c r="F49" i="30"/>
  <c r="K48" i="30"/>
  <c r="H48" i="30"/>
  <c r="F48" i="30"/>
  <c r="I44" i="30"/>
  <c r="I88" i="30" s="1"/>
  <c r="H44" i="30"/>
  <c r="F44" i="30"/>
  <c r="K41" i="30"/>
  <c r="H41" i="30"/>
  <c r="F41" i="30"/>
  <c r="K40" i="30"/>
  <c r="H40" i="30"/>
  <c r="F40" i="30"/>
  <c r="K39" i="30"/>
  <c r="H39" i="30"/>
  <c r="F39" i="30"/>
  <c r="K38" i="30"/>
  <c r="H38" i="30"/>
  <c r="F38" i="30"/>
  <c r="K37" i="30"/>
  <c r="H37" i="30"/>
  <c r="F37" i="30"/>
  <c r="K36" i="30"/>
  <c r="H36" i="30"/>
  <c r="F36" i="30"/>
  <c r="K35" i="30"/>
  <c r="H35" i="30"/>
  <c r="F35" i="30"/>
  <c r="K34" i="30"/>
  <c r="H34" i="30"/>
  <c r="F34" i="30"/>
  <c r="K33" i="30"/>
  <c r="H33" i="30"/>
  <c r="F33" i="30"/>
  <c r="K32" i="30"/>
  <c r="H32" i="30"/>
  <c r="F32" i="30"/>
  <c r="K31" i="30"/>
  <c r="H31" i="30"/>
  <c r="F31" i="30"/>
  <c r="K30" i="30"/>
  <c r="H30" i="30"/>
  <c r="F30" i="30"/>
  <c r="K29" i="30"/>
  <c r="H29" i="30"/>
  <c r="F29" i="30"/>
  <c r="K28" i="30"/>
  <c r="H28" i="30"/>
  <c r="F28" i="30"/>
  <c r="K27" i="30"/>
  <c r="H27" i="30"/>
  <c r="F27" i="30"/>
  <c r="K26" i="30"/>
  <c r="H26" i="30"/>
  <c r="F26" i="30"/>
  <c r="K25" i="30"/>
  <c r="H25" i="30"/>
  <c r="F25" i="30"/>
  <c r="K24" i="30"/>
  <c r="H24" i="30"/>
  <c r="F24" i="30"/>
  <c r="K23" i="30"/>
  <c r="H23" i="30"/>
  <c r="F23" i="30"/>
  <c r="K22" i="30"/>
  <c r="H22" i="30"/>
  <c r="F22" i="30"/>
  <c r="K21" i="30"/>
  <c r="H21" i="30"/>
  <c r="F21" i="30"/>
  <c r="K20" i="30"/>
  <c r="H20" i="30"/>
  <c r="F20" i="30"/>
  <c r="K19" i="30"/>
  <c r="H19" i="30"/>
  <c r="F19" i="30"/>
  <c r="K18" i="30"/>
  <c r="H18" i="30"/>
  <c r="F18" i="30"/>
  <c r="K17" i="30"/>
  <c r="H17" i="30"/>
  <c r="F17" i="30"/>
  <c r="K16" i="30"/>
  <c r="H16" i="30"/>
  <c r="F16" i="30"/>
  <c r="K15" i="30"/>
  <c r="H15" i="30"/>
  <c r="F15" i="30"/>
  <c r="K14" i="30"/>
  <c r="H14" i="30"/>
  <c r="F14" i="30"/>
  <c r="K13" i="30"/>
  <c r="H13" i="30"/>
  <c r="F13" i="30"/>
  <c r="K12" i="30"/>
  <c r="H12" i="30"/>
  <c r="F12" i="30"/>
  <c r="K11" i="30"/>
  <c r="H11" i="30"/>
  <c r="F11" i="30"/>
  <c r="K10" i="30"/>
  <c r="H10" i="30"/>
  <c r="F10" i="30"/>
  <c r="K9" i="30"/>
  <c r="H9" i="30"/>
  <c r="F9" i="30"/>
  <c r="K8" i="30"/>
  <c r="H8" i="30"/>
  <c r="F8" i="30"/>
  <c r="K7" i="30"/>
  <c r="H7" i="30"/>
  <c r="F7" i="30"/>
  <c r="K6" i="30"/>
  <c r="H6" i="30"/>
  <c r="F6" i="30"/>
  <c r="K5" i="30"/>
  <c r="H5" i="30"/>
  <c r="F5" i="30"/>
  <c r="K4" i="30"/>
  <c r="N44" i="30" s="1"/>
  <c r="H4" i="30"/>
  <c r="F4" i="30"/>
  <c r="H88" i="29"/>
  <c r="F88" i="29"/>
  <c r="K87" i="29"/>
  <c r="H87" i="29"/>
  <c r="F87" i="29"/>
  <c r="K85" i="29"/>
  <c r="H85" i="29"/>
  <c r="F85" i="29"/>
  <c r="K84" i="29"/>
  <c r="H84" i="29"/>
  <c r="F84" i="29"/>
  <c r="K83" i="29"/>
  <c r="H83" i="29"/>
  <c r="F83" i="29"/>
  <c r="K82" i="29"/>
  <c r="H82" i="29"/>
  <c r="F82" i="29"/>
  <c r="K81" i="29"/>
  <c r="H81" i="29"/>
  <c r="F81" i="29"/>
  <c r="K80" i="29"/>
  <c r="H80" i="29"/>
  <c r="F80" i="29"/>
  <c r="K79" i="29"/>
  <c r="H79" i="29"/>
  <c r="F79" i="29"/>
  <c r="K78" i="29"/>
  <c r="H78" i="29"/>
  <c r="F78" i="29"/>
  <c r="K77" i="29"/>
  <c r="H77" i="29"/>
  <c r="F77" i="29"/>
  <c r="K76" i="29"/>
  <c r="H76" i="29"/>
  <c r="F76" i="29"/>
  <c r="K75" i="29"/>
  <c r="H75" i="29"/>
  <c r="F75" i="29"/>
  <c r="K74" i="29"/>
  <c r="H74" i="29"/>
  <c r="F74" i="29"/>
  <c r="K73" i="29"/>
  <c r="H73" i="29"/>
  <c r="F73" i="29"/>
  <c r="K72" i="29"/>
  <c r="H72" i="29"/>
  <c r="F72" i="29"/>
  <c r="K71" i="29"/>
  <c r="H71" i="29"/>
  <c r="F71" i="29"/>
  <c r="K70" i="29"/>
  <c r="H70" i="29"/>
  <c r="F70" i="29"/>
  <c r="K69" i="29"/>
  <c r="H69" i="29"/>
  <c r="F69" i="29"/>
  <c r="K68" i="29"/>
  <c r="H68" i="29"/>
  <c r="F68" i="29"/>
  <c r="K67" i="29"/>
  <c r="H67" i="29"/>
  <c r="F67" i="29"/>
  <c r="K66" i="29"/>
  <c r="H66" i="29"/>
  <c r="F66" i="29"/>
  <c r="K65" i="29"/>
  <c r="H65" i="29"/>
  <c r="F65" i="29"/>
  <c r="K64" i="29"/>
  <c r="H64" i="29"/>
  <c r="F64" i="29"/>
  <c r="K63" i="29"/>
  <c r="H63" i="29"/>
  <c r="F63" i="29"/>
  <c r="K62" i="29"/>
  <c r="H62" i="29"/>
  <c r="F62" i="29"/>
  <c r="K61" i="29"/>
  <c r="H61" i="29"/>
  <c r="F61" i="29"/>
  <c r="K60" i="29"/>
  <c r="H60" i="29"/>
  <c r="F60" i="29"/>
  <c r="K59" i="29"/>
  <c r="H59" i="29"/>
  <c r="F59" i="29"/>
  <c r="K58" i="29"/>
  <c r="H58" i="29"/>
  <c r="F58" i="29"/>
  <c r="K57" i="29"/>
  <c r="H57" i="29"/>
  <c r="F57" i="29"/>
  <c r="K56" i="29"/>
  <c r="H56" i="29"/>
  <c r="F56" i="29"/>
  <c r="K55" i="29"/>
  <c r="H55" i="29"/>
  <c r="F55" i="29"/>
  <c r="K54" i="29"/>
  <c r="H54" i="29"/>
  <c r="F54" i="29"/>
  <c r="K53" i="29"/>
  <c r="H53" i="29"/>
  <c r="F53" i="29"/>
  <c r="K52" i="29"/>
  <c r="H52" i="29"/>
  <c r="F52" i="29"/>
  <c r="K51" i="29"/>
  <c r="H51" i="29"/>
  <c r="F51" i="29"/>
  <c r="K50" i="29"/>
  <c r="H50" i="29"/>
  <c r="F50" i="29"/>
  <c r="K49" i="29"/>
  <c r="H49" i="29"/>
  <c r="F49" i="29"/>
  <c r="K48" i="29"/>
  <c r="H48" i="29"/>
  <c r="F48" i="29"/>
  <c r="I44" i="29"/>
  <c r="I88" i="29" s="1"/>
  <c r="H44" i="29"/>
  <c r="F44" i="29"/>
  <c r="K41" i="29"/>
  <c r="H41" i="29"/>
  <c r="F41" i="29"/>
  <c r="K40" i="29"/>
  <c r="H40" i="29"/>
  <c r="F40" i="29"/>
  <c r="K39" i="29"/>
  <c r="H39" i="29"/>
  <c r="F39" i="29"/>
  <c r="K38" i="29"/>
  <c r="H38" i="29"/>
  <c r="F38" i="29"/>
  <c r="K37" i="29"/>
  <c r="H37" i="29"/>
  <c r="F37" i="29"/>
  <c r="K36" i="29"/>
  <c r="H36" i="29"/>
  <c r="F36" i="29"/>
  <c r="K35" i="29"/>
  <c r="H35" i="29"/>
  <c r="F35" i="29"/>
  <c r="K34" i="29"/>
  <c r="H34" i="29"/>
  <c r="F34" i="29"/>
  <c r="K33" i="29"/>
  <c r="H33" i="29"/>
  <c r="F33" i="29"/>
  <c r="K32" i="29"/>
  <c r="H32" i="29"/>
  <c r="F32" i="29"/>
  <c r="K31" i="29"/>
  <c r="H31" i="29"/>
  <c r="F31" i="29"/>
  <c r="K30" i="29"/>
  <c r="H30" i="29"/>
  <c r="F30" i="29"/>
  <c r="K29" i="29"/>
  <c r="H29" i="29"/>
  <c r="F29" i="29"/>
  <c r="K28" i="29"/>
  <c r="H28" i="29"/>
  <c r="F28" i="29"/>
  <c r="K27" i="29"/>
  <c r="H27" i="29"/>
  <c r="F27" i="29"/>
  <c r="K26" i="29"/>
  <c r="H26" i="29"/>
  <c r="F26" i="29"/>
  <c r="K25" i="29"/>
  <c r="H25" i="29"/>
  <c r="F25" i="29"/>
  <c r="K24" i="29"/>
  <c r="H24" i="29"/>
  <c r="F24" i="29"/>
  <c r="K23" i="29"/>
  <c r="H23" i="29"/>
  <c r="F23" i="29"/>
  <c r="K22" i="29"/>
  <c r="H22" i="29"/>
  <c r="F22" i="29"/>
  <c r="K21" i="29"/>
  <c r="H21" i="29"/>
  <c r="F21" i="29"/>
  <c r="K20" i="29"/>
  <c r="H20" i="29"/>
  <c r="F20" i="29"/>
  <c r="K19" i="29"/>
  <c r="H19" i="29"/>
  <c r="F19" i="29"/>
  <c r="K18" i="29"/>
  <c r="H18" i="29"/>
  <c r="F18" i="29"/>
  <c r="K17" i="29"/>
  <c r="H17" i="29"/>
  <c r="F17" i="29"/>
  <c r="K16" i="29"/>
  <c r="H16" i="29"/>
  <c r="F16" i="29"/>
  <c r="K15" i="29"/>
  <c r="H15" i="29"/>
  <c r="F15" i="29"/>
  <c r="K14" i="29"/>
  <c r="H14" i="29"/>
  <c r="F14" i="29"/>
  <c r="K13" i="29"/>
  <c r="H13" i="29"/>
  <c r="F13" i="29"/>
  <c r="K12" i="29"/>
  <c r="H12" i="29"/>
  <c r="F12" i="29"/>
  <c r="K11" i="29"/>
  <c r="H11" i="29"/>
  <c r="F11" i="29"/>
  <c r="K10" i="29"/>
  <c r="H10" i="29"/>
  <c r="F10" i="29"/>
  <c r="K9" i="29"/>
  <c r="H9" i="29"/>
  <c r="F9" i="29"/>
  <c r="K8" i="29"/>
  <c r="H8" i="29"/>
  <c r="F8" i="29"/>
  <c r="K7" i="29"/>
  <c r="H7" i="29"/>
  <c r="F7" i="29"/>
  <c r="K6" i="29"/>
  <c r="H6" i="29"/>
  <c r="F6" i="29"/>
  <c r="K5" i="29"/>
  <c r="H5" i="29"/>
  <c r="F5" i="29"/>
  <c r="K4" i="29"/>
  <c r="H4" i="29"/>
  <c r="F4" i="29"/>
  <c r="H88" i="28"/>
  <c r="F88" i="28"/>
  <c r="K87" i="28"/>
  <c r="H87" i="28"/>
  <c r="F87" i="28"/>
  <c r="K85" i="28"/>
  <c r="H85" i="28"/>
  <c r="F85" i="28"/>
  <c r="K84" i="28"/>
  <c r="H84" i="28"/>
  <c r="F84" i="28"/>
  <c r="K83" i="28"/>
  <c r="H83" i="28"/>
  <c r="F83" i="28"/>
  <c r="K82" i="28"/>
  <c r="H82" i="28"/>
  <c r="F82" i="28"/>
  <c r="K81" i="28"/>
  <c r="H81" i="28"/>
  <c r="F81" i="28"/>
  <c r="K80" i="28"/>
  <c r="H80" i="28"/>
  <c r="F80" i="28"/>
  <c r="K79" i="28"/>
  <c r="H79" i="28"/>
  <c r="F79" i="28"/>
  <c r="K78" i="28"/>
  <c r="H78" i="28"/>
  <c r="F78" i="28"/>
  <c r="K77" i="28"/>
  <c r="H77" i="28"/>
  <c r="F77" i="28"/>
  <c r="K76" i="28"/>
  <c r="H76" i="28"/>
  <c r="F76" i="28"/>
  <c r="K75" i="28"/>
  <c r="H75" i="28"/>
  <c r="F75" i="28"/>
  <c r="K74" i="28"/>
  <c r="H74" i="28"/>
  <c r="F74" i="28"/>
  <c r="K73" i="28"/>
  <c r="H73" i="28"/>
  <c r="F73" i="28"/>
  <c r="K72" i="28"/>
  <c r="H72" i="28"/>
  <c r="F72" i="28"/>
  <c r="K71" i="28"/>
  <c r="H71" i="28"/>
  <c r="F71" i="28"/>
  <c r="K70" i="28"/>
  <c r="H70" i="28"/>
  <c r="F70" i="28"/>
  <c r="K69" i="28"/>
  <c r="H69" i="28"/>
  <c r="F69" i="28"/>
  <c r="K68" i="28"/>
  <c r="H68" i="28"/>
  <c r="F68" i="28"/>
  <c r="K67" i="28"/>
  <c r="H67" i="28"/>
  <c r="F67" i="28"/>
  <c r="K66" i="28"/>
  <c r="H66" i="28"/>
  <c r="F66" i="28"/>
  <c r="K65" i="28"/>
  <c r="H65" i="28"/>
  <c r="F65" i="28"/>
  <c r="K64" i="28"/>
  <c r="H64" i="28"/>
  <c r="F64" i="28"/>
  <c r="K63" i="28"/>
  <c r="H63" i="28"/>
  <c r="F63" i="28"/>
  <c r="K62" i="28"/>
  <c r="H62" i="28"/>
  <c r="F62" i="28"/>
  <c r="K61" i="28"/>
  <c r="H61" i="28"/>
  <c r="F61" i="28"/>
  <c r="K60" i="28"/>
  <c r="H60" i="28"/>
  <c r="F60" i="28"/>
  <c r="K59" i="28"/>
  <c r="H59" i="28"/>
  <c r="F59" i="28"/>
  <c r="K58" i="28"/>
  <c r="H58" i="28"/>
  <c r="F58" i="28"/>
  <c r="K57" i="28"/>
  <c r="H57" i="28"/>
  <c r="F57" i="28"/>
  <c r="K56" i="28"/>
  <c r="H56" i="28"/>
  <c r="F56" i="28"/>
  <c r="K55" i="28"/>
  <c r="H55" i="28"/>
  <c r="F55" i="28"/>
  <c r="K54" i="28"/>
  <c r="H54" i="28"/>
  <c r="F54" i="28"/>
  <c r="K53" i="28"/>
  <c r="H53" i="28"/>
  <c r="F53" i="28"/>
  <c r="K52" i="28"/>
  <c r="H52" i="28"/>
  <c r="F52" i="28"/>
  <c r="K51" i="28"/>
  <c r="H51" i="28"/>
  <c r="F51" i="28"/>
  <c r="K50" i="28"/>
  <c r="H50" i="28"/>
  <c r="F50" i="28"/>
  <c r="K49" i="28"/>
  <c r="H49" i="28"/>
  <c r="F49" i="28"/>
  <c r="K48" i="28"/>
  <c r="H48" i="28"/>
  <c r="F48" i="28"/>
  <c r="I44" i="28"/>
  <c r="H44" i="28"/>
  <c r="F44" i="28"/>
  <c r="K41" i="28"/>
  <c r="H41" i="28"/>
  <c r="F41" i="28"/>
  <c r="K40" i="28"/>
  <c r="H40" i="28"/>
  <c r="F40" i="28"/>
  <c r="K39" i="28"/>
  <c r="H39" i="28"/>
  <c r="F39" i="28"/>
  <c r="K38" i="28"/>
  <c r="H38" i="28"/>
  <c r="F38" i="28"/>
  <c r="K37" i="28"/>
  <c r="H37" i="28"/>
  <c r="F37" i="28"/>
  <c r="K36" i="28"/>
  <c r="H36" i="28"/>
  <c r="F36" i="28"/>
  <c r="K35" i="28"/>
  <c r="H35" i="28"/>
  <c r="F35" i="28"/>
  <c r="K34" i="28"/>
  <c r="H34" i="28"/>
  <c r="F34" i="28"/>
  <c r="K33" i="28"/>
  <c r="H33" i="28"/>
  <c r="F33" i="28"/>
  <c r="K32" i="28"/>
  <c r="H32" i="28"/>
  <c r="F32" i="28"/>
  <c r="K31" i="28"/>
  <c r="H31" i="28"/>
  <c r="F31" i="28"/>
  <c r="K30" i="28"/>
  <c r="H30" i="28"/>
  <c r="F30" i="28"/>
  <c r="K29" i="28"/>
  <c r="H29" i="28"/>
  <c r="F29" i="28"/>
  <c r="K28" i="28"/>
  <c r="H28" i="28"/>
  <c r="F28" i="28"/>
  <c r="K27" i="28"/>
  <c r="H27" i="28"/>
  <c r="F27" i="28"/>
  <c r="K26" i="28"/>
  <c r="H26" i="28"/>
  <c r="F26" i="28"/>
  <c r="K25" i="28"/>
  <c r="H25" i="28"/>
  <c r="F25" i="28"/>
  <c r="K24" i="28"/>
  <c r="H24" i="28"/>
  <c r="F24" i="28"/>
  <c r="K23" i="28"/>
  <c r="H23" i="28"/>
  <c r="F23" i="28"/>
  <c r="K22" i="28"/>
  <c r="F22" i="28"/>
  <c r="K21" i="28"/>
  <c r="H21" i="28"/>
  <c r="F21" i="28"/>
  <c r="K20" i="28"/>
  <c r="H20" i="28"/>
  <c r="F20" i="28"/>
  <c r="K19" i="28"/>
  <c r="H19" i="28"/>
  <c r="F19" i="28"/>
  <c r="K18" i="28"/>
  <c r="H18" i="28"/>
  <c r="F18" i="28"/>
  <c r="K17" i="28"/>
  <c r="H17" i="28"/>
  <c r="F17" i="28"/>
  <c r="K16" i="28"/>
  <c r="H16" i="28"/>
  <c r="F16" i="28"/>
  <c r="K15" i="28"/>
  <c r="H15" i="28"/>
  <c r="F15" i="28"/>
  <c r="K14" i="28"/>
  <c r="H14" i="28"/>
  <c r="F14" i="28"/>
  <c r="K13" i="28"/>
  <c r="H13" i="28"/>
  <c r="F13" i="28"/>
  <c r="K12" i="28"/>
  <c r="H12" i="28"/>
  <c r="F12" i="28"/>
  <c r="K11" i="28"/>
  <c r="H11" i="28"/>
  <c r="F11" i="28"/>
  <c r="K10" i="28"/>
  <c r="H10" i="28"/>
  <c r="F10" i="28"/>
  <c r="K9" i="28"/>
  <c r="H9" i="28"/>
  <c r="F9" i="28"/>
  <c r="K8" i="28"/>
  <c r="H8" i="28"/>
  <c r="F8" i="28"/>
  <c r="K7" i="28"/>
  <c r="H7" i="28"/>
  <c r="F7" i="28"/>
  <c r="K6" i="28"/>
  <c r="H6" i="28"/>
  <c r="F6" i="28"/>
  <c r="K5" i="28"/>
  <c r="H5" i="28"/>
  <c r="F5" i="28"/>
  <c r="K4" i="28"/>
  <c r="H4" i="28"/>
  <c r="F4" i="28"/>
  <c r="H88" i="27"/>
  <c r="F88" i="27"/>
  <c r="K87" i="27"/>
  <c r="H87" i="27"/>
  <c r="F87" i="27"/>
  <c r="K85" i="27"/>
  <c r="H85" i="27"/>
  <c r="F85" i="27"/>
  <c r="K84" i="27"/>
  <c r="H84" i="27"/>
  <c r="F84" i="27"/>
  <c r="K83" i="27"/>
  <c r="H83" i="27"/>
  <c r="F83" i="27"/>
  <c r="K82" i="27"/>
  <c r="H82" i="27"/>
  <c r="F82" i="27"/>
  <c r="K81" i="27"/>
  <c r="H81" i="27"/>
  <c r="F81" i="27"/>
  <c r="K80" i="27"/>
  <c r="H80" i="27"/>
  <c r="F80" i="27"/>
  <c r="K79" i="27"/>
  <c r="H79" i="27"/>
  <c r="F79" i="27"/>
  <c r="K78" i="27"/>
  <c r="H78" i="27"/>
  <c r="F78" i="27"/>
  <c r="K77" i="27"/>
  <c r="H77" i="27"/>
  <c r="F77" i="27"/>
  <c r="K76" i="27"/>
  <c r="H76" i="27"/>
  <c r="F76" i="27"/>
  <c r="K75" i="27"/>
  <c r="H75" i="27"/>
  <c r="F75" i="27"/>
  <c r="K74" i="27"/>
  <c r="H74" i="27"/>
  <c r="F74" i="27"/>
  <c r="K73" i="27"/>
  <c r="H73" i="27"/>
  <c r="F73" i="27"/>
  <c r="K72" i="27"/>
  <c r="H72" i="27"/>
  <c r="F72" i="27"/>
  <c r="K71" i="27"/>
  <c r="H71" i="27"/>
  <c r="F71" i="27"/>
  <c r="K70" i="27"/>
  <c r="H70" i="27"/>
  <c r="F70" i="27"/>
  <c r="K69" i="27"/>
  <c r="H69" i="27"/>
  <c r="F69" i="27"/>
  <c r="K68" i="27"/>
  <c r="H68" i="27"/>
  <c r="F68" i="27"/>
  <c r="K67" i="27"/>
  <c r="H67" i="27"/>
  <c r="F67" i="27"/>
  <c r="K66" i="27"/>
  <c r="H66" i="27"/>
  <c r="F66" i="27"/>
  <c r="K65" i="27"/>
  <c r="H65" i="27"/>
  <c r="F65" i="27"/>
  <c r="K64" i="27"/>
  <c r="H64" i="27"/>
  <c r="F64" i="27"/>
  <c r="K63" i="27"/>
  <c r="H63" i="27"/>
  <c r="F63" i="27"/>
  <c r="K62" i="27"/>
  <c r="H62" i="27"/>
  <c r="F62" i="27"/>
  <c r="K61" i="27"/>
  <c r="H61" i="27"/>
  <c r="F61" i="27"/>
  <c r="K60" i="27"/>
  <c r="H60" i="27"/>
  <c r="F60" i="27"/>
  <c r="K59" i="27"/>
  <c r="H59" i="27"/>
  <c r="F59" i="27"/>
  <c r="K58" i="27"/>
  <c r="H58" i="27"/>
  <c r="F58" i="27"/>
  <c r="K57" i="27"/>
  <c r="H57" i="27"/>
  <c r="F57" i="27"/>
  <c r="K56" i="27"/>
  <c r="H56" i="27"/>
  <c r="F56" i="27"/>
  <c r="K55" i="27"/>
  <c r="H55" i="27"/>
  <c r="F55" i="27"/>
  <c r="K54" i="27"/>
  <c r="H54" i="27"/>
  <c r="F54" i="27"/>
  <c r="K53" i="27"/>
  <c r="H53" i="27"/>
  <c r="F53" i="27"/>
  <c r="K52" i="27"/>
  <c r="H52" i="27"/>
  <c r="F52" i="27"/>
  <c r="K51" i="27"/>
  <c r="H51" i="27"/>
  <c r="F51" i="27"/>
  <c r="K50" i="27"/>
  <c r="H50" i="27"/>
  <c r="F50" i="27"/>
  <c r="K49" i="27"/>
  <c r="H49" i="27"/>
  <c r="F49" i="27"/>
  <c r="K48" i="27"/>
  <c r="H48" i="27"/>
  <c r="F48" i="27"/>
  <c r="I44" i="27"/>
  <c r="I88" i="27" s="1"/>
  <c r="H44" i="27"/>
  <c r="F44" i="27"/>
  <c r="K41" i="27"/>
  <c r="H41" i="27"/>
  <c r="F41" i="27"/>
  <c r="K40" i="27"/>
  <c r="H40" i="27"/>
  <c r="F40" i="27"/>
  <c r="K39" i="27"/>
  <c r="H39" i="27"/>
  <c r="F39" i="27"/>
  <c r="K38" i="27"/>
  <c r="H38" i="27"/>
  <c r="F38" i="27"/>
  <c r="K37" i="27"/>
  <c r="H37" i="27"/>
  <c r="F37" i="27"/>
  <c r="K36" i="27"/>
  <c r="H36" i="27"/>
  <c r="F36" i="27"/>
  <c r="K35" i="27"/>
  <c r="H35" i="27"/>
  <c r="F35" i="27"/>
  <c r="K34" i="27"/>
  <c r="H34" i="27"/>
  <c r="F34" i="27"/>
  <c r="K33" i="27"/>
  <c r="H33" i="27"/>
  <c r="F33" i="27"/>
  <c r="K32" i="27"/>
  <c r="H32" i="27"/>
  <c r="F32" i="27"/>
  <c r="K31" i="27"/>
  <c r="H31" i="27"/>
  <c r="F31" i="27"/>
  <c r="K30" i="27"/>
  <c r="H30" i="27"/>
  <c r="F30" i="27"/>
  <c r="K29" i="27"/>
  <c r="H29" i="27"/>
  <c r="F29" i="27"/>
  <c r="K28" i="27"/>
  <c r="H28" i="27"/>
  <c r="F28" i="27"/>
  <c r="K27" i="27"/>
  <c r="H27" i="27"/>
  <c r="F27" i="27"/>
  <c r="K26" i="27"/>
  <c r="H26" i="27"/>
  <c r="F26" i="27"/>
  <c r="K25" i="27"/>
  <c r="H25" i="27"/>
  <c r="F25" i="27"/>
  <c r="K24" i="27"/>
  <c r="H24" i="27"/>
  <c r="F24" i="27"/>
  <c r="K23" i="27"/>
  <c r="H23" i="27"/>
  <c r="F23" i="27"/>
  <c r="K22" i="27"/>
  <c r="H22" i="27"/>
  <c r="F22" i="27"/>
  <c r="K21" i="27"/>
  <c r="H21" i="27"/>
  <c r="F21" i="27"/>
  <c r="K20" i="27"/>
  <c r="H20" i="27"/>
  <c r="F20" i="27"/>
  <c r="K19" i="27"/>
  <c r="H19" i="27"/>
  <c r="F19" i="27"/>
  <c r="K18" i="27"/>
  <c r="H18" i="27"/>
  <c r="F18" i="27"/>
  <c r="K17" i="27"/>
  <c r="H17" i="27"/>
  <c r="F17" i="27"/>
  <c r="K16" i="27"/>
  <c r="H16" i="27"/>
  <c r="F16" i="27"/>
  <c r="K15" i="27"/>
  <c r="H15" i="27"/>
  <c r="F15" i="27"/>
  <c r="K14" i="27"/>
  <c r="H14" i="27"/>
  <c r="F14" i="27"/>
  <c r="K13" i="27"/>
  <c r="H13" i="27"/>
  <c r="F13" i="27"/>
  <c r="K12" i="27"/>
  <c r="H12" i="27"/>
  <c r="F12" i="27"/>
  <c r="K11" i="27"/>
  <c r="H11" i="27"/>
  <c r="F11" i="27"/>
  <c r="K10" i="27"/>
  <c r="H10" i="27"/>
  <c r="F10" i="27"/>
  <c r="K9" i="27"/>
  <c r="H9" i="27"/>
  <c r="F9" i="27"/>
  <c r="K8" i="27"/>
  <c r="H8" i="27"/>
  <c r="F8" i="27"/>
  <c r="K7" i="27"/>
  <c r="H7" i="27"/>
  <c r="F7" i="27"/>
  <c r="K6" i="27"/>
  <c r="H6" i="27"/>
  <c r="F6" i="27"/>
  <c r="K5" i="27"/>
  <c r="H5" i="27"/>
  <c r="F5" i="27"/>
  <c r="K4" i="27"/>
  <c r="H4" i="27"/>
  <c r="F4" i="27"/>
  <c r="H88" i="26"/>
  <c r="F88" i="26"/>
  <c r="K87" i="26"/>
  <c r="H87" i="26"/>
  <c r="F87" i="26"/>
  <c r="K85" i="26"/>
  <c r="H85" i="26"/>
  <c r="F85" i="26"/>
  <c r="K84" i="26"/>
  <c r="H84" i="26"/>
  <c r="F84" i="26"/>
  <c r="K83" i="26"/>
  <c r="H83" i="26"/>
  <c r="F83" i="26"/>
  <c r="K82" i="26"/>
  <c r="H82" i="26"/>
  <c r="F82" i="26"/>
  <c r="K81" i="26"/>
  <c r="H81" i="26"/>
  <c r="F81" i="26"/>
  <c r="K80" i="26"/>
  <c r="H80" i="26"/>
  <c r="F80" i="26"/>
  <c r="K79" i="26"/>
  <c r="H79" i="26"/>
  <c r="F79" i="26"/>
  <c r="K78" i="26"/>
  <c r="H78" i="26"/>
  <c r="F78" i="26"/>
  <c r="K77" i="26"/>
  <c r="H77" i="26"/>
  <c r="F77" i="26"/>
  <c r="K76" i="26"/>
  <c r="H76" i="26"/>
  <c r="F76" i="26"/>
  <c r="K75" i="26"/>
  <c r="H75" i="26"/>
  <c r="F75" i="26"/>
  <c r="K74" i="26"/>
  <c r="H74" i="26"/>
  <c r="F74" i="26"/>
  <c r="K73" i="26"/>
  <c r="H73" i="26"/>
  <c r="F73" i="26"/>
  <c r="K72" i="26"/>
  <c r="H72" i="26"/>
  <c r="F72" i="26"/>
  <c r="K71" i="26"/>
  <c r="H71" i="26"/>
  <c r="F71" i="26"/>
  <c r="K70" i="26"/>
  <c r="H70" i="26"/>
  <c r="F70" i="26"/>
  <c r="K69" i="26"/>
  <c r="H69" i="26"/>
  <c r="F69" i="26"/>
  <c r="K68" i="26"/>
  <c r="H68" i="26"/>
  <c r="F68" i="26"/>
  <c r="K67" i="26"/>
  <c r="H67" i="26"/>
  <c r="F67" i="26"/>
  <c r="K66" i="26"/>
  <c r="H66" i="26"/>
  <c r="F66" i="26"/>
  <c r="K65" i="26"/>
  <c r="H65" i="26"/>
  <c r="F65" i="26"/>
  <c r="K64" i="26"/>
  <c r="H64" i="26"/>
  <c r="F64" i="26"/>
  <c r="K63" i="26"/>
  <c r="H63" i="26"/>
  <c r="F63" i="26"/>
  <c r="K62" i="26"/>
  <c r="H62" i="26"/>
  <c r="F62" i="26"/>
  <c r="K61" i="26"/>
  <c r="H61" i="26"/>
  <c r="F61" i="26"/>
  <c r="K60" i="26"/>
  <c r="H60" i="26"/>
  <c r="F60" i="26"/>
  <c r="K59" i="26"/>
  <c r="H59" i="26"/>
  <c r="F59" i="26"/>
  <c r="K58" i="26"/>
  <c r="H58" i="26"/>
  <c r="F58" i="26"/>
  <c r="K57" i="26"/>
  <c r="H57" i="26"/>
  <c r="F57" i="26"/>
  <c r="K56" i="26"/>
  <c r="H56" i="26"/>
  <c r="F56" i="26"/>
  <c r="K55" i="26"/>
  <c r="H55" i="26"/>
  <c r="F55" i="26"/>
  <c r="K54" i="26"/>
  <c r="H54" i="26"/>
  <c r="F54" i="26"/>
  <c r="K53" i="26"/>
  <c r="H53" i="26"/>
  <c r="F53" i="26"/>
  <c r="K52" i="26"/>
  <c r="H52" i="26"/>
  <c r="F52" i="26"/>
  <c r="K51" i="26"/>
  <c r="H51" i="26"/>
  <c r="F51" i="26"/>
  <c r="K50" i="26"/>
  <c r="H50" i="26"/>
  <c r="F50" i="26"/>
  <c r="K49" i="26"/>
  <c r="H49" i="26"/>
  <c r="F49" i="26"/>
  <c r="K48" i="26"/>
  <c r="H48" i="26"/>
  <c r="F48" i="26"/>
  <c r="I44" i="26"/>
  <c r="I88" i="26" s="1"/>
  <c r="H44" i="26"/>
  <c r="F44" i="26"/>
  <c r="K41" i="26"/>
  <c r="H41" i="26"/>
  <c r="F41" i="26"/>
  <c r="K40" i="26"/>
  <c r="H40" i="26"/>
  <c r="F40" i="26"/>
  <c r="K39" i="26"/>
  <c r="H39" i="26"/>
  <c r="F39" i="26"/>
  <c r="K38" i="26"/>
  <c r="H38" i="26"/>
  <c r="F38" i="26"/>
  <c r="K37" i="26"/>
  <c r="H37" i="26"/>
  <c r="F37" i="26"/>
  <c r="K36" i="26"/>
  <c r="H36" i="26"/>
  <c r="F36" i="26"/>
  <c r="K35" i="26"/>
  <c r="H35" i="26"/>
  <c r="F35" i="26"/>
  <c r="K34" i="26"/>
  <c r="H34" i="26"/>
  <c r="F34" i="26"/>
  <c r="K33" i="26"/>
  <c r="H33" i="26"/>
  <c r="F33" i="26"/>
  <c r="K32" i="26"/>
  <c r="H32" i="26"/>
  <c r="F32" i="26"/>
  <c r="K31" i="26"/>
  <c r="H31" i="26"/>
  <c r="F31" i="26"/>
  <c r="K30" i="26"/>
  <c r="H30" i="26"/>
  <c r="F30" i="26"/>
  <c r="K29" i="26"/>
  <c r="H29" i="26"/>
  <c r="F29" i="26"/>
  <c r="K28" i="26"/>
  <c r="H28" i="26"/>
  <c r="F28" i="26"/>
  <c r="K27" i="26"/>
  <c r="H27" i="26"/>
  <c r="F27" i="26"/>
  <c r="K26" i="26"/>
  <c r="H26" i="26"/>
  <c r="F26" i="26"/>
  <c r="K25" i="26"/>
  <c r="H25" i="26"/>
  <c r="F25" i="26"/>
  <c r="K24" i="26"/>
  <c r="H24" i="26"/>
  <c r="F24" i="26"/>
  <c r="K23" i="26"/>
  <c r="H23" i="26"/>
  <c r="F23" i="26"/>
  <c r="K22" i="26"/>
  <c r="H22" i="26"/>
  <c r="F22" i="26"/>
  <c r="K21" i="26"/>
  <c r="H21" i="26"/>
  <c r="F21" i="26"/>
  <c r="K20" i="26"/>
  <c r="H20" i="26"/>
  <c r="F20" i="26"/>
  <c r="K19" i="26"/>
  <c r="H19" i="26"/>
  <c r="F19" i="26"/>
  <c r="K18" i="26"/>
  <c r="H18" i="26"/>
  <c r="F18" i="26"/>
  <c r="K17" i="26"/>
  <c r="H17" i="26"/>
  <c r="F17" i="26"/>
  <c r="K16" i="26"/>
  <c r="H16" i="26"/>
  <c r="F16" i="26"/>
  <c r="K15" i="26"/>
  <c r="H15" i="26"/>
  <c r="F15" i="26"/>
  <c r="K14" i="26"/>
  <c r="H14" i="26"/>
  <c r="F14" i="26"/>
  <c r="K13" i="26"/>
  <c r="H13" i="26"/>
  <c r="F13" i="26"/>
  <c r="K12" i="26"/>
  <c r="H12" i="26"/>
  <c r="F12" i="26"/>
  <c r="K11" i="26"/>
  <c r="H11" i="26"/>
  <c r="F11" i="26"/>
  <c r="K10" i="26"/>
  <c r="H10" i="26"/>
  <c r="F10" i="26"/>
  <c r="K9" i="26"/>
  <c r="H9" i="26"/>
  <c r="F9" i="26"/>
  <c r="K8" i="26"/>
  <c r="H8" i="26"/>
  <c r="F8" i="26"/>
  <c r="K7" i="26"/>
  <c r="H7" i="26"/>
  <c r="F7" i="26"/>
  <c r="K6" i="26"/>
  <c r="H6" i="26"/>
  <c r="F6" i="26"/>
  <c r="K5" i="26"/>
  <c r="H5" i="26"/>
  <c r="F5" i="26"/>
  <c r="K4" i="26"/>
  <c r="H4" i="26"/>
  <c r="F4" i="26"/>
  <c r="H88" i="25"/>
  <c r="F88" i="25"/>
  <c r="K87" i="25"/>
  <c r="H87" i="25"/>
  <c r="F87" i="25"/>
  <c r="K85" i="25"/>
  <c r="H85" i="25"/>
  <c r="F85" i="25"/>
  <c r="K84" i="25"/>
  <c r="H84" i="25"/>
  <c r="F84" i="25"/>
  <c r="K83" i="25"/>
  <c r="H83" i="25"/>
  <c r="F83" i="25"/>
  <c r="K82" i="25"/>
  <c r="H82" i="25"/>
  <c r="F82" i="25"/>
  <c r="K81" i="25"/>
  <c r="H81" i="25"/>
  <c r="F81" i="25"/>
  <c r="K80" i="25"/>
  <c r="H80" i="25"/>
  <c r="F80" i="25"/>
  <c r="K79" i="25"/>
  <c r="H79" i="25"/>
  <c r="F79" i="25"/>
  <c r="K78" i="25"/>
  <c r="H78" i="25"/>
  <c r="F78" i="25"/>
  <c r="K77" i="25"/>
  <c r="H77" i="25"/>
  <c r="F77" i="25"/>
  <c r="K76" i="25"/>
  <c r="H76" i="25"/>
  <c r="F76" i="25"/>
  <c r="K75" i="25"/>
  <c r="H75" i="25"/>
  <c r="F75" i="25"/>
  <c r="K74" i="25"/>
  <c r="H74" i="25"/>
  <c r="F74" i="25"/>
  <c r="K73" i="25"/>
  <c r="H73" i="25"/>
  <c r="F73" i="25"/>
  <c r="K72" i="25"/>
  <c r="H72" i="25"/>
  <c r="F72" i="25"/>
  <c r="K71" i="25"/>
  <c r="H71" i="25"/>
  <c r="F71" i="25"/>
  <c r="K70" i="25"/>
  <c r="H70" i="25"/>
  <c r="F70" i="25"/>
  <c r="K69" i="25"/>
  <c r="H69" i="25"/>
  <c r="F69" i="25"/>
  <c r="K68" i="25"/>
  <c r="H68" i="25"/>
  <c r="F68" i="25"/>
  <c r="K67" i="25"/>
  <c r="H67" i="25"/>
  <c r="F67" i="25"/>
  <c r="K66" i="25"/>
  <c r="H66" i="25"/>
  <c r="F66" i="25"/>
  <c r="K65" i="25"/>
  <c r="H65" i="25"/>
  <c r="F65" i="25"/>
  <c r="K64" i="25"/>
  <c r="H64" i="25"/>
  <c r="F64" i="25"/>
  <c r="K63" i="25"/>
  <c r="H63" i="25"/>
  <c r="F63" i="25"/>
  <c r="K62" i="25"/>
  <c r="H62" i="25"/>
  <c r="F62" i="25"/>
  <c r="K61" i="25"/>
  <c r="H61" i="25"/>
  <c r="F61" i="25"/>
  <c r="K60" i="25"/>
  <c r="H60" i="25"/>
  <c r="F60" i="25"/>
  <c r="K59" i="25"/>
  <c r="H59" i="25"/>
  <c r="F59" i="25"/>
  <c r="K58" i="25"/>
  <c r="H58" i="25"/>
  <c r="F58" i="25"/>
  <c r="K57" i="25"/>
  <c r="H57" i="25"/>
  <c r="F57" i="25"/>
  <c r="K56" i="25"/>
  <c r="H56" i="25"/>
  <c r="F56" i="25"/>
  <c r="K55" i="25"/>
  <c r="H55" i="25"/>
  <c r="F55" i="25"/>
  <c r="K54" i="25"/>
  <c r="H54" i="25"/>
  <c r="F54" i="25"/>
  <c r="K53" i="25"/>
  <c r="H53" i="25"/>
  <c r="F53" i="25"/>
  <c r="K52" i="25"/>
  <c r="H52" i="25"/>
  <c r="F52" i="25"/>
  <c r="K51" i="25"/>
  <c r="H51" i="25"/>
  <c r="F51" i="25"/>
  <c r="K50" i="25"/>
  <c r="H50" i="25"/>
  <c r="F50" i="25"/>
  <c r="K49" i="25"/>
  <c r="H49" i="25"/>
  <c r="F49" i="25"/>
  <c r="K48" i="25"/>
  <c r="H48" i="25"/>
  <c r="F48" i="25"/>
  <c r="I44" i="25"/>
  <c r="I88" i="25" s="1"/>
  <c r="H44" i="25"/>
  <c r="F44" i="25"/>
  <c r="K41" i="25"/>
  <c r="H41" i="25"/>
  <c r="F41" i="25"/>
  <c r="K40" i="25"/>
  <c r="H40" i="25"/>
  <c r="F40" i="25"/>
  <c r="K39" i="25"/>
  <c r="H39" i="25"/>
  <c r="F39" i="25"/>
  <c r="K38" i="25"/>
  <c r="H38" i="25"/>
  <c r="F38" i="25"/>
  <c r="K37" i="25"/>
  <c r="H37" i="25"/>
  <c r="F37" i="25"/>
  <c r="K36" i="25"/>
  <c r="H36" i="25"/>
  <c r="F36" i="25"/>
  <c r="K35" i="25"/>
  <c r="H35" i="25"/>
  <c r="F35" i="25"/>
  <c r="K34" i="25"/>
  <c r="H34" i="25"/>
  <c r="F34" i="25"/>
  <c r="K33" i="25"/>
  <c r="H33" i="25"/>
  <c r="F33" i="25"/>
  <c r="K32" i="25"/>
  <c r="H32" i="25"/>
  <c r="F32" i="25"/>
  <c r="K31" i="25"/>
  <c r="H31" i="25"/>
  <c r="F31" i="25"/>
  <c r="K30" i="25"/>
  <c r="H30" i="25"/>
  <c r="F30" i="25"/>
  <c r="K29" i="25"/>
  <c r="H29" i="25"/>
  <c r="F29" i="25"/>
  <c r="K28" i="25"/>
  <c r="H28" i="25"/>
  <c r="F28" i="25"/>
  <c r="K27" i="25"/>
  <c r="H27" i="25"/>
  <c r="F27" i="25"/>
  <c r="K26" i="25"/>
  <c r="H26" i="25"/>
  <c r="F26" i="25"/>
  <c r="K25" i="25"/>
  <c r="H25" i="25"/>
  <c r="F25" i="25"/>
  <c r="K24" i="25"/>
  <c r="H24" i="25"/>
  <c r="F24" i="25"/>
  <c r="K23" i="25"/>
  <c r="H23" i="25"/>
  <c r="F23" i="25"/>
  <c r="K22" i="25"/>
  <c r="H22" i="25"/>
  <c r="F22" i="25"/>
  <c r="K21" i="25"/>
  <c r="H21" i="25"/>
  <c r="F21" i="25"/>
  <c r="K20" i="25"/>
  <c r="H20" i="25"/>
  <c r="F20" i="25"/>
  <c r="K19" i="25"/>
  <c r="H19" i="25"/>
  <c r="F19" i="25"/>
  <c r="K18" i="25"/>
  <c r="H18" i="25"/>
  <c r="F18" i="25"/>
  <c r="K17" i="25"/>
  <c r="H17" i="25"/>
  <c r="F17" i="25"/>
  <c r="K16" i="25"/>
  <c r="H16" i="25"/>
  <c r="F16" i="25"/>
  <c r="K15" i="25"/>
  <c r="H15" i="25"/>
  <c r="F15" i="25"/>
  <c r="K14" i="25"/>
  <c r="H14" i="25"/>
  <c r="F14" i="25"/>
  <c r="K13" i="25"/>
  <c r="H13" i="25"/>
  <c r="F13" i="25"/>
  <c r="K12" i="25"/>
  <c r="H12" i="25"/>
  <c r="F12" i="25"/>
  <c r="K11" i="25"/>
  <c r="H11" i="25"/>
  <c r="F11" i="25"/>
  <c r="K10" i="25"/>
  <c r="H10" i="25"/>
  <c r="F10" i="25"/>
  <c r="K9" i="25"/>
  <c r="H9" i="25"/>
  <c r="F9" i="25"/>
  <c r="K8" i="25"/>
  <c r="H8" i="25"/>
  <c r="F8" i="25"/>
  <c r="K7" i="25"/>
  <c r="H7" i="25"/>
  <c r="F7" i="25"/>
  <c r="K6" i="25"/>
  <c r="H6" i="25"/>
  <c r="F6" i="25"/>
  <c r="K5" i="25"/>
  <c r="H5" i="25"/>
  <c r="F5" i="25"/>
  <c r="K4" i="25"/>
  <c r="H4" i="25"/>
  <c r="F4" i="25"/>
  <c r="H88" i="24"/>
  <c r="F88" i="24"/>
  <c r="K87" i="24"/>
  <c r="H87" i="24"/>
  <c r="F87" i="24"/>
  <c r="K85" i="24"/>
  <c r="H85" i="24"/>
  <c r="F85" i="24"/>
  <c r="K84" i="24"/>
  <c r="H84" i="24"/>
  <c r="F84" i="24"/>
  <c r="K83" i="24"/>
  <c r="H83" i="24"/>
  <c r="F83" i="24"/>
  <c r="K82" i="24"/>
  <c r="H82" i="24"/>
  <c r="F82" i="24"/>
  <c r="K81" i="24"/>
  <c r="H81" i="24"/>
  <c r="F81" i="24"/>
  <c r="K80" i="24"/>
  <c r="H80" i="24"/>
  <c r="F80" i="24"/>
  <c r="K79" i="24"/>
  <c r="H79" i="24"/>
  <c r="F79" i="24"/>
  <c r="K78" i="24"/>
  <c r="H78" i="24"/>
  <c r="F78" i="24"/>
  <c r="K77" i="24"/>
  <c r="H77" i="24"/>
  <c r="F77" i="24"/>
  <c r="K76" i="24"/>
  <c r="H76" i="24"/>
  <c r="F76" i="24"/>
  <c r="K75" i="24"/>
  <c r="H75" i="24"/>
  <c r="F75" i="24"/>
  <c r="K74" i="24"/>
  <c r="H74" i="24"/>
  <c r="F74" i="24"/>
  <c r="K73" i="24"/>
  <c r="H73" i="24"/>
  <c r="F73" i="24"/>
  <c r="K72" i="24"/>
  <c r="H72" i="24"/>
  <c r="F72" i="24"/>
  <c r="K71" i="24"/>
  <c r="H71" i="24"/>
  <c r="F71" i="24"/>
  <c r="K70" i="24"/>
  <c r="H70" i="24"/>
  <c r="F70" i="24"/>
  <c r="K69" i="24"/>
  <c r="H69" i="24"/>
  <c r="F69" i="24"/>
  <c r="K68" i="24"/>
  <c r="H68" i="24"/>
  <c r="F68" i="24"/>
  <c r="K67" i="24"/>
  <c r="H67" i="24"/>
  <c r="F67" i="24"/>
  <c r="K66" i="24"/>
  <c r="H66" i="24"/>
  <c r="F66" i="24"/>
  <c r="K65" i="24"/>
  <c r="H65" i="24"/>
  <c r="F65" i="24"/>
  <c r="K64" i="24"/>
  <c r="H64" i="24"/>
  <c r="F64" i="24"/>
  <c r="K63" i="24"/>
  <c r="H63" i="24"/>
  <c r="F63" i="24"/>
  <c r="K62" i="24"/>
  <c r="H62" i="24"/>
  <c r="F62" i="24"/>
  <c r="K61" i="24"/>
  <c r="H61" i="24"/>
  <c r="F61" i="24"/>
  <c r="K60" i="24"/>
  <c r="H60" i="24"/>
  <c r="F60" i="24"/>
  <c r="K59" i="24"/>
  <c r="H59" i="24"/>
  <c r="F59" i="24"/>
  <c r="K58" i="24"/>
  <c r="H58" i="24"/>
  <c r="F58" i="24"/>
  <c r="K57" i="24"/>
  <c r="H57" i="24"/>
  <c r="F57" i="24"/>
  <c r="K56" i="24"/>
  <c r="H56" i="24"/>
  <c r="F56" i="24"/>
  <c r="K55" i="24"/>
  <c r="H55" i="24"/>
  <c r="F55" i="24"/>
  <c r="K54" i="24"/>
  <c r="H54" i="24"/>
  <c r="F54" i="24"/>
  <c r="K53" i="24"/>
  <c r="H53" i="24"/>
  <c r="F53" i="24"/>
  <c r="K52" i="24"/>
  <c r="H52" i="24"/>
  <c r="F52" i="24"/>
  <c r="K51" i="24"/>
  <c r="H51" i="24"/>
  <c r="F51" i="24"/>
  <c r="K50" i="24"/>
  <c r="H50" i="24"/>
  <c r="F50" i="24"/>
  <c r="K49" i="24"/>
  <c r="H49" i="24"/>
  <c r="F49" i="24"/>
  <c r="K48" i="24"/>
  <c r="H48" i="24"/>
  <c r="F48" i="24"/>
  <c r="I44" i="24"/>
  <c r="I88" i="24" s="1"/>
  <c r="H44" i="24"/>
  <c r="F44" i="24"/>
  <c r="K41" i="24"/>
  <c r="H41" i="24"/>
  <c r="F41" i="24"/>
  <c r="K40" i="24"/>
  <c r="H40" i="24"/>
  <c r="F40" i="24"/>
  <c r="K39" i="24"/>
  <c r="H39" i="24"/>
  <c r="F39" i="24"/>
  <c r="K38" i="24"/>
  <c r="H38" i="24"/>
  <c r="F38" i="24"/>
  <c r="K37" i="24"/>
  <c r="H37" i="24"/>
  <c r="F37" i="24"/>
  <c r="K36" i="24"/>
  <c r="H36" i="24"/>
  <c r="F36" i="24"/>
  <c r="K35" i="24"/>
  <c r="H35" i="24"/>
  <c r="F35" i="24"/>
  <c r="K34" i="24"/>
  <c r="H34" i="24"/>
  <c r="F34" i="24"/>
  <c r="K33" i="24"/>
  <c r="H33" i="24"/>
  <c r="F33" i="24"/>
  <c r="K32" i="24"/>
  <c r="H32" i="24"/>
  <c r="F32" i="24"/>
  <c r="K31" i="24"/>
  <c r="H31" i="24"/>
  <c r="F31" i="24"/>
  <c r="K30" i="24"/>
  <c r="H30" i="24"/>
  <c r="F30" i="24"/>
  <c r="K29" i="24"/>
  <c r="H29" i="24"/>
  <c r="F29" i="24"/>
  <c r="K28" i="24"/>
  <c r="H28" i="24"/>
  <c r="F28" i="24"/>
  <c r="K27" i="24"/>
  <c r="H27" i="24"/>
  <c r="F27" i="24"/>
  <c r="K26" i="24"/>
  <c r="H26" i="24"/>
  <c r="F26" i="24"/>
  <c r="K25" i="24"/>
  <c r="H25" i="24"/>
  <c r="F25" i="24"/>
  <c r="K24" i="24"/>
  <c r="H24" i="24"/>
  <c r="F24" i="24"/>
  <c r="K23" i="24"/>
  <c r="H23" i="24"/>
  <c r="F23" i="24"/>
  <c r="K22" i="24"/>
  <c r="H22" i="24"/>
  <c r="F22" i="24"/>
  <c r="K21" i="24"/>
  <c r="H21" i="24"/>
  <c r="F21" i="24"/>
  <c r="K20" i="24"/>
  <c r="H20" i="24"/>
  <c r="F20" i="24"/>
  <c r="K19" i="24"/>
  <c r="H19" i="24"/>
  <c r="F19" i="24"/>
  <c r="K18" i="24"/>
  <c r="H18" i="24"/>
  <c r="F18" i="24"/>
  <c r="K17" i="24"/>
  <c r="H17" i="24"/>
  <c r="F17" i="24"/>
  <c r="K16" i="24"/>
  <c r="H16" i="24"/>
  <c r="F16" i="24"/>
  <c r="H15" i="24"/>
  <c r="F15" i="24"/>
  <c r="K14" i="24"/>
  <c r="H14" i="24"/>
  <c r="F14" i="24"/>
  <c r="K13" i="24"/>
  <c r="H13" i="24"/>
  <c r="F13" i="24"/>
  <c r="K12" i="24"/>
  <c r="H12" i="24"/>
  <c r="F12" i="24"/>
  <c r="K11" i="24"/>
  <c r="H11" i="24"/>
  <c r="F11" i="24"/>
  <c r="K10" i="24"/>
  <c r="H10" i="24"/>
  <c r="F10" i="24"/>
  <c r="K9" i="24"/>
  <c r="H9" i="24"/>
  <c r="F9" i="24"/>
  <c r="K8" i="24"/>
  <c r="H8" i="24"/>
  <c r="F8" i="24"/>
  <c r="K7" i="24"/>
  <c r="H7" i="24"/>
  <c r="F7" i="24"/>
  <c r="K6" i="24"/>
  <c r="H6" i="24"/>
  <c r="F6" i="24"/>
  <c r="K5" i="24"/>
  <c r="H5" i="24"/>
  <c r="F5" i="24"/>
  <c r="K4" i="24"/>
  <c r="H4" i="24"/>
  <c r="F4" i="24"/>
  <c r="H88" i="23"/>
  <c r="F88" i="23"/>
  <c r="K87" i="23"/>
  <c r="H87" i="23"/>
  <c r="F87" i="23"/>
  <c r="K85" i="23"/>
  <c r="H85" i="23"/>
  <c r="F85" i="23"/>
  <c r="K84" i="23"/>
  <c r="H84" i="23"/>
  <c r="F84" i="23"/>
  <c r="K83" i="23"/>
  <c r="H83" i="23"/>
  <c r="F83" i="23"/>
  <c r="K82" i="23"/>
  <c r="H82" i="23"/>
  <c r="F82" i="23"/>
  <c r="K81" i="23"/>
  <c r="H81" i="23"/>
  <c r="F81" i="23"/>
  <c r="K80" i="23"/>
  <c r="H80" i="23"/>
  <c r="F80" i="23"/>
  <c r="K79" i="23"/>
  <c r="H79" i="23"/>
  <c r="F79" i="23"/>
  <c r="K78" i="23"/>
  <c r="H78" i="23"/>
  <c r="F78" i="23"/>
  <c r="K77" i="23"/>
  <c r="H77" i="23"/>
  <c r="F77" i="23"/>
  <c r="K76" i="23"/>
  <c r="H76" i="23"/>
  <c r="F76" i="23"/>
  <c r="K75" i="23"/>
  <c r="H75" i="23"/>
  <c r="F75" i="23"/>
  <c r="K74" i="23"/>
  <c r="H74" i="23"/>
  <c r="F74" i="23"/>
  <c r="K73" i="23"/>
  <c r="H73" i="23"/>
  <c r="F73" i="23"/>
  <c r="K72" i="23"/>
  <c r="H72" i="23"/>
  <c r="F72" i="23"/>
  <c r="K71" i="23"/>
  <c r="H71" i="23"/>
  <c r="F71" i="23"/>
  <c r="K70" i="23"/>
  <c r="H70" i="23"/>
  <c r="F70" i="23"/>
  <c r="K69" i="23"/>
  <c r="H69" i="23"/>
  <c r="F69" i="23"/>
  <c r="K68" i="23"/>
  <c r="H68" i="23"/>
  <c r="F68" i="23"/>
  <c r="K67" i="23"/>
  <c r="H67" i="23"/>
  <c r="F67" i="23"/>
  <c r="K66" i="23"/>
  <c r="H66" i="23"/>
  <c r="F66" i="23"/>
  <c r="K65" i="23"/>
  <c r="H65" i="23"/>
  <c r="F65" i="23"/>
  <c r="K64" i="23"/>
  <c r="H64" i="23"/>
  <c r="F64" i="23"/>
  <c r="K63" i="23"/>
  <c r="H63" i="23"/>
  <c r="F63" i="23"/>
  <c r="K62" i="23"/>
  <c r="H62" i="23"/>
  <c r="F62" i="23"/>
  <c r="K61" i="23"/>
  <c r="H61" i="23"/>
  <c r="F61" i="23"/>
  <c r="K60" i="23"/>
  <c r="H60" i="23"/>
  <c r="F60" i="23"/>
  <c r="K59" i="23"/>
  <c r="H59" i="23"/>
  <c r="F59" i="23"/>
  <c r="K58" i="23"/>
  <c r="H58" i="23"/>
  <c r="F58" i="23"/>
  <c r="K57" i="23"/>
  <c r="H57" i="23"/>
  <c r="F57" i="23"/>
  <c r="K56" i="23"/>
  <c r="H56" i="23"/>
  <c r="F56" i="23"/>
  <c r="K55" i="23"/>
  <c r="H55" i="23"/>
  <c r="F55" i="23"/>
  <c r="K54" i="23"/>
  <c r="H54" i="23"/>
  <c r="F54" i="23"/>
  <c r="K53" i="23"/>
  <c r="H53" i="23"/>
  <c r="F53" i="23"/>
  <c r="K52" i="23"/>
  <c r="H52" i="23"/>
  <c r="F52" i="23"/>
  <c r="K51" i="23"/>
  <c r="H51" i="23"/>
  <c r="F51" i="23"/>
  <c r="K50" i="23"/>
  <c r="H50" i="23"/>
  <c r="F50" i="23"/>
  <c r="K49" i="23"/>
  <c r="H49" i="23"/>
  <c r="F49" i="23"/>
  <c r="K48" i="23"/>
  <c r="H48" i="23"/>
  <c r="F48" i="23"/>
  <c r="I44" i="23"/>
  <c r="I88" i="23" s="1"/>
  <c r="H44" i="23"/>
  <c r="F44" i="23"/>
  <c r="K41" i="23"/>
  <c r="H41" i="23"/>
  <c r="F41" i="23"/>
  <c r="K40" i="23"/>
  <c r="H40" i="23"/>
  <c r="F40" i="23"/>
  <c r="K39" i="23"/>
  <c r="H39" i="23"/>
  <c r="F39" i="23"/>
  <c r="K38" i="23"/>
  <c r="H38" i="23"/>
  <c r="F38" i="23"/>
  <c r="K37" i="23"/>
  <c r="H37" i="23"/>
  <c r="F37" i="23"/>
  <c r="K36" i="23"/>
  <c r="H36" i="23"/>
  <c r="F36" i="23"/>
  <c r="K35" i="23"/>
  <c r="H35" i="23"/>
  <c r="F35" i="23"/>
  <c r="K34" i="23"/>
  <c r="H34" i="23"/>
  <c r="F34" i="23"/>
  <c r="K33" i="23"/>
  <c r="H33" i="23"/>
  <c r="F33" i="23"/>
  <c r="K32" i="23"/>
  <c r="H32" i="23"/>
  <c r="F32" i="23"/>
  <c r="K31" i="23"/>
  <c r="H31" i="23"/>
  <c r="F31" i="23"/>
  <c r="K30" i="23"/>
  <c r="H30" i="23"/>
  <c r="F30" i="23"/>
  <c r="K29" i="23"/>
  <c r="H29" i="23"/>
  <c r="F29" i="23"/>
  <c r="K28" i="23"/>
  <c r="H28" i="23"/>
  <c r="F28" i="23"/>
  <c r="K27" i="23"/>
  <c r="H27" i="23"/>
  <c r="F27" i="23"/>
  <c r="K26" i="23"/>
  <c r="H26" i="23"/>
  <c r="F26" i="23"/>
  <c r="K25" i="23"/>
  <c r="H25" i="23"/>
  <c r="F25" i="23"/>
  <c r="K24" i="23"/>
  <c r="H24" i="23"/>
  <c r="F24" i="23"/>
  <c r="K23" i="23"/>
  <c r="H23" i="23"/>
  <c r="F23" i="23"/>
  <c r="K22" i="23"/>
  <c r="H22" i="23"/>
  <c r="F22" i="23"/>
  <c r="K21" i="23"/>
  <c r="H21" i="23"/>
  <c r="F21" i="23"/>
  <c r="K20" i="23"/>
  <c r="H20" i="23"/>
  <c r="F20" i="23"/>
  <c r="K19" i="23"/>
  <c r="H19" i="23"/>
  <c r="F19" i="23"/>
  <c r="K18" i="23"/>
  <c r="H18" i="23"/>
  <c r="F18" i="23"/>
  <c r="K17" i="23"/>
  <c r="H17" i="23"/>
  <c r="F17" i="23"/>
  <c r="K16" i="23"/>
  <c r="H16" i="23"/>
  <c r="F16" i="23"/>
  <c r="K15" i="23"/>
  <c r="H15" i="23"/>
  <c r="F15" i="23"/>
  <c r="K14" i="23"/>
  <c r="H14" i="23"/>
  <c r="F14" i="23"/>
  <c r="K13" i="23"/>
  <c r="H13" i="23"/>
  <c r="F13" i="23"/>
  <c r="K12" i="23"/>
  <c r="H12" i="23"/>
  <c r="F12" i="23"/>
  <c r="K11" i="23"/>
  <c r="H11" i="23"/>
  <c r="F11" i="23"/>
  <c r="K10" i="23"/>
  <c r="H10" i="23"/>
  <c r="F10" i="23"/>
  <c r="K9" i="23"/>
  <c r="H9" i="23"/>
  <c r="F9" i="23"/>
  <c r="K8" i="23"/>
  <c r="H8" i="23"/>
  <c r="F8" i="23"/>
  <c r="K7" i="23"/>
  <c r="H7" i="23"/>
  <c r="F7" i="23"/>
  <c r="K6" i="23"/>
  <c r="H6" i="23"/>
  <c r="F6" i="23"/>
  <c r="K5" i="23"/>
  <c r="H5" i="23"/>
  <c r="F5" i="23"/>
  <c r="K4" i="23"/>
  <c r="H4" i="23"/>
  <c r="F4" i="23"/>
  <c r="K85" i="5"/>
  <c r="H85" i="5"/>
  <c r="F85" i="5"/>
  <c r="K84" i="5"/>
  <c r="H84" i="5"/>
  <c r="F84" i="5"/>
  <c r="K83" i="5"/>
  <c r="H83" i="5"/>
  <c r="F83" i="5"/>
  <c r="K82" i="5"/>
  <c r="H82" i="5"/>
  <c r="F82" i="5"/>
  <c r="K81" i="5"/>
  <c r="H81" i="5"/>
  <c r="F81" i="5"/>
  <c r="K80" i="5"/>
  <c r="H80" i="5"/>
  <c r="F80" i="5"/>
  <c r="K79" i="5"/>
  <c r="H79" i="5"/>
  <c r="F79" i="5"/>
  <c r="K78" i="5"/>
  <c r="H78" i="5"/>
  <c r="F78" i="5"/>
  <c r="K77" i="5"/>
  <c r="H77" i="5"/>
  <c r="F77" i="5"/>
  <c r="K76" i="5"/>
  <c r="H76" i="5"/>
  <c r="F76" i="5"/>
  <c r="K75" i="5"/>
  <c r="H75" i="5"/>
  <c r="F75" i="5"/>
  <c r="K74" i="5"/>
  <c r="H74" i="5"/>
  <c r="F74" i="5"/>
  <c r="K73" i="5"/>
  <c r="H73" i="5"/>
  <c r="F73" i="5"/>
  <c r="K72" i="5"/>
  <c r="H72" i="5"/>
  <c r="F72" i="5"/>
  <c r="K71" i="5"/>
  <c r="H71" i="5"/>
  <c r="F71" i="5"/>
  <c r="K70" i="5"/>
  <c r="H70" i="5"/>
  <c r="F70" i="5"/>
  <c r="K69" i="5"/>
  <c r="H69" i="5"/>
  <c r="F69" i="5"/>
  <c r="K68" i="5"/>
  <c r="H68" i="5"/>
  <c r="F68" i="5"/>
  <c r="K67" i="5"/>
  <c r="H67" i="5"/>
  <c r="F67" i="5"/>
  <c r="K66" i="5"/>
  <c r="H66" i="5"/>
  <c r="F66" i="5"/>
  <c r="K65" i="5"/>
  <c r="H65" i="5"/>
  <c r="F65" i="5"/>
  <c r="K64" i="5"/>
  <c r="H64" i="5"/>
  <c r="F64" i="5"/>
  <c r="K63" i="5"/>
  <c r="H63" i="5"/>
  <c r="F63" i="5"/>
  <c r="K62" i="5"/>
  <c r="H62" i="5"/>
  <c r="F62" i="5"/>
  <c r="K61" i="5"/>
  <c r="H61" i="5"/>
  <c r="F61" i="5"/>
  <c r="K60" i="5"/>
  <c r="H60" i="5"/>
  <c r="F60" i="5"/>
  <c r="K59" i="5"/>
  <c r="H59" i="5"/>
  <c r="F59" i="5"/>
  <c r="K58" i="5"/>
  <c r="H58" i="5"/>
  <c r="F58" i="5"/>
  <c r="K57" i="5"/>
  <c r="H57" i="5"/>
  <c r="F57" i="5"/>
  <c r="K56" i="5"/>
  <c r="H56" i="5"/>
  <c r="F56" i="5"/>
  <c r="K55" i="5"/>
  <c r="H55" i="5"/>
  <c r="F55" i="5"/>
  <c r="K54" i="5"/>
  <c r="H54" i="5"/>
  <c r="F54" i="5"/>
  <c r="K53" i="5"/>
  <c r="H53" i="5"/>
  <c r="F53" i="5"/>
  <c r="K52" i="5"/>
  <c r="H52" i="5"/>
  <c r="F52" i="5"/>
  <c r="K51" i="5"/>
  <c r="H51" i="5"/>
  <c r="F51" i="5"/>
  <c r="K50" i="5"/>
  <c r="H50" i="5"/>
  <c r="F50" i="5"/>
  <c r="K49" i="5"/>
  <c r="H49" i="5"/>
  <c r="F49" i="5"/>
  <c r="K48" i="5"/>
  <c r="H48" i="5"/>
  <c r="F48" i="5"/>
  <c r="K87" i="13"/>
  <c r="H87" i="13"/>
  <c r="F87" i="13"/>
  <c r="K86" i="13"/>
  <c r="H86" i="13"/>
  <c r="F86" i="13"/>
  <c r="K81" i="13"/>
  <c r="H81" i="13"/>
  <c r="F81" i="13"/>
  <c r="K80" i="13"/>
  <c r="H80" i="13"/>
  <c r="F80" i="13"/>
  <c r="K79" i="13"/>
  <c r="H79" i="13"/>
  <c r="F79" i="13"/>
  <c r="K78" i="13"/>
  <c r="H78" i="13"/>
  <c r="F78" i="13"/>
  <c r="K77" i="13"/>
  <c r="H77" i="13"/>
  <c r="F77" i="13"/>
  <c r="K76" i="13"/>
  <c r="H76" i="13"/>
  <c r="F76" i="13"/>
  <c r="K75" i="13"/>
  <c r="H75" i="13"/>
  <c r="F75" i="13"/>
  <c r="K74" i="13"/>
  <c r="H74" i="13"/>
  <c r="F74" i="13"/>
  <c r="K73" i="13"/>
  <c r="H73" i="13"/>
  <c r="F73" i="13"/>
  <c r="K72" i="13"/>
  <c r="H72" i="13"/>
  <c r="F72" i="13"/>
  <c r="K71" i="13"/>
  <c r="H71" i="13"/>
  <c r="F71" i="13"/>
  <c r="K70" i="13"/>
  <c r="H70" i="13"/>
  <c r="F70" i="13"/>
  <c r="K69" i="13"/>
  <c r="H69" i="13"/>
  <c r="F69" i="13"/>
  <c r="K68" i="13"/>
  <c r="H68" i="13"/>
  <c r="F68" i="13"/>
  <c r="K67" i="13"/>
  <c r="H67" i="13"/>
  <c r="F67" i="13"/>
  <c r="K66" i="13"/>
  <c r="H66" i="13"/>
  <c r="F66" i="13"/>
  <c r="K65" i="13"/>
  <c r="H65" i="13"/>
  <c r="F65" i="13"/>
  <c r="K64" i="13"/>
  <c r="H64" i="13"/>
  <c r="F64" i="13"/>
  <c r="K63" i="13"/>
  <c r="H63" i="13"/>
  <c r="F63" i="13"/>
  <c r="K62" i="13"/>
  <c r="H62" i="13"/>
  <c r="F62" i="13"/>
  <c r="K61" i="13"/>
  <c r="H61" i="13"/>
  <c r="F61" i="13"/>
  <c r="K60" i="13"/>
  <c r="H60" i="13"/>
  <c r="F60" i="13"/>
  <c r="K59" i="13"/>
  <c r="H59" i="13"/>
  <c r="F59" i="13"/>
  <c r="K58" i="13"/>
  <c r="H58" i="13"/>
  <c r="F58" i="13"/>
  <c r="K57" i="13"/>
  <c r="H57" i="13"/>
  <c r="F57" i="13"/>
  <c r="K56" i="13"/>
  <c r="H56" i="13"/>
  <c r="F56" i="13"/>
  <c r="K55" i="13"/>
  <c r="H55" i="13"/>
  <c r="F55" i="13"/>
  <c r="K54" i="13"/>
  <c r="H54" i="13"/>
  <c r="F54" i="13"/>
  <c r="K53" i="13"/>
  <c r="H53" i="13"/>
  <c r="F53" i="13"/>
  <c r="K52" i="13"/>
  <c r="H52" i="13"/>
  <c r="F52" i="13"/>
  <c r="K51" i="13"/>
  <c r="H51" i="13"/>
  <c r="F51" i="13"/>
  <c r="K50" i="13"/>
  <c r="H50" i="13"/>
  <c r="F50" i="13"/>
  <c r="K49" i="13"/>
  <c r="H49" i="13"/>
  <c r="F49" i="13"/>
  <c r="K48" i="13"/>
  <c r="H48" i="13"/>
  <c r="F48" i="13"/>
  <c r="I44" i="13"/>
  <c r="I88" i="13" s="1"/>
  <c r="K43" i="13"/>
  <c r="H43" i="13"/>
  <c r="F43" i="13"/>
  <c r="K42" i="13"/>
  <c r="H42" i="13"/>
  <c r="F42" i="13"/>
  <c r="K37" i="13"/>
  <c r="H37" i="13"/>
  <c r="F37" i="13"/>
  <c r="K36" i="13"/>
  <c r="H36" i="13"/>
  <c r="F36" i="13"/>
  <c r="K35" i="13"/>
  <c r="H35" i="13"/>
  <c r="F35" i="13"/>
  <c r="K34" i="13"/>
  <c r="H34" i="13"/>
  <c r="F34" i="13"/>
  <c r="K33" i="13"/>
  <c r="H33" i="13"/>
  <c r="F33" i="13"/>
  <c r="K32" i="13"/>
  <c r="H32" i="13"/>
  <c r="F32" i="13"/>
  <c r="K31" i="13"/>
  <c r="H31" i="13"/>
  <c r="F31" i="13"/>
  <c r="K30" i="13"/>
  <c r="H30" i="13"/>
  <c r="F30" i="13"/>
  <c r="K29" i="13"/>
  <c r="H29" i="13"/>
  <c r="F29" i="13"/>
  <c r="K28" i="13"/>
  <c r="H28" i="13"/>
  <c r="F28" i="13"/>
  <c r="K27" i="13"/>
  <c r="H27" i="13"/>
  <c r="F27" i="13"/>
  <c r="K26" i="13"/>
  <c r="H26" i="13"/>
  <c r="F26" i="13"/>
  <c r="K25" i="13"/>
  <c r="H25" i="13"/>
  <c r="F25" i="13"/>
  <c r="K24" i="13"/>
  <c r="H24" i="13"/>
  <c r="F24" i="13"/>
  <c r="K23" i="13"/>
  <c r="H23" i="13"/>
  <c r="F23" i="13"/>
  <c r="K22" i="13"/>
  <c r="H22" i="13"/>
  <c r="F22" i="13"/>
  <c r="K21" i="13"/>
  <c r="H21" i="13"/>
  <c r="F21" i="13"/>
  <c r="K20" i="13"/>
  <c r="H20" i="13"/>
  <c r="F20" i="13"/>
  <c r="K19" i="13"/>
  <c r="H19" i="13"/>
  <c r="F19" i="13"/>
  <c r="K18" i="13"/>
  <c r="H18" i="13"/>
  <c r="F18" i="13"/>
  <c r="K17" i="13"/>
  <c r="H17" i="13"/>
  <c r="F17" i="13"/>
  <c r="K16" i="13"/>
  <c r="H16" i="13"/>
  <c r="F16" i="13"/>
  <c r="K15" i="13"/>
  <c r="H15" i="13"/>
  <c r="F15" i="13"/>
  <c r="K14" i="13"/>
  <c r="H14" i="13"/>
  <c r="F14" i="13"/>
  <c r="K13" i="13"/>
  <c r="H13" i="13"/>
  <c r="F13" i="13"/>
  <c r="K12" i="13"/>
  <c r="H12" i="13"/>
  <c r="F12" i="13"/>
  <c r="K11" i="13"/>
  <c r="H11" i="13"/>
  <c r="F11" i="13"/>
  <c r="K10" i="13"/>
  <c r="H10" i="13"/>
  <c r="F10" i="13"/>
  <c r="K9" i="13"/>
  <c r="H9" i="13"/>
  <c r="F9" i="13"/>
  <c r="K8" i="13"/>
  <c r="H8" i="13"/>
  <c r="F8" i="13"/>
  <c r="K7" i="13"/>
  <c r="H7" i="13"/>
  <c r="F7" i="13"/>
  <c r="K6" i="13"/>
  <c r="H6" i="13"/>
  <c r="F6" i="13"/>
  <c r="K5" i="13"/>
  <c r="H5" i="13"/>
  <c r="F5" i="13"/>
  <c r="K4" i="13"/>
  <c r="H4" i="13"/>
  <c r="F4" i="13"/>
  <c r="K87" i="12"/>
  <c r="H87" i="12"/>
  <c r="F87" i="12"/>
  <c r="K86" i="12"/>
  <c r="H86" i="12"/>
  <c r="F86" i="12"/>
  <c r="K81" i="12"/>
  <c r="H81" i="12"/>
  <c r="F81" i="12"/>
  <c r="K80" i="12"/>
  <c r="H80" i="12"/>
  <c r="F80" i="12"/>
  <c r="K79" i="12"/>
  <c r="H79" i="12"/>
  <c r="F79" i="12"/>
  <c r="K78" i="12"/>
  <c r="H78" i="12"/>
  <c r="F78" i="12"/>
  <c r="K77" i="12"/>
  <c r="H77" i="12"/>
  <c r="F77" i="12"/>
  <c r="K76" i="12"/>
  <c r="H76" i="12"/>
  <c r="F76" i="12"/>
  <c r="K75" i="12"/>
  <c r="H75" i="12"/>
  <c r="F75" i="12"/>
  <c r="K74" i="12"/>
  <c r="H74" i="12"/>
  <c r="F74" i="12"/>
  <c r="K73" i="12"/>
  <c r="H73" i="12"/>
  <c r="F73" i="12"/>
  <c r="K72" i="12"/>
  <c r="H72" i="12"/>
  <c r="F72" i="12"/>
  <c r="K71" i="12"/>
  <c r="H71" i="12"/>
  <c r="F71" i="12"/>
  <c r="K70" i="12"/>
  <c r="H70" i="12"/>
  <c r="F70" i="12"/>
  <c r="K69" i="12"/>
  <c r="H69" i="12"/>
  <c r="F69" i="12"/>
  <c r="K68" i="12"/>
  <c r="H68" i="12"/>
  <c r="F68" i="12"/>
  <c r="K67" i="12"/>
  <c r="H67" i="12"/>
  <c r="F67" i="12"/>
  <c r="K66" i="12"/>
  <c r="H66" i="12"/>
  <c r="F66" i="12"/>
  <c r="K65" i="12"/>
  <c r="H65" i="12"/>
  <c r="F65" i="12"/>
  <c r="K64" i="12"/>
  <c r="H64" i="12"/>
  <c r="F64" i="12"/>
  <c r="K63" i="12"/>
  <c r="H63" i="12"/>
  <c r="F63" i="12"/>
  <c r="K62" i="12"/>
  <c r="H62" i="12"/>
  <c r="F62" i="12"/>
  <c r="K61" i="12"/>
  <c r="H61" i="12"/>
  <c r="F61" i="12"/>
  <c r="K60" i="12"/>
  <c r="H60" i="12"/>
  <c r="F60" i="12"/>
  <c r="K59" i="12"/>
  <c r="H59" i="12"/>
  <c r="F59" i="12"/>
  <c r="K58" i="12"/>
  <c r="H58" i="12"/>
  <c r="F58" i="12"/>
  <c r="K57" i="12"/>
  <c r="H57" i="12"/>
  <c r="F57" i="12"/>
  <c r="K56" i="12"/>
  <c r="H56" i="12"/>
  <c r="F56" i="12"/>
  <c r="K55" i="12"/>
  <c r="H55" i="12"/>
  <c r="F55" i="12"/>
  <c r="K54" i="12"/>
  <c r="H54" i="12"/>
  <c r="F54" i="12"/>
  <c r="K53" i="12"/>
  <c r="H53" i="12"/>
  <c r="F53" i="12"/>
  <c r="K52" i="12"/>
  <c r="H52" i="12"/>
  <c r="F52" i="12"/>
  <c r="K51" i="12"/>
  <c r="H51" i="12"/>
  <c r="F51" i="12"/>
  <c r="K50" i="12"/>
  <c r="H50" i="12"/>
  <c r="F50" i="12"/>
  <c r="K49" i="12"/>
  <c r="H49" i="12"/>
  <c r="F49" i="12"/>
  <c r="K48" i="12"/>
  <c r="H48" i="12"/>
  <c r="F48" i="12"/>
  <c r="I44" i="12"/>
  <c r="I88" i="12" s="1"/>
  <c r="K43" i="12"/>
  <c r="H43" i="12"/>
  <c r="F43" i="12"/>
  <c r="K42" i="12"/>
  <c r="H42" i="12"/>
  <c r="F42" i="12"/>
  <c r="K37" i="12"/>
  <c r="H37" i="12"/>
  <c r="F37" i="12"/>
  <c r="K36" i="12"/>
  <c r="H36" i="12"/>
  <c r="F36" i="12"/>
  <c r="K35" i="12"/>
  <c r="H35" i="12"/>
  <c r="F35" i="12"/>
  <c r="K34" i="12"/>
  <c r="H34" i="12"/>
  <c r="F34" i="12"/>
  <c r="K33" i="12"/>
  <c r="H33" i="12"/>
  <c r="F33" i="12"/>
  <c r="K32" i="12"/>
  <c r="H32" i="12"/>
  <c r="F32" i="12"/>
  <c r="K31" i="12"/>
  <c r="H31" i="12"/>
  <c r="F31" i="12"/>
  <c r="K30" i="12"/>
  <c r="H30" i="12"/>
  <c r="F30" i="12"/>
  <c r="K29" i="12"/>
  <c r="H29" i="12"/>
  <c r="F29" i="12"/>
  <c r="K28" i="12"/>
  <c r="H28" i="12"/>
  <c r="F28" i="12"/>
  <c r="K27" i="12"/>
  <c r="H27" i="12"/>
  <c r="F27" i="12"/>
  <c r="K26" i="12"/>
  <c r="H26" i="12"/>
  <c r="F26" i="12"/>
  <c r="K25" i="12"/>
  <c r="H25" i="12"/>
  <c r="F25" i="12"/>
  <c r="K24" i="12"/>
  <c r="H24" i="12"/>
  <c r="F24" i="12"/>
  <c r="K23" i="12"/>
  <c r="H23" i="12"/>
  <c r="F23" i="12"/>
  <c r="K22" i="12"/>
  <c r="H22" i="12"/>
  <c r="F22" i="12"/>
  <c r="K21" i="12"/>
  <c r="H21" i="12"/>
  <c r="F21" i="12"/>
  <c r="K20" i="12"/>
  <c r="H20" i="12"/>
  <c r="F20" i="12"/>
  <c r="K19" i="12"/>
  <c r="H19" i="12"/>
  <c r="F19" i="12"/>
  <c r="K18" i="12"/>
  <c r="H18" i="12"/>
  <c r="F18" i="12"/>
  <c r="K17" i="12"/>
  <c r="H17" i="12"/>
  <c r="F17" i="12"/>
  <c r="K16" i="12"/>
  <c r="H16" i="12"/>
  <c r="F16" i="12"/>
  <c r="K15" i="12"/>
  <c r="H15" i="12"/>
  <c r="F15" i="12"/>
  <c r="K14" i="12"/>
  <c r="H14" i="12"/>
  <c r="F14" i="12"/>
  <c r="K13" i="12"/>
  <c r="H13" i="12"/>
  <c r="F13" i="12"/>
  <c r="K12" i="12"/>
  <c r="H12" i="12"/>
  <c r="F12" i="12"/>
  <c r="K11" i="12"/>
  <c r="H11" i="12"/>
  <c r="F11" i="12"/>
  <c r="K10" i="12"/>
  <c r="H10" i="12"/>
  <c r="F10" i="12"/>
  <c r="K9" i="12"/>
  <c r="H9" i="12"/>
  <c r="F9" i="12"/>
  <c r="K8" i="12"/>
  <c r="H8" i="12"/>
  <c r="F8" i="12"/>
  <c r="K7" i="12"/>
  <c r="H7" i="12"/>
  <c r="F7" i="12"/>
  <c r="K6" i="12"/>
  <c r="H6" i="12"/>
  <c r="F6" i="12"/>
  <c r="K5" i="12"/>
  <c r="H5" i="12"/>
  <c r="F5" i="12"/>
  <c r="K4" i="12"/>
  <c r="H4" i="12"/>
  <c r="F4" i="12"/>
  <c r="K87" i="14"/>
  <c r="H87" i="14"/>
  <c r="F87" i="14"/>
  <c r="K86" i="14"/>
  <c r="H86" i="14"/>
  <c r="F86" i="14"/>
  <c r="K81" i="14"/>
  <c r="H81" i="14"/>
  <c r="F81" i="14"/>
  <c r="K80" i="14"/>
  <c r="H80" i="14"/>
  <c r="F80" i="14"/>
  <c r="K79" i="14"/>
  <c r="H79" i="14"/>
  <c r="F79" i="14"/>
  <c r="K78" i="14"/>
  <c r="H78" i="14"/>
  <c r="F78" i="14"/>
  <c r="K77" i="14"/>
  <c r="H77" i="14"/>
  <c r="F77" i="14"/>
  <c r="K76" i="14"/>
  <c r="H76" i="14"/>
  <c r="F76" i="14"/>
  <c r="K75" i="14"/>
  <c r="H75" i="14"/>
  <c r="F75" i="14"/>
  <c r="K74" i="14"/>
  <c r="H74" i="14"/>
  <c r="F74" i="14"/>
  <c r="K73" i="14"/>
  <c r="H73" i="14"/>
  <c r="F73" i="14"/>
  <c r="K72" i="14"/>
  <c r="H72" i="14"/>
  <c r="F72" i="14"/>
  <c r="K71" i="14"/>
  <c r="H71" i="14"/>
  <c r="F71" i="14"/>
  <c r="K70" i="14"/>
  <c r="H70" i="14"/>
  <c r="F70" i="14"/>
  <c r="K69" i="14"/>
  <c r="H69" i="14"/>
  <c r="F69" i="14"/>
  <c r="K68" i="14"/>
  <c r="H68" i="14"/>
  <c r="F68" i="14"/>
  <c r="K67" i="14"/>
  <c r="H67" i="14"/>
  <c r="F67" i="14"/>
  <c r="K66" i="14"/>
  <c r="H66" i="14"/>
  <c r="F66" i="14"/>
  <c r="K65" i="14"/>
  <c r="H65" i="14"/>
  <c r="F65" i="14"/>
  <c r="K64" i="14"/>
  <c r="H64" i="14"/>
  <c r="F64" i="14"/>
  <c r="K63" i="14"/>
  <c r="H63" i="14"/>
  <c r="F63" i="14"/>
  <c r="K62" i="14"/>
  <c r="H62" i="14"/>
  <c r="F62" i="14"/>
  <c r="K61" i="14"/>
  <c r="H61" i="14"/>
  <c r="F61" i="14"/>
  <c r="K60" i="14"/>
  <c r="H60" i="14"/>
  <c r="F60" i="14"/>
  <c r="K59" i="14"/>
  <c r="H59" i="14"/>
  <c r="F59" i="14"/>
  <c r="K58" i="14"/>
  <c r="H58" i="14"/>
  <c r="F58" i="14"/>
  <c r="K57" i="14"/>
  <c r="H57" i="14"/>
  <c r="F57" i="14"/>
  <c r="K56" i="14"/>
  <c r="H56" i="14"/>
  <c r="F56" i="14"/>
  <c r="K55" i="14"/>
  <c r="H55" i="14"/>
  <c r="F55" i="14"/>
  <c r="K54" i="14"/>
  <c r="H54" i="14"/>
  <c r="F54" i="14"/>
  <c r="K53" i="14"/>
  <c r="H53" i="14"/>
  <c r="F53" i="14"/>
  <c r="K52" i="14"/>
  <c r="H52" i="14"/>
  <c r="F52" i="14"/>
  <c r="K51" i="14"/>
  <c r="H51" i="14"/>
  <c r="F51" i="14"/>
  <c r="K50" i="14"/>
  <c r="H50" i="14"/>
  <c r="F50" i="14"/>
  <c r="K49" i="14"/>
  <c r="H49" i="14"/>
  <c r="F49" i="14"/>
  <c r="K48" i="14"/>
  <c r="H48" i="14"/>
  <c r="F48" i="14"/>
  <c r="I44" i="14"/>
  <c r="I88" i="14" s="1"/>
  <c r="K43" i="14"/>
  <c r="H43" i="14"/>
  <c r="F43" i="14"/>
  <c r="K42" i="14"/>
  <c r="H42" i="14"/>
  <c r="F42" i="14"/>
  <c r="K37" i="14"/>
  <c r="H37" i="14"/>
  <c r="F37" i="14"/>
  <c r="K36" i="14"/>
  <c r="H36" i="14"/>
  <c r="F36" i="14"/>
  <c r="K35" i="14"/>
  <c r="H35" i="14"/>
  <c r="F35" i="14"/>
  <c r="K34" i="14"/>
  <c r="H34" i="14"/>
  <c r="F34" i="14"/>
  <c r="K33" i="14"/>
  <c r="H33" i="14"/>
  <c r="F33" i="14"/>
  <c r="K32" i="14"/>
  <c r="H32" i="14"/>
  <c r="F32" i="14"/>
  <c r="K31" i="14"/>
  <c r="H31" i="14"/>
  <c r="F31" i="14"/>
  <c r="K30" i="14"/>
  <c r="H30" i="14"/>
  <c r="F30" i="14"/>
  <c r="K29" i="14"/>
  <c r="H29" i="14"/>
  <c r="F29" i="14"/>
  <c r="K28" i="14"/>
  <c r="H28" i="14"/>
  <c r="F28" i="14"/>
  <c r="K27" i="14"/>
  <c r="H27" i="14"/>
  <c r="F27" i="14"/>
  <c r="K26" i="14"/>
  <c r="H26" i="14"/>
  <c r="F26" i="14"/>
  <c r="K25" i="14"/>
  <c r="H25" i="14"/>
  <c r="F25" i="14"/>
  <c r="K24" i="14"/>
  <c r="H24" i="14"/>
  <c r="F24" i="14"/>
  <c r="K23" i="14"/>
  <c r="H23" i="14"/>
  <c r="F23" i="14"/>
  <c r="K22" i="14"/>
  <c r="H22" i="14"/>
  <c r="F22" i="14"/>
  <c r="K21" i="14"/>
  <c r="H21" i="14"/>
  <c r="F21" i="14"/>
  <c r="K20" i="14"/>
  <c r="H20" i="14"/>
  <c r="F20" i="14"/>
  <c r="K19" i="14"/>
  <c r="H19" i="14"/>
  <c r="F19" i="14"/>
  <c r="K18" i="14"/>
  <c r="H18" i="14"/>
  <c r="F18" i="14"/>
  <c r="K17" i="14"/>
  <c r="H17" i="14"/>
  <c r="F17" i="14"/>
  <c r="K16" i="14"/>
  <c r="H16" i="14"/>
  <c r="F16" i="14"/>
  <c r="K15" i="14"/>
  <c r="H15" i="14"/>
  <c r="F15" i="14"/>
  <c r="K14" i="14"/>
  <c r="H14" i="14"/>
  <c r="F14" i="14"/>
  <c r="K13" i="14"/>
  <c r="H13" i="14"/>
  <c r="F13" i="14"/>
  <c r="K12" i="14"/>
  <c r="H12" i="14"/>
  <c r="F12" i="14"/>
  <c r="K11" i="14"/>
  <c r="H11" i="14"/>
  <c r="F11" i="14"/>
  <c r="K10" i="14"/>
  <c r="H10" i="14"/>
  <c r="F10" i="14"/>
  <c r="K9" i="14"/>
  <c r="H9" i="14"/>
  <c r="F9" i="14"/>
  <c r="K8" i="14"/>
  <c r="H8" i="14"/>
  <c r="F8" i="14"/>
  <c r="K7" i="14"/>
  <c r="H7" i="14"/>
  <c r="F7" i="14"/>
  <c r="K6" i="14"/>
  <c r="H6" i="14"/>
  <c r="F6" i="14"/>
  <c r="K5" i="14"/>
  <c r="H5" i="14"/>
  <c r="F5" i="14"/>
  <c r="K4" i="14"/>
  <c r="H4" i="14"/>
  <c r="F4" i="14"/>
  <c r="K87" i="15"/>
  <c r="H87" i="15"/>
  <c r="F87" i="15"/>
  <c r="K86" i="15"/>
  <c r="H86" i="15"/>
  <c r="F86" i="15"/>
  <c r="K81" i="15"/>
  <c r="H81" i="15"/>
  <c r="F81" i="15"/>
  <c r="K80" i="15"/>
  <c r="H80" i="15"/>
  <c r="F80" i="15"/>
  <c r="K79" i="15"/>
  <c r="H79" i="15"/>
  <c r="F79" i="15"/>
  <c r="K78" i="15"/>
  <c r="H78" i="15"/>
  <c r="F78" i="15"/>
  <c r="K77" i="15"/>
  <c r="H77" i="15"/>
  <c r="F77" i="15"/>
  <c r="K76" i="15"/>
  <c r="H76" i="15"/>
  <c r="F76" i="15"/>
  <c r="K75" i="15"/>
  <c r="H75" i="15"/>
  <c r="F75" i="15"/>
  <c r="K74" i="15"/>
  <c r="H74" i="15"/>
  <c r="F74" i="15"/>
  <c r="K73" i="15"/>
  <c r="H73" i="15"/>
  <c r="F73" i="15"/>
  <c r="K72" i="15"/>
  <c r="H72" i="15"/>
  <c r="F72" i="15"/>
  <c r="K71" i="15"/>
  <c r="H71" i="15"/>
  <c r="F71" i="15"/>
  <c r="K70" i="15"/>
  <c r="H70" i="15"/>
  <c r="F70" i="15"/>
  <c r="K69" i="15"/>
  <c r="H69" i="15"/>
  <c r="F69" i="15"/>
  <c r="K68" i="15"/>
  <c r="H68" i="15"/>
  <c r="F68" i="15"/>
  <c r="K67" i="15"/>
  <c r="H67" i="15"/>
  <c r="F67" i="15"/>
  <c r="K66" i="15"/>
  <c r="H66" i="15"/>
  <c r="F66" i="15"/>
  <c r="K65" i="15"/>
  <c r="H65" i="15"/>
  <c r="F65" i="15"/>
  <c r="K64" i="15"/>
  <c r="H64" i="15"/>
  <c r="F64" i="15"/>
  <c r="K63" i="15"/>
  <c r="H63" i="15"/>
  <c r="F63" i="15"/>
  <c r="K62" i="15"/>
  <c r="H62" i="15"/>
  <c r="F62" i="15"/>
  <c r="K61" i="15"/>
  <c r="H61" i="15"/>
  <c r="F61" i="15"/>
  <c r="K60" i="15"/>
  <c r="H60" i="15"/>
  <c r="F60" i="15"/>
  <c r="K59" i="15"/>
  <c r="H59" i="15"/>
  <c r="F59" i="15"/>
  <c r="K58" i="15"/>
  <c r="H58" i="15"/>
  <c r="F58" i="15"/>
  <c r="K57" i="15"/>
  <c r="H57" i="15"/>
  <c r="F57" i="15"/>
  <c r="K56" i="15"/>
  <c r="H56" i="15"/>
  <c r="F56" i="15"/>
  <c r="K55" i="15"/>
  <c r="H55" i="15"/>
  <c r="F55" i="15"/>
  <c r="K54" i="15"/>
  <c r="H54" i="15"/>
  <c r="F54" i="15"/>
  <c r="K53" i="15"/>
  <c r="H53" i="15"/>
  <c r="F53" i="15"/>
  <c r="K52" i="15"/>
  <c r="H52" i="15"/>
  <c r="F52" i="15"/>
  <c r="K51" i="15"/>
  <c r="H51" i="15"/>
  <c r="F51" i="15"/>
  <c r="K50" i="15"/>
  <c r="H50" i="15"/>
  <c r="F50" i="15"/>
  <c r="K49" i="15"/>
  <c r="H49" i="15"/>
  <c r="F49" i="15"/>
  <c r="K48" i="15"/>
  <c r="H48" i="15"/>
  <c r="F48" i="15"/>
  <c r="I44" i="15"/>
  <c r="I88" i="15" s="1"/>
  <c r="K43" i="15"/>
  <c r="H43" i="15"/>
  <c r="F43" i="15"/>
  <c r="K42" i="15"/>
  <c r="H42" i="15"/>
  <c r="F42" i="15"/>
  <c r="K37" i="15"/>
  <c r="H37" i="15"/>
  <c r="F37" i="15"/>
  <c r="K36" i="15"/>
  <c r="H36" i="15"/>
  <c r="F36" i="15"/>
  <c r="K35" i="15"/>
  <c r="H35" i="15"/>
  <c r="F35" i="15"/>
  <c r="K34" i="15"/>
  <c r="H34" i="15"/>
  <c r="F34" i="15"/>
  <c r="K33" i="15"/>
  <c r="H33" i="15"/>
  <c r="F33" i="15"/>
  <c r="K32" i="15"/>
  <c r="H32" i="15"/>
  <c r="F32" i="15"/>
  <c r="K31" i="15"/>
  <c r="H31" i="15"/>
  <c r="F31" i="15"/>
  <c r="K30" i="15"/>
  <c r="H30" i="15"/>
  <c r="F30" i="15"/>
  <c r="K29" i="15"/>
  <c r="H29" i="15"/>
  <c r="F29" i="15"/>
  <c r="K28" i="15"/>
  <c r="H28" i="15"/>
  <c r="F28" i="15"/>
  <c r="K27" i="15"/>
  <c r="H27" i="15"/>
  <c r="F27" i="15"/>
  <c r="K26" i="15"/>
  <c r="H26" i="15"/>
  <c r="F26" i="15"/>
  <c r="K25" i="15"/>
  <c r="H25" i="15"/>
  <c r="F25" i="15"/>
  <c r="K24" i="15"/>
  <c r="H24" i="15"/>
  <c r="F24" i="15"/>
  <c r="K23" i="15"/>
  <c r="H23" i="15"/>
  <c r="F23" i="15"/>
  <c r="K22" i="15"/>
  <c r="H22" i="15"/>
  <c r="F22" i="15"/>
  <c r="K21" i="15"/>
  <c r="H21" i="15"/>
  <c r="F21" i="15"/>
  <c r="K20" i="15"/>
  <c r="H20" i="15"/>
  <c r="F20" i="15"/>
  <c r="K19" i="15"/>
  <c r="H19" i="15"/>
  <c r="F19" i="15"/>
  <c r="K18" i="15"/>
  <c r="H18" i="15"/>
  <c r="F18" i="15"/>
  <c r="K17" i="15"/>
  <c r="H17" i="15"/>
  <c r="F17" i="15"/>
  <c r="K16" i="15"/>
  <c r="H16" i="15"/>
  <c r="F16" i="15"/>
  <c r="K15" i="15"/>
  <c r="H15" i="15"/>
  <c r="F15" i="15"/>
  <c r="K14" i="15"/>
  <c r="H14" i="15"/>
  <c r="F14" i="15"/>
  <c r="K13" i="15"/>
  <c r="H13" i="15"/>
  <c r="F13" i="15"/>
  <c r="K12" i="15"/>
  <c r="H12" i="15"/>
  <c r="F12" i="15"/>
  <c r="K11" i="15"/>
  <c r="H11" i="15"/>
  <c r="F11" i="15"/>
  <c r="K10" i="15"/>
  <c r="H10" i="15"/>
  <c r="F10" i="15"/>
  <c r="K9" i="15"/>
  <c r="H9" i="15"/>
  <c r="F9" i="15"/>
  <c r="K8" i="15"/>
  <c r="H8" i="15"/>
  <c r="F8" i="15"/>
  <c r="K7" i="15"/>
  <c r="H7" i="15"/>
  <c r="F7" i="15"/>
  <c r="K6" i="15"/>
  <c r="H6" i="15"/>
  <c r="F6" i="15"/>
  <c r="K5" i="15"/>
  <c r="H5" i="15"/>
  <c r="F5" i="15"/>
  <c r="K4" i="15"/>
  <c r="H4" i="15"/>
  <c r="F4" i="15"/>
  <c r="K87" i="16"/>
  <c r="H87" i="16"/>
  <c r="F87" i="16"/>
  <c r="K86" i="16"/>
  <c r="H86" i="16"/>
  <c r="F86" i="16"/>
  <c r="K81" i="16"/>
  <c r="H81" i="16"/>
  <c r="F81" i="16"/>
  <c r="K80" i="16"/>
  <c r="H80" i="16"/>
  <c r="F80" i="16"/>
  <c r="K79" i="16"/>
  <c r="H79" i="16"/>
  <c r="F79" i="16"/>
  <c r="K78" i="16"/>
  <c r="H78" i="16"/>
  <c r="F78" i="16"/>
  <c r="K77" i="16"/>
  <c r="H77" i="16"/>
  <c r="F77" i="16"/>
  <c r="K76" i="16"/>
  <c r="H76" i="16"/>
  <c r="F76" i="16"/>
  <c r="K75" i="16"/>
  <c r="H75" i="16"/>
  <c r="F75" i="16"/>
  <c r="K74" i="16"/>
  <c r="H74" i="16"/>
  <c r="F74" i="16"/>
  <c r="K73" i="16"/>
  <c r="H73" i="16"/>
  <c r="F73" i="16"/>
  <c r="K72" i="16"/>
  <c r="H72" i="16"/>
  <c r="F72" i="16"/>
  <c r="K71" i="16"/>
  <c r="H71" i="16"/>
  <c r="F71" i="16"/>
  <c r="K70" i="16"/>
  <c r="H70" i="16"/>
  <c r="F70" i="16"/>
  <c r="K69" i="16"/>
  <c r="H69" i="16"/>
  <c r="F69" i="16"/>
  <c r="K68" i="16"/>
  <c r="H68" i="16"/>
  <c r="F68" i="16"/>
  <c r="K67" i="16"/>
  <c r="H67" i="16"/>
  <c r="F67" i="16"/>
  <c r="K66" i="16"/>
  <c r="H66" i="16"/>
  <c r="F66" i="16"/>
  <c r="K65" i="16"/>
  <c r="H65" i="16"/>
  <c r="F65" i="16"/>
  <c r="K64" i="16"/>
  <c r="H64" i="16"/>
  <c r="F64" i="16"/>
  <c r="K63" i="16"/>
  <c r="H63" i="16"/>
  <c r="F63" i="16"/>
  <c r="K62" i="16"/>
  <c r="H62" i="16"/>
  <c r="F62" i="16"/>
  <c r="K61" i="16"/>
  <c r="H61" i="16"/>
  <c r="F61" i="16"/>
  <c r="K60" i="16"/>
  <c r="H60" i="16"/>
  <c r="F60" i="16"/>
  <c r="K59" i="16"/>
  <c r="H59" i="16"/>
  <c r="F59" i="16"/>
  <c r="K58" i="16"/>
  <c r="H58" i="16"/>
  <c r="F58" i="16"/>
  <c r="K57" i="16"/>
  <c r="H57" i="16"/>
  <c r="F57" i="16"/>
  <c r="K56" i="16"/>
  <c r="H56" i="16"/>
  <c r="F56" i="16"/>
  <c r="K55" i="16"/>
  <c r="H55" i="16"/>
  <c r="F55" i="16"/>
  <c r="K54" i="16"/>
  <c r="H54" i="16"/>
  <c r="F54" i="16"/>
  <c r="K53" i="16"/>
  <c r="H53" i="16"/>
  <c r="F53" i="16"/>
  <c r="K52" i="16"/>
  <c r="H52" i="16"/>
  <c r="F52" i="16"/>
  <c r="K51" i="16"/>
  <c r="H51" i="16"/>
  <c r="F51" i="16"/>
  <c r="K50" i="16"/>
  <c r="H50" i="16"/>
  <c r="F50" i="16"/>
  <c r="K49" i="16"/>
  <c r="H49" i="16"/>
  <c r="F49" i="16"/>
  <c r="K48" i="16"/>
  <c r="H48" i="16"/>
  <c r="F48" i="16"/>
  <c r="I44" i="16"/>
  <c r="I88" i="16" s="1"/>
  <c r="K43" i="16"/>
  <c r="H43" i="16"/>
  <c r="F43" i="16"/>
  <c r="K42" i="16"/>
  <c r="H42" i="16"/>
  <c r="F42" i="16"/>
  <c r="K37" i="16"/>
  <c r="H37" i="16"/>
  <c r="F37" i="16"/>
  <c r="K36" i="16"/>
  <c r="H36" i="16"/>
  <c r="F36" i="16"/>
  <c r="K35" i="16"/>
  <c r="H35" i="16"/>
  <c r="F35" i="16"/>
  <c r="K34" i="16"/>
  <c r="H34" i="16"/>
  <c r="F34" i="16"/>
  <c r="K33" i="16"/>
  <c r="H33" i="16"/>
  <c r="F33" i="16"/>
  <c r="K32" i="16"/>
  <c r="H32" i="16"/>
  <c r="F32" i="16"/>
  <c r="K31" i="16"/>
  <c r="H31" i="16"/>
  <c r="F31" i="16"/>
  <c r="K30" i="16"/>
  <c r="H30" i="16"/>
  <c r="F30" i="16"/>
  <c r="K29" i="16"/>
  <c r="H29" i="16"/>
  <c r="F29" i="16"/>
  <c r="K28" i="16"/>
  <c r="H28" i="16"/>
  <c r="F28" i="16"/>
  <c r="K27" i="16"/>
  <c r="H27" i="16"/>
  <c r="F27" i="16"/>
  <c r="K26" i="16"/>
  <c r="H26" i="16"/>
  <c r="F26" i="16"/>
  <c r="K25" i="16"/>
  <c r="H25" i="16"/>
  <c r="F25" i="16"/>
  <c r="K24" i="16"/>
  <c r="H24" i="16"/>
  <c r="F24" i="16"/>
  <c r="K23" i="16"/>
  <c r="H23" i="16"/>
  <c r="F23" i="16"/>
  <c r="K22" i="16"/>
  <c r="H22" i="16"/>
  <c r="F22" i="16"/>
  <c r="K21" i="16"/>
  <c r="H21" i="16"/>
  <c r="F21" i="16"/>
  <c r="K20" i="16"/>
  <c r="H20" i="16"/>
  <c r="F20" i="16"/>
  <c r="K19" i="16"/>
  <c r="H19" i="16"/>
  <c r="F19" i="16"/>
  <c r="K18" i="16"/>
  <c r="H18" i="16"/>
  <c r="F18" i="16"/>
  <c r="K17" i="16"/>
  <c r="H17" i="16"/>
  <c r="F17" i="16"/>
  <c r="K16" i="16"/>
  <c r="H16" i="16"/>
  <c r="F16" i="16"/>
  <c r="K15" i="16"/>
  <c r="H15" i="16"/>
  <c r="F15" i="16"/>
  <c r="K14" i="16"/>
  <c r="H14" i="16"/>
  <c r="F14" i="16"/>
  <c r="K13" i="16"/>
  <c r="H13" i="16"/>
  <c r="F13" i="16"/>
  <c r="K12" i="16"/>
  <c r="H12" i="16"/>
  <c r="F12" i="16"/>
  <c r="K11" i="16"/>
  <c r="H11" i="16"/>
  <c r="F11" i="16"/>
  <c r="K10" i="16"/>
  <c r="H10" i="16"/>
  <c r="F10" i="16"/>
  <c r="K9" i="16"/>
  <c r="H9" i="16"/>
  <c r="F9" i="16"/>
  <c r="K8" i="16"/>
  <c r="H8" i="16"/>
  <c r="F8" i="16"/>
  <c r="K7" i="16"/>
  <c r="H7" i="16"/>
  <c r="F7" i="16"/>
  <c r="K6" i="16"/>
  <c r="H6" i="16"/>
  <c r="F6" i="16"/>
  <c r="K5" i="16"/>
  <c r="H5" i="16"/>
  <c r="F5" i="16"/>
  <c r="K4" i="16"/>
  <c r="H4" i="16"/>
  <c r="F4" i="16"/>
  <c r="K87" i="17"/>
  <c r="H87" i="17"/>
  <c r="F87" i="17"/>
  <c r="K86" i="17"/>
  <c r="H86" i="17"/>
  <c r="F86" i="17"/>
  <c r="K81" i="17"/>
  <c r="H81" i="17"/>
  <c r="F81" i="17"/>
  <c r="K80" i="17"/>
  <c r="H80" i="17"/>
  <c r="F80" i="17"/>
  <c r="K79" i="17"/>
  <c r="H79" i="17"/>
  <c r="F79" i="17"/>
  <c r="K78" i="17"/>
  <c r="H78" i="17"/>
  <c r="F78" i="17"/>
  <c r="K77" i="17"/>
  <c r="H77" i="17"/>
  <c r="F77" i="17"/>
  <c r="K76" i="17"/>
  <c r="H76" i="17"/>
  <c r="F76" i="17"/>
  <c r="K75" i="17"/>
  <c r="H75" i="17"/>
  <c r="F75" i="17"/>
  <c r="K74" i="17"/>
  <c r="H74" i="17"/>
  <c r="F74" i="17"/>
  <c r="K73" i="17"/>
  <c r="H73" i="17"/>
  <c r="F73" i="17"/>
  <c r="K72" i="17"/>
  <c r="H72" i="17"/>
  <c r="F72" i="17"/>
  <c r="K71" i="17"/>
  <c r="H71" i="17"/>
  <c r="F71" i="17"/>
  <c r="K70" i="17"/>
  <c r="H70" i="17"/>
  <c r="F70" i="17"/>
  <c r="K69" i="17"/>
  <c r="H69" i="17"/>
  <c r="F69" i="17"/>
  <c r="K68" i="17"/>
  <c r="H68" i="17"/>
  <c r="F68" i="17"/>
  <c r="K67" i="17"/>
  <c r="H67" i="17"/>
  <c r="F67" i="17"/>
  <c r="K66" i="17"/>
  <c r="H66" i="17"/>
  <c r="F66" i="17"/>
  <c r="K65" i="17"/>
  <c r="H65" i="17"/>
  <c r="F65" i="17"/>
  <c r="K64" i="17"/>
  <c r="H64" i="17"/>
  <c r="F64" i="17"/>
  <c r="K63" i="17"/>
  <c r="H63" i="17"/>
  <c r="F63" i="17"/>
  <c r="K62" i="17"/>
  <c r="H62" i="17"/>
  <c r="F62" i="17"/>
  <c r="K61" i="17"/>
  <c r="H61" i="17"/>
  <c r="F61" i="17"/>
  <c r="K60" i="17"/>
  <c r="H60" i="17"/>
  <c r="F60" i="17"/>
  <c r="K59" i="17"/>
  <c r="H59" i="17"/>
  <c r="F59" i="17"/>
  <c r="K58" i="17"/>
  <c r="H58" i="17"/>
  <c r="F58" i="17"/>
  <c r="K57" i="17"/>
  <c r="H57" i="17"/>
  <c r="F57" i="17"/>
  <c r="K56" i="17"/>
  <c r="H56" i="17"/>
  <c r="F56" i="17"/>
  <c r="K55" i="17"/>
  <c r="H55" i="17"/>
  <c r="F55" i="17"/>
  <c r="K54" i="17"/>
  <c r="H54" i="17"/>
  <c r="F54" i="17"/>
  <c r="K53" i="17"/>
  <c r="H53" i="17"/>
  <c r="F53" i="17"/>
  <c r="K52" i="17"/>
  <c r="H52" i="17"/>
  <c r="F52" i="17"/>
  <c r="K51" i="17"/>
  <c r="H51" i="17"/>
  <c r="F51" i="17"/>
  <c r="K50" i="17"/>
  <c r="H50" i="17"/>
  <c r="F50" i="17"/>
  <c r="K49" i="17"/>
  <c r="H49" i="17"/>
  <c r="F49" i="17"/>
  <c r="K48" i="17"/>
  <c r="H48" i="17"/>
  <c r="F48" i="17"/>
  <c r="I44" i="17"/>
  <c r="I88" i="17" s="1"/>
  <c r="K43" i="17"/>
  <c r="H43" i="17"/>
  <c r="F43" i="17"/>
  <c r="K42" i="17"/>
  <c r="H42" i="17"/>
  <c r="F42" i="17"/>
  <c r="K37" i="17"/>
  <c r="H37" i="17"/>
  <c r="F37" i="17"/>
  <c r="K36" i="17"/>
  <c r="H36" i="17"/>
  <c r="F36" i="17"/>
  <c r="K35" i="17"/>
  <c r="H35" i="17"/>
  <c r="F35" i="17"/>
  <c r="K34" i="17"/>
  <c r="H34" i="17"/>
  <c r="F34" i="17"/>
  <c r="K33" i="17"/>
  <c r="H33" i="17"/>
  <c r="F33" i="17"/>
  <c r="K32" i="17"/>
  <c r="H32" i="17"/>
  <c r="F32" i="17"/>
  <c r="K31" i="17"/>
  <c r="H31" i="17"/>
  <c r="F31" i="17"/>
  <c r="K30" i="17"/>
  <c r="H30" i="17"/>
  <c r="F30" i="17"/>
  <c r="K29" i="17"/>
  <c r="H29" i="17"/>
  <c r="F29" i="17"/>
  <c r="K28" i="17"/>
  <c r="H28" i="17"/>
  <c r="F28" i="17"/>
  <c r="K27" i="17"/>
  <c r="H27" i="17"/>
  <c r="F27" i="17"/>
  <c r="K26" i="17"/>
  <c r="H26" i="17"/>
  <c r="F26" i="17"/>
  <c r="K25" i="17"/>
  <c r="H25" i="17"/>
  <c r="F25" i="17"/>
  <c r="K24" i="17"/>
  <c r="H24" i="17"/>
  <c r="F24" i="17"/>
  <c r="K23" i="17"/>
  <c r="H23" i="17"/>
  <c r="F23" i="17"/>
  <c r="K22" i="17"/>
  <c r="H22" i="17"/>
  <c r="F22" i="17"/>
  <c r="K21" i="17"/>
  <c r="H21" i="17"/>
  <c r="F21" i="17"/>
  <c r="K20" i="17"/>
  <c r="H20" i="17"/>
  <c r="F20" i="17"/>
  <c r="K19" i="17"/>
  <c r="H19" i="17"/>
  <c r="F19" i="17"/>
  <c r="K18" i="17"/>
  <c r="H18" i="17"/>
  <c r="F18" i="17"/>
  <c r="K17" i="17"/>
  <c r="H17" i="17"/>
  <c r="F17" i="17"/>
  <c r="K16" i="17"/>
  <c r="H16" i="17"/>
  <c r="F16" i="17"/>
  <c r="K15" i="17"/>
  <c r="H15" i="17"/>
  <c r="F15" i="17"/>
  <c r="K14" i="17"/>
  <c r="H14" i="17"/>
  <c r="F14" i="17"/>
  <c r="K13" i="17"/>
  <c r="H13" i="17"/>
  <c r="F13" i="17"/>
  <c r="K12" i="17"/>
  <c r="H12" i="17"/>
  <c r="F12" i="17"/>
  <c r="K11" i="17"/>
  <c r="H11" i="17"/>
  <c r="F11" i="17"/>
  <c r="K10" i="17"/>
  <c r="H10" i="17"/>
  <c r="F10" i="17"/>
  <c r="K9" i="17"/>
  <c r="H9" i="17"/>
  <c r="F9" i="17"/>
  <c r="K8" i="17"/>
  <c r="H8" i="17"/>
  <c r="F8" i="17"/>
  <c r="K7" i="17"/>
  <c r="H7" i="17"/>
  <c r="F7" i="17"/>
  <c r="K6" i="17"/>
  <c r="H6" i="17"/>
  <c r="F6" i="17"/>
  <c r="K5" i="17"/>
  <c r="H5" i="17"/>
  <c r="F5" i="17"/>
  <c r="K4" i="17"/>
  <c r="H4" i="17"/>
  <c r="F4" i="17"/>
  <c r="K87" i="18"/>
  <c r="H87" i="18"/>
  <c r="F87" i="18"/>
  <c r="K86" i="18"/>
  <c r="H86" i="18"/>
  <c r="F86" i="18"/>
  <c r="K81" i="18"/>
  <c r="H81" i="18"/>
  <c r="F81" i="18"/>
  <c r="K80" i="18"/>
  <c r="H80" i="18"/>
  <c r="F80" i="18"/>
  <c r="K79" i="18"/>
  <c r="H79" i="18"/>
  <c r="F79" i="18"/>
  <c r="K78" i="18"/>
  <c r="H78" i="18"/>
  <c r="F78" i="18"/>
  <c r="K77" i="18"/>
  <c r="H77" i="18"/>
  <c r="F77" i="18"/>
  <c r="K76" i="18"/>
  <c r="H76" i="18"/>
  <c r="F76" i="18"/>
  <c r="K75" i="18"/>
  <c r="H75" i="18"/>
  <c r="F75" i="18"/>
  <c r="K74" i="18"/>
  <c r="H74" i="18"/>
  <c r="F74" i="18"/>
  <c r="K73" i="18"/>
  <c r="H73" i="18"/>
  <c r="F73" i="18"/>
  <c r="K72" i="18"/>
  <c r="H72" i="18"/>
  <c r="F72" i="18"/>
  <c r="K71" i="18"/>
  <c r="H71" i="18"/>
  <c r="F71" i="18"/>
  <c r="K70" i="18"/>
  <c r="H70" i="18"/>
  <c r="F70" i="18"/>
  <c r="K69" i="18"/>
  <c r="H69" i="18"/>
  <c r="F69" i="18"/>
  <c r="K68" i="18"/>
  <c r="H68" i="18"/>
  <c r="F68" i="18"/>
  <c r="K67" i="18"/>
  <c r="H67" i="18"/>
  <c r="F67" i="18"/>
  <c r="K66" i="18"/>
  <c r="H66" i="18"/>
  <c r="F66" i="18"/>
  <c r="K65" i="18"/>
  <c r="H65" i="18"/>
  <c r="F65" i="18"/>
  <c r="K64" i="18"/>
  <c r="H64" i="18"/>
  <c r="F64" i="18"/>
  <c r="K63" i="18"/>
  <c r="H63" i="18"/>
  <c r="F63" i="18"/>
  <c r="K62" i="18"/>
  <c r="H62" i="18"/>
  <c r="F62" i="18"/>
  <c r="K61" i="18"/>
  <c r="H61" i="18"/>
  <c r="F61" i="18"/>
  <c r="K60" i="18"/>
  <c r="H60" i="18"/>
  <c r="F60" i="18"/>
  <c r="K59" i="18"/>
  <c r="H59" i="18"/>
  <c r="F59" i="18"/>
  <c r="K58" i="18"/>
  <c r="H58" i="18"/>
  <c r="F58" i="18"/>
  <c r="K57" i="18"/>
  <c r="H57" i="18"/>
  <c r="F57" i="18"/>
  <c r="K56" i="18"/>
  <c r="H56" i="18"/>
  <c r="F56" i="18"/>
  <c r="K55" i="18"/>
  <c r="H55" i="18"/>
  <c r="F55" i="18"/>
  <c r="K54" i="18"/>
  <c r="H54" i="18"/>
  <c r="F54" i="18"/>
  <c r="K53" i="18"/>
  <c r="H53" i="18"/>
  <c r="F53" i="18"/>
  <c r="K52" i="18"/>
  <c r="H52" i="18"/>
  <c r="F52" i="18"/>
  <c r="K51" i="18"/>
  <c r="H51" i="18"/>
  <c r="F51" i="18"/>
  <c r="K50" i="18"/>
  <c r="H50" i="18"/>
  <c r="F50" i="18"/>
  <c r="K49" i="18"/>
  <c r="H49" i="18"/>
  <c r="F49" i="18"/>
  <c r="K48" i="18"/>
  <c r="H48" i="18"/>
  <c r="F48" i="18"/>
  <c r="I44" i="18"/>
  <c r="I88" i="18" s="1"/>
  <c r="K43" i="18"/>
  <c r="H43" i="18"/>
  <c r="F43" i="18"/>
  <c r="K42" i="18"/>
  <c r="H42" i="18"/>
  <c r="F42" i="18"/>
  <c r="K37" i="18"/>
  <c r="H37" i="18"/>
  <c r="F37" i="18"/>
  <c r="K36" i="18"/>
  <c r="H36" i="18"/>
  <c r="F36" i="18"/>
  <c r="K35" i="18"/>
  <c r="H35" i="18"/>
  <c r="F35" i="18"/>
  <c r="K34" i="18"/>
  <c r="H34" i="18"/>
  <c r="F34" i="18"/>
  <c r="K33" i="18"/>
  <c r="H33" i="18"/>
  <c r="F33" i="18"/>
  <c r="K32" i="18"/>
  <c r="H32" i="18"/>
  <c r="F32" i="18"/>
  <c r="K31" i="18"/>
  <c r="H31" i="18"/>
  <c r="F31" i="18"/>
  <c r="K30" i="18"/>
  <c r="H30" i="18"/>
  <c r="F30" i="18"/>
  <c r="K29" i="18"/>
  <c r="H29" i="18"/>
  <c r="F29" i="18"/>
  <c r="K28" i="18"/>
  <c r="H28" i="18"/>
  <c r="F28" i="18"/>
  <c r="K27" i="18"/>
  <c r="H27" i="18"/>
  <c r="F27" i="18"/>
  <c r="K26" i="18"/>
  <c r="H26" i="18"/>
  <c r="F26" i="18"/>
  <c r="K25" i="18"/>
  <c r="H25" i="18"/>
  <c r="F25" i="18"/>
  <c r="K24" i="18"/>
  <c r="H24" i="18"/>
  <c r="F24" i="18"/>
  <c r="K23" i="18"/>
  <c r="H23" i="18"/>
  <c r="F23" i="18"/>
  <c r="K22" i="18"/>
  <c r="H22" i="18"/>
  <c r="F22" i="18"/>
  <c r="K21" i="18"/>
  <c r="H21" i="18"/>
  <c r="F21" i="18"/>
  <c r="K20" i="18"/>
  <c r="H20" i="18"/>
  <c r="F20" i="18"/>
  <c r="K19" i="18"/>
  <c r="H19" i="18"/>
  <c r="F19" i="18"/>
  <c r="K18" i="18"/>
  <c r="H18" i="18"/>
  <c r="F18" i="18"/>
  <c r="K17" i="18"/>
  <c r="H17" i="18"/>
  <c r="F17" i="18"/>
  <c r="K16" i="18"/>
  <c r="H16" i="18"/>
  <c r="F16" i="18"/>
  <c r="K15" i="18"/>
  <c r="H15" i="18"/>
  <c r="F15" i="18"/>
  <c r="K14" i="18"/>
  <c r="H14" i="18"/>
  <c r="F14" i="18"/>
  <c r="K13" i="18"/>
  <c r="H13" i="18"/>
  <c r="F13" i="18"/>
  <c r="K12" i="18"/>
  <c r="H12" i="18"/>
  <c r="F12" i="18"/>
  <c r="K11" i="18"/>
  <c r="H11" i="18"/>
  <c r="F11" i="18"/>
  <c r="K10" i="18"/>
  <c r="H10" i="18"/>
  <c r="F10" i="18"/>
  <c r="K9" i="18"/>
  <c r="H9" i="18"/>
  <c r="F9" i="18"/>
  <c r="H8" i="18"/>
  <c r="F8" i="18"/>
  <c r="K7" i="18"/>
  <c r="H7" i="18"/>
  <c r="F7" i="18"/>
  <c r="K6" i="18"/>
  <c r="H6" i="18"/>
  <c r="F6" i="18"/>
  <c r="K5" i="18"/>
  <c r="H5" i="18"/>
  <c r="F5" i="18"/>
  <c r="K4" i="18"/>
  <c r="H4" i="18"/>
  <c r="F4" i="18"/>
  <c r="K87" i="19"/>
  <c r="H87" i="19"/>
  <c r="F87" i="19"/>
  <c r="K86" i="19"/>
  <c r="H86" i="19"/>
  <c r="F86" i="19"/>
  <c r="K81" i="19"/>
  <c r="H81" i="19"/>
  <c r="F81" i="19"/>
  <c r="K80" i="19"/>
  <c r="H80" i="19"/>
  <c r="F80" i="19"/>
  <c r="K79" i="19"/>
  <c r="H79" i="19"/>
  <c r="F79" i="19"/>
  <c r="K78" i="19"/>
  <c r="H78" i="19"/>
  <c r="F78" i="19"/>
  <c r="K77" i="19"/>
  <c r="H77" i="19"/>
  <c r="F77" i="19"/>
  <c r="K76" i="19"/>
  <c r="H76" i="19"/>
  <c r="F76" i="19"/>
  <c r="K75" i="19"/>
  <c r="H75" i="19"/>
  <c r="F75" i="19"/>
  <c r="K74" i="19"/>
  <c r="H74" i="19"/>
  <c r="F74" i="19"/>
  <c r="K73" i="19"/>
  <c r="H73" i="19"/>
  <c r="F73" i="19"/>
  <c r="K72" i="19"/>
  <c r="H72" i="19"/>
  <c r="F72" i="19"/>
  <c r="K71" i="19"/>
  <c r="H71" i="19"/>
  <c r="F71" i="19"/>
  <c r="K70" i="19"/>
  <c r="H70" i="19"/>
  <c r="F70" i="19"/>
  <c r="K69" i="19"/>
  <c r="H69" i="19"/>
  <c r="F69" i="19"/>
  <c r="K68" i="19"/>
  <c r="H68" i="19"/>
  <c r="F68" i="19"/>
  <c r="K67" i="19"/>
  <c r="H67" i="19"/>
  <c r="F67" i="19"/>
  <c r="K66" i="19"/>
  <c r="H66" i="19"/>
  <c r="F66" i="19"/>
  <c r="K65" i="19"/>
  <c r="H65" i="19"/>
  <c r="F65" i="19"/>
  <c r="K64" i="19"/>
  <c r="H64" i="19"/>
  <c r="F64" i="19"/>
  <c r="K63" i="19"/>
  <c r="H63" i="19"/>
  <c r="F63" i="19"/>
  <c r="K62" i="19"/>
  <c r="H62" i="19"/>
  <c r="F62" i="19"/>
  <c r="K61" i="19"/>
  <c r="H61" i="19"/>
  <c r="F61" i="19"/>
  <c r="K60" i="19"/>
  <c r="H60" i="19"/>
  <c r="F60" i="19"/>
  <c r="K59" i="19"/>
  <c r="H59" i="19"/>
  <c r="F59" i="19"/>
  <c r="K58" i="19"/>
  <c r="H58" i="19"/>
  <c r="F58" i="19"/>
  <c r="K57" i="19"/>
  <c r="H57" i="19"/>
  <c r="F57" i="19"/>
  <c r="K56" i="19"/>
  <c r="H56" i="19"/>
  <c r="F56" i="19"/>
  <c r="K55" i="19"/>
  <c r="H55" i="19"/>
  <c r="F55" i="19"/>
  <c r="K54" i="19"/>
  <c r="H54" i="19"/>
  <c r="F54" i="19"/>
  <c r="K53" i="19"/>
  <c r="H53" i="19"/>
  <c r="F53" i="19"/>
  <c r="K52" i="19"/>
  <c r="H52" i="19"/>
  <c r="F52" i="19"/>
  <c r="K51" i="19"/>
  <c r="H51" i="19"/>
  <c r="F51" i="19"/>
  <c r="K50" i="19"/>
  <c r="H50" i="19"/>
  <c r="F50" i="19"/>
  <c r="K49" i="19"/>
  <c r="H49" i="19"/>
  <c r="F49" i="19"/>
  <c r="K48" i="19"/>
  <c r="H48" i="19"/>
  <c r="F48" i="19"/>
  <c r="I44" i="19"/>
  <c r="I88" i="19" s="1"/>
  <c r="K43" i="19"/>
  <c r="H43" i="19"/>
  <c r="F43" i="19"/>
  <c r="K42" i="19"/>
  <c r="H42" i="19"/>
  <c r="F42" i="19"/>
  <c r="K37" i="19"/>
  <c r="H37" i="19"/>
  <c r="F37" i="19"/>
  <c r="K36" i="19"/>
  <c r="H36" i="19"/>
  <c r="F36" i="19"/>
  <c r="K35" i="19"/>
  <c r="H35" i="19"/>
  <c r="F35" i="19"/>
  <c r="K34" i="19"/>
  <c r="H34" i="19"/>
  <c r="F34" i="19"/>
  <c r="K33" i="19"/>
  <c r="H33" i="19"/>
  <c r="F33" i="19"/>
  <c r="K32" i="19"/>
  <c r="H32" i="19"/>
  <c r="F32" i="19"/>
  <c r="K31" i="19"/>
  <c r="H31" i="19"/>
  <c r="F31" i="19"/>
  <c r="K30" i="19"/>
  <c r="H30" i="19"/>
  <c r="F30" i="19"/>
  <c r="K29" i="19"/>
  <c r="H29" i="19"/>
  <c r="F29" i="19"/>
  <c r="K28" i="19"/>
  <c r="H28" i="19"/>
  <c r="F28" i="19"/>
  <c r="K27" i="19"/>
  <c r="H27" i="19"/>
  <c r="F27" i="19"/>
  <c r="K26" i="19"/>
  <c r="H26" i="19"/>
  <c r="F26" i="19"/>
  <c r="K25" i="19"/>
  <c r="H25" i="19"/>
  <c r="F25" i="19"/>
  <c r="K24" i="19"/>
  <c r="H24" i="19"/>
  <c r="F24" i="19"/>
  <c r="K23" i="19"/>
  <c r="H23" i="19"/>
  <c r="F23" i="19"/>
  <c r="K22" i="19"/>
  <c r="H22" i="19"/>
  <c r="F22" i="19"/>
  <c r="K21" i="19"/>
  <c r="H21" i="19"/>
  <c r="F21" i="19"/>
  <c r="K20" i="19"/>
  <c r="H20" i="19"/>
  <c r="F20" i="19"/>
  <c r="K19" i="19"/>
  <c r="H19" i="19"/>
  <c r="F19" i="19"/>
  <c r="K18" i="19"/>
  <c r="H18" i="19"/>
  <c r="F18" i="19"/>
  <c r="K17" i="19"/>
  <c r="H17" i="19"/>
  <c r="F17" i="19"/>
  <c r="K16" i="19"/>
  <c r="H16" i="19"/>
  <c r="F16" i="19"/>
  <c r="K15" i="19"/>
  <c r="H15" i="19"/>
  <c r="F15" i="19"/>
  <c r="K14" i="19"/>
  <c r="H14" i="19"/>
  <c r="F14" i="19"/>
  <c r="K13" i="19"/>
  <c r="H13" i="19"/>
  <c r="F13" i="19"/>
  <c r="K12" i="19"/>
  <c r="H12" i="19"/>
  <c r="F12" i="19"/>
  <c r="K11" i="19"/>
  <c r="H11" i="19"/>
  <c r="F11" i="19"/>
  <c r="K10" i="19"/>
  <c r="H10" i="19"/>
  <c r="F10" i="19"/>
  <c r="K9" i="19"/>
  <c r="H9" i="19"/>
  <c r="F9" i="19"/>
  <c r="K8" i="19"/>
  <c r="H8" i="19"/>
  <c r="F8" i="19"/>
  <c r="K7" i="19"/>
  <c r="H7" i="19"/>
  <c r="F7" i="19"/>
  <c r="K6" i="19"/>
  <c r="H6" i="19"/>
  <c r="F6" i="19"/>
  <c r="K5" i="19"/>
  <c r="H5" i="19"/>
  <c r="F5" i="19"/>
  <c r="K4" i="19"/>
  <c r="H4" i="19"/>
  <c r="F4" i="19"/>
  <c r="K87" i="20"/>
  <c r="H87" i="20"/>
  <c r="F87" i="20"/>
  <c r="K86" i="20"/>
  <c r="H86" i="20"/>
  <c r="F86" i="20"/>
  <c r="K81" i="20"/>
  <c r="H81" i="20"/>
  <c r="F81" i="20"/>
  <c r="K80" i="20"/>
  <c r="H80" i="20"/>
  <c r="F80" i="20"/>
  <c r="K79" i="20"/>
  <c r="H79" i="20"/>
  <c r="F79" i="20"/>
  <c r="K78" i="20"/>
  <c r="H78" i="20"/>
  <c r="F78" i="20"/>
  <c r="K77" i="20"/>
  <c r="H77" i="20"/>
  <c r="F77" i="20"/>
  <c r="K76" i="20"/>
  <c r="H76" i="20"/>
  <c r="F76" i="20"/>
  <c r="K75" i="20"/>
  <c r="H75" i="20"/>
  <c r="F75" i="20"/>
  <c r="K74" i="20"/>
  <c r="H74" i="20"/>
  <c r="F74" i="20"/>
  <c r="K73" i="20"/>
  <c r="H73" i="20"/>
  <c r="F73" i="20"/>
  <c r="K72" i="20"/>
  <c r="H72" i="20"/>
  <c r="F72" i="20"/>
  <c r="K71" i="20"/>
  <c r="H71" i="20"/>
  <c r="F71" i="20"/>
  <c r="K70" i="20"/>
  <c r="H70" i="20"/>
  <c r="F70" i="20"/>
  <c r="K69" i="20"/>
  <c r="H69" i="20"/>
  <c r="F69" i="20"/>
  <c r="K68" i="20"/>
  <c r="H68" i="20"/>
  <c r="F68" i="20"/>
  <c r="K67" i="20"/>
  <c r="H67" i="20"/>
  <c r="F67" i="20"/>
  <c r="K66" i="20"/>
  <c r="H66" i="20"/>
  <c r="F66" i="20"/>
  <c r="K65" i="20"/>
  <c r="H65" i="20"/>
  <c r="F65" i="20"/>
  <c r="K64" i="20"/>
  <c r="H64" i="20"/>
  <c r="F64" i="20"/>
  <c r="K63" i="20"/>
  <c r="H63" i="20"/>
  <c r="F63" i="20"/>
  <c r="K62" i="20"/>
  <c r="H62" i="20"/>
  <c r="F62" i="20"/>
  <c r="K61" i="20"/>
  <c r="H61" i="20"/>
  <c r="F61" i="20"/>
  <c r="K60" i="20"/>
  <c r="H60" i="20"/>
  <c r="F60" i="20"/>
  <c r="K59" i="20"/>
  <c r="H59" i="20"/>
  <c r="F59" i="20"/>
  <c r="K58" i="20"/>
  <c r="H58" i="20"/>
  <c r="F58" i="20"/>
  <c r="K57" i="20"/>
  <c r="H57" i="20"/>
  <c r="F57" i="20"/>
  <c r="K56" i="20"/>
  <c r="H56" i="20"/>
  <c r="F56" i="20"/>
  <c r="K55" i="20"/>
  <c r="H55" i="20"/>
  <c r="F55" i="20"/>
  <c r="K54" i="20"/>
  <c r="H54" i="20"/>
  <c r="F54" i="20"/>
  <c r="K53" i="20"/>
  <c r="H53" i="20"/>
  <c r="F53" i="20"/>
  <c r="K52" i="20"/>
  <c r="H52" i="20"/>
  <c r="F52" i="20"/>
  <c r="K51" i="20"/>
  <c r="H51" i="20"/>
  <c r="F51" i="20"/>
  <c r="K50" i="20"/>
  <c r="H50" i="20"/>
  <c r="F50" i="20"/>
  <c r="K49" i="20"/>
  <c r="H49" i="20"/>
  <c r="F49" i="20"/>
  <c r="K48" i="20"/>
  <c r="H48" i="20"/>
  <c r="F48" i="20"/>
  <c r="I44" i="20"/>
  <c r="I88" i="20" s="1"/>
  <c r="K43" i="20"/>
  <c r="H43" i="20"/>
  <c r="F43" i="20"/>
  <c r="K42" i="20"/>
  <c r="H42" i="20"/>
  <c r="F42" i="20"/>
  <c r="K37" i="20"/>
  <c r="H37" i="20"/>
  <c r="F37" i="20"/>
  <c r="K36" i="20"/>
  <c r="H36" i="20"/>
  <c r="F36" i="20"/>
  <c r="K35" i="20"/>
  <c r="H35" i="20"/>
  <c r="F35" i="20"/>
  <c r="K34" i="20"/>
  <c r="H34" i="20"/>
  <c r="F34" i="20"/>
  <c r="K33" i="20"/>
  <c r="H33" i="20"/>
  <c r="F33" i="20"/>
  <c r="K32" i="20"/>
  <c r="H32" i="20"/>
  <c r="F32" i="20"/>
  <c r="K31" i="20"/>
  <c r="H31" i="20"/>
  <c r="F31" i="20"/>
  <c r="K30" i="20"/>
  <c r="H30" i="20"/>
  <c r="F30" i="20"/>
  <c r="K29" i="20"/>
  <c r="H29" i="20"/>
  <c r="F29" i="20"/>
  <c r="K28" i="20"/>
  <c r="H28" i="20"/>
  <c r="F28" i="20"/>
  <c r="K27" i="20"/>
  <c r="H27" i="20"/>
  <c r="F27" i="20"/>
  <c r="K26" i="20"/>
  <c r="H26" i="20"/>
  <c r="F26" i="20"/>
  <c r="K25" i="20"/>
  <c r="H25" i="20"/>
  <c r="F25" i="20"/>
  <c r="K24" i="20"/>
  <c r="H24" i="20"/>
  <c r="F24" i="20"/>
  <c r="K23" i="20"/>
  <c r="H23" i="20"/>
  <c r="F23" i="20"/>
  <c r="K22" i="20"/>
  <c r="H22" i="20"/>
  <c r="F22" i="20"/>
  <c r="K21" i="20"/>
  <c r="H21" i="20"/>
  <c r="F21" i="20"/>
  <c r="K20" i="20"/>
  <c r="H20" i="20"/>
  <c r="F20" i="20"/>
  <c r="K19" i="20"/>
  <c r="H19" i="20"/>
  <c r="F19" i="20"/>
  <c r="K18" i="20"/>
  <c r="H18" i="20"/>
  <c r="F18" i="20"/>
  <c r="K17" i="20"/>
  <c r="H17" i="20"/>
  <c r="F17" i="20"/>
  <c r="K16" i="20"/>
  <c r="H16" i="20"/>
  <c r="F16" i="20"/>
  <c r="K15" i="20"/>
  <c r="H15" i="20"/>
  <c r="F15" i="20"/>
  <c r="K14" i="20"/>
  <c r="H14" i="20"/>
  <c r="F14" i="20"/>
  <c r="K13" i="20"/>
  <c r="H13" i="20"/>
  <c r="F13" i="20"/>
  <c r="K12" i="20"/>
  <c r="H12" i="20"/>
  <c r="F12" i="20"/>
  <c r="K11" i="20"/>
  <c r="H11" i="20"/>
  <c r="F11" i="20"/>
  <c r="K10" i="20"/>
  <c r="H10" i="20"/>
  <c r="F10" i="20"/>
  <c r="K9" i="20"/>
  <c r="H9" i="20"/>
  <c r="F9" i="20"/>
  <c r="K8" i="20"/>
  <c r="H8" i="20"/>
  <c r="F8" i="20"/>
  <c r="K7" i="20"/>
  <c r="H7" i="20"/>
  <c r="F7" i="20"/>
  <c r="K6" i="20"/>
  <c r="H6" i="20"/>
  <c r="F6" i="20"/>
  <c r="K5" i="20"/>
  <c r="H5" i="20"/>
  <c r="F5" i="20"/>
  <c r="K4" i="20"/>
  <c r="H4" i="20"/>
  <c r="F4" i="20"/>
  <c r="K87" i="21"/>
  <c r="H87" i="21"/>
  <c r="F87" i="21"/>
  <c r="K86" i="21"/>
  <c r="H86" i="21"/>
  <c r="F86" i="21"/>
  <c r="K81" i="21"/>
  <c r="H81" i="21"/>
  <c r="F81" i="21"/>
  <c r="K80" i="21"/>
  <c r="H80" i="21"/>
  <c r="F80" i="21"/>
  <c r="K79" i="21"/>
  <c r="H79" i="21"/>
  <c r="F79" i="21"/>
  <c r="K78" i="21"/>
  <c r="H78" i="21"/>
  <c r="F78" i="21"/>
  <c r="K77" i="21"/>
  <c r="H77" i="21"/>
  <c r="F77" i="21"/>
  <c r="K76" i="21"/>
  <c r="H76" i="21"/>
  <c r="F76" i="21"/>
  <c r="K75" i="21"/>
  <c r="H75" i="21"/>
  <c r="F75" i="21"/>
  <c r="K74" i="21"/>
  <c r="H74" i="21"/>
  <c r="F74" i="21"/>
  <c r="K73" i="21"/>
  <c r="H73" i="21"/>
  <c r="F73" i="21"/>
  <c r="K72" i="21"/>
  <c r="H72" i="21"/>
  <c r="F72" i="21"/>
  <c r="K71" i="21"/>
  <c r="H71" i="21"/>
  <c r="F71" i="21"/>
  <c r="K70" i="21"/>
  <c r="H70" i="21"/>
  <c r="F70" i="21"/>
  <c r="K69" i="21"/>
  <c r="H69" i="21"/>
  <c r="F69" i="21"/>
  <c r="K68" i="21"/>
  <c r="H68" i="21"/>
  <c r="F68" i="21"/>
  <c r="K67" i="21"/>
  <c r="H67" i="21"/>
  <c r="F67" i="21"/>
  <c r="K66" i="21"/>
  <c r="H66" i="21"/>
  <c r="F66" i="21"/>
  <c r="K65" i="21"/>
  <c r="H65" i="21"/>
  <c r="F65" i="21"/>
  <c r="K64" i="21"/>
  <c r="H64" i="21"/>
  <c r="F64" i="21"/>
  <c r="K63" i="21"/>
  <c r="H63" i="21"/>
  <c r="F63" i="21"/>
  <c r="K62" i="21"/>
  <c r="H62" i="21"/>
  <c r="F62" i="21"/>
  <c r="K61" i="21"/>
  <c r="H61" i="21"/>
  <c r="F61" i="21"/>
  <c r="K60" i="21"/>
  <c r="H60" i="21"/>
  <c r="F60" i="21"/>
  <c r="K59" i="21"/>
  <c r="H59" i="21"/>
  <c r="F59" i="21"/>
  <c r="K58" i="21"/>
  <c r="H58" i="21"/>
  <c r="F58" i="21"/>
  <c r="K57" i="21"/>
  <c r="H57" i="21"/>
  <c r="F57" i="21"/>
  <c r="K56" i="21"/>
  <c r="H56" i="21"/>
  <c r="F56" i="21"/>
  <c r="K55" i="21"/>
  <c r="H55" i="21"/>
  <c r="F55" i="21"/>
  <c r="K54" i="21"/>
  <c r="H54" i="21"/>
  <c r="F54" i="21"/>
  <c r="K53" i="21"/>
  <c r="H53" i="21"/>
  <c r="F53" i="21"/>
  <c r="K52" i="21"/>
  <c r="H52" i="21"/>
  <c r="F52" i="21"/>
  <c r="K51" i="21"/>
  <c r="H51" i="21"/>
  <c r="F51" i="21"/>
  <c r="K50" i="21"/>
  <c r="H50" i="21"/>
  <c r="F50" i="21"/>
  <c r="K49" i="21"/>
  <c r="H49" i="21"/>
  <c r="F49" i="21"/>
  <c r="K48" i="21"/>
  <c r="H48" i="21"/>
  <c r="F48" i="21"/>
  <c r="I44" i="21"/>
  <c r="I88" i="21" s="1"/>
  <c r="K43" i="21"/>
  <c r="H43" i="21"/>
  <c r="F43" i="21"/>
  <c r="K42" i="21"/>
  <c r="H42" i="21"/>
  <c r="F42" i="21"/>
  <c r="K37" i="21"/>
  <c r="H37" i="21"/>
  <c r="F37" i="21"/>
  <c r="K36" i="21"/>
  <c r="H36" i="21"/>
  <c r="F36" i="21"/>
  <c r="K35" i="21"/>
  <c r="H35" i="21"/>
  <c r="F35" i="21"/>
  <c r="K34" i="21"/>
  <c r="H34" i="21"/>
  <c r="F34" i="21"/>
  <c r="K33" i="21"/>
  <c r="H33" i="21"/>
  <c r="F33" i="21"/>
  <c r="K32" i="21"/>
  <c r="H32" i="21"/>
  <c r="F32" i="21"/>
  <c r="K31" i="21"/>
  <c r="H31" i="21"/>
  <c r="F31" i="21"/>
  <c r="K30" i="21"/>
  <c r="H30" i="21"/>
  <c r="F30" i="21"/>
  <c r="K29" i="21"/>
  <c r="H29" i="21"/>
  <c r="F29" i="21"/>
  <c r="K28" i="21"/>
  <c r="H28" i="21"/>
  <c r="F28" i="21"/>
  <c r="K27" i="21"/>
  <c r="H27" i="21"/>
  <c r="F27" i="21"/>
  <c r="K26" i="21"/>
  <c r="H26" i="21"/>
  <c r="F26" i="21"/>
  <c r="K25" i="21"/>
  <c r="H25" i="21"/>
  <c r="F25" i="21"/>
  <c r="K24" i="21"/>
  <c r="H24" i="21"/>
  <c r="F24" i="21"/>
  <c r="K23" i="21"/>
  <c r="H23" i="21"/>
  <c r="F23" i="21"/>
  <c r="K22" i="21"/>
  <c r="H22" i="21"/>
  <c r="F22" i="21"/>
  <c r="K21" i="21"/>
  <c r="H21" i="21"/>
  <c r="F21" i="21"/>
  <c r="K20" i="21"/>
  <c r="H20" i="21"/>
  <c r="F20" i="21"/>
  <c r="K19" i="21"/>
  <c r="H19" i="21"/>
  <c r="F19" i="21"/>
  <c r="K18" i="21"/>
  <c r="H18" i="21"/>
  <c r="F18" i="21"/>
  <c r="K17" i="21"/>
  <c r="H17" i="21"/>
  <c r="F17" i="21"/>
  <c r="K16" i="21"/>
  <c r="H16" i="21"/>
  <c r="F16" i="21"/>
  <c r="K15" i="21"/>
  <c r="H15" i="21"/>
  <c r="F15" i="21"/>
  <c r="K14" i="21"/>
  <c r="H14" i="21"/>
  <c r="F14" i="21"/>
  <c r="K13" i="21"/>
  <c r="H13" i="21"/>
  <c r="F13" i="21"/>
  <c r="K12" i="21"/>
  <c r="H12" i="21"/>
  <c r="F12" i="21"/>
  <c r="K11" i="21"/>
  <c r="H11" i="21"/>
  <c r="F11" i="21"/>
  <c r="K10" i="21"/>
  <c r="H10" i="21"/>
  <c r="F10" i="21"/>
  <c r="K9" i="21"/>
  <c r="H9" i="21"/>
  <c r="F9" i="21"/>
  <c r="K8" i="21"/>
  <c r="H8" i="21"/>
  <c r="F8" i="21"/>
  <c r="K7" i="21"/>
  <c r="H7" i="21"/>
  <c r="F7" i="21"/>
  <c r="K6" i="21"/>
  <c r="H6" i="21"/>
  <c r="F6" i="21"/>
  <c r="K5" i="21"/>
  <c r="H5" i="21"/>
  <c r="F5" i="21"/>
  <c r="K4" i="21"/>
  <c r="H4" i="21"/>
  <c r="F4" i="21"/>
  <c r="K87" i="22"/>
  <c r="H87" i="22"/>
  <c r="F87" i="22"/>
  <c r="K86" i="22"/>
  <c r="H86" i="22"/>
  <c r="F86" i="22"/>
  <c r="K81" i="22"/>
  <c r="H81" i="22"/>
  <c r="F81" i="22"/>
  <c r="K80" i="22"/>
  <c r="H80" i="22"/>
  <c r="F80" i="22"/>
  <c r="K79" i="22"/>
  <c r="H79" i="22"/>
  <c r="F79" i="22"/>
  <c r="K78" i="22"/>
  <c r="H78" i="22"/>
  <c r="F78" i="22"/>
  <c r="K77" i="22"/>
  <c r="H77" i="22"/>
  <c r="F77" i="22"/>
  <c r="K76" i="22"/>
  <c r="H76" i="22"/>
  <c r="F76" i="22"/>
  <c r="K75" i="22"/>
  <c r="H75" i="22"/>
  <c r="F75" i="22"/>
  <c r="K74" i="22"/>
  <c r="H74" i="22"/>
  <c r="F74" i="22"/>
  <c r="K73" i="22"/>
  <c r="H73" i="22"/>
  <c r="F73" i="22"/>
  <c r="K72" i="22"/>
  <c r="H72" i="22"/>
  <c r="F72" i="22"/>
  <c r="K71" i="22"/>
  <c r="H71" i="22"/>
  <c r="F71" i="22"/>
  <c r="K70" i="22"/>
  <c r="H70" i="22"/>
  <c r="F70" i="22"/>
  <c r="K69" i="22"/>
  <c r="H69" i="22"/>
  <c r="F69" i="22"/>
  <c r="K68" i="22"/>
  <c r="H68" i="22"/>
  <c r="F68" i="22"/>
  <c r="K67" i="22"/>
  <c r="H67" i="22"/>
  <c r="F67" i="22"/>
  <c r="K66" i="22"/>
  <c r="H66" i="22"/>
  <c r="F66" i="22"/>
  <c r="K65" i="22"/>
  <c r="H65" i="22"/>
  <c r="F65" i="22"/>
  <c r="K64" i="22"/>
  <c r="H64" i="22"/>
  <c r="F64" i="22"/>
  <c r="K63" i="22"/>
  <c r="H63" i="22"/>
  <c r="F63" i="22"/>
  <c r="K62" i="22"/>
  <c r="H62" i="22"/>
  <c r="F62" i="22"/>
  <c r="K61" i="22"/>
  <c r="H61" i="22"/>
  <c r="F61" i="22"/>
  <c r="K60" i="22"/>
  <c r="H60" i="22"/>
  <c r="F60" i="22"/>
  <c r="K59" i="22"/>
  <c r="H59" i="22"/>
  <c r="F59" i="22"/>
  <c r="K58" i="22"/>
  <c r="H58" i="22"/>
  <c r="F58" i="22"/>
  <c r="K57" i="22"/>
  <c r="H57" i="22"/>
  <c r="F57" i="22"/>
  <c r="K56" i="22"/>
  <c r="H56" i="22"/>
  <c r="F56" i="22"/>
  <c r="K55" i="22"/>
  <c r="H55" i="22"/>
  <c r="F55" i="22"/>
  <c r="K54" i="22"/>
  <c r="H54" i="22"/>
  <c r="F54" i="22"/>
  <c r="K53" i="22"/>
  <c r="H53" i="22"/>
  <c r="F53" i="22"/>
  <c r="K52" i="22"/>
  <c r="H52" i="22"/>
  <c r="F52" i="22"/>
  <c r="K51" i="22"/>
  <c r="H51" i="22"/>
  <c r="F51" i="22"/>
  <c r="K50" i="22"/>
  <c r="H50" i="22"/>
  <c r="F50" i="22"/>
  <c r="K49" i="22"/>
  <c r="H49" i="22"/>
  <c r="F49" i="22"/>
  <c r="K48" i="22"/>
  <c r="H48" i="22"/>
  <c r="F48" i="22"/>
  <c r="I44" i="22"/>
  <c r="I88" i="22" s="1"/>
  <c r="K43" i="22"/>
  <c r="H43" i="22"/>
  <c r="F43" i="22"/>
  <c r="K42" i="22"/>
  <c r="H42" i="22"/>
  <c r="F42" i="22"/>
  <c r="K37" i="22"/>
  <c r="H37" i="22"/>
  <c r="F37" i="22"/>
  <c r="K36" i="22"/>
  <c r="H36" i="22"/>
  <c r="F36" i="22"/>
  <c r="K35" i="22"/>
  <c r="H35" i="22"/>
  <c r="F35" i="22"/>
  <c r="K34" i="22"/>
  <c r="H34" i="22"/>
  <c r="F34" i="22"/>
  <c r="K33" i="22"/>
  <c r="H33" i="22"/>
  <c r="F33" i="22"/>
  <c r="K32" i="22"/>
  <c r="H32" i="22"/>
  <c r="F32" i="22"/>
  <c r="K31" i="22"/>
  <c r="H31" i="22"/>
  <c r="F31" i="22"/>
  <c r="K30" i="22"/>
  <c r="H30" i="22"/>
  <c r="F30" i="22"/>
  <c r="K29" i="22"/>
  <c r="H29" i="22"/>
  <c r="F29" i="22"/>
  <c r="K28" i="22"/>
  <c r="H28" i="22"/>
  <c r="F28" i="22"/>
  <c r="K27" i="22"/>
  <c r="H27" i="22"/>
  <c r="F27" i="22"/>
  <c r="K26" i="22"/>
  <c r="H26" i="22"/>
  <c r="F26" i="22"/>
  <c r="K25" i="22"/>
  <c r="H25" i="22"/>
  <c r="F25" i="22"/>
  <c r="K24" i="22"/>
  <c r="H24" i="22"/>
  <c r="F24" i="22"/>
  <c r="K23" i="22"/>
  <c r="H23" i="22"/>
  <c r="F23" i="22"/>
  <c r="K22" i="22"/>
  <c r="H22" i="22"/>
  <c r="F22" i="22"/>
  <c r="K21" i="22"/>
  <c r="H21" i="22"/>
  <c r="F21" i="22"/>
  <c r="K20" i="22"/>
  <c r="H20" i="22"/>
  <c r="F20" i="22"/>
  <c r="K19" i="22"/>
  <c r="H19" i="22"/>
  <c r="F19" i="22"/>
  <c r="K18" i="22"/>
  <c r="H18" i="22"/>
  <c r="F18" i="22"/>
  <c r="K17" i="22"/>
  <c r="H17" i="22"/>
  <c r="F17" i="22"/>
  <c r="K16" i="22"/>
  <c r="H16" i="22"/>
  <c r="F16" i="22"/>
  <c r="K15" i="22"/>
  <c r="H15" i="22"/>
  <c r="F15" i="22"/>
  <c r="K14" i="22"/>
  <c r="H14" i="22"/>
  <c r="F14" i="22"/>
  <c r="K13" i="22"/>
  <c r="H13" i="22"/>
  <c r="F13" i="22"/>
  <c r="K12" i="22"/>
  <c r="H12" i="22"/>
  <c r="F12" i="22"/>
  <c r="K11" i="22"/>
  <c r="H11" i="22"/>
  <c r="F11" i="22"/>
  <c r="K10" i="22"/>
  <c r="H10" i="22"/>
  <c r="F10" i="22"/>
  <c r="K9" i="22"/>
  <c r="H9" i="22"/>
  <c r="F9" i="22"/>
  <c r="K8" i="22"/>
  <c r="H8" i="22"/>
  <c r="F8" i="22"/>
  <c r="K7" i="22"/>
  <c r="H7" i="22"/>
  <c r="F7" i="22"/>
  <c r="K6" i="22"/>
  <c r="H6" i="22"/>
  <c r="F6" i="22"/>
  <c r="K5" i="22"/>
  <c r="H5" i="22"/>
  <c r="F5" i="22"/>
  <c r="K4" i="22"/>
  <c r="H4" i="22"/>
  <c r="F4" i="22"/>
  <c r="I44" i="5"/>
  <c r="I88" i="5" s="1"/>
  <c r="H44" i="5"/>
  <c r="F44" i="5"/>
  <c r="F4" i="11"/>
  <c r="H4" i="11"/>
  <c r="K4" i="11"/>
  <c r="F5" i="11"/>
  <c r="H5" i="11"/>
  <c r="K5" i="11"/>
  <c r="F6" i="11"/>
  <c r="H6" i="11"/>
  <c r="K6" i="11"/>
  <c r="F7" i="11"/>
  <c r="H7" i="11"/>
  <c r="K7" i="11"/>
  <c r="F8" i="11"/>
  <c r="H8" i="11"/>
  <c r="K8" i="11"/>
  <c r="F9" i="11"/>
  <c r="H9" i="11"/>
  <c r="K9" i="11"/>
  <c r="F10" i="11"/>
  <c r="H10" i="11"/>
  <c r="K10" i="11"/>
  <c r="F11" i="11"/>
  <c r="H11" i="11"/>
  <c r="K11" i="11"/>
  <c r="F12" i="11"/>
  <c r="H12" i="11"/>
  <c r="K12" i="11"/>
  <c r="F13" i="11"/>
  <c r="H13" i="11"/>
  <c r="K13" i="11"/>
  <c r="F14" i="11"/>
  <c r="H14" i="11"/>
  <c r="K14" i="11"/>
  <c r="F15" i="11"/>
  <c r="H15" i="11"/>
  <c r="K15" i="11"/>
  <c r="F16" i="11"/>
  <c r="H16" i="11"/>
  <c r="K16" i="11"/>
  <c r="F17" i="11"/>
  <c r="H17" i="11"/>
  <c r="K17" i="11"/>
  <c r="F18" i="11"/>
  <c r="H18" i="11"/>
  <c r="K18" i="11"/>
  <c r="F19" i="11"/>
  <c r="H19" i="11"/>
  <c r="K19" i="11"/>
  <c r="F20" i="11"/>
  <c r="H20" i="11"/>
  <c r="K20" i="11"/>
  <c r="F21" i="11"/>
  <c r="H21" i="11"/>
  <c r="K21" i="11"/>
  <c r="F22" i="11"/>
  <c r="H22" i="11"/>
  <c r="K22" i="11"/>
  <c r="F23" i="11"/>
  <c r="H23" i="11"/>
  <c r="K23" i="11"/>
  <c r="F24" i="11"/>
  <c r="H24" i="11"/>
  <c r="K24" i="11"/>
  <c r="F25" i="11"/>
  <c r="H25" i="11"/>
  <c r="K25" i="11"/>
  <c r="F26" i="11"/>
  <c r="H26" i="11"/>
  <c r="K26" i="11"/>
  <c r="F27" i="11"/>
  <c r="H27" i="11"/>
  <c r="K27" i="11"/>
  <c r="F28" i="11"/>
  <c r="H28" i="11"/>
  <c r="K28" i="11"/>
  <c r="F29" i="11"/>
  <c r="H29" i="11"/>
  <c r="K29" i="11"/>
  <c r="F30" i="11"/>
  <c r="H30" i="11"/>
  <c r="K30" i="11"/>
  <c r="F31" i="11"/>
  <c r="H31" i="11"/>
  <c r="K31" i="11"/>
  <c r="F32" i="11"/>
  <c r="H32" i="11"/>
  <c r="K32" i="11"/>
  <c r="F33" i="11"/>
  <c r="H33" i="11"/>
  <c r="K33" i="11"/>
  <c r="F34" i="11"/>
  <c r="H34" i="11"/>
  <c r="K34" i="11"/>
  <c r="F35" i="11"/>
  <c r="H35" i="11"/>
  <c r="K35" i="11"/>
  <c r="F36" i="11"/>
  <c r="H36" i="11"/>
  <c r="K36" i="11"/>
  <c r="F37" i="11"/>
  <c r="H37" i="11"/>
  <c r="K37" i="11"/>
  <c r="F42" i="11"/>
  <c r="H42" i="11"/>
  <c r="K42" i="11"/>
  <c r="F43" i="11"/>
  <c r="H43" i="11"/>
  <c r="K43" i="11"/>
  <c r="I44" i="11"/>
  <c r="I88" i="11" s="1"/>
  <c r="F48" i="11"/>
  <c r="H48" i="11"/>
  <c r="K48" i="11"/>
  <c r="F49" i="11"/>
  <c r="H49" i="11"/>
  <c r="K49" i="11"/>
  <c r="F50" i="11"/>
  <c r="H50" i="11"/>
  <c r="K50" i="11"/>
  <c r="F51" i="11"/>
  <c r="H51" i="11"/>
  <c r="K51" i="11"/>
  <c r="F52" i="11"/>
  <c r="H52" i="11"/>
  <c r="K52" i="11"/>
  <c r="F53" i="11"/>
  <c r="H53" i="11"/>
  <c r="K53" i="11"/>
  <c r="F54" i="11"/>
  <c r="H54" i="11"/>
  <c r="K54" i="11"/>
  <c r="F55" i="11"/>
  <c r="H55" i="11"/>
  <c r="K55" i="11"/>
  <c r="F56" i="11"/>
  <c r="H56" i="11"/>
  <c r="K56" i="11"/>
  <c r="F57" i="11"/>
  <c r="H57" i="11"/>
  <c r="K57" i="11"/>
  <c r="F58" i="11"/>
  <c r="H58" i="11"/>
  <c r="K58" i="11"/>
  <c r="F59" i="11"/>
  <c r="H59" i="11"/>
  <c r="K59" i="11"/>
  <c r="F60" i="11"/>
  <c r="H60" i="11"/>
  <c r="K60" i="11"/>
  <c r="F61" i="11"/>
  <c r="H61" i="11"/>
  <c r="K61" i="11"/>
  <c r="F62" i="11"/>
  <c r="H62" i="11"/>
  <c r="K62" i="11"/>
  <c r="F63" i="11"/>
  <c r="H63" i="11"/>
  <c r="K63" i="11"/>
  <c r="F64" i="11"/>
  <c r="H64" i="11"/>
  <c r="K64" i="11"/>
  <c r="F65" i="11"/>
  <c r="H65" i="11"/>
  <c r="K65" i="11"/>
  <c r="F66" i="11"/>
  <c r="H66" i="11"/>
  <c r="K66" i="11"/>
  <c r="F67" i="11"/>
  <c r="H67" i="11"/>
  <c r="K67" i="11"/>
  <c r="F68" i="11"/>
  <c r="H68" i="11"/>
  <c r="K68" i="11"/>
  <c r="F69" i="11"/>
  <c r="H69" i="11"/>
  <c r="K69" i="11"/>
  <c r="F70" i="11"/>
  <c r="H70" i="11"/>
  <c r="K70" i="11"/>
  <c r="F71" i="11"/>
  <c r="H71" i="11"/>
  <c r="K71" i="11"/>
  <c r="F72" i="11"/>
  <c r="H72" i="11"/>
  <c r="K72" i="11"/>
  <c r="F73" i="11"/>
  <c r="H73" i="11"/>
  <c r="K73" i="11"/>
  <c r="F74" i="11"/>
  <c r="H74" i="11"/>
  <c r="K74" i="11"/>
  <c r="F75" i="11"/>
  <c r="H75" i="11"/>
  <c r="K75" i="11"/>
  <c r="F76" i="11"/>
  <c r="H76" i="11"/>
  <c r="K76" i="11"/>
  <c r="F77" i="11"/>
  <c r="H77" i="11"/>
  <c r="K77" i="11"/>
  <c r="F78" i="11"/>
  <c r="H78" i="11"/>
  <c r="K78" i="11"/>
  <c r="F79" i="11"/>
  <c r="H79" i="11"/>
  <c r="K79" i="11"/>
  <c r="F80" i="11"/>
  <c r="H80" i="11"/>
  <c r="K80" i="11"/>
  <c r="F81" i="11"/>
  <c r="H81" i="11"/>
  <c r="K81" i="11"/>
  <c r="F86" i="11"/>
  <c r="H86" i="11"/>
  <c r="K86" i="11"/>
  <c r="F87" i="11"/>
  <c r="H87" i="11"/>
  <c r="K87" i="11"/>
  <c r="F4" i="5"/>
  <c r="H4" i="5"/>
  <c r="K4" i="5"/>
  <c r="F5" i="5"/>
  <c r="H5" i="5"/>
  <c r="K5" i="5"/>
  <c r="F6" i="5"/>
  <c r="H6" i="5"/>
  <c r="K6" i="5"/>
  <c r="F7" i="5"/>
  <c r="H7" i="5"/>
  <c r="K7" i="5"/>
  <c r="F8" i="5"/>
  <c r="H8" i="5"/>
  <c r="K8" i="5"/>
  <c r="F9" i="5"/>
  <c r="H9" i="5"/>
  <c r="K9" i="5"/>
  <c r="F10" i="5"/>
  <c r="H10" i="5"/>
  <c r="K10" i="5"/>
  <c r="F11" i="5"/>
  <c r="H11" i="5"/>
  <c r="K11" i="5"/>
  <c r="F12" i="5"/>
  <c r="H12" i="5"/>
  <c r="K12" i="5"/>
  <c r="F13" i="5"/>
  <c r="H13" i="5"/>
  <c r="K13" i="5"/>
  <c r="F14" i="5"/>
  <c r="H14" i="5"/>
  <c r="K14" i="5"/>
  <c r="F15" i="5"/>
  <c r="H15" i="5"/>
  <c r="K15" i="5"/>
  <c r="F16" i="5"/>
  <c r="H16" i="5"/>
  <c r="K16" i="5"/>
  <c r="F17" i="5"/>
  <c r="H17" i="5"/>
  <c r="K17" i="5"/>
  <c r="F18" i="5"/>
  <c r="H18" i="5"/>
  <c r="K18" i="5"/>
  <c r="F19" i="5"/>
  <c r="H19" i="5"/>
  <c r="K19" i="5"/>
  <c r="F20" i="5"/>
  <c r="H20" i="5"/>
  <c r="K20" i="5"/>
  <c r="F21" i="5"/>
  <c r="H21" i="5"/>
  <c r="K21" i="5"/>
  <c r="F22" i="5"/>
  <c r="H22" i="5"/>
  <c r="K22" i="5"/>
  <c r="F23" i="5"/>
  <c r="H23" i="5"/>
  <c r="K23" i="5"/>
  <c r="F24" i="5"/>
  <c r="H24" i="5"/>
  <c r="K24" i="5"/>
  <c r="F25" i="5"/>
  <c r="H25" i="5"/>
  <c r="K25" i="5"/>
  <c r="F26" i="5"/>
  <c r="H26" i="5"/>
  <c r="K26" i="5"/>
  <c r="F27" i="5"/>
  <c r="H27" i="5"/>
  <c r="K27" i="5"/>
  <c r="F28" i="5"/>
  <c r="H28" i="5"/>
  <c r="K28" i="5"/>
  <c r="F29" i="5"/>
  <c r="H29" i="5"/>
  <c r="K29" i="5"/>
  <c r="F30" i="5"/>
  <c r="H30" i="5"/>
  <c r="K30" i="5"/>
  <c r="F31" i="5"/>
  <c r="H31" i="5"/>
  <c r="K31" i="5"/>
  <c r="F32" i="5"/>
  <c r="H32" i="5"/>
  <c r="K32" i="5"/>
  <c r="F33" i="5"/>
  <c r="H33" i="5"/>
  <c r="K33" i="5"/>
  <c r="F34" i="5"/>
  <c r="H34" i="5"/>
  <c r="K34" i="5"/>
  <c r="F35" i="5"/>
  <c r="H35" i="5"/>
  <c r="K35" i="5"/>
  <c r="F36" i="5"/>
  <c r="H36" i="5"/>
  <c r="K36" i="5"/>
  <c r="F37" i="5"/>
  <c r="H37" i="5"/>
  <c r="K37" i="5"/>
  <c r="F38" i="5"/>
  <c r="H38" i="5"/>
  <c r="K38" i="5"/>
  <c r="F39" i="5"/>
  <c r="H39" i="5"/>
  <c r="K39" i="5"/>
  <c r="F40" i="5"/>
  <c r="H40" i="5"/>
  <c r="K40" i="5"/>
  <c r="F41" i="5"/>
  <c r="H41" i="5"/>
  <c r="K41" i="5"/>
  <c r="F87" i="5"/>
  <c r="H87" i="5"/>
  <c r="K87" i="5"/>
  <c r="F88" i="5"/>
  <c r="H88" i="5"/>
  <c r="K44" i="13" l="1"/>
  <c r="K88" i="13" s="1"/>
  <c r="N44" i="29"/>
  <c r="K88" i="28"/>
  <c r="N88" i="28"/>
  <c r="M88" i="28" s="1"/>
  <c r="N44" i="26"/>
  <c r="N44" i="25"/>
  <c r="N44" i="24"/>
  <c r="N44" i="5"/>
  <c r="K44" i="5"/>
  <c r="K88" i="5" s="1"/>
  <c r="K44" i="11"/>
  <c r="K88" i="11" s="1"/>
  <c r="K44" i="18"/>
  <c r="K88" i="18" s="1"/>
  <c r="K44" i="15"/>
  <c r="K88" i="15" s="1"/>
  <c r="K44" i="17"/>
  <c r="K88" i="17" s="1"/>
  <c r="K44" i="16"/>
  <c r="K88" i="16" s="1"/>
  <c r="N44" i="31"/>
  <c r="K44" i="12"/>
  <c r="K88" i="12" s="1"/>
  <c r="K44" i="14"/>
  <c r="K88" i="14" s="1"/>
  <c r="N44" i="23"/>
  <c r="N44" i="27"/>
  <c r="N44" i="33"/>
  <c r="K44" i="19"/>
  <c r="K88" i="19" s="1"/>
  <c r="K44" i="21"/>
  <c r="K88" i="21" s="1"/>
  <c r="K44" i="20"/>
  <c r="K88" i="20" s="1"/>
  <c r="K44" i="23"/>
  <c r="K88" i="23" s="1"/>
  <c r="N44" i="32"/>
  <c r="K44" i="22"/>
  <c r="K88" i="22" s="1"/>
  <c r="K44" i="33"/>
  <c r="K88" i="33" s="1"/>
  <c r="K44" i="32"/>
  <c r="K88" i="32" s="1"/>
  <c r="K44" i="31"/>
  <c r="K88" i="31" s="1"/>
  <c r="K44" i="30"/>
  <c r="K88" i="30" s="1"/>
  <c r="K44" i="29"/>
  <c r="K88" i="29" s="1"/>
  <c r="K44" i="28"/>
  <c r="K44" i="27"/>
  <c r="K88" i="27" s="1"/>
  <c r="K44" i="26"/>
  <c r="K88" i="26" s="1"/>
  <c r="K44" i="25"/>
  <c r="K88" i="25" s="1"/>
  <c r="K44" i="24"/>
  <c r="K88" i="24" s="1"/>
  <c r="M44" i="28" l="1"/>
  <c r="M44" i="23"/>
  <c r="M44" i="5"/>
  <c r="M44" i="33"/>
  <c r="M44" i="32"/>
  <c r="M44" i="31"/>
  <c r="M44" i="30"/>
  <c r="M44" i="29"/>
  <c r="M44" i="27"/>
  <c r="M44" i="26"/>
  <c r="M44" i="25"/>
  <c r="M44" i="24"/>
</calcChain>
</file>

<file path=xl/sharedStrings.xml><?xml version="1.0" encoding="utf-8"?>
<sst xmlns="http://schemas.openxmlformats.org/spreadsheetml/2006/main" count="5141" uniqueCount="47">
  <si>
    <t>課税対象産業廃棄物納入帳簿（産業廃棄物管理票から転記）</t>
    <rPh sb="0" eb="2">
      <t>カゼイ</t>
    </rPh>
    <rPh sb="2" eb="4">
      <t>タイショウ</t>
    </rPh>
    <rPh sb="4" eb="6">
      <t>サンギョウ</t>
    </rPh>
    <rPh sb="6" eb="9">
      <t>ハイキブツ</t>
    </rPh>
    <rPh sb="9" eb="11">
      <t>ノウニュウ</t>
    </rPh>
    <rPh sb="11" eb="13">
      <t>チョウボ</t>
    </rPh>
    <rPh sb="14" eb="16">
      <t>サンギョウ</t>
    </rPh>
    <rPh sb="16" eb="19">
      <t>ハイキブツ</t>
    </rPh>
    <rPh sb="19" eb="21">
      <t>カンリ</t>
    </rPh>
    <rPh sb="21" eb="22">
      <t>ヒョウ</t>
    </rPh>
    <rPh sb="24" eb="26">
      <t>テンキ</t>
    </rPh>
    <phoneticPr fontId="2"/>
  </si>
  <si>
    <t>廃棄物の種類</t>
    <rPh sb="0" eb="3">
      <t>ハイキブツ</t>
    </rPh>
    <rPh sb="4" eb="6">
      <t>シュルイ</t>
    </rPh>
    <phoneticPr fontId="2"/>
  </si>
  <si>
    <t>交付者氏名</t>
    <rPh sb="0" eb="2">
      <t>コウフ</t>
    </rPh>
    <rPh sb="2" eb="3">
      <t>シャ</t>
    </rPh>
    <rPh sb="3" eb="5">
      <t>シメイ</t>
    </rPh>
    <phoneticPr fontId="2"/>
  </si>
  <si>
    <t>交付番号</t>
    <rPh sb="0" eb="2">
      <t>コウフ</t>
    </rPh>
    <rPh sb="2" eb="4">
      <t>バンゴウ</t>
    </rPh>
    <phoneticPr fontId="2"/>
  </si>
  <si>
    <t>交付年月日</t>
    <rPh sb="0" eb="2">
      <t>コウフ</t>
    </rPh>
    <rPh sb="2" eb="3">
      <t>ネン</t>
    </rPh>
    <rPh sb="3" eb="4">
      <t>ツキ</t>
    </rPh>
    <rPh sb="4" eb="5">
      <t>ニチ</t>
    </rPh>
    <phoneticPr fontId="2"/>
  </si>
  <si>
    <t>循環税額</t>
    <rPh sb="0" eb="2">
      <t>ジュンカン</t>
    </rPh>
    <rPh sb="2" eb="4">
      <t>ゼイガク</t>
    </rPh>
    <phoneticPr fontId="2"/>
  </si>
  <si>
    <t>円</t>
    <rPh sb="0" eb="1">
      <t>エン</t>
    </rPh>
    <phoneticPr fontId="2"/>
  </si>
  <si>
    <t>受入年月日</t>
    <rPh sb="0" eb="2">
      <t>ウケイ</t>
    </rPh>
    <rPh sb="2" eb="3">
      <t>ネン</t>
    </rPh>
    <rPh sb="3" eb="4">
      <t>ツキ</t>
    </rPh>
    <rPh sb="4" eb="5">
      <t>ニチ</t>
    </rPh>
    <phoneticPr fontId="2"/>
  </si>
  <si>
    <t>受入量</t>
    <rPh sb="0" eb="2">
      <t>ウケイ</t>
    </rPh>
    <rPh sb="2" eb="3">
      <t>リョウ</t>
    </rPh>
    <phoneticPr fontId="2"/>
  </si>
  <si>
    <t>様式　北海道循環資源利用促進税申告関係（申告納税者）</t>
    <rPh sb="0" eb="2">
      <t>ヨウシキ</t>
    </rPh>
    <rPh sb="3" eb="6">
      <t>ホッカイドウ</t>
    </rPh>
    <rPh sb="6" eb="8">
      <t>ジュンカン</t>
    </rPh>
    <rPh sb="8" eb="10">
      <t>シゲン</t>
    </rPh>
    <rPh sb="10" eb="12">
      <t>リヨウ</t>
    </rPh>
    <rPh sb="12" eb="14">
      <t>ソクシン</t>
    </rPh>
    <rPh sb="14" eb="15">
      <t>ゼイ</t>
    </rPh>
    <rPh sb="15" eb="17">
      <t>シンコク</t>
    </rPh>
    <rPh sb="17" eb="19">
      <t>カンケイ</t>
    </rPh>
    <rPh sb="20" eb="22">
      <t>シンコク</t>
    </rPh>
    <rPh sb="22" eb="24">
      <t>ノウゼイ</t>
    </rPh>
    <rPh sb="24" eb="25">
      <t>シャ</t>
    </rPh>
    <phoneticPr fontId="2"/>
  </si>
  <si>
    <t>領収番号</t>
    <rPh sb="0" eb="1">
      <t>リョウ</t>
    </rPh>
    <rPh sb="1" eb="2">
      <t>シュウ</t>
    </rPh>
    <rPh sb="2" eb="4">
      <t>バンゴウ</t>
    </rPh>
    <phoneticPr fontId="2"/>
  </si>
  <si>
    <t>kg</t>
  </si>
  <si>
    <t>下水道汚泥</t>
  </si>
  <si>
    <t>様式　北海道循環資源利用促進税申告関係（特別徴収義務者）</t>
    <rPh sb="0" eb="2">
      <t>ヨウシキ</t>
    </rPh>
    <rPh sb="3" eb="6">
      <t>ホッカイドウ</t>
    </rPh>
    <rPh sb="6" eb="8">
      <t>ジュンカン</t>
    </rPh>
    <rPh sb="8" eb="10">
      <t>シゲン</t>
    </rPh>
    <rPh sb="10" eb="12">
      <t>リヨウ</t>
    </rPh>
    <rPh sb="12" eb="14">
      <t>ソクシン</t>
    </rPh>
    <rPh sb="14" eb="15">
      <t>ゼイ</t>
    </rPh>
    <rPh sb="15" eb="17">
      <t>シンコク</t>
    </rPh>
    <rPh sb="17" eb="19">
      <t>カンケイ</t>
    </rPh>
    <rPh sb="20" eb="22">
      <t>トクベツ</t>
    </rPh>
    <rPh sb="22" eb="24">
      <t>チョウシュウ</t>
    </rPh>
    <rPh sb="24" eb="26">
      <t>ギム</t>
    </rPh>
    <rPh sb="26" eb="27">
      <t>シャ</t>
    </rPh>
    <phoneticPr fontId="2"/>
  </si>
  <si>
    <t>納額通
知番号</t>
    <rPh sb="0" eb="2">
      <t>ノウガク</t>
    </rPh>
    <rPh sb="2" eb="3">
      <t>ツウ</t>
    </rPh>
    <rPh sb="4" eb="5">
      <t>チ</t>
    </rPh>
    <rPh sb="5" eb="7">
      <t>バンゴウ</t>
    </rPh>
    <phoneticPr fontId="2"/>
  </si>
  <si>
    <t>kg</t>
    <phoneticPr fontId="2"/>
  </si>
  <si>
    <t>kg</t>
    <phoneticPr fontId="2"/>
  </si>
  <si>
    <r>
      <t>k</t>
    </r>
    <r>
      <rPr>
        <sz val="11"/>
        <rFont val="ＭＳ Ｐゴシック"/>
        <family val="3"/>
        <charset val="128"/>
      </rPr>
      <t>g</t>
    </r>
    <phoneticPr fontId="2"/>
  </si>
  <si>
    <t>納額通
知番号</t>
    <rPh sb="0" eb="1">
      <t>ノウ</t>
    </rPh>
    <rPh sb="1" eb="2">
      <t>ガク</t>
    </rPh>
    <rPh sb="2" eb="3">
      <t>ツウ</t>
    </rPh>
    <rPh sb="4" eb="5">
      <t>チ</t>
    </rPh>
    <rPh sb="5" eb="7">
      <t>バンゴウ</t>
    </rPh>
    <phoneticPr fontId="2"/>
  </si>
  <si>
    <t>kg</t>
    <phoneticPr fontId="2"/>
  </si>
  <si>
    <t>kg</t>
    <phoneticPr fontId="2"/>
  </si>
  <si>
    <t>現金</t>
    <rPh sb="0" eb="2">
      <t>ゲンキン</t>
    </rPh>
    <phoneticPr fontId="2"/>
  </si>
  <si>
    <t>未納</t>
    <rPh sb="0" eb="2">
      <t>ミノウ</t>
    </rPh>
    <phoneticPr fontId="2"/>
  </si>
  <si>
    <t>水産系燃え殻</t>
    <rPh sb="0" eb="4">
      <t>スイサンケイモ</t>
    </rPh>
    <rPh sb="5" eb="6">
      <t>ガラ</t>
    </rPh>
    <phoneticPr fontId="2"/>
  </si>
  <si>
    <t>カムイウイスキー</t>
    <phoneticPr fontId="2"/>
  </si>
  <si>
    <t>福士水産㈱</t>
  </si>
  <si>
    <t>鴛泊下水浄化センター</t>
  </si>
  <si>
    <t>医療系燃え殻</t>
  </si>
  <si>
    <t>利尻島国保中央病院</t>
  </si>
  <si>
    <t>水産系燃え殻</t>
  </si>
  <si>
    <t>カムイウィスキー</t>
  </si>
  <si>
    <t>沓形浄化センター</t>
  </si>
  <si>
    <t>道立鬼脇診療所</t>
  </si>
  <si>
    <t>特養　秀峰園</t>
    <rPh sb="0" eb="2">
      <t>トクヨウ</t>
    </rPh>
    <rPh sb="3" eb="6">
      <t>シュウホウエン</t>
    </rPh>
    <phoneticPr fontId="2"/>
  </si>
  <si>
    <t>特養ほのぼの荘</t>
    <rPh sb="0" eb="2">
      <t>トクヨウ</t>
    </rPh>
    <rPh sb="6" eb="7">
      <t>ソウ</t>
    </rPh>
    <phoneticPr fontId="2"/>
  </si>
  <si>
    <t>利尻漁協沓形支所</t>
    <rPh sb="0" eb="4">
      <t>リシリギョキョウ</t>
    </rPh>
    <rPh sb="4" eb="8">
      <t>クツガタシショ</t>
    </rPh>
    <phoneticPr fontId="2"/>
  </si>
  <si>
    <t>沓形歯科診療所</t>
    <rPh sb="0" eb="7">
      <t>クツガタシカシンリョウジョ</t>
    </rPh>
    <phoneticPr fontId="2"/>
  </si>
  <si>
    <t>川上歯科医院</t>
    <rPh sb="0" eb="6">
      <t>カワカミシカイイン</t>
    </rPh>
    <phoneticPr fontId="2"/>
  </si>
  <si>
    <t>㈱テクノス北海道</t>
    <rPh sb="0" eb="8">
      <t>カブテクノスホッカイドウ</t>
    </rPh>
    <phoneticPr fontId="2"/>
  </si>
  <si>
    <t>利尻島老人保健施設</t>
    <rPh sb="0" eb="9">
      <t>リシリトウロウジンホケンシセツ</t>
    </rPh>
    <phoneticPr fontId="2"/>
  </si>
  <si>
    <t>米田商店</t>
  </si>
  <si>
    <t>沓形歯科診療所</t>
    <rPh sb="0" eb="2">
      <t>クツガタ</t>
    </rPh>
    <rPh sb="2" eb="7">
      <t>シカシンリョウジョ</t>
    </rPh>
    <phoneticPr fontId="2"/>
  </si>
  <si>
    <t>糀谷商店</t>
  </si>
  <si>
    <t>利礼地区サケマス協議会</t>
    <rPh sb="0" eb="4">
      <t>リレイチク</t>
    </rPh>
    <rPh sb="8" eb="11">
      <t>キョウギカイ</t>
    </rPh>
    <phoneticPr fontId="2"/>
  </si>
  <si>
    <t>利尻漁協鬼脇支所</t>
    <rPh sb="0" eb="4">
      <t>リシリギョキョウ</t>
    </rPh>
    <rPh sb="4" eb="8">
      <t>オニワキシショ</t>
    </rPh>
    <phoneticPr fontId="2"/>
  </si>
  <si>
    <t>利尻島老人保健施設</t>
    <rPh sb="0" eb="5">
      <t>リシリトウロウジン</t>
    </rPh>
    <rPh sb="5" eb="9">
      <t>ホケンシセツ</t>
    </rPh>
    <phoneticPr fontId="2"/>
  </si>
  <si>
    <t>国保鴛泊診療所</t>
    <rPh sb="0" eb="2">
      <t>コクホ</t>
    </rPh>
    <rPh sb="2" eb="7">
      <t>オシドマリシンリョウジョ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</si>
</sst>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;[Red]0"/>
    <numFmt numFmtId="177" formatCode="0_);[Red]\(0\)"/>
    <numFmt numFmtId="178" formatCode="#,##0;[Red]#,##0"/>
  </numFmts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57" fontId="4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78" fontId="1" fillId="0" borderId="6" xfId="0" applyNumberFormat="1" applyFont="1" applyBorder="1" applyAlignment="1">
      <alignment horizontal="right" vertical="center"/>
    </xf>
    <xf numFmtId="178" fontId="1" fillId="0" borderId="7" xfId="0" applyNumberFormat="1" applyFont="1" applyBorder="1" applyAlignment="1">
      <alignment vertical="center"/>
    </xf>
    <xf numFmtId="178" fontId="1" fillId="0" borderId="4" xfId="0" applyNumberFormat="1" applyFont="1" applyBorder="1" applyAlignment="1">
      <alignment horizontal="right" vertical="center"/>
    </xf>
    <xf numFmtId="178" fontId="1" fillId="0" borderId="2" xfId="0" applyNumberFormat="1" applyFont="1" applyBorder="1" applyAlignment="1">
      <alignment horizontal="right" vertical="center"/>
    </xf>
    <xf numFmtId="178" fontId="1" fillId="0" borderId="8" xfId="0" applyNumberFormat="1" applyFont="1" applyBorder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right" vertical="center"/>
    </xf>
    <xf numFmtId="3" fontId="1" fillId="0" borderId="7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vertical="center"/>
    </xf>
    <xf numFmtId="176" fontId="1" fillId="0" borderId="11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57" fontId="4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57" fontId="4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3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178" fontId="1" fillId="0" borderId="13" xfId="0" applyNumberFormat="1" applyFont="1" applyBorder="1" applyAlignment="1">
      <alignment horizontal="right" vertical="center"/>
    </xf>
    <xf numFmtId="178" fontId="1" fillId="0" borderId="13" xfId="0" applyNumberFormat="1" applyFont="1" applyBorder="1" applyAlignment="1">
      <alignment vertical="center"/>
    </xf>
    <xf numFmtId="176" fontId="1" fillId="2" borderId="0" xfId="0" applyNumberFormat="1" applyFont="1" applyFill="1" applyAlignment="1">
      <alignment horizontal="right" vertical="center"/>
    </xf>
    <xf numFmtId="176" fontId="1" fillId="0" borderId="12" xfId="0" applyNumberFormat="1" applyFont="1" applyBorder="1" applyAlignment="1">
      <alignment horizontal="center"/>
    </xf>
    <xf numFmtId="3" fontId="1" fillId="3" borderId="7" xfId="0" applyNumberFormat="1" applyFont="1" applyFill="1" applyBorder="1" applyAlignment="1">
      <alignment vertical="center"/>
    </xf>
    <xf numFmtId="0" fontId="0" fillId="0" borderId="3" xfId="0" applyBorder="1" applyAlignment="1">
      <alignment horizontal="left" vertical="center" justifyLastLine="1" shrinkToFit="1"/>
    </xf>
    <xf numFmtId="0" fontId="0" fillId="0" borderId="0" xfId="0" applyAlignment="1">
      <alignment wrapText="1"/>
    </xf>
    <xf numFmtId="0" fontId="0" fillId="0" borderId="3" xfId="0" applyBorder="1" applyAlignment="1">
      <alignment horizontal="distributed" vertical="center" justifyLastLine="1" shrinkToFit="1"/>
    </xf>
    <xf numFmtId="0" fontId="0" fillId="0" borderId="3" xfId="0" applyBorder="1" applyAlignment="1">
      <alignment horizontal="distributed" vertical="center" shrinkToFit="1"/>
    </xf>
    <xf numFmtId="0" fontId="0" fillId="0" borderId="14" xfId="0" applyBorder="1" applyAlignment="1">
      <alignment horizontal="distributed" vertical="center" shrinkToFit="1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3" fontId="1" fillId="3" borderId="4" xfId="0" applyNumberFormat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3" fontId="1" fillId="3" borderId="2" xfId="0" applyNumberFormat="1" applyFont="1" applyFill="1" applyBorder="1" applyAlignment="1">
      <alignment vertical="center"/>
    </xf>
    <xf numFmtId="176" fontId="1" fillId="0" borderId="12" xfId="0" applyNumberFormat="1" applyFont="1" applyBorder="1" applyAlignment="1">
      <alignment horizontal="right"/>
    </xf>
    <xf numFmtId="3" fontId="1" fillId="3" borderId="13" xfId="0" applyNumberFormat="1" applyFont="1" applyFill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2C9D-E6F8-43FB-AC86-59378866D911}">
  <dimension ref="A1:O88"/>
  <sheetViews>
    <sheetView workbookViewId="0">
      <selection activeCell="K12" sqref="K12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2156213091</v>
      </c>
      <c r="F4" s="4">
        <f t="shared" ref="F4:F43" si="0">IF(E4="","",E4-7*INT(E4/7))</f>
        <v>4</v>
      </c>
      <c r="G4" s="5">
        <v>45748</v>
      </c>
      <c r="H4" s="5">
        <f t="shared" ref="H4:H43" si="1">IF(G4="","",G4)</f>
        <v>45748</v>
      </c>
      <c r="I4" s="14">
        <v>2890</v>
      </c>
      <c r="J4" s="6" t="s">
        <v>15</v>
      </c>
      <c r="K4" s="15">
        <f t="shared" ref="K4:K43" si="2">IF(I4&gt;0,I4,"")</f>
        <v>2890</v>
      </c>
      <c r="L4" s="6" t="s">
        <v>6</v>
      </c>
      <c r="M4" s="24">
        <v>3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2166309971</v>
      </c>
      <c r="F5" s="4">
        <f t="shared" si="0"/>
        <v>0</v>
      </c>
      <c r="G5" s="5">
        <v>45751</v>
      </c>
      <c r="H5" s="5">
        <f t="shared" si="1"/>
        <v>45751</v>
      </c>
      <c r="I5" s="16">
        <v>3900</v>
      </c>
      <c r="J5" s="8" t="s">
        <v>16</v>
      </c>
      <c r="K5" s="15">
        <f t="shared" si="2"/>
        <v>3900</v>
      </c>
      <c r="L5" s="9" t="s">
        <v>6</v>
      </c>
      <c r="M5" s="24">
        <v>7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26</v>
      </c>
      <c r="E6" s="3">
        <v>2156213092</v>
      </c>
      <c r="F6" s="4">
        <f t="shared" si="0"/>
        <v>5</v>
      </c>
      <c r="G6" s="5">
        <v>45754</v>
      </c>
      <c r="H6" s="5">
        <f t="shared" si="1"/>
        <v>45754</v>
      </c>
      <c r="I6" s="17">
        <v>2910</v>
      </c>
      <c r="J6" s="6" t="s">
        <v>16</v>
      </c>
      <c r="K6" s="15">
        <f t="shared" si="2"/>
        <v>2910</v>
      </c>
      <c r="L6" s="6" t="s">
        <v>6</v>
      </c>
      <c r="M6" s="24">
        <v>9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31</v>
      </c>
      <c r="E7" s="3">
        <v>2166309968</v>
      </c>
      <c r="F7" s="4">
        <f t="shared" si="0"/>
        <v>4</v>
      </c>
      <c r="G7" s="5">
        <v>45758</v>
      </c>
      <c r="H7" s="5">
        <f t="shared" si="1"/>
        <v>45758</v>
      </c>
      <c r="I7" s="16">
        <v>2420</v>
      </c>
      <c r="J7" s="8" t="s">
        <v>16</v>
      </c>
      <c r="K7" s="15">
        <f t="shared" si="2"/>
        <v>2420</v>
      </c>
      <c r="L7" s="9" t="s">
        <v>6</v>
      </c>
      <c r="M7" s="24">
        <v>16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26</v>
      </c>
      <c r="E8" s="7">
        <v>2156213093</v>
      </c>
      <c r="F8" s="4">
        <f t="shared" si="0"/>
        <v>6</v>
      </c>
      <c r="G8" s="5">
        <v>45761</v>
      </c>
      <c r="H8" s="5">
        <f t="shared" si="1"/>
        <v>45761</v>
      </c>
      <c r="I8" s="17">
        <v>2950</v>
      </c>
      <c r="J8" s="6" t="s">
        <v>16</v>
      </c>
      <c r="K8" s="15">
        <f t="shared" si="2"/>
        <v>2950</v>
      </c>
      <c r="L8" s="6" t="s">
        <v>6</v>
      </c>
      <c r="M8" s="24">
        <v>18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31</v>
      </c>
      <c r="E9" s="3">
        <v>2166309970</v>
      </c>
      <c r="F9" s="4">
        <f t="shared" si="0"/>
        <v>6</v>
      </c>
      <c r="G9" s="5">
        <v>45765</v>
      </c>
      <c r="H9" s="5">
        <f t="shared" si="1"/>
        <v>45765</v>
      </c>
      <c r="I9" s="17">
        <v>3790</v>
      </c>
      <c r="J9" s="6" t="s">
        <v>16</v>
      </c>
      <c r="K9" s="15">
        <f t="shared" si="2"/>
        <v>3790</v>
      </c>
      <c r="L9" s="6" t="s">
        <v>6</v>
      </c>
      <c r="M9" s="24">
        <v>23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26</v>
      </c>
      <c r="E10" s="3">
        <v>2156213094</v>
      </c>
      <c r="F10" s="4">
        <f t="shared" si="0"/>
        <v>0</v>
      </c>
      <c r="G10" s="5">
        <v>45768</v>
      </c>
      <c r="H10" s="5">
        <f t="shared" si="1"/>
        <v>45768</v>
      </c>
      <c r="I10" s="16">
        <v>2950</v>
      </c>
      <c r="J10" s="25" t="s">
        <v>16</v>
      </c>
      <c r="K10" s="15">
        <f t="shared" si="2"/>
        <v>2950</v>
      </c>
      <c r="L10" s="25" t="s">
        <v>6</v>
      </c>
      <c r="M10" s="24">
        <v>26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26</v>
      </c>
      <c r="E11" s="7">
        <v>2156213095</v>
      </c>
      <c r="F11" s="4">
        <f t="shared" si="0"/>
        <v>1</v>
      </c>
      <c r="G11" s="5">
        <v>45769</v>
      </c>
      <c r="H11" s="5">
        <f t="shared" si="1"/>
        <v>45769</v>
      </c>
      <c r="I11" s="17">
        <v>2980</v>
      </c>
      <c r="J11" s="8" t="s">
        <v>16</v>
      </c>
      <c r="K11" s="15">
        <f t="shared" si="2"/>
        <v>2980</v>
      </c>
      <c r="L11" s="9" t="s">
        <v>6</v>
      </c>
      <c r="M11" s="24">
        <v>29</v>
      </c>
      <c r="N11" s="24"/>
    </row>
    <row r="12" spans="1:15" ht="18.75" customHeight="1">
      <c r="A12" s="11">
        <v>9</v>
      </c>
      <c r="B12" s="2" t="s">
        <v>12</v>
      </c>
      <c r="C12" s="3"/>
      <c r="D12" s="64" t="s">
        <v>31</v>
      </c>
      <c r="E12" s="3">
        <v>2166309967</v>
      </c>
      <c r="F12" s="4">
        <f t="shared" si="0"/>
        <v>3</v>
      </c>
      <c r="G12" s="5">
        <v>45772</v>
      </c>
      <c r="H12" s="5">
        <f t="shared" si="1"/>
        <v>45772</v>
      </c>
      <c r="I12" s="17">
        <v>2660</v>
      </c>
      <c r="J12" s="6" t="s">
        <v>16</v>
      </c>
      <c r="K12" s="15">
        <f t="shared" si="2"/>
        <v>2660</v>
      </c>
      <c r="L12" s="6" t="s">
        <v>6</v>
      </c>
      <c r="M12" s="24">
        <v>33</v>
      </c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16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16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16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16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16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16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16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16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16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16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16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16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16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16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16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16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16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16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16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16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16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16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16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16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16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16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16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16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27450</v>
      </c>
      <c r="J44" s="10" t="s">
        <v>17</v>
      </c>
      <c r="K44" s="20">
        <f>SUM(K4:K43)</f>
        <v>27450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16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16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16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16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16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16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16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16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16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16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16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16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16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16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16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16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16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16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16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16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16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16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16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16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16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16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16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16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16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16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16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16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16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16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16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16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27450</v>
      </c>
      <c r="J88" s="10" t="s">
        <v>17</v>
      </c>
      <c r="K88" s="20">
        <f>SUM(K48:K87)+K44</f>
        <v>27450</v>
      </c>
      <c r="L88" s="10" t="s">
        <v>6</v>
      </c>
    </row>
  </sheetData>
  <mergeCells count="12">
    <mergeCell ref="B46:M46"/>
    <mergeCell ref="B45:M45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3">
    <dataValidation imeMode="on" allowBlank="1" showInputMessage="1" showErrorMessage="1" sqref="B48:C87 B4:C43" xr:uid="{025AE222-A757-4A3F-B7E1-363FE7B7388B}"/>
    <dataValidation imeMode="disabled" allowBlank="1" showInputMessage="1" showErrorMessage="1" sqref="E48:E87 E4:E43 G4:N43 G48:N87" xr:uid="{0F6A6D3F-26E6-4502-8616-D22EDFA62D79}"/>
    <dataValidation type="list" imeMode="on" allowBlank="1" showInputMessage="1" showErrorMessage="1" promptTitle="こんにちは" sqref="D48:D51 D53:D87 D4:D43" xr:uid="{0EA788A2-A62D-4CF0-86A5-508515BAE852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1A90-8DF6-4DB3-A7D0-AE34672B549C}">
  <dimension ref="A1:O88"/>
  <sheetViews>
    <sheetView workbookViewId="0">
      <selection activeCell="M15" sqref="M15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2156213096</v>
      </c>
      <c r="F4" s="4">
        <f t="shared" ref="F4:F43" si="0">IF(E4="","",E4-7*INT(E4/7))</f>
        <v>2</v>
      </c>
      <c r="G4" s="5">
        <v>45784</v>
      </c>
      <c r="H4" s="5">
        <f t="shared" ref="H4:H43" si="1">IF(G4="","",G4)</f>
        <v>45784</v>
      </c>
      <c r="I4" s="14">
        <v>2920</v>
      </c>
      <c r="J4" s="6" t="s">
        <v>15</v>
      </c>
      <c r="K4" s="15">
        <f t="shared" ref="K4:K43" si="2">IF(I4&gt;0,I4,"")</f>
        <v>2920</v>
      </c>
      <c r="L4" s="6" t="s">
        <v>6</v>
      </c>
      <c r="M4" s="24">
        <v>41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2166309966</v>
      </c>
      <c r="F5" s="4">
        <f t="shared" si="0"/>
        <v>2</v>
      </c>
      <c r="G5" s="5">
        <v>45786</v>
      </c>
      <c r="H5" s="5">
        <f t="shared" si="1"/>
        <v>45786</v>
      </c>
      <c r="I5" s="16">
        <v>5110</v>
      </c>
      <c r="J5" s="8" t="s">
        <v>15</v>
      </c>
      <c r="K5" s="15">
        <f t="shared" si="2"/>
        <v>5110</v>
      </c>
      <c r="L5" s="9" t="s">
        <v>6</v>
      </c>
      <c r="M5" s="24">
        <v>44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26</v>
      </c>
      <c r="E6" s="3">
        <v>2156213097</v>
      </c>
      <c r="F6" s="4">
        <f t="shared" si="0"/>
        <v>3</v>
      </c>
      <c r="G6" s="5">
        <v>45789</v>
      </c>
      <c r="H6" s="5">
        <f t="shared" si="1"/>
        <v>45789</v>
      </c>
      <c r="I6" s="17">
        <v>2950</v>
      </c>
      <c r="J6" s="6" t="s">
        <v>15</v>
      </c>
      <c r="K6" s="15">
        <f t="shared" si="2"/>
        <v>2950</v>
      </c>
      <c r="L6" s="6" t="s">
        <v>6</v>
      </c>
      <c r="M6" s="24">
        <v>48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26</v>
      </c>
      <c r="E7" s="3">
        <v>2156213098</v>
      </c>
      <c r="F7" s="4">
        <f t="shared" si="0"/>
        <v>4</v>
      </c>
      <c r="G7" s="5">
        <v>45792</v>
      </c>
      <c r="H7" s="5">
        <f t="shared" si="1"/>
        <v>45792</v>
      </c>
      <c r="I7" s="16">
        <v>2980</v>
      </c>
      <c r="J7" s="8" t="s">
        <v>15</v>
      </c>
      <c r="K7" s="15">
        <f t="shared" si="2"/>
        <v>2980</v>
      </c>
      <c r="L7" s="9" t="s">
        <v>6</v>
      </c>
      <c r="M7" s="24">
        <v>52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31</v>
      </c>
      <c r="E8" s="7">
        <v>2166309965</v>
      </c>
      <c r="F8" s="4">
        <f t="shared" si="0"/>
        <v>1</v>
      </c>
      <c r="G8" s="5">
        <v>45793</v>
      </c>
      <c r="H8" s="5">
        <f t="shared" si="1"/>
        <v>45793</v>
      </c>
      <c r="I8" s="17">
        <v>3780</v>
      </c>
      <c r="J8" s="6" t="s">
        <v>15</v>
      </c>
      <c r="K8" s="15">
        <f t="shared" si="2"/>
        <v>3780</v>
      </c>
      <c r="L8" s="6" t="s">
        <v>6</v>
      </c>
      <c r="M8" s="24">
        <v>54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26</v>
      </c>
      <c r="E9" s="3">
        <v>2156213099</v>
      </c>
      <c r="F9" s="4">
        <f t="shared" si="0"/>
        <v>5</v>
      </c>
      <c r="G9" s="5">
        <v>45796</v>
      </c>
      <c r="H9" s="5">
        <f t="shared" si="1"/>
        <v>45796</v>
      </c>
      <c r="I9" s="17">
        <v>2970</v>
      </c>
      <c r="J9" s="6" t="s">
        <v>15</v>
      </c>
      <c r="K9" s="15">
        <f t="shared" si="2"/>
        <v>2970</v>
      </c>
      <c r="L9" s="6" t="s">
        <v>6</v>
      </c>
      <c r="M9" s="24">
        <v>58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31</v>
      </c>
      <c r="E10" s="3">
        <v>2166309959</v>
      </c>
      <c r="F10" s="4">
        <f t="shared" si="0"/>
        <v>2</v>
      </c>
      <c r="G10" s="5">
        <v>45800</v>
      </c>
      <c r="H10" s="5">
        <f t="shared" si="1"/>
        <v>45800</v>
      </c>
      <c r="I10" s="16">
        <v>4170</v>
      </c>
      <c r="J10" s="25" t="s">
        <v>15</v>
      </c>
      <c r="K10" s="15">
        <f t="shared" si="2"/>
        <v>4170</v>
      </c>
      <c r="L10" s="25" t="s">
        <v>6</v>
      </c>
      <c r="M10" s="24">
        <v>63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26</v>
      </c>
      <c r="E11" s="7">
        <v>2156213100</v>
      </c>
      <c r="F11" s="4">
        <f t="shared" si="0"/>
        <v>6</v>
      </c>
      <c r="G11" s="5">
        <v>45803</v>
      </c>
      <c r="H11" s="5">
        <f t="shared" si="1"/>
        <v>45803</v>
      </c>
      <c r="I11" s="17">
        <v>2940</v>
      </c>
      <c r="J11" s="8" t="s">
        <v>15</v>
      </c>
      <c r="K11" s="15">
        <f t="shared" si="2"/>
        <v>2940</v>
      </c>
      <c r="L11" s="9" t="s">
        <v>6</v>
      </c>
      <c r="M11" s="24">
        <v>66</v>
      </c>
      <c r="N11" s="24"/>
    </row>
    <row r="12" spans="1:15" ht="18.75" customHeight="1">
      <c r="A12" s="11">
        <v>9</v>
      </c>
      <c r="B12" s="2" t="s">
        <v>12</v>
      </c>
      <c r="C12" s="3"/>
      <c r="D12" s="64" t="s">
        <v>26</v>
      </c>
      <c r="E12" s="3">
        <v>2156213090</v>
      </c>
      <c r="F12" s="4">
        <f t="shared" si="0"/>
        <v>3</v>
      </c>
      <c r="G12" s="5">
        <v>45805</v>
      </c>
      <c r="H12" s="5">
        <f t="shared" si="1"/>
        <v>45805</v>
      </c>
      <c r="I12" s="17">
        <v>2960</v>
      </c>
      <c r="J12" s="6" t="s">
        <v>15</v>
      </c>
      <c r="K12" s="15">
        <f t="shared" si="2"/>
        <v>2960</v>
      </c>
      <c r="L12" s="6" t="s">
        <v>6</v>
      </c>
      <c r="M12" s="24">
        <v>70</v>
      </c>
      <c r="N12" s="24"/>
    </row>
    <row r="13" spans="1:15" ht="18.75" customHeight="1">
      <c r="A13" s="11">
        <v>10</v>
      </c>
      <c r="B13" s="2" t="s">
        <v>12</v>
      </c>
      <c r="C13" s="3"/>
      <c r="D13" s="64" t="s">
        <v>31</v>
      </c>
      <c r="E13" s="7">
        <v>2166309969</v>
      </c>
      <c r="F13" s="4">
        <f t="shared" si="0"/>
        <v>5</v>
      </c>
      <c r="G13" s="5">
        <v>45807</v>
      </c>
      <c r="H13" s="5">
        <f t="shared" si="1"/>
        <v>45807</v>
      </c>
      <c r="I13" s="17">
        <v>2770</v>
      </c>
      <c r="J13" s="8" t="s">
        <v>15</v>
      </c>
      <c r="K13" s="15">
        <f t="shared" si="2"/>
        <v>2770</v>
      </c>
      <c r="L13" s="9" t="s">
        <v>6</v>
      </c>
      <c r="M13" s="24">
        <v>72</v>
      </c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33550</v>
      </c>
      <c r="J44" s="10" t="s">
        <v>17</v>
      </c>
      <c r="K44" s="20">
        <f>SUM(K4:K43)</f>
        <v>33550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33550</v>
      </c>
      <c r="J88" s="10" t="s">
        <v>17</v>
      </c>
      <c r="K88" s="20">
        <f>SUM(K48:K87)+K44</f>
        <v>33550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729275FB-C607-41F5-BE6B-993940AA8CCD}"/>
    <dataValidation imeMode="disabled" allowBlank="1" showInputMessage="1" showErrorMessage="1" sqref="E48:E87 E4:E43 G4:N43 G48:N87" xr:uid="{CCFDFFEA-B666-412E-A73E-A0D7FE0547A0}"/>
    <dataValidation type="list" imeMode="on" allowBlank="1" showInputMessage="1" showErrorMessage="1" promptTitle="こんにちは" sqref="D4:D43 D53:D87 D48:D51" xr:uid="{A375F69A-1FEA-4CBA-89FE-33DA46283B72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547D-CFCD-4CBC-B5FD-529C6226C7E8}">
  <dimension ref="A1:O88"/>
  <sheetViews>
    <sheetView topLeftCell="A4" workbookViewId="0">
      <selection activeCell="I14" sqref="I14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2171575605</v>
      </c>
      <c r="F4" s="4">
        <f t="shared" ref="F4:F43" si="0">IF(E4="","",E4-7*INT(E4/7))</f>
        <v>3</v>
      </c>
      <c r="G4" s="5">
        <v>45810</v>
      </c>
      <c r="H4" s="5">
        <f t="shared" ref="H4:H43" si="1">IF(G4="","",G4)</f>
        <v>45810</v>
      </c>
      <c r="I4" s="14">
        <v>2930</v>
      </c>
      <c r="J4" s="6" t="s">
        <v>15</v>
      </c>
      <c r="K4" s="15">
        <f t="shared" ref="K4:K43" si="2">IF(I4&gt;0,I4,"")</f>
        <v>2930</v>
      </c>
      <c r="L4" s="6" t="s">
        <v>6</v>
      </c>
      <c r="M4" s="24">
        <v>75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2166309938</v>
      </c>
      <c r="F5" s="4">
        <f t="shared" si="0"/>
        <v>2</v>
      </c>
      <c r="G5" s="5">
        <v>45814</v>
      </c>
      <c r="H5" s="5">
        <f t="shared" si="1"/>
        <v>45814</v>
      </c>
      <c r="I5" s="16">
        <v>4200</v>
      </c>
      <c r="J5" s="8" t="s">
        <v>15</v>
      </c>
      <c r="K5" s="15">
        <f t="shared" si="2"/>
        <v>4200</v>
      </c>
      <c r="L5" s="9" t="s">
        <v>6</v>
      </c>
      <c r="M5" s="24">
        <v>80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26</v>
      </c>
      <c r="E6" s="3">
        <v>2171575603</v>
      </c>
      <c r="F6" s="4">
        <f t="shared" si="0"/>
        <v>1</v>
      </c>
      <c r="G6" s="5">
        <v>45817</v>
      </c>
      <c r="H6" s="5">
        <f t="shared" si="1"/>
        <v>45817</v>
      </c>
      <c r="I6" s="17">
        <v>2930</v>
      </c>
      <c r="J6" s="6" t="s">
        <v>15</v>
      </c>
      <c r="K6" s="15">
        <f t="shared" si="2"/>
        <v>2930</v>
      </c>
      <c r="L6" s="6" t="s">
        <v>6</v>
      </c>
      <c r="M6" s="24">
        <v>82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31</v>
      </c>
      <c r="E7" s="3">
        <v>2166309939</v>
      </c>
      <c r="F7" s="4">
        <f t="shared" si="0"/>
        <v>3</v>
      </c>
      <c r="G7" s="5">
        <v>45821</v>
      </c>
      <c r="H7" s="5">
        <f t="shared" si="1"/>
        <v>45821</v>
      </c>
      <c r="I7" s="16">
        <v>2680</v>
      </c>
      <c r="J7" s="8" t="s">
        <v>15</v>
      </c>
      <c r="K7" s="15">
        <f t="shared" si="2"/>
        <v>2680</v>
      </c>
      <c r="L7" s="9" t="s">
        <v>6</v>
      </c>
      <c r="M7" s="24">
        <v>87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26</v>
      </c>
      <c r="E8" s="7">
        <v>2171575604</v>
      </c>
      <c r="F8" s="4">
        <f t="shared" si="0"/>
        <v>2</v>
      </c>
      <c r="G8" s="5">
        <v>45824</v>
      </c>
      <c r="H8" s="5">
        <f t="shared" si="1"/>
        <v>45824</v>
      </c>
      <c r="I8" s="17">
        <v>2970</v>
      </c>
      <c r="J8" s="6" t="s">
        <v>15</v>
      </c>
      <c r="K8" s="15">
        <f t="shared" si="2"/>
        <v>2970</v>
      </c>
      <c r="L8" s="6" t="s">
        <v>6</v>
      </c>
      <c r="M8" s="24">
        <v>89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31</v>
      </c>
      <c r="E9" s="3">
        <v>2166309940</v>
      </c>
      <c r="F9" s="4">
        <f t="shared" si="0"/>
        <v>4</v>
      </c>
      <c r="G9" s="5">
        <v>45828</v>
      </c>
      <c r="H9" s="5">
        <f t="shared" si="1"/>
        <v>45828</v>
      </c>
      <c r="I9" s="17">
        <v>4030</v>
      </c>
      <c r="J9" s="6" t="s">
        <v>15</v>
      </c>
      <c r="K9" s="15">
        <f t="shared" si="2"/>
        <v>4030</v>
      </c>
      <c r="L9" s="6" t="s">
        <v>6</v>
      </c>
      <c r="M9" s="24">
        <v>94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26</v>
      </c>
      <c r="E10" s="3">
        <v>2171575606</v>
      </c>
      <c r="F10" s="4">
        <f t="shared" si="0"/>
        <v>4</v>
      </c>
      <c r="G10" s="5">
        <v>45832</v>
      </c>
      <c r="H10" s="5">
        <f t="shared" si="1"/>
        <v>45832</v>
      </c>
      <c r="I10" s="16">
        <v>2970</v>
      </c>
      <c r="J10" s="25" t="s">
        <v>15</v>
      </c>
      <c r="K10" s="15">
        <f t="shared" si="2"/>
        <v>2970</v>
      </c>
      <c r="L10" s="25" t="s">
        <v>6</v>
      </c>
      <c r="M10" s="24">
        <v>97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31</v>
      </c>
      <c r="E11" s="7">
        <v>2166309941</v>
      </c>
      <c r="F11" s="4">
        <f t="shared" si="0"/>
        <v>5</v>
      </c>
      <c r="G11" s="5">
        <v>45835</v>
      </c>
      <c r="H11" s="5">
        <f t="shared" si="1"/>
        <v>45835</v>
      </c>
      <c r="I11" s="17">
        <v>3880</v>
      </c>
      <c r="J11" s="8" t="s">
        <v>15</v>
      </c>
      <c r="K11" s="15">
        <f t="shared" si="2"/>
        <v>3880</v>
      </c>
      <c r="L11" s="9" t="s">
        <v>6</v>
      </c>
      <c r="M11" s="24">
        <v>99</v>
      </c>
      <c r="N11" s="24"/>
    </row>
    <row r="12" spans="1:15" ht="18.75" customHeight="1">
      <c r="A12" s="11">
        <v>9</v>
      </c>
      <c r="B12" s="2" t="s">
        <v>12</v>
      </c>
      <c r="C12" s="3"/>
      <c r="D12" s="64" t="s">
        <v>26</v>
      </c>
      <c r="E12" s="3">
        <v>2171575601</v>
      </c>
      <c r="F12" s="4">
        <f t="shared" si="0"/>
        <v>6</v>
      </c>
      <c r="G12" s="5">
        <v>45838</v>
      </c>
      <c r="H12" s="5">
        <f t="shared" si="1"/>
        <v>45838</v>
      </c>
      <c r="I12" s="17">
        <v>2900</v>
      </c>
      <c r="J12" s="6" t="s">
        <v>15</v>
      </c>
      <c r="K12" s="15">
        <f t="shared" si="2"/>
        <v>2900</v>
      </c>
      <c r="L12" s="6" t="s">
        <v>6</v>
      </c>
      <c r="M12" s="24">
        <v>102</v>
      </c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15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29490</v>
      </c>
      <c r="J44" s="10" t="s">
        <v>17</v>
      </c>
      <c r="K44" s="20">
        <f>SUM(K4:K43)</f>
        <v>29490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29490</v>
      </c>
      <c r="J88" s="10" t="s">
        <v>17</v>
      </c>
      <c r="K88" s="20">
        <f>SUM(K48:K87)+K44</f>
        <v>29490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B5607356-C81A-4C12-9B08-ED0384D2C25B}"/>
    <dataValidation imeMode="disabled" allowBlank="1" showInputMessage="1" showErrorMessage="1" sqref="E48:E87 E4:E43 G4:N43 G48:N87" xr:uid="{0CB5C0AC-2359-4ED7-B874-0B3FD4E814AE}"/>
    <dataValidation type="list" imeMode="on" allowBlank="1" showInputMessage="1" showErrorMessage="1" promptTitle="こんにちは" sqref="D4:D43 D53:D87 D48:D51" xr:uid="{E50E9533-E251-46A9-A5C3-F53969E5B49C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50D4-6B37-493A-AF8A-C8443E3DAB42}">
  <dimension ref="A1:O88"/>
  <sheetViews>
    <sheetView workbookViewId="0">
      <selection activeCell="Q19" sqref="Q19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9" t="s">
        <v>38</v>
      </c>
      <c r="E4" s="3">
        <v>2166309984</v>
      </c>
      <c r="F4" s="4">
        <f t="shared" ref="F4:F43" si="0">IF(E4="","",E4-7*INT(E4/7))</f>
        <v>6</v>
      </c>
      <c r="G4" s="5">
        <v>45840</v>
      </c>
      <c r="H4" s="5">
        <f t="shared" ref="H4:H43" si="1">IF(G4="","",G4)</f>
        <v>45840</v>
      </c>
      <c r="I4" s="14">
        <v>360</v>
      </c>
      <c r="J4" s="6" t="s">
        <v>15</v>
      </c>
      <c r="K4" s="15">
        <f t="shared" ref="K4:K43" si="2">IF(I4&gt;0,I4,"")</f>
        <v>360</v>
      </c>
      <c r="L4" s="6" t="s">
        <v>6</v>
      </c>
      <c r="M4" s="24"/>
      <c r="N4" s="24">
        <v>735</v>
      </c>
    </row>
    <row r="5" spans="1:15" ht="18.75" customHeight="1">
      <c r="A5" s="11">
        <v>2</v>
      </c>
      <c r="B5" s="2" t="s">
        <v>12</v>
      </c>
      <c r="C5" s="3"/>
      <c r="D5" s="69" t="s">
        <v>38</v>
      </c>
      <c r="E5" s="7">
        <v>2166309985</v>
      </c>
      <c r="F5" s="4">
        <f t="shared" si="0"/>
        <v>0</v>
      </c>
      <c r="G5" s="5">
        <v>45840</v>
      </c>
      <c r="H5" s="5">
        <f t="shared" si="1"/>
        <v>45840</v>
      </c>
      <c r="I5" s="16">
        <v>1010</v>
      </c>
      <c r="J5" s="8" t="s">
        <v>15</v>
      </c>
      <c r="K5" s="15">
        <f t="shared" si="2"/>
        <v>1010</v>
      </c>
      <c r="L5" s="9" t="s">
        <v>6</v>
      </c>
      <c r="M5" s="24"/>
      <c r="N5" s="24">
        <v>734</v>
      </c>
    </row>
    <row r="6" spans="1:15" ht="18.75" customHeight="1">
      <c r="A6" s="11">
        <v>3</v>
      </c>
      <c r="B6" s="2" t="s">
        <v>12</v>
      </c>
      <c r="C6" s="3"/>
      <c r="D6" s="64" t="s">
        <v>31</v>
      </c>
      <c r="E6" s="3">
        <v>2166309942</v>
      </c>
      <c r="F6" s="4">
        <f t="shared" si="0"/>
        <v>6</v>
      </c>
      <c r="G6" s="5">
        <v>45842</v>
      </c>
      <c r="H6" s="5">
        <f t="shared" si="1"/>
        <v>45842</v>
      </c>
      <c r="I6" s="17">
        <v>3880</v>
      </c>
      <c r="J6" s="6" t="s">
        <v>15</v>
      </c>
      <c r="K6" s="15">
        <f t="shared" si="2"/>
        <v>3880</v>
      </c>
      <c r="L6" s="6" t="s">
        <v>6</v>
      </c>
      <c r="M6" s="24">
        <v>107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26</v>
      </c>
      <c r="E7" s="3">
        <v>2171575607</v>
      </c>
      <c r="F7" s="4">
        <f t="shared" si="0"/>
        <v>5</v>
      </c>
      <c r="G7" s="5">
        <v>45845</v>
      </c>
      <c r="H7" s="5">
        <f t="shared" si="1"/>
        <v>45845</v>
      </c>
      <c r="I7" s="16">
        <v>2860</v>
      </c>
      <c r="J7" s="8" t="s">
        <v>15</v>
      </c>
      <c r="K7" s="15">
        <f t="shared" si="2"/>
        <v>2860</v>
      </c>
      <c r="L7" s="9" t="s">
        <v>6</v>
      </c>
      <c r="M7" s="24">
        <v>108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31</v>
      </c>
      <c r="E8" s="7">
        <v>2166309944</v>
      </c>
      <c r="F8" s="4">
        <f t="shared" si="0"/>
        <v>1</v>
      </c>
      <c r="G8" s="5">
        <v>45852</v>
      </c>
      <c r="H8" s="5">
        <f t="shared" si="1"/>
        <v>45852</v>
      </c>
      <c r="I8" s="17">
        <v>3710</v>
      </c>
      <c r="J8" s="6" t="s">
        <v>15</v>
      </c>
      <c r="K8" s="15">
        <f t="shared" si="2"/>
        <v>3710</v>
      </c>
      <c r="L8" s="6" t="s">
        <v>6</v>
      </c>
      <c r="M8" s="24">
        <v>111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26</v>
      </c>
      <c r="E9" s="3">
        <v>2171575608</v>
      </c>
      <c r="F9" s="4">
        <f t="shared" si="0"/>
        <v>6</v>
      </c>
      <c r="G9" s="5">
        <v>45852</v>
      </c>
      <c r="H9" s="5">
        <f t="shared" si="1"/>
        <v>45852</v>
      </c>
      <c r="I9" s="17">
        <v>2740</v>
      </c>
      <c r="J9" s="6" t="s">
        <v>15</v>
      </c>
      <c r="K9" s="15">
        <f t="shared" si="2"/>
        <v>2740</v>
      </c>
      <c r="L9" s="6" t="s">
        <v>6</v>
      </c>
      <c r="M9" s="24">
        <v>112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26</v>
      </c>
      <c r="E10" s="3">
        <v>2171575602</v>
      </c>
      <c r="F10" s="4">
        <f t="shared" si="0"/>
        <v>0</v>
      </c>
      <c r="G10" s="5">
        <v>45852</v>
      </c>
      <c r="H10" s="5">
        <f t="shared" si="1"/>
        <v>45852</v>
      </c>
      <c r="I10" s="16">
        <v>2810</v>
      </c>
      <c r="J10" s="25" t="s">
        <v>15</v>
      </c>
      <c r="K10" s="15">
        <f t="shared" si="2"/>
        <v>2810</v>
      </c>
      <c r="L10" s="25" t="s">
        <v>6</v>
      </c>
      <c r="M10" s="24">
        <v>113</v>
      </c>
      <c r="N10" s="24"/>
    </row>
    <row r="11" spans="1:15" ht="18.75" customHeight="1">
      <c r="A11" s="11">
        <v>8</v>
      </c>
      <c r="B11" s="2" t="s">
        <v>12</v>
      </c>
      <c r="C11" s="3"/>
      <c r="D11" s="69" t="s">
        <v>38</v>
      </c>
      <c r="E11" s="7">
        <v>2171575615</v>
      </c>
      <c r="F11" s="4">
        <f t="shared" si="0"/>
        <v>6</v>
      </c>
      <c r="G11" s="5">
        <v>45853</v>
      </c>
      <c r="H11" s="5">
        <f t="shared" si="1"/>
        <v>45853</v>
      </c>
      <c r="I11" s="17">
        <v>850</v>
      </c>
      <c r="J11" s="8" t="s">
        <v>15</v>
      </c>
      <c r="K11" s="15">
        <f t="shared" si="2"/>
        <v>850</v>
      </c>
      <c r="L11" s="9" t="s">
        <v>6</v>
      </c>
      <c r="M11" s="24"/>
      <c r="N11" s="24">
        <v>761</v>
      </c>
    </row>
    <row r="12" spans="1:15" ht="18.75" customHeight="1">
      <c r="A12" s="11">
        <v>9</v>
      </c>
      <c r="B12" s="2" t="s">
        <v>12</v>
      </c>
      <c r="C12" s="3"/>
      <c r="D12" s="64" t="s">
        <v>31</v>
      </c>
      <c r="E12" s="3">
        <v>2166309945</v>
      </c>
      <c r="F12" s="4">
        <f t="shared" si="0"/>
        <v>2</v>
      </c>
      <c r="G12" s="5">
        <v>45856</v>
      </c>
      <c r="H12" s="5">
        <f t="shared" si="1"/>
        <v>45856</v>
      </c>
      <c r="I12" s="17">
        <v>2650</v>
      </c>
      <c r="J12" s="6" t="s">
        <v>15</v>
      </c>
      <c r="K12" s="15">
        <f t="shared" si="2"/>
        <v>2650</v>
      </c>
      <c r="L12" s="6" t="s">
        <v>6</v>
      </c>
      <c r="M12" s="24">
        <v>116</v>
      </c>
      <c r="N12" s="24"/>
    </row>
    <row r="13" spans="1:15" ht="18.75" customHeight="1">
      <c r="A13" s="11">
        <v>10</v>
      </c>
      <c r="B13" s="2" t="s">
        <v>12</v>
      </c>
      <c r="C13" s="3"/>
      <c r="D13" s="64" t="s">
        <v>31</v>
      </c>
      <c r="E13" s="7">
        <v>2166309946</v>
      </c>
      <c r="F13" s="4">
        <f t="shared" si="0"/>
        <v>3</v>
      </c>
      <c r="G13" s="5">
        <v>45863</v>
      </c>
      <c r="H13" s="5">
        <f t="shared" si="1"/>
        <v>45863</v>
      </c>
      <c r="I13" s="17">
        <v>4130</v>
      </c>
      <c r="J13" s="8" t="s">
        <v>15</v>
      </c>
      <c r="K13" s="15">
        <f t="shared" si="2"/>
        <v>4130</v>
      </c>
      <c r="L13" s="9" t="s">
        <v>6</v>
      </c>
      <c r="M13" s="24">
        <v>118</v>
      </c>
      <c r="N13" s="24"/>
      <c r="O13" s="56"/>
    </row>
    <row r="14" spans="1:15" ht="18.75" customHeight="1">
      <c r="A14" s="11">
        <v>11</v>
      </c>
      <c r="B14" s="2" t="s">
        <v>12</v>
      </c>
      <c r="C14" s="3"/>
      <c r="D14" s="64" t="s">
        <v>26</v>
      </c>
      <c r="E14" s="3">
        <v>2171575609</v>
      </c>
      <c r="F14" s="4">
        <f t="shared" si="0"/>
        <v>0</v>
      </c>
      <c r="G14" s="5">
        <v>45866</v>
      </c>
      <c r="H14" s="5">
        <f t="shared" si="1"/>
        <v>45866</v>
      </c>
      <c r="I14" s="17">
        <v>2880</v>
      </c>
      <c r="J14" s="6" t="s">
        <v>15</v>
      </c>
      <c r="K14" s="15">
        <f t="shared" si="2"/>
        <v>2880</v>
      </c>
      <c r="L14" s="6" t="s">
        <v>6</v>
      </c>
      <c r="M14" s="24">
        <v>120</v>
      </c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27880</v>
      </c>
      <c r="J44" s="10" t="s">
        <v>17</v>
      </c>
      <c r="K44" s="20">
        <f>SUM(K4:K43)</f>
        <v>27880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27880</v>
      </c>
      <c r="J88" s="10" t="s">
        <v>17</v>
      </c>
      <c r="K88" s="20">
        <f>SUM(K48:K87)+K44</f>
        <v>27880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4">
    <dataValidation imeMode="on" allowBlank="1" showInputMessage="1" showErrorMessage="1" sqref="B48:C87 B4:C43" xr:uid="{7792BD2C-4893-448F-85AA-8EFCECFCC565}"/>
    <dataValidation imeMode="disabled" allowBlank="1" showInputMessage="1" showErrorMessage="1" sqref="E48:E87 E4:E43 G4:N43 G48:N87" xr:uid="{2C00F3E1-E5B6-4D67-9E74-2C656CAB059C}"/>
    <dataValidation type="list" imeMode="on" allowBlank="1" showInputMessage="1" showErrorMessage="1" promptTitle="こんにちは" sqref="D48:D51 D53:D87 D6:D10 D12:D43" xr:uid="{58DD3F0F-4D2F-4063-8CFD-2B427EC923D7}">
      <formula1>"鴛泊下水浄化センター,沓形浄化センター"</formula1>
    </dataValidation>
    <dataValidation type="list" imeMode="on" allowBlank="1" showInputMessage="1" prompt="なければ直接入力" sqref="D4:D5 D11" xr:uid="{894DCF4E-B758-465E-8DCC-26BB56B1DD8D}">
      <formula1>"利尻島国保中央病院,福士水産㈱,高橋水産㈱"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E5B7-AA77-42E5-9D27-D3670BC6010B}">
  <dimension ref="A1:O88"/>
  <sheetViews>
    <sheetView topLeftCell="A10" workbookViewId="0">
      <selection activeCell="M15" sqref="M15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31</v>
      </c>
      <c r="E4" s="3">
        <v>2166309948</v>
      </c>
      <c r="F4" s="4">
        <f t="shared" ref="F4:F43" si="0">IF(E4="","",E4-7*INT(E4/7))</f>
        <v>5</v>
      </c>
      <c r="G4" s="5">
        <v>45870</v>
      </c>
      <c r="H4" s="5">
        <f t="shared" ref="H4:H43" si="1">IF(G4="","",G4)</f>
        <v>45870</v>
      </c>
      <c r="I4" s="14">
        <v>3110</v>
      </c>
      <c r="J4" s="6" t="s">
        <v>15</v>
      </c>
      <c r="K4" s="15">
        <f t="shared" ref="K4:K43" si="2">IF(I4&gt;0,I4,"")</f>
        <v>3110</v>
      </c>
      <c r="L4" s="6" t="s">
        <v>6</v>
      </c>
      <c r="M4" s="24">
        <v>123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26</v>
      </c>
      <c r="E5" s="7">
        <v>2171575612</v>
      </c>
      <c r="F5" s="4">
        <f t="shared" si="0"/>
        <v>3</v>
      </c>
      <c r="G5" s="5">
        <v>45873</v>
      </c>
      <c r="H5" s="5">
        <f t="shared" si="1"/>
        <v>45873</v>
      </c>
      <c r="I5" s="16">
        <v>2790</v>
      </c>
      <c r="J5" s="8" t="s">
        <v>15</v>
      </c>
      <c r="K5" s="15">
        <f t="shared" si="2"/>
        <v>2790</v>
      </c>
      <c r="L5" s="9" t="s">
        <v>6</v>
      </c>
      <c r="M5" s="24">
        <v>126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31</v>
      </c>
      <c r="E6" s="3">
        <v>2166309960</v>
      </c>
      <c r="F6" s="4">
        <f t="shared" si="0"/>
        <v>3</v>
      </c>
      <c r="G6" s="5">
        <v>45877</v>
      </c>
      <c r="H6" s="5">
        <f t="shared" si="1"/>
        <v>45877</v>
      </c>
      <c r="I6" s="17">
        <v>4240</v>
      </c>
      <c r="J6" s="6" t="s">
        <v>15</v>
      </c>
      <c r="K6" s="15">
        <f t="shared" si="2"/>
        <v>4240</v>
      </c>
      <c r="L6" s="6" t="s">
        <v>6</v>
      </c>
      <c r="M6" s="24">
        <v>132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26</v>
      </c>
      <c r="E7" s="3">
        <v>2171575613</v>
      </c>
      <c r="F7" s="4">
        <f t="shared" si="0"/>
        <v>4</v>
      </c>
      <c r="G7" s="5">
        <v>45881</v>
      </c>
      <c r="H7" s="5">
        <f t="shared" si="1"/>
        <v>45881</v>
      </c>
      <c r="I7" s="16">
        <v>2810</v>
      </c>
      <c r="J7" s="8" t="s">
        <v>15</v>
      </c>
      <c r="K7" s="15">
        <f t="shared" si="2"/>
        <v>2810</v>
      </c>
      <c r="L7" s="9" t="s">
        <v>6</v>
      </c>
      <c r="M7" s="24">
        <v>133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26</v>
      </c>
      <c r="E8" s="7">
        <v>2171575614</v>
      </c>
      <c r="F8" s="4">
        <f t="shared" si="0"/>
        <v>5</v>
      </c>
      <c r="G8" s="5">
        <v>45883</v>
      </c>
      <c r="H8" s="5">
        <f t="shared" si="1"/>
        <v>45883</v>
      </c>
      <c r="I8" s="17">
        <v>2870</v>
      </c>
      <c r="J8" s="6" t="s">
        <v>15</v>
      </c>
      <c r="K8" s="15">
        <f t="shared" si="2"/>
        <v>2870</v>
      </c>
      <c r="L8" s="6" t="s">
        <v>6</v>
      </c>
      <c r="M8" s="24">
        <v>135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31</v>
      </c>
      <c r="E9" s="3">
        <v>2166309949</v>
      </c>
      <c r="F9" s="4">
        <f t="shared" si="0"/>
        <v>6</v>
      </c>
      <c r="G9" s="5">
        <v>45887</v>
      </c>
      <c r="H9" s="5">
        <f t="shared" si="1"/>
        <v>45887</v>
      </c>
      <c r="I9" s="17">
        <v>4140</v>
      </c>
      <c r="J9" s="6" t="s">
        <v>15</v>
      </c>
      <c r="K9" s="15">
        <f t="shared" si="2"/>
        <v>4140</v>
      </c>
      <c r="L9" s="6" t="s">
        <v>6</v>
      </c>
      <c r="M9" s="24">
        <v>137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26</v>
      </c>
      <c r="E10" s="3">
        <v>2171575616</v>
      </c>
      <c r="F10" s="4">
        <f t="shared" si="0"/>
        <v>0</v>
      </c>
      <c r="G10" s="5">
        <v>45887</v>
      </c>
      <c r="H10" s="5">
        <f t="shared" si="1"/>
        <v>45887</v>
      </c>
      <c r="I10" s="16">
        <v>2810</v>
      </c>
      <c r="J10" s="25" t="s">
        <v>15</v>
      </c>
      <c r="K10" s="15">
        <f t="shared" si="2"/>
        <v>2810</v>
      </c>
      <c r="L10" s="25" t="s">
        <v>6</v>
      </c>
      <c r="M10" s="24">
        <v>139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31</v>
      </c>
      <c r="E11" s="7">
        <v>2166309950</v>
      </c>
      <c r="F11" s="4">
        <f t="shared" si="0"/>
        <v>0</v>
      </c>
      <c r="G11" s="5">
        <v>45891</v>
      </c>
      <c r="H11" s="5">
        <f t="shared" si="1"/>
        <v>45891</v>
      </c>
      <c r="I11" s="17">
        <v>4180</v>
      </c>
      <c r="J11" s="8" t="s">
        <v>15</v>
      </c>
      <c r="K11" s="15">
        <f t="shared" si="2"/>
        <v>4180</v>
      </c>
      <c r="L11" s="9" t="s">
        <v>6</v>
      </c>
      <c r="M11" s="24">
        <v>143</v>
      </c>
      <c r="N11" s="24"/>
    </row>
    <row r="12" spans="1:15" ht="18.75" customHeight="1">
      <c r="A12" s="11">
        <v>9</v>
      </c>
      <c r="B12" s="2" t="s">
        <v>12</v>
      </c>
      <c r="C12" s="3"/>
      <c r="D12" s="64" t="s">
        <v>26</v>
      </c>
      <c r="E12" s="3">
        <v>2171575617</v>
      </c>
      <c r="F12" s="4">
        <f t="shared" si="0"/>
        <v>1</v>
      </c>
      <c r="G12" s="5">
        <v>45894</v>
      </c>
      <c r="H12" s="5">
        <f t="shared" si="1"/>
        <v>45894</v>
      </c>
      <c r="I12" s="17">
        <v>2910</v>
      </c>
      <c r="J12" s="6" t="s">
        <v>15</v>
      </c>
      <c r="K12" s="15">
        <f t="shared" si="2"/>
        <v>2910</v>
      </c>
      <c r="L12" s="6" t="s">
        <v>6</v>
      </c>
      <c r="M12" s="24">
        <v>146</v>
      </c>
      <c r="N12" s="24"/>
    </row>
    <row r="13" spans="1:15" ht="18.75" customHeight="1">
      <c r="A13" s="11">
        <v>10</v>
      </c>
      <c r="B13" s="2" t="s">
        <v>12</v>
      </c>
      <c r="C13" s="3"/>
      <c r="D13" s="64" t="s">
        <v>26</v>
      </c>
      <c r="E13" s="7">
        <v>2171575618</v>
      </c>
      <c r="F13" s="4">
        <f t="shared" si="0"/>
        <v>2</v>
      </c>
      <c r="G13" s="5">
        <v>45896</v>
      </c>
      <c r="H13" s="5">
        <f t="shared" si="1"/>
        <v>45896</v>
      </c>
      <c r="I13" s="17">
        <v>2850</v>
      </c>
      <c r="J13" s="8" t="s">
        <v>15</v>
      </c>
      <c r="K13" s="15">
        <f t="shared" si="2"/>
        <v>2850</v>
      </c>
      <c r="L13" s="9" t="s">
        <v>6</v>
      </c>
      <c r="M13" s="24">
        <v>149</v>
      </c>
      <c r="N13" s="24"/>
      <c r="O13" s="56"/>
    </row>
    <row r="14" spans="1:15" ht="18.75" customHeight="1">
      <c r="A14" s="11">
        <v>11</v>
      </c>
      <c r="B14" s="2" t="s">
        <v>12</v>
      </c>
      <c r="C14" s="3"/>
      <c r="D14" s="64" t="s">
        <v>31</v>
      </c>
      <c r="E14" s="3">
        <v>2166309951</v>
      </c>
      <c r="F14" s="4">
        <f t="shared" si="0"/>
        <v>1</v>
      </c>
      <c r="G14" s="5">
        <v>45898</v>
      </c>
      <c r="H14" s="5">
        <f t="shared" si="1"/>
        <v>45898</v>
      </c>
      <c r="I14" s="17">
        <v>4400</v>
      </c>
      <c r="J14" s="6" t="s">
        <v>15</v>
      </c>
      <c r="K14" s="15">
        <f t="shared" si="2"/>
        <v>4400</v>
      </c>
      <c r="L14" s="6" t="s">
        <v>6</v>
      </c>
      <c r="M14" s="24">
        <v>151</v>
      </c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37110</v>
      </c>
      <c r="J44" s="10" t="s">
        <v>17</v>
      </c>
      <c r="K44" s="20">
        <f>SUM(K4:K43)</f>
        <v>37110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37110</v>
      </c>
      <c r="J88" s="10" t="s">
        <v>17</v>
      </c>
      <c r="K88" s="20">
        <f>SUM(K48:K87)+K44</f>
        <v>37110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36B293BF-39FB-4D63-BF7E-F7783BA20106}"/>
    <dataValidation imeMode="disabled" allowBlank="1" showInputMessage="1" showErrorMessage="1" sqref="E48:E87 E4:E43 G4:N43 G48:N87" xr:uid="{73BBCCA2-8A08-4883-B20E-36D6933348C8}"/>
    <dataValidation type="list" imeMode="on" allowBlank="1" showInputMessage="1" showErrorMessage="1" promptTitle="こんにちは" sqref="D48:D51 D53:D87 D4:D43" xr:uid="{2629B58F-2DAA-4B44-B3F1-5DF618A6524A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F458-18C1-4457-9D8E-73DA406967D3}">
  <dimension ref="A1:O88"/>
  <sheetViews>
    <sheetView topLeftCell="A7" workbookViewId="0">
      <selection activeCell="M14" sqref="M14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2171575619</v>
      </c>
      <c r="F4" s="4">
        <f t="shared" ref="F4:F43" si="0">IF(E4="","",E4-7*INT(E4/7))</f>
        <v>3</v>
      </c>
      <c r="G4" s="5">
        <v>45902</v>
      </c>
      <c r="H4" s="5">
        <f t="shared" ref="H4:H43" si="1">IF(G4="","",G4)</f>
        <v>45902</v>
      </c>
      <c r="I4" s="14">
        <v>2880</v>
      </c>
      <c r="J4" s="6" t="s">
        <v>15</v>
      </c>
      <c r="K4" s="15">
        <f t="shared" ref="K4:K43" si="2">IF(I4&gt;0,I4,"")</f>
        <v>2880</v>
      </c>
      <c r="L4" s="6" t="s">
        <v>6</v>
      </c>
      <c r="M4" s="24">
        <v>156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26</v>
      </c>
      <c r="E5" s="7">
        <v>2171575620</v>
      </c>
      <c r="F5" s="4">
        <f t="shared" si="0"/>
        <v>4</v>
      </c>
      <c r="G5" s="5">
        <v>45904</v>
      </c>
      <c r="H5" s="5">
        <f t="shared" si="1"/>
        <v>45904</v>
      </c>
      <c r="I5" s="16">
        <v>2900</v>
      </c>
      <c r="J5" s="8" t="s">
        <v>15</v>
      </c>
      <c r="K5" s="15">
        <f t="shared" si="2"/>
        <v>2900</v>
      </c>
      <c r="L5" s="9" t="s">
        <v>6</v>
      </c>
      <c r="M5" s="24">
        <v>160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31</v>
      </c>
      <c r="E6" s="3">
        <v>2166309952</v>
      </c>
      <c r="F6" s="4">
        <f t="shared" si="0"/>
        <v>2</v>
      </c>
      <c r="G6" s="5">
        <v>45905</v>
      </c>
      <c r="H6" s="5">
        <f t="shared" si="1"/>
        <v>45905</v>
      </c>
      <c r="I6" s="17">
        <v>4030</v>
      </c>
      <c r="J6" s="6" t="s">
        <v>15</v>
      </c>
      <c r="K6" s="15">
        <f t="shared" si="2"/>
        <v>4030</v>
      </c>
      <c r="L6" s="6" t="s">
        <v>6</v>
      </c>
      <c r="M6" s="24">
        <v>161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26</v>
      </c>
      <c r="E7" s="3">
        <v>2171575611</v>
      </c>
      <c r="F7" s="4">
        <f t="shared" si="0"/>
        <v>2</v>
      </c>
      <c r="G7" s="5">
        <v>45909</v>
      </c>
      <c r="H7" s="5">
        <f t="shared" si="1"/>
        <v>45909</v>
      </c>
      <c r="I7" s="16">
        <v>2920</v>
      </c>
      <c r="J7" s="8" t="s">
        <v>15</v>
      </c>
      <c r="K7" s="15">
        <f t="shared" si="2"/>
        <v>2920</v>
      </c>
      <c r="L7" s="9" t="s">
        <v>6</v>
      </c>
      <c r="M7" s="24">
        <v>167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31</v>
      </c>
      <c r="E8" s="7">
        <v>2166309953</v>
      </c>
      <c r="F8" s="4">
        <f t="shared" si="0"/>
        <v>3</v>
      </c>
      <c r="G8" s="5">
        <v>45912</v>
      </c>
      <c r="H8" s="5">
        <f t="shared" si="1"/>
        <v>45912</v>
      </c>
      <c r="I8" s="17">
        <v>3830</v>
      </c>
      <c r="J8" s="6" t="s">
        <v>15</v>
      </c>
      <c r="K8" s="15">
        <f t="shared" si="2"/>
        <v>3830</v>
      </c>
      <c r="L8" s="6" t="s">
        <v>6</v>
      </c>
      <c r="M8" s="24">
        <v>170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26</v>
      </c>
      <c r="E9" s="3">
        <v>2171575621</v>
      </c>
      <c r="F9" s="4">
        <f t="shared" si="0"/>
        <v>5</v>
      </c>
      <c r="G9" s="5">
        <v>45916</v>
      </c>
      <c r="H9" s="5">
        <f t="shared" si="1"/>
        <v>45916</v>
      </c>
      <c r="I9" s="17">
        <v>2910</v>
      </c>
      <c r="J9" s="6" t="s">
        <v>15</v>
      </c>
      <c r="K9" s="15">
        <f t="shared" si="2"/>
        <v>2910</v>
      </c>
      <c r="L9" s="6" t="s">
        <v>6</v>
      </c>
      <c r="M9" s="24">
        <v>174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31</v>
      </c>
      <c r="E10" s="3">
        <v>2166309954</v>
      </c>
      <c r="F10" s="4">
        <f t="shared" si="0"/>
        <v>4</v>
      </c>
      <c r="G10" s="5">
        <v>45919</v>
      </c>
      <c r="H10" s="5">
        <f t="shared" si="1"/>
        <v>45919</v>
      </c>
      <c r="I10" s="16">
        <v>3680</v>
      </c>
      <c r="J10" s="25" t="s">
        <v>15</v>
      </c>
      <c r="K10" s="15">
        <f t="shared" si="2"/>
        <v>3680</v>
      </c>
      <c r="L10" s="25" t="s">
        <v>6</v>
      </c>
      <c r="M10" s="24">
        <v>176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26</v>
      </c>
      <c r="E11" s="7">
        <v>2171575622</v>
      </c>
      <c r="F11" s="4">
        <f t="shared" si="0"/>
        <v>6</v>
      </c>
      <c r="G11" s="5">
        <v>45924</v>
      </c>
      <c r="H11" s="5">
        <f t="shared" si="1"/>
        <v>45924</v>
      </c>
      <c r="I11" s="17">
        <v>2890</v>
      </c>
      <c r="J11" s="8" t="s">
        <v>15</v>
      </c>
      <c r="K11" s="15">
        <f t="shared" si="2"/>
        <v>2890</v>
      </c>
      <c r="L11" s="9" t="s">
        <v>6</v>
      </c>
      <c r="M11" s="24">
        <v>180</v>
      </c>
      <c r="N11" s="24"/>
    </row>
    <row r="12" spans="1:15" ht="18.75" customHeight="1">
      <c r="A12" s="11">
        <v>9</v>
      </c>
      <c r="B12" s="2" t="s">
        <v>12</v>
      </c>
      <c r="C12" s="3"/>
      <c r="D12" s="64" t="s">
        <v>31</v>
      </c>
      <c r="E12" s="3">
        <v>2166309955</v>
      </c>
      <c r="F12" s="4">
        <f t="shared" si="0"/>
        <v>5</v>
      </c>
      <c r="G12" s="5">
        <v>45926</v>
      </c>
      <c r="H12" s="5">
        <f t="shared" si="1"/>
        <v>45926</v>
      </c>
      <c r="I12" s="17">
        <v>3760</v>
      </c>
      <c r="J12" s="6" t="s">
        <v>15</v>
      </c>
      <c r="K12" s="15">
        <f t="shared" si="2"/>
        <v>3760</v>
      </c>
      <c r="L12" s="6" t="s">
        <v>6</v>
      </c>
      <c r="M12" s="24">
        <v>184</v>
      </c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15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29800</v>
      </c>
      <c r="J44" s="10" t="s">
        <v>17</v>
      </c>
      <c r="K44" s="20">
        <f>SUM(K4:K43)</f>
        <v>29800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29800</v>
      </c>
      <c r="J88" s="10" t="s">
        <v>17</v>
      </c>
      <c r="K88" s="20">
        <f>SUM(K48:K87)+K44</f>
        <v>29800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ED3C47C6-D74A-4477-84DA-61B4A0CD3CAB}"/>
    <dataValidation imeMode="disabled" allowBlank="1" showInputMessage="1" showErrorMessage="1" sqref="E48:E87 E4:E43 G4:N43 G48:N87" xr:uid="{A524C46B-597A-4D7D-98BC-E5B3F40B4147}"/>
    <dataValidation type="list" imeMode="on" allowBlank="1" showInputMessage="1" showErrorMessage="1" promptTitle="こんにちは" sqref="D4:D43 D53:D87 D48:D51" xr:uid="{952027E9-8C4E-4755-8573-1000AEFF557E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A663-4AAA-4D64-9CCA-66F7BFD3268A}">
  <dimension ref="A1:O88"/>
  <sheetViews>
    <sheetView workbookViewId="0">
      <selection activeCell="M12" sqref="M12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31</v>
      </c>
      <c r="E4" s="3">
        <v>2166309956</v>
      </c>
      <c r="F4" s="4">
        <f t="shared" ref="F4:F43" si="0">IF(E4="","",E4-7*INT(E4/7))</f>
        <v>6</v>
      </c>
      <c r="G4" s="5">
        <v>45933</v>
      </c>
      <c r="H4" s="5">
        <f t="shared" ref="H4:H43" si="1">IF(G4="","",G4)</f>
        <v>45933</v>
      </c>
      <c r="I4" s="14">
        <v>3590</v>
      </c>
      <c r="J4" s="6" t="s">
        <v>15</v>
      </c>
      <c r="K4" s="15">
        <f t="shared" ref="K4:K43" si="2">IF(I4&gt;0,I4,"")</f>
        <v>3590</v>
      </c>
      <c r="L4" s="6" t="s">
        <v>6</v>
      </c>
      <c r="M4" s="24">
        <v>196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2166309958</v>
      </c>
      <c r="F5" s="4">
        <f t="shared" si="0"/>
        <v>1</v>
      </c>
      <c r="G5" s="5">
        <v>45940</v>
      </c>
      <c r="H5" s="5">
        <f t="shared" si="1"/>
        <v>45940</v>
      </c>
      <c r="I5" s="16">
        <v>3420</v>
      </c>
      <c r="J5" s="8" t="s">
        <v>15</v>
      </c>
      <c r="K5" s="15">
        <f t="shared" si="2"/>
        <v>3420</v>
      </c>
      <c r="L5" s="9" t="s">
        <v>6</v>
      </c>
      <c r="M5" s="24">
        <v>210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26</v>
      </c>
      <c r="E6" s="3">
        <v>2171575623</v>
      </c>
      <c r="F6" s="4">
        <f t="shared" si="0"/>
        <v>0</v>
      </c>
      <c r="G6" s="5">
        <v>45944</v>
      </c>
      <c r="H6" s="5">
        <f t="shared" si="1"/>
        <v>45944</v>
      </c>
      <c r="I6" s="17">
        <v>3070</v>
      </c>
      <c r="J6" s="6" t="s">
        <v>15</v>
      </c>
      <c r="K6" s="15">
        <f t="shared" si="2"/>
        <v>3070</v>
      </c>
      <c r="L6" s="6" t="s">
        <v>6</v>
      </c>
      <c r="M6" s="24">
        <v>215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31</v>
      </c>
      <c r="E7" s="3">
        <v>2166309936</v>
      </c>
      <c r="F7" s="4">
        <f t="shared" si="0"/>
        <v>0</v>
      </c>
      <c r="G7" s="5">
        <v>45947</v>
      </c>
      <c r="H7" s="5">
        <f t="shared" si="1"/>
        <v>45947</v>
      </c>
      <c r="I7" s="16">
        <v>3380</v>
      </c>
      <c r="J7" s="8" t="s">
        <v>15</v>
      </c>
      <c r="K7" s="15">
        <f t="shared" si="2"/>
        <v>3380</v>
      </c>
      <c r="L7" s="9" t="s">
        <v>6</v>
      </c>
      <c r="M7" s="24">
        <v>221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26</v>
      </c>
      <c r="E8" s="7">
        <v>2171575624</v>
      </c>
      <c r="F8" s="4">
        <f t="shared" si="0"/>
        <v>1</v>
      </c>
      <c r="G8" s="5">
        <v>45950</v>
      </c>
      <c r="H8" s="5">
        <f t="shared" si="1"/>
        <v>45950</v>
      </c>
      <c r="I8" s="17">
        <v>2850</v>
      </c>
      <c r="J8" s="6" t="s">
        <v>15</v>
      </c>
      <c r="K8" s="15">
        <f t="shared" si="2"/>
        <v>2850</v>
      </c>
      <c r="L8" s="6" t="s">
        <v>6</v>
      </c>
      <c r="M8" s="24">
        <v>226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31</v>
      </c>
      <c r="E9" s="3">
        <v>2166309937</v>
      </c>
      <c r="F9" s="4">
        <f t="shared" si="0"/>
        <v>1</v>
      </c>
      <c r="G9" s="5">
        <v>45954</v>
      </c>
      <c r="H9" s="5">
        <f t="shared" si="1"/>
        <v>45954</v>
      </c>
      <c r="I9" s="17">
        <v>4370</v>
      </c>
      <c r="J9" s="6" t="s">
        <v>15</v>
      </c>
      <c r="K9" s="15">
        <f t="shared" si="2"/>
        <v>4370</v>
      </c>
      <c r="L9" s="6" t="s">
        <v>6</v>
      </c>
      <c r="M9" s="24">
        <v>232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31</v>
      </c>
      <c r="E10" s="3">
        <v>2166309929</v>
      </c>
      <c r="F10" s="4">
        <f t="shared" si="0"/>
        <v>0</v>
      </c>
      <c r="G10" s="5">
        <v>45961</v>
      </c>
      <c r="H10" s="5">
        <f t="shared" si="1"/>
        <v>45961</v>
      </c>
      <c r="I10" s="16">
        <v>3090</v>
      </c>
      <c r="J10" s="25" t="s">
        <v>15</v>
      </c>
      <c r="K10" s="15">
        <f t="shared" si="2"/>
        <v>3090</v>
      </c>
      <c r="L10" s="25" t="s">
        <v>6</v>
      </c>
      <c r="M10" s="24">
        <v>242</v>
      </c>
      <c r="N10" s="24"/>
    </row>
    <row r="11" spans="1:15" ht="18.75" customHeight="1">
      <c r="A11" s="11">
        <v>8</v>
      </c>
      <c r="B11" s="2" t="s">
        <v>12</v>
      </c>
      <c r="C11" s="3"/>
      <c r="D11" s="64"/>
      <c r="E11" s="7"/>
      <c r="F11" s="4" t="str">
        <f t="shared" si="0"/>
        <v/>
      </c>
      <c r="G11" s="5"/>
      <c r="H11" s="5" t="str">
        <f t="shared" si="1"/>
        <v/>
      </c>
      <c r="I11" s="17"/>
      <c r="J11" s="8" t="s">
        <v>15</v>
      </c>
      <c r="K11" s="15" t="str">
        <f t="shared" si="2"/>
        <v/>
      </c>
      <c r="L11" s="9" t="s">
        <v>6</v>
      </c>
      <c r="M11" s="24"/>
      <c r="N11" s="24"/>
    </row>
    <row r="12" spans="1:15" ht="18.75" customHeight="1">
      <c r="A12" s="11">
        <v>9</v>
      </c>
      <c r="B12" s="2"/>
      <c r="C12" s="3"/>
      <c r="D12" s="64"/>
      <c r="E12" s="3"/>
      <c r="F12" s="4" t="str">
        <f t="shared" si="0"/>
        <v/>
      </c>
      <c r="G12" s="5"/>
      <c r="H12" s="5" t="str">
        <f t="shared" si="1"/>
        <v/>
      </c>
      <c r="I12" s="17"/>
      <c r="J12" s="6" t="s">
        <v>15</v>
      </c>
      <c r="K12" s="15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15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23770</v>
      </c>
      <c r="J44" s="10" t="s">
        <v>17</v>
      </c>
      <c r="K44" s="20">
        <f>SUM(K4:K43)</f>
        <v>23770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23770</v>
      </c>
      <c r="J88" s="10" t="s">
        <v>17</v>
      </c>
      <c r="K88" s="20">
        <f>SUM(K48:K87)+K44</f>
        <v>23770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8D47D215-1D8A-425A-873F-727842B5AF1D}"/>
    <dataValidation imeMode="disabled" allowBlank="1" showInputMessage="1" showErrorMessage="1" sqref="E48:E87 E4:E43 G4:N43 G48:N87" xr:uid="{25E44AB0-F7AC-41E6-A909-AF1C1EFE79D1}"/>
    <dataValidation type="list" imeMode="on" allowBlank="1" showInputMessage="1" showErrorMessage="1" promptTitle="こんにちは" sqref="D4:D43 D53:D87 D48:D51" xr:uid="{454ADC0E-8371-45B7-B4F8-B4D78C5692F9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19685039370078741" header="0.51181102362204722" footer="0.51181102362204722"/>
  <pageSetup paperSize="9" orientation="portrait" horizontalDpi="4294967293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134D-AFF5-4AA5-9B79-62670029F382}">
  <dimension ref="A1:O88"/>
  <sheetViews>
    <sheetView workbookViewId="0">
      <selection activeCell="M11" sqref="M11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31</v>
      </c>
      <c r="E4" s="3">
        <v>2166309930</v>
      </c>
      <c r="F4" s="4">
        <f t="shared" ref="F4:F43" si="0">IF(E4="","",E4-7*INT(E4/7))</f>
        <v>1</v>
      </c>
      <c r="G4" s="5">
        <v>45968</v>
      </c>
      <c r="H4" s="5">
        <f t="shared" ref="H4:H43" si="1">IF(G4="","",G4)</f>
        <v>45968</v>
      </c>
      <c r="I4" s="14">
        <v>4250</v>
      </c>
      <c r="J4" s="6" t="s">
        <v>15</v>
      </c>
      <c r="K4" s="15">
        <f t="shared" ref="K4:K43" si="2">IF(I4&gt;0,I4,"")</f>
        <v>4250</v>
      </c>
      <c r="L4" s="6" t="s">
        <v>6</v>
      </c>
      <c r="M4" s="24">
        <v>249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26</v>
      </c>
      <c r="E5" s="7">
        <v>2171575625</v>
      </c>
      <c r="F5" s="4">
        <f t="shared" si="0"/>
        <v>2</v>
      </c>
      <c r="G5" s="5">
        <v>45971</v>
      </c>
      <c r="H5" s="5">
        <f t="shared" si="1"/>
        <v>45971</v>
      </c>
      <c r="I5" s="16">
        <v>2990</v>
      </c>
      <c r="J5" s="8" t="s">
        <v>15</v>
      </c>
      <c r="K5" s="15">
        <f t="shared" si="2"/>
        <v>2990</v>
      </c>
      <c r="L5" s="9" t="s">
        <v>6</v>
      </c>
      <c r="M5" s="24">
        <v>252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31</v>
      </c>
      <c r="E6" s="3">
        <v>2166309932</v>
      </c>
      <c r="F6" s="4">
        <f t="shared" si="0"/>
        <v>3</v>
      </c>
      <c r="G6" s="5">
        <v>45975</v>
      </c>
      <c r="H6" s="5">
        <f t="shared" si="1"/>
        <v>45975</v>
      </c>
      <c r="I6" s="17">
        <v>2910</v>
      </c>
      <c r="J6" s="6" t="s">
        <v>15</v>
      </c>
      <c r="K6" s="15">
        <f t="shared" si="2"/>
        <v>2910</v>
      </c>
      <c r="L6" s="6" t="s">
        <v>6</v>
      </c>
      <c r="M6" s="24">
        <v>259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26</v>
      </c>
      <c r="E7" s="3">
        <v>2171575626</v>
      </c>
      <c r="F7" s="4">
        <f t="shared" si="0"/>
        <v>3</v>
      </c>
      <c r="G7" s="5">
        <v>45979</v>
      </c>
      <c r="H7" s="5">
        <f t="shared" si="1"/>
        <v>45979</v>
      </c>
      <c r="I7" s="16">
        <v>2880</v>
      </c>
      <c r="J7" s="8" t="s">
        <v>15</v>
      </c>
      <c r="K7" s="15">
        <f t="shared" si="2"/>
        <v>2880</v>
      </c>
      <c r="L7" s="9" t="s">
        <v>6</v>
      </c>
      <c r="M7" s="24">
        <v>263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31</v>
      </c>
      <c r="E8" s="7">
        <v>2166309928</v>
      </c>
      <c r="F8" s="4">
        <f t="shared" si="0"/>
        <v>6</v>
      </c>
      <c r="G8" s="5">
        <v>45982</v>
      </c>
      <c r="H8" s="5">
        <f t="shared" si="1"/>
        <v>45982</v>
      </c>
      <c r="I8" s="17">
        <v>3660</v>
      </c>
      <c r="J8" s="6" t="s">
        <v>15</v>
      </c>
      <c r="K8" s="15">
        <f t="shared" si="2"/>
        <v>3660</v>
      </c>
      <c r="L8" s="6" t="s">
        <v>6</v>
      </c>
      <c r="M8" s="24">
        <v>268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31</v>
      </c>
      <c r="E9" s="3">
        <v>2166309957</v>
      </c>
      <c r="F9" s="4">
        <f t="shared" si="0"/>
        <v>0</v>
      </c>
      <c r="G9" s="5">
        <v>45989</v>
      </c>
      <c r="H9" s="5">
        <f t="shared" si="1"/>
        <v>45989</v>
      </c>
      <c r="I9" s="17">
        <v>2440</v>
      </c>
      <c r="J9" s="6" t="s">
        <v>15</v>
      </c>
      <c r="K9" s="15">
        <f t="shared" si="2"/>
        <v>2440</v>
      </c>
      <c r="L9" s="6" t="s">
        <v>6</v>
      </c>
      <c r="M9" s="24">
        <v>275</v>
      </c>
      <c r="N9" s="24"/>
    </row>
    <row r="10" spans="1:15" ht="18.75" customHeight="1">
      <c r="A10" s="11">
        <v>7</v>
      </c>
      <c r="B10" s="2" t="s">
        <v>12</v>
      </c>
      <c r="C10" s="3"/>
      <c r="D10" s="64"/>
      <c r="E10" s="3"/>
      <c r="F10" s="4" t="str">
        <f t="shared" si="0"/>
        <v/>
      </c>
      <c r="G10" s="5"/>
      <c r="H10" s="5" t="str">
        <f t="shared" si="1"/>
        <v/>
      </c>
      <c r="I10" s="16"/>
      <c r="J10" s="25" t="s">
        <v>15</v>
      </c>
      <c r="K10" s="15" t="str">
        <f t="shared" si="2"/>
        <v/>
      </c>
      <c r="L10" s="25" t="s">
        <v>6</v>
      </c>
      <c r="M10" s="24"/>
      <c r="N10" s="24"/>
    </row>
    <row r="11" spans="1:15" ht="18.75" customHeight="1">
      <c r="A11" s="11">
        <v>8</v>
      </c>
      <c r="B11" s="2" t="s">
        <v>12</v>
      </c>
      <c r="C11" s="3"/>
      <c r="D11" s="64"/>
      <c r="E11" s="7"/>
      <c r="F11" s="4" t="str">
        <f t="shared" si="0"/>
        <v/>
      </c>
      <c r="G11" s="5"/>
      <c r="H11" s="5" t="str">
        <f t="shared" si="1"/>
        <v/>
      </c>
      <c r="I11" s="17"/>
      <c r="J11" s="8" t="s">
        <v>15</v>
      </c>
      <c r="K11" s="15" t="str">
        <f t="shared" si="2"/>
        <v/>
      </c>
      <c r="L11" s="9" t="s">
        <v>6</v>
      </c>
      <c r="M11" s="24"/>
      <c r="N11" s="24"/>
    </row>
    <row r="12" spans="1:15" ht="18.75" customHeight="1">
      <c r="A12" s="11">
        <v>9</v>
      </c>
      <c r="B12" s="2"/>
      <c r="C12" s="3"/>
      <c r="D12" s="64"/>
      <c r="E12" s="3"/>
      <c r="F12" s="4" t="str">
        <f t="shared" si="0"/>
        <v/>
      </c>
      <c r="G12" s="5"/>
      <c r="H12" s="5" t="str">
        <f t="shared" si="1"/>
        <v/>
      </c>
      <c r="I12" s="17"/>
      <c r="J12" s="6" t="s">
        <v>15</v>
      </c>
      <c r="K12" s="15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15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19130</v>
      </c>
      <c r="J44" s="10" t="s">
        <v>17</v>
      </c>
      <c r="K44" s="20">
        <f>SUM(K4:K43)</f>
        <v>19130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19130</v>
      </c>
      <c r="J88" s="10" t="s">
        <v>17</v>
      </c>
      <c r="K88" s="20">
        <f>SUM(K48:K87)+K44</f>
        <v>19130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43FB75E4-273E-40C4-9A72-A995EBB78B18}"/>
    <dataValidation imeMode="disabled" allowBlank="1" showInputMessage="1" showErrorMessage="1" sqref="E48:E87 E4:E43 G4:N43 G48:N87" xr:uid="{E5FBD3D1-4B89-4CA6-8872-9EA938ECD13F}"/>
    <dataValidation type="list" imeMode="on" allowBlank="1" showInputMessage="1" showErrorMessage="1" promptTitle="こんにちは" sqref="D4:D43 D53:D87 D48:D51" xr:uid="{324C27A7-42EE-4D04-859D-665FF917A72C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53DD-242F-4D37-88FD-F9269A17B967}">
  <dimension ref="A1:O88"/>
  <sheetViews>
    <sheetView topLeftCell="A4" workbookViewId="0">
      <selection activeCell="O14" sqref="O14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2171575627</v>
      </c>
      <c r="F4" s="4">
        <f t="shared" ref="F4:F43" si="0">IF(E4="","",E4-7*INT(E4/7))</f>
        <v>4</v>
      </c>
      <c r="G4" s="5">
        <v>45993</v>
      </c>
      <c r="H4" s="5">
        <f t="shared" ref="H4:H43" si="1">IF(G4="","",G4)</f>
        <v>45993</v>
      </c>
      <c r="I4" s="14">
        <v>2860</v>
      </c>
      <c r="J4" s="6" t="s">
        <v>15</v>
      </c>
      <c r="K4" s="15">
        <f t="shared" ref="K4:K43" si="2">IF(I4&gt;0,I4,"")</f>
        <v>2860</v>
      </c>
      <c r="L4" s="6" t="s">
        <v>6</v>
      </c>
      <c r="M4" s="24">
        <v>279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2166309926</v>
      </c>
      <c r="F5" s="4">
        <f t="shared" si="0"/>
        <v>4</v>
      </c>
      <c r="G5" s="5">
        <v>45996</v>
      </c>
      <c r="H5" s="5">
        <f t="shared" si="1"/>
        <v>45996</v>
      </c>
      <c r="I5" s="16">
        <v>2600</v>
      </c>
      <c r="J5" s="8" t="s">
        <v>15</v>
      </c>
      <c r="K5" s="15">
        <f t="shared" si="2"/>
        <v>2600</v>
      </c>
      <c r="L5" s="9" t="s">
        <v>6</v>
      </c>
      <c r="M5" s="24">
        <v>281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31</v>
      </c>
      <c r="E6" s="3">
        <v>2166309925</v>
      </c>
      <c r="F6" s="4">
        <f t="shared" si="0"/>
        <v>3</v>
      </c>
      <c r="G6" s="5">
        <v>46003</v>
      </c>
      <c r="H6" s="5">
        <f t="shared" si="1"/>
        <v>46003</v>
      </c>
      <c r="I6" s="17">
        <v>2620</v>
      </c>
      <c r="J6" s="6" t="s">
        <v>15</v>
      </c>
      <c r="K6" s="15">
        <f t="shared" si="2"/>
        <v>2620</v>
      </c>
      <c r="L6" s="6" t="s">
        <v>6</v>
      </c>
      <c r="M6" s="24">
        <v>283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31</v>
      </c>
      <c r="E7" s="3">
        <v>2166309921</v>
      </c>
      <c r="F7" s="4">
        <f t="shared" si="0"/>
        <v>6</v>
      </c>
      <c r="G7" s="5">
        <v>46010</v>
      </c>
      <c r="H7" s="5">
        <f t="shared" si="1"/>
        <v>46010</v>
      </c>
      <c r="I7" s="16">
        <v>2670</v>
      </c>
      <c r="J7" s="8" t="s">
        <v>15</v>
      </c>
      <c r="K7" s="15">
        <f t="shared" si="2"/>
        <v>2670</v>
      </c>
      <c r="L7" s="9" t="s">
        <v>6</v>
      </c>
      <c r="M7" s="24">
        <v>284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26</v>
      </c>
      <c r="E8" s="7">
        <v>2171575628</v>
      </c>
      <c r="F8" s="4">
        <f t="shared" si="0"/>
        <v>5</v>
      </c>
      <c r="G8" s="5">
        <v>46013</v>
      </c>
      <c r="H8" s="5">
        <f t="shared" si="1"/>
        <v>46013</v>
      </c>
      <c r="I8" s="17">
        <v>2910</v>
      </c>
      <c r="J8" s="6" t="s">
        <v>15</v>
      </c>
      <c r="K8" s="15">
        <f t="shared" si="2"/>
        <v>2910</v>
      </c>
      <c r="L8" s="6" t="s">
        <v>6</v>
      </c>
      <c r="M8" s="24">
        <v>286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31</v>
      </c>
      <c r="E9" s="3">
        <v>2166309923</v>
      </c>
      <c r="F9" s="4">
        <f t="shared" si="0"/>
        <v>1</v>
      </c>
      <c r="G9" s="5">
        <v>46015</v>
      </c>
      <c r="H9" s="5">
        <f t="shared" si="1"/>
        <v>46015</v>
      </c>
      <c r="I9" s="17">
        <v>2620</v>
      </c>
      <c r="J9" s="6" t="s">
        <v>15</v>
      </c>
      <c r="K9" s="15">
        <f t="shared" si="2"/>
        <v>2620</v>
      </c>
      <c r="L9" s="6" t="s">
        <v>6</v>
      </c>
      <c r="M9" s="24">
        <v>288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26</v>
      </c>
      <c r="E10" s="3">
        <v>2171575629</v>
      </c>
      <c r="F10" s="4">
        <f t="shared" si="0"/>
        <v>6</v>
      </c>
      <c r="G10" s="5">
        <v>46016</v>
      </c>
      <c r="H10" s="5">
        <f t="shared" si="1"/>
        <v>46016</v>
      </c>
      <c r="I10" s="16">
        <v>2870</v>
      </c>
      <c r="J10" s="25" t="s">
        <v>15</v>
      </c>
      <c r="K10" s="15">
        <f t="shared" si="2"/>
        <v>2870</v>
      </c>
      <c r="L10" s="25" t="s">
        <v>6</v>
      </c>
      <c r="M10" s="24">
        <v>290</v>
      </c>
      <c r="N10" s="24"/>
    </row>
    <row r="11" spans="1:15" ht="18.75" customHeight="1">
      <c r="A11" s="11">
        <v>8</v>
      </c>
      <c r="B11" s="2" t="s">
        <v>12</v>
      </c>
      <c r="C11" s="3"/>
      <c r="D11" s="64"/>
      <c r="E11" s="7"/>
      <c r="F11" s="4" t="str">
        <f t="shared" si="0"/>
        <v/>
      </c>
      <c r="G11" s="5"/>
      <c r="H11" s="5" t="str">
        <f t="shared" si="1"/>
        <v/>
      </c>
      <c r="I11" s="17"/>
      <c r="J11" s="8" t="s">
        <v>15</v>
      </c>
      <c r="K11" s="15" t="str">
        <f t="shared" si="2"/>
        <v/>
      </c>
      <c r="L11" s="9" t="s">
        <v>6</v>
      </c>
      <c r="M11" s="24"/>
      <c r="N11" s="24"/>
    </row>
    <row r="12" spans="1:15" ht="18.75" customHeight="1">
      <c r="A12" s="11">
        <v>9</v>
      </c>
      <c r="B12" s="2"/>
      <c r="C12" s="3"/>
      <c r="D12" s="64"/>
      <c r="E12" s="3"/>
      <c r="F12" s="4" t="str">
        <f t="shared" si="0"/>
        <v/>
      </c>
      <c r="G12" s="5"/>
      <c r="H12" s="5" t="str">
        <f t="shared" si="1"/>
        <v/>
      </c>
      <c r="I12" s="17"/>
      <c r="J12" s="6" t="s">
        <v>15</v>
      </c>
      <c r="K12" s="15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15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19150</v>
      </c>
      <c r="J44" s="10" t="s">
        <v>17</v>
      </c>
      <c r="K44" s="20">
        <f>SUM(K4:K43)</f>
        <v>19150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19150</v>
      </c>
      <c r="J88" s="10" t="s">
        <v>17</v>
      </c>
      <c r="K88" s="20">
        <f>SUM(K48:K87)+K44</f>
        <v>19150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DBE6F757-49D4-4BD4-AF63-8C92D2BD6366}"/>
    <dataValidation imeMode="disabled" allowBlank="1" showInputMessage="1" showErrorMessage="1" sqref="E48:E87 E4:E43 G4:N43 G48:N87" xr:uid="{0C89A118-E933-47BE-A0FF-DB721850E41B}"/>
    <dataValidation type="list" imeMode="on" allowBlank="1" showInputMessage="1" showErrorMessage="1" promptTitle="こんにちは" sqref="D4:D43 D53:D87 D48:D51" xr:uid="{8516FC68-755A-4D47-8008-9B2A5F2D7EAC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5540-2B05-4FC0-B079-9BA953D85CA1}">
  <dimension ref="A1:O88"/>
  <sheetViews>
    <sheetView workbookViewId="0">
      <selection activeCell="G11" sqref="G11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2171575630</v>
      </c>
      <c r="F4" s="4">
        <f t="shared" ref="F4:F43" si="0">IF(E4="","",E4-7*INT(E4/7))</f>
        <v>0</v>
      </c>
      <c r="G4" s="5">
        <v>46030</v>
      </c>
      <c r="H4" s="5">
        <f t="shared" ref="H4:H43" si="1">IF(G4="","",G4)</f>
        <v>46030</v>
      </c>
      <c r="I4" s="14">
        <v>2870</v>
      </c>
      <c r="J4" s="6" t="s">
        <v>15</v>
      </c>
      <c r="K4" s="15">
        <f t="shared" ref="K4:K43" si="2">IF(I4&gt;0,I4,"")</f>
        <v>2870</v>
      </c>
      <c r="L4" s="6" t="s">
        <v>6</v>
      </c>
      <c r="M4" s="24">
        <v>292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2166309920</v>
      </c>
      <c r="F5" s="4">
        <f t="shared" si="0"/>
        <v>5</v>
      </c>
      <c r="G5" s="5">
        <v>46031</v>
      </c>
      <c r="H5" s="5">
        <f t="shared" si="1"/>
        <v>46031</v>
      </c>
      <c r="I5" s="16">
        <v>4920</v>
      </c>
      <c r="J5" s="8" t="s">
        <v>15</v>
      </c>
      <c r="K5" s="15">
        <f t="shared" si="2"/>
        <v>4920</v>
      </c>
      <c r="L5" s="9" t="s">
        <v>6</v>
      </c>
      <c r="M5" s="24">
        <v>293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31</v>
      </c>
      <c r="E6" s="3">
        <v>2166309919</v>
      </c>
      <c r="F6" s="4">
        <f t="shared" si="0"/>
        <v>4</v>
      </c>
      <c r="G6" s="5">
        <v>46038</v>
      </c>
      <c r="H6" s="5">
        <f t="shared" si="1"/>
        <v>46038</v>
      </c>
      <c r="I6" s="17">
        <v>3710</v>
      </c>
      <c r="J6" s="6" t="s">
        <v>15</v>
      </c>
      <c r="K6" s="15">
        <f t="shared" si="2"/>
        <v>3710</v>
      </c>
      <c r="L6" s="6" t="s">
        <v>6</v>
      </c>
      <c r="M6" s="24">
        <v>295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26</v>
      </c>
      <c r="E7" s="3">
        <v>2171575640</v>
      </c>
      <c r="F7" s="4">
        <f t="shared" si="0"/>
        <v>3</v>
      </c>
      <c r="G7" s="5">
        <v>46041</v>
      </c>
      <c r="H7" s="5">
        <f t="shared" si="1"/>
        <v>46041</v>
      </c>
      <c r="I7" s="16">
        <v>2900</v>
      </c>
      <c r="J7" s="8" t="s">
        <v>15</v>
      </c>
      <c r="K7" s="15">
        <f t="shared" si="2"/>
        <v>2900</v>
      </c>
      <c r="L7" s="9" t="s">
        <v>6</v>
      </c>
      <c r="M7" s="24">
        <v>296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26</v>
      </c>
      <c r="E8" s="7">
        <v>2171575639</v>
      </c>
      <c r="F8" s="4">
        <f t="shared" si="0"/>
        <v>2</v>
      </c>
      <c r="G8" s="5">
        <v>46042</v>
      </c>
      <c r="H8" s="5">
        <f t="shared" si="1"/>
        <v>46042</v>
      </c>
      <c r="I8" s="17">
        <v>2900</v>
      </c>
      <c r="J8" s="6" t="s">
        <v>15</v>
      </c>
      <c r="K8" s="15">
        <f t="shared" si="2"/>
        <v>2900</v>
      </c>
      <c r="L8" s="6" t="s">
        <v>6</v>
      </c>
      <c r="M8" s="24">
        <v>297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31</v>
      </c>
      <c r="E9" s="3">
        <v>2166309918</v>
      </c>
      <c r="F9" s="4">
        <f t="shared" si="0"/>
        <v>3</v>
      </c>
      <c r="G9" s="5">
        <v>46045</v>
      </c>
      <c r="H9" s="5">
        <f t="shared" si="1"/>
        <v>46045</v>
      </c>
      <c r="I9" s="17">
        <v>2690</v>
      </c>
      <c r="J9" s="6" t="s">
        <v>15</v>
      </c>
      <c r="K9" s="15">
        <f t="shared" si="2"/>
        <v>2690</v>
      </c>
      <c r="L9" s="6" t="s">
        <v>6</v>
      </c>
      <c r="M9" s="24">
        <v>298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26</v>
      </c>
      <c r="E10" s="3">
        <v>2171575631</v>
      </c>
      <c r="F10" s="4">
        <f t="shared" si="0"/>
        <v>1</v>
      </c>
      <c r="G10" s="5">
        <v>46048</v>
      </c>
      <c r="H10" s="5">
        <f t="shared" si="1"/>
        <v>46048</v>
      </c>
      <c r="I10" s="16">
        <v>2870</v>
      </c>
      <c r="J10" s="25" t="s">
        <v>15</v>
      </c>
      <c r="K10" s="15">
        <f t="shared" si="2"/>
        <v>2870</v>
      </c>
      <c r="L10" s="25" t="s">
        <v>6</v>
      </c>
      <c r="M10" s="24">
        <v>299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31</v>
      </c>
      <c r="E11" s="7">
        <v>2175454251</v>
      </c>
      <c r="F11" s="4">
        <f t="shared" si="0"/>
        <v>5</v>
      </c>
      <c r="G11" s="5">
        <v>46052</v>
      </c>
      <c r="H11" s="5">
        <f t="shared" si="1"/>
        <v>46052</v>
      </c>
      <c r="I11" s="17">
        <v>3810</v>
      </c>
      <c r="J11" s="8" t="s">
        <v>15</v>
      </c>
      <c r="K11" s="15">
        <f t="shared" si="2"/>
        <v>3810</v>
      </c>
      <c r="L11" s="9" t="s">
        <v>6</v>
      </c>
      <c r="M11" s="24">
        <v>301</v>
      </c>
      <c r="N11" s="24"/>
    </row>
    <row r="12" spans="1:15" ht="18.75" customHeight="1">
      <c r="A12" s="11">
        <v>9</v>
      </c>
      <c r="B12" s="2"/>
      <c r="C12" s="3"/>
      <c r="D12" s="64"/>
      <c r="E12" s="3"/>
      <c r="F12" s="4" t="str">
        <f t="shared" si="0"/>
        <v/>
      </c>
      <c r="G12" s="5"/>
      <c r="H12" s="5" t="str">
        <f t="shared" si="1"/>
        <v/>
      </c>
      <c r="I12" s="17"/>
      <c r="J12" s="6" t="s">
        <v>15</v>
      </c>
      <c r="K12" s="15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15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26670</v>
      </c>
      <c r="J44" s="10" t="s">
        <v>17</v>
      </c>
      <c r="K44" s="20">
        <f>SUM(K4:K43)</f>
        <v>26670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26670</v>
      </c>
      <c r="J88" s="10" t="s">
        <v>17</v>
      </c>
      <c r="K88" s="20">
        <f>SUM(K48:K87)+K44</f>
        <v>26670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44D3E47F-50BC-4809-AD38-EAD91C2A0370}"/>
    <dataValidation imeMode="disabled" allowBlank="1" showInputMessage="1" showErrorMessage="1" sqref="E48:E87 E4:E43 G4:N43 G48:N87" xr:uid="{592E3D47-7819-41AA-84D9-73D62A2344D2}"/>
    <dataValidation type="list" imeMode="on" allowBlank="1" showInputMessage="1" showErrorMessage="1" promptTitle="こんにちは" sqref="D4:D43 D53:D87 D48:D51" xr:uid="{7E932236-CC82-442C-8BBE-3467DBCA46EF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C8CF-637C-4E2E-ACF6-5B5B89DC3572}">
  <dimension ref="A1:O88"/>
  <sheetViews>
    <sheetView workbookViewId="0">
      <selection activeCell="I14" sqref="I14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2171575633</v>
      </c>
      <c r="F4" s="4">
        <f t="shared" ref="F4:F43" si="0">IF(E4="","",E4-7*INT(E4/7))</f>
        <v>3</v>
      </c>
      <c r="G4" s="5">
        <v>46055</v>
      </c>
      <c r="H4" s="5">
        <f t="shared" ref="H4:H43" si="1">IF(G4="","",G4)</f>
        <v>46055</v>
      </c>
      <c r="I4" s="14">
        <v>2890</v>
      </c>
      <c r="J4" s="6" t="s">
        <v>15</v>
      </c>
      <c r="K4" s="15">
        <f t="shared" ref="K4:K43" si="2">IF(I4&gt;0,I4,"")</f>
        <v>2890</v>
      </c>
      <c r="L4" s="6" t="s">
        <v>6</v>
      </c>
      <c r="M4" s="24">
        <v>302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2175454249</v>
      </c>
      <c r="F5" s="4">
        <f t="shared" si="0"/>
        <v>3</v>
      </c>
      <c r="G5" s="5">
        <v>46058</v>
      </c>
      <c r="H5" s="5">
        <f t="shared" si="1"/>
        <v>46058</v>
      </c>
      <c r="I5" s="16">
        <v>2400</v>
      </c>
      <c r="J5" s="8" t="s">
        <v>15</v>
      </c>
      <c r="K5" s="15">
        <f t="shared" si="2"/>
        <v>2400</v>
      </c>
      <c r="L5" s="9" t="s">
        <v>6</v>
      </c>
      <c r="M5" s="24">
        <v>304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26</v>
      </c>
      <c r="E6" s="3">
        <v>2171575632</v>
      </c>
      <c r="F6" s="4">
        <f t="shared" si="0"/>
        <v>2</v>
      </c>
      <c r="G6" s="5">
        <v>46062</v>
      </c>
      <c r="H6" s="5">
        <f t="shared" si="1"/>
        <v>46062</v>
      </c>
      <c r="I6" s="17">
        <v>2930</v>
      </c>
      <c r="J6" s="6" t="s">
        <v>15</v>
      </c>
      <c r="K6" s="15">
        <f t="shared" si="2"/>
        <v>2930</v>
      </c>
      <c r="L6" s="6" t="s">
        <v>6</v>
      </c>
      <c r="M6" s="24">
        <v>305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31</v>
      </c>
      <c r="E7" s="3">
        <v>2175454247</v>
      </c>
      <c r="F7" s="4">
        <f t="shared" si="0"/>
        <v>1</v>
      </c>
      <c r="G7" s="5">
        <v>46066</v>
      </c>
      <c r="H7" s="5">
        <f t="shared" si="1"/>
        <v>46066</v>
      </c>
      <c r="I7" s="16">
        <v>1340</v>
      </c>
      <c r="J7" s="8" t="s">
        <v>15</v>
      </c>
      <c r="K7" s="15">
        <f t="shared" si="2"/>
        <v>1340</v>
      </c>
      <c r="L7" s="9" t="s">
        <v>6</v>
      </c>
      <c r="M7" s="24">
        <v>306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26</v>
      </c>
      <c r="E8" s="7">
        <v>2171575638</v>
      </c>
      <c r="F8" s="4">
        <f t="shared" si="0"/>
        <v>1</v>
      </c>
      <c r="G8" s="5">
        <v>46069</v>
      </c>
      <c r="H8" s="5">
        <f t="shared" si="1"/>
        <v>46069</v>
      </c>
      <c r="I8" s="17">
        <v>2800</v>
      </c>
      <c r="J8" s="6" t="s">
        <v>15</v>
      </c>
      <c r="K8" s="15">
        <f t="shared" si="2"/>
        <v>2800</v>
      </c>
      <c r="L8" s="6" t="s">
        <v>6</v>
      </c>
      <c r="M8" s="24">
        <v>307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26</v>
      </c>
      <c r="E9" s="3">
        <v>2171575637</v>
      </c>
      <c r="F9" s="4">
        <f t="shared" si="0"/>
        <v>0</v>
      </c>
      <c r="G9" s="5">
        <v>46070</v>
      </c>
      <c r="H9" s="5">
        <f t="shared" si="1"/>
        <v>46070</v>
      </c>
      <c r="I9" s="17">
        <v>2930</v>
      </c>
      <c r="J9" s="6" t="s">
        <v>15</v>
      </c>
      <c r="K9" s="15">
        <f t="shared" si="2"/>
        <v>2930</v>
      </c>
      <c r="L9" s="6" t="s">
        <v>6</v>
      </c>
      <c r="M9" s="24">
        <v>309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31</v>
      </c>
      <c r="E10" s="3">
        <v>2175454248</v>
      </c>
      <c r="F10" s="4">
        <f t="shared" si="0"/>
        <v>2</v>
      </c>
      <c r="G10" s="5">
        <v>46073</v>
      </c>
      <c r="H10" s="5">
        <f t="shared" si="1"/>
        <v>46073</v>
      </c>
      <c r="I10" s="16">
        <v>3860</v>
      </c>
      <c r="J10" s="25" t="s">
        <v>15</v>
      </c>
      <c r="K10" s="15">
        <f t="shared" si="2"/>
        <v>3860</v>
      </c>
      <c r="L10" s="25" t="s">
        <v>6</v>
      </c>
      <c r="M10" s="24">
        <v>310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26</v>
      </c>
      <c r="E11" s="7">
        <v>2171575636</v>
      </c>
      <c r="F11" s="4">
        <f t="shared" si="0"/>
        <v>6</v>
      </c>
      <c r="G11" s="5">
        <v>46077</v>
      </c>
      <c r="H11" s="5">
        <f t="shared" si="1"/>
        <v>46077</v>
      </c>
      <c r="I11" s="17">
        <v>2940</v>
      </c>
      <c r="J11" s="8" t="s">
        <v>15</v>
      </c>
      <c r="K11" s="15">
        <f t="shared" si="2"/>
        <v>2940</v>
      </c>
      <c r="L11" s="9" t="s">
        <v>6</v>
      </c>
      <c r="M11" s="24">
        <v>313</v>
      </c>
      <c r="N11" s="24"/>
    </row>
    <row r="12" spans="1:15" ht="18.75" customHeight="1">
      <c r="A12" s="11">
        <v>9</v>
      </c>
      <c r="B12" s="2" t="s">
        <v>12</v>
      </c>
      <c r="C12" s="3"/>
      <c r="D12" s="64" t="s">
        <v>31</v>
      </c>
      <c r="E12" s="3">
        <v>2175454245</v>
      </c>
      <c r="F12" s="4">
        <f t="shared" si="0"/>
        <v>6</v>
      </c>
      <c r="G12" s="5">
        <v>46080</v>
      </c>
      <c r="H12" s="5">
        <f t="shared" si="1"/>
        <v>46080</v>
      </c>
      <c r="I12" s="17">
        <v>2530</v>
      </c>
      <c r="J12" s="6" t="s">
        <v>15</v>
      </c>
      <c r="K12" s="15">
        <f t="shared" si="2"/>
        <v>2530</v>
      </c>
      <c r="L12" s="6" t="s">
        <v>6</v>
      </c>
      <c r="M12" s="24">
        <v>315</v>
      </c>
      <c r="N12" s="24"/>
    </row>
    <row r="13" spans="1:15" ht="18.75" customHeight="1">
      <c r="A13" s="11">
        <v>10</v>
      </c>
      <c r="B13" s="2"/>
      <c r="C13" s="3"/>
      <c r="D13" s="64"/>
      <c r="E13" s="7"/>
      <c r="F13" s="4" t="str">
        <f t="shared" si="0"/>
        <v/>
      </c>
      <c r="G13" s="5"/>
      <c r="H13" s="5" t="str">
        <f t="shared" si="1"/>
        <v/>
      </c>
      <c r="I13" s="17"/>
      <c r="J13" s="8" t="s">
        <v>15</v>
      </c>
      <c r="K13" s="15" t="str">
        <f t="shared" si="2"/>
        <v/>
      </c>
      <c r="L13" s="9" t="s">
        <v>6</v>
      </c>
      <c r="M13" s="24"/>
      <c r="N13" s="24"/>
      <c r="O13" s="56"/>
    </row>
    <row r="14" spans="1:15" ht="18.75" customHeight="1">
      <c r="A14" s="11">
        <v>11</v>
      </c>
      <c r="B14" s="2"/>
      <c r="C14" s="3"/>
      <c r="D14" s="64"/>
      <c r="E14" s="3"/>
      <c r="F14" s="4" t="str">
        <f t="shared" si="0"/>
        <v/>
      </c>
      <c r="G14" s="5"/>
      <c r="H14" s="5" t="str">
        <f t="shared" si="1"/>
        <v/>
      </c>
      <c r="I14" s="17"/>
      <c r="J14" s="6" t="s">
        <v>15</v>
      </c>
      <c r="K14" s="15" t="str">
        <f t="shared" si="2"/>
        <v/>
      </c>
      <c r="L14" s="6" t="s">
        <v>6</v>
      </c>
      <c r="M14" s="24"/>
      <c r="N14" s="24"/>
    </row>
    <row r="15" spans="1:15" ht="18.75" customHeight="1">
      <c r="A15" s="11">
        <v>12</v>
      </c>
      <c r="B15" s="2"/>
      <c r="C15" s="3"/>
      <c r="D15" s="64"/>
      <c r="E15" s="3"/>
      <c r="F15" s="4" t="str">
        <f t="shared" si="0"/>
        <v/>
      </c>
      <c r="G15" s="5"/>
      <c r="H15" s="5" t="str">
        <f t="shared" si="1"/>
        <v/>
      </c>
      <c r="I15" s="16"/>
      <c r="J15" s="8" t="s">
        <v>15</v>
      </c>
      <c r="K15" s="15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24620</v>
      </c>
      <c r="J44" s="10" t="s">
        <v>17</v>
      </c>
      <c r="K44" s="20">
        <f>SUM(K4:K43)</f>
        <v>24620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24620</v>
      </c>
      <c r="J88" s="10" t="s">
        <v>17</v>
      </c>
      <c r="K88" s="20">
        <f>SUM(K48:K87)+K44</f>
        <v>24620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53FF3B62-2CFA-46E0-B3C5-9C8AFD679CD6}"/>
    <dataValidation imeMode="disabled" allowBlank="1" showInputMessage="1" showErrorMessage="1" sqref="E48:E87 E4:E43 G4:N43 G48:N87" xr:uid="{495909DB-8947-4B81-AB70-72E3D0EAE649}"/>
    <dataValidation type="list" imeMode="on" allowBlank="1" showInputMessage="1" showErrorMessage="1" promptTitle="こんにちは" sqref="D4:D43 D53:D87 D48:D51" xr:uid="{9B0B1046-7F1C-49E9-A9B1-489B6684B33E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D835-336F-4ABE-A1ED-C94F500B4863}">
  <dimension ref="A1:O88"/>
  <sheetViews>
    <sheetView topLeftCell="B7" workbookViewId="0">
      <selection activeCell="S32" sqref="S32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23</v>
      </c>
      <c r="C4" s="3"/>
      <c r="D4" s="69" t="s">
        <v>24</v>
      </c>
      <c r="E4" s="3">
        <v>2168523063</v>
      </c>
      <c r="F4" s="4">
        <f t="shared" ref="F4:F41" si="0">IF(E4="","",E4-INT(E4/7)*7)</f>
        <v>0</v>
      </c>
      <c r="G4" s="5">
        <v>45748</v>
      </c>
      <c r="H4" s="5">
        <f t="shared" ref="H4:H41" si="1">IF(G4="","",G4)</f>
        <v>45748</v>
      </c>
      <c r="I4" s="29">
        <v>200</v>
      </c>
      <c r="J4" s="6" t="s">
        <v>19</v>
      </c>
      <c r="K4" s="63">
        <f t="shared" ref="K4:K41" si="2">IF(I4&gt;0,I4*0.2,"")</f>
        <v>40</v>
      </c>
      <c r="L4" s="6" t="s">
        <v>6</v>
      </c>
      <c r="M4" s="24"/>
      <c r="N4" s="31">
        <v>1</v>
      </c>
    </row>
    <row r="5" spans="1:15" ht="18.75" customHeight="1">
      <c r="A5" s="11">
        <v>2</v>
      </c>
      <c r="B5" s="2" t="s">
        <v>23</v>
      </c>
      <c r="C5" s="3"/>
      <c r="D5" s="69" t="s">
        <v>25</v>
      </c>
      <c r="E5" s="7">
        <v>2585447394</v>
      </c>
      <c r="F5" s="4">
        <f t="shared" si="0"/>
        <v>5</v>
      </c>
      <c r="G5" s="5">
        <v>45748</v>
      </c>
      <c r="H5" s="5">
        <f t="shared" si="1"/>
        <v>45748</v>
      </c>
      <c r="I5" s="32">
        <v>370</v>
      </c>
      <c r="J5" s="33" t="s">
        <v>19</v>
      </c>
      <c r="K5" s="34">
        <f t="shared" si="2"/>
        <v>74</v>
      </c>
      <c r="L5" s="6" t="s">
        <v>6</v>
      </c>
      <c r="M5" s="24">
        <v>389</v>
      </c>
      <c r="N5" s="24"/>
    </row>
    <row r="6" spans="1:15" ht="18.75" customHeight="1">
      <c r="A6" s="11">
        <v>3</v>
      </c>
      <c r="B6" s="2" t="s">
        <v>27</v>
      </c>
      <c r="C6" s="3"/>
      <c r="D6" s="69" t="s">
        <v>28</v>
      </c>
      <c r="E6" s="3">
        <v>2602209157</v>
      </c>
      <c r="F6" s="4">
        <f t="shared" si="0"/>
        <v>2</v>
      </c>
      <c r="G6" s="5">
        <v>45750</v>
      </c>
      <c r="H6" s="5">
        <f t="shared" si="1"/>
        <v>45750</v>
      </c>
      <c r="I6" s="35">
        <v>210</v>
      </c>
      <c r="J6" s="8" t="s">
        <v>19</v>
      </c>
      <c r="K6" s="71">
        <f t="shared" si="2"/>
        <v>42</v>
      </c>
      <c r="L6" s="9" t="s">
        <v>6</v>
      </c>
      <c r="M6" s="37"/>
      <c r="N6" s="24">
        <v>4</v>
      </c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2168523039</v>
      </c>
      <c r="F7" s="4">
        <f t="shared" si="0"/>
        <v>4</v>
      </c>
      <c r="G7" s="5">
        <v>45750</v>
      </c>
      <c r="H7" s="5">
        <f t="shared" si="1"/>
        <v>45750</v>
      </c>
      <c r="I7" s="32">
        <v>210</v>
      </c>
      <c r="J7" s="6" t="s">
        <v>19</v>
      </c>
      <c r="K7" s="63">
        <f t="shared" si="2"/>
        <v>42</v>
      </c>
      <c r="L7" s="6" t="s">
        <v>6</v>
      </c>
      <c r="M7" s="24"/>
      <c r="N7" s="24">
        <v>5</v>
      </c>
    </row>
    <row r="8" spans="1:15" ht="18.75" customHeight="1">
      <c r="A8" s="11">
        <v>5</v>
      </c>
      <c r="B8" s="2" t="s">
        <v>29</v>
      </c>
      <c r="C8" s="3"/>
      <c r="D8" s="69" t="s">
        <v>30</v>
      </c>
      <c r="E8" s="3">
        <v>2168523046</v>
      </c>
      <c r="F8" s="4">
        <f t="shared" si="0"/>
        <v>4</v>
      </c>
      <c r="G8" s="5">
        <v>45751</v>
      </c>
      <c r="H8" s="5">
        <f t="shared" si="1"/>
        <v>45751</v>
      </c>
      <c r="I8" s="32">
        <v>210</v>
      </c>
      <c r="J8" s="6" t="s">
        <v>19</v>
      </c>
      <c r="K8" s="63">
        <f t="shared" si="2"/>
        <v>42</v>
      </c>
      <c r="L8" s="6" t="s">
        <v>6</v>
      </c>
      <c r="M8" s="24"/>
      <c r="N8" s="24">
        <v>6</v>
      </c>
    </row>
    <row r="9" spans="1:15" ht="18.75" customHeight="1">
      <c r="A9" s="11">
        <v>6</v>
      </c>
      <c r="B9" s="2" t="s">
        <v>29</v>
      </c>
      <c r="C9" s="3"/>
      <c r="D9" s="69" t="s">
        <v>30</v>
      </c>
      <c r="E9" s="3">
        <v>2167040782</v>
      </c>
      <c r="F9" s="4">
        <f t="shared" si="0"/>
        <v>4</v>
      </c>
      <c r="G9" s="5">
        <v>45754</v>
      </c>
      <c r="H9" s="5">
        <f t="shared" si="1"/>
        <v>45754</v>
      </c>
      <c r="I9" s="32">
        <v>420</v>
      </c>
      <c r="J9" s="6" t="s">
        <v>19</v>
      </c>
      <c r="K9" s="63">
        <f t="shared" si="2"/>
        <v>84</v>
      </c>
      <c r="L9" s="6" t="s">
        <v>6</v>
      </c>
      <c r="M9" s="24"/>
      <c r="N9" s="24">
        <v>8</v>
      </c>
    </row>
    <row r="10" spans="1:15" ht="18.75" customHeight="1">
      <c r="A10" s="11">
        <v>7</v>
      </c>
      <c r="B10" s="2" t="s">
        <v>29</v>
      </c>
      <c r="C10" s="3"/>
      <c r="D10" s="69" t="s">
        <v>30</v>
      </c>
      <c r="E10" s="3">
        <v>2167040781</v>
      </c>
      <c r="F10" s="4">
        <f t="shared" si="0"/>
        <v>3</v>
      </c>
      <c r="G10" s="5">
        <v>45755</v>
      </c>
      <c r="H10" s="5">
        <f t="shared" si="1"/>
        <v>45755</v>
      </c>
      <c r="I10" s="32">
        <v>220</v>
      </c>
      <c r="J10" s="6" t="s">
        <v>19</v>
      </c>
      <c r="K10" s="63">
        <f t="shared" si="2"/>
        <v>44</v>
      </c>
      <c r="L10" s="6" t="s">
        <v>6</v>
      </c>
      <c r="M10" s="24"/>
      <c r="N10" s="24">
        <v>10</v>
      </c>
    </row>
    <row r="11" spans="1:15" ht="18.75" customHeight="1">
      <c r="A11" s="11">
        <v>8</v>
      </c>
      <c r="B11" s="2" t="s">
        <v>27</v>
      </c>
      <c r="C11" s="3"/>
      <c r="D11" s="72" t="s">
        <v>28</v>
      </c>
      <c r="E11" s="3">
        <v>2602209162</v>
      </c>
      <c r="F11" s="4">
        <f t="shared" si="0"/>
        <v>0</v>
      </c>
      <c r="G11" s="5">
        <v>45757</v>
      </c>
      <c r="H11" s="5">
        <f t="shared" si="1"/>
        <v>45757</v>
      </c>
      <c r="I11" s="38">
        <v>200</v>
      </c>
      <c r="J11" s="8" t="s">
        <v>19</v>
      </c>
      <c r="K11" s="63">
        <f t="shared" si="2"/>
        <v>40</v>
      </c>
      <c r="L11" s="9" t="s">
        <v>6</v>
      </c>
      <c r="M11" s="24"/>
      <c r="N11" s="24">
        <v>11</v>
      </c>
    </row>
    <row r="12" spans="1:15" ht="18.75" customHeight="1">
      <c r="A12" s="11">
        <v>9</v>
      </c>
      <c r="B12" s="2" t="s">
        <v>27</v>
      </c>
      <c r="C12" s="3"/>
      <c r="D12" s="69" t="s">
        <v>32</v>
      </c>
      <c r="E12" s="3">
        <v>2152521900</v>
      </c>
      <c r="F12" s="4">
        <f t="shared" si="0"/>
        <v>4</v>
      </c>
      <c r="G12" s="5">
        <v>45757</v>
      </c>
      <c r="H12" s="5">
        <f t="shared" si="1"/>
        <v>45757</v>
      </c>
      <c r="I12" s="32">
        <v>100</v>
      </c>
      <c r="J12" s="6" t="s">
        <v>19</v>
      </c>
      <c r="K12" s="63">
        <f t="shared" si="2"/>
        <v>20</v>
      </c>
      <c r="L12" s="6" t="s">
        <v>6</v>
      </c>
      <c r="M12" s="24"/>
      <c r="N12" s="24">
        <v>12</v>
      </c>
    </row>
    <row r="13" spans="1:15" ht="18.75" customHeight="1">
      <c r="A13" s="11">
        <v>10</v>
      </c>
      <c r="B13" s="2" t="s">
        <v>29</v>
      </c>
      <c r="C13" s="3"/>
      <c r="D13" s="69" t="s">
        <v>30</v>
      </c>
      <c r="E13" s="3">
        <v>2168522921</v>
      </c>
      <c r="F13" s="4">
        <f t="shared" si="0"/>
        <v>5</v>
      </c>
      <c r="G13" s="5">
        <v>45757</v>
      </c>
      <c r="H13" s="5">
        <f t="shared" si="1"/>
        <v>45757</v>
      </c>
      <c r="I13" s="38">
        <v>220</v>
      </c>
      <c r="J13" s="8" t="s">
        <v>19</v>
      </c>
      <c r="K13" s="63">
        <f t="shared" si="2"/>
        <v>44</v>
      </c>
      <c r="L13" s="9" t="s">
        <v>6</v>
      </c>
      <c r="M13" s="24"/>
      <c r="N13" s="24">
        <v>13</v>
      </c>
    </row>
    <row r="14" spans="1:15" ht="18.75" customHeight="1">
      <c r="A14" s="11">
        <v>11</v>
      </c>
      <c r="B14" s="2" t="s">
        <v>29</v>
      </c>
      <c r="C14" s="3"/>
      <c r="D14" s="69" t="s">
        <v>30</v>
      </c>
      <c r="E14" s="3">
        <v>2168522970</v>
      </c>
      <c r="F14" s="4">
        <f t="shared" si="0"/>
        <v>5</v>
      </c>
      <c r="G14" s="5">
        <v>45758</v>
      </c>
      <c r="H14" s="5">
        <f t="shared" si="1"/>
        <v>45758</v>
      </c>
      <c r="I14" s="32">
        <v>220</v>
      </c>
      <c r="J14" s="6" t="s">
        <v>19</v>
      </c>
      <c r="K14" s="63">
        <f t="shared" si="2"/>
        <v>44</v>
      </c>
      <c r="L14" s="6" t="s">
        <v>6</v>
      </c>
      <c r="M14" s="24"/>
      <c r="N14" s="24">
        <v>14</v>
      </c>
      <c r="O14" s="56"/>
    </row>
    <row r="15" spans="1:15" ht="18.75" customHeight="1">
      <c r="A15" s="11">
        <v>12</v>
      </c>
      <c r="B15" s="2" t="s">
        <v>29</v>
      </c>
      <c r="C15" s="3"/>
      <c r="D15" s="69" t="s">
        <v>25</v>
      </c>
      <c r="E15" s="3">
        <v>2585447395</v>
      </c>
      <c r="F15" s="4">
        <f t="shared" si="0"/>
        <v>6</v>
      </c>
      <c r="G15" s="5">
        <v>45758</v>
      </c>
      <c r="H15" s="5">
        <f t="shared" si="1"/>
        <v>45758</v>
      </c>
      <c r="I15" s="39">
        <v>360</v>
      </c>
      <c r="J15" s="8" t="s">
        <v>20</v>
      </c>
      <c r="K15" s="30">
        <f t="shared" si="2"/>
        <v>72</v>
      </c>
      <c r="L15" s="6" t="s">
        <v>6</v>
      </c>
      <c r="M15" s="24">
        <v>413</v>
      </c>
      <c r="N15" s="24"/>
    </row>
    <row r="16" spans="1:15" ht="18.75" customHeight="1">
      <c r="A16" s="11">
        <v>13</v>
      </c>
      <c r="B16" s="2" t="s">
        <v>29</v>
      </c>
      <c r="C16" s="3"/>
      <c r="D16" s="69" t="s">
        <v>30</v>
      </c>
      <c r="E16" s="3">
        <v>2168522971</v>
      </c>
      <c r="F16" s="4">
        <f t="shared" si="0"/>
        <v>6</v>
      </c>
      <c r="G16" s="5">
        <v>45761</v>
      </c>
      <c r="H16" s="5">
        <f t="shared" si="1"/>
        <v>45761</v>
      </c>
      <c r="I16" s="32">
        <v>400</v>
      </c>
      <c r="J16" s="6" t="s">
        <v>19</v>
      </c>
      <c r="K16" s="63">
        <f t="shared" si="2"/>
        <v>80</v>
      </c>
      <c r="L16" s="6" t="s">
        <v>6</v>
      </c>
      <c r="M16" s="24"/>
      <c r="N16" s="24">
        <v>17</v>
      </c>
    </row>
    <row r="17" spans="1:15" ht="18.75" customHeight="1">
      <c r="A17" s="11">
        <v>14</v>
      </c>
      <c r="B17" s="2" t="s">
        <v>29</v>
      </c>
      <c r="C17" s="3"/>
      <c r="D17" s="69" t="s">
        <v>30</v>
      </c>
      <c r="E17" s="3">
        <v>2168522972</v>
      </c>
      <c r="F17" s="4">
        <f t="shared" si="0"/>
        <v>0</v>
      </c>
      <c r="G17" s="5">
        <v>45762</v>
      </c>
      <c r="H17" s="5">
        <f t="shared" si="1"/>
        <v>45762</v>
      </c>
      <c r="I17" s="32">
        <v>220</v>
      </c>
      <c r="J17" s="6" t="s">
        <v>19</v>
      </c>
      <c r="K17" s="63">
        <f t="shared" si="2"/>
        <v>44</v>
      </c>
      <c r="L17" s="6" t="s">
        <v>6</v>
      </c>
      <c r="M17" s="24"/>
      <c r="N17" s="24">
        <v>19</v>
      </c>
    </row>
    <row r="18" spans="1:15" ht="18.75" customHeight="1">
      <c r="A18" s="11">
        <v>15</v>
      </c>
      <c r="B18" s="2" t="s">
        <v>29</v>
      </c>
      <c r="C18" s="3"/>
      <c r="D18" s="69" t="s">
        <v>30</v>
      </c>
      <c r="E18" s="3">
        <v>2168522956</v>
      </c>
      <c r="F18" s="4">
        <f t="shared" si="0"/>
        <v>5</v>
      </c>
      <c r="G18" s="5">
        <v>45764</v>
      </c>
      <c r="H18" s="5">
        <f t="shared" si="1"/>
        <v>45764</v>
      </c>
      <c r="I18" s="38">
        <v>230</v>
      </c>
      <c r="J18" s="6" t="s">
        <v>19</v>
      </c>
      <c r="K18" s="63">
        <f t="shared" si="2"/>
        <v>46</v>
      </c>
      <c r="L18" s="9" t="s">
        <v>6</v>
      </c>
      <c r="M18" s="24"/>
      <c r="N18" s="24">
        <v>20</v>
      </c>
    </row>
    <row r="19" spans="1:15" ht="18.75" customHeight="1">
      <c r="A19" s="11">
        <v>16</v>
      </c>
      <c r="B19" s="2" t="s">
        <v>29</v>
      </c>
      <c r="C19" s="3"/>
      <c r="D19" s="69" t="s">
        <v>25</v>
      </c>
      <c r="E19" s="3">
        <v>2585447396</v>
      </c>
      <c r="F19" s="4">
        <f t="shared" si="0"/>
        <v>0</v>
      </c>
      <c r="G19" s="5">
        <v>45764</v>
      </c>
      <c r="H19" s="5">
        <f t="shared" si="1"/>
        <v>45764</v>
      </c>
      <c r="I19" s="32">
        <v>320</v>
      </c>
      <c r="J19" s="6" t="s">
        <v>19</v>
      </c>
      <c r="K19" s="30">
        <f t="shared" si="2"/>
        <v>64</v>
      </c>
      <c r="L19" s="6" t="s">
        <v>6</v>
      </c>
      <c r="M19" s="24">
        <v>443</v>
      </c>
      <c r="N19" s="24"/>
    </row>
    <row r="20" spans="1:15" ht="18.75" customHeight="1">
      <c r="A20" s="11">
        <v>17</v>
      </c>
      <c r="B20" s="2" t="s">
        <v>29</v>
      </c>
      <c r="C20" s="3"/>
      <c r="D20" s="69" t="s">
        <v>30</v>
      </c>
      <c r="E20" s="7">
        <v>2168522923</v>
      </c>
      <c r="F20" s="4">
        <f t="shared" si="0"/>
        <v>0</v>
      </c>
      <c r="G20" s="5">
        <v>45765</v>
      </c>
      <c r="H20" s="5">
        <f t="shared" si="1"/>
        <v>45765</v>
      </c>
      <c r="I20" s="39">
        <v>220</v>
      </c>
      <c r="J20" s="8" t="s">
        <v>19</v>
      </c>
      <c r="K20" s="63">
        <f t="shared" si="2"/>
        <v>44</v>
      </c>
      <c r="L20" s="6" t="s">
        <v>6</v>
      </c>
      <c r="M20" s="24"/>
      <c r="N20" s="31">
        <v>22</v>
      </c>
    </row>
    <row r="21" spans="1:15" ht="18.75" customHeight="1">
      <c r="A21" s="11">
        <v>18</v>
      </c>
      <c r="B21" s="2" t="s">
        <v>27</v>
      </c>
      <c r="C21" s="3"/>
      <c r="D21" s="69" t="s">
        <v>33</v>
      </c>
      <c r="E21" s="3">
        <v>2089621434</v>
      </c>
      <c r="F21" s="4">
        <f t="shared" si="0"/>
        <v>5</v>
      </c>
      <c r="G21" s="5">
        <v>45765</v>
      </c>
      <c r="H21" s="5">
        <f t="shared" si="1"/>
        <v>45765</v>
      </c>
      <c r="I21" s="32">
        <v>70</v>
      </c>
      <c r="J21" s="6" t="s">
        <v>19</v>
      </c>
      <c r="K21" s="63">
        <f t="shared" si="2"/>
        <v>14</v>
      </c>
      <c r="L21" s="6" t="s">
        <v>6</v>
      </c>
      <c r="M21" s="24"/>
      <c r="N21" s="24">
        <v>24</v>
      </c>
    </row>
    <row r="22" spans="1:15" ht="18.75" customHeight="1">
      <c r="A22" s="11">
        <v>19</v>
      </c>
      <c r="B22" s="2" t="s">
        <v>29</v>
      </c>
      <c r="C22" s="3"/>
      <c r="D22" s="69" t="s">
        <v>30</v>
      </c>
      <c r="E22" s="3">
        <v>2168523040</v>
      </c>
      <c r="F22" s="4">
        <f t="shared" si="0"/>
        <v>5</v>
      </c>
      <c r="G22" s="5">
        <v>45768</v>
      </c>
      <c r="H22" s="5">
        <f t="shared" si="1"/>
        <v>45768</v>
      </c>
      <c r="I22" s="32">
        <v>220</v>
      </c>
      <c r="J22" s="6" t="s">
        <v>19</v>
      </c>
      <c r="K22" s="63">
        <f t="shared" si="2"/>
        <v>44</v>
      </c>
      <c r="L22" s="6" t="s">
        <v>6</v>
      </c>
      <c r="M22" s="24"/>
      <c r="N22" s="24">
        <v>25</v>
      </c>
    </row>
    <row r="23" spans="1:15" ht="18.75" customHeight="1">
      <c r="A23" s="11">
        <v>20</v>
      </c>
      <c r="B23" s="2" t="s">
        <v>29</v>
      </c>
      <c r="C23" s="3"/>
      <c r="D23" s="69" t="s">
        <v>30</v>
      </c>
      <c r="E23" s="3">
        <v>2168523028</v>
      </c>
      <c r="F23" s="4">
        <f t="shared" si="0"/>
        <v>0</v>
      </c>
      <c r="G23" s="5">
        <v>45769</v>
      </c>
      <c r="H23" s="5">
        <f t="shared" si="1"/>
        <v>45769</v>
      </c>
      <c r="I23" s="32">
        <v>360</v>
      </c>
      <c r="J23" s="6" t="s">
        <v>11</v>
      </c>
      <c r="K23" s="63">
        <f t="shared" si="2"/>
        <v>72</v>
      </c>
      <c r="L23" s="6" t="s">
        <v>6</v>
      </c>
      <c r="M23" s="24"/>
      <c r="N23" s="24">
        <v>27</v>
      </c>
    </row>
    <row r="24" spans="1:15" ht="18.75" customHeight="1">
      <c r="A24" s="11">
        <v>21</v>
      </c>
      <c r="B24" s="2" t="s">
        <v>27</v>
      </c>
      <c r="C24" s="3"/>
      <c r="D24" s="69" t="s">
        <v>28</v>
      </c>
      <c r="E24" s="3">
        <v>2602209161</v>
      </c>
      <c r="F24" s="4">
        <f t="shared" si="0"/>
        <v>6</v>
      </c>
      <c r="G24" s="5">
        <v>45769</v>
      </c>
      <c r="H24" s="5">
        <f t="shared" si="1"/>
        <v>45769</v>
      </c>
      <c r="I24" s="32">
        <v>210</v>
      </c>
      <c r="J24" s="8" t="s">
        <v>11</v>
      </c>
      <c r="K24" s="63">
        <f t="shared" si="2"/>
        <v>42</v>
      </c>
      <c r="L24" s="6" t="s">
        <v>6</v>
      </c>
      <c r="M24" s="24"/>
      <c r="N24" s="24">
        <v>28</v>
      </c>
    </row>
    <row r="25" spans="1:15" ht="18.75" customHeight="1">
      <c r="A25" s="11">
        <v>22</v>
      </c>
      <c r="B25" s="2" t="s">
        <v>29</v>
      </c>
      <c r="C25" s="3"/>
      <c r="D25" s="69" t="s">
        <v>25</v>
      </c>
      <c r="E25" s="3">
        <v>2585447397</v>
      </c>
      <c r="F25" s="4">
        <f t="shared" si="0"/>
        <v>1</v>
      </c>
      <c r="G25" s="5">
        <v>45770</v>
      </c>
      <c r="H25" s="5">
        <f t="shared" si="1"/>
        <v>45770</v>
      </c>
      <c r="I25" s="38">
        <v>230</v>
      </c>
      <c r="J25" s="6" t="s">
        <v>11</v>
      </c>
      <c r="K25" s="30">
        <f t="shared" si="2"/>
        <v>46</v>
      </c>
      <c r="L25" s="6" t="s">
        <v>6</v>
      </c>
      <c r="M25" s="24">
        <v>470</v>
      </c>
      <c r="N25" s="24"/>
    </row>
    <row r="26" spans="1:15" ht="18.75" customHeight="1">
      <c r="A26" s="11">
        <v>23</v>
      </c>
      <c r="B26" s="2" t="s">
        <v>29</v>
      </c>
      <c r="C26" s="3"/>
      <c r="D26" s="69" t="s">
        <v>30</v>
      </c>
      <c r="E26" s="3">
        <v>2168523027</v>
      </c>
      <c r="F26" s="4">
        <f t="shared" si="0"/>
        <v>6</v>
      </c>
      <c r="G26" s="5">
        <v>45771</v>
      </c>
      <c r="H26" s="5">
        <f t="shared" si="1"/>
        <v>45771</v>
      </c>
      <c r="I26" s="38">
        <v>210</v>
      </c>
      <c r="J26" s="6" t="s">
        <v>19</v>
      </c>
      <c r="K26" s="63">
        <f t="shared" si="2"/>
        <v>42</v>
      </c>
      <c r="L26" s="6" t="s">
        <v>6</v>
      </c>
      <c r="M26" s="24"/>
      <c r="N26" s="24">
        <v>31</v>
      </c>
    </row>
    <row r="27" spans="1:15" ht="18.75" customHeight="1">
      <c r="A27" s="11">
        <v>24</v>
      </c>
      <c r="B27" s="2" t="s">
        <v>27</v>
      </c>
      <c r="C27" s="3"/>
      <c r="D27" s="69" t="s">
        <v>34</v>
      </c>
      <c r="E27" s="3">
        <v>2117702997</v>
      </c>
      <c r="F27" s="4">
        <f t="shared" si="0"/>
        <v>4</v>
      </c>
      <c r="G27" s="5">
        <v>45771</v>
      </c>
      <c r="H27" s="5">
        <f t="shared" si="1"/>
        <v>45771</v>
      </c>
      <c r="I27" s="32">
        <v>10</v>
      </c>
      <c r="J27" s="8" t="s">
        <v>19</v>
      </c>
      <c r="K27" s="63">
        <f t="shared" si="2"/>
        <v>2</v>
      </c>
      <c r="L27" s="6" t="s">
        <v>6</v>
      </c>
      <c r="M27" s="24"/>
      <c r="N27" s="24">
        <v>32</v>
      </c>
      <c r="O27" s="56"/>
    </row>
    <row r="28" spans="1:15" ht="18.75" customHeight="1">
      <c r="A28" s="11">
        <v>25</v>
      </c>
      <c r="B28" s="2" t="s">
        <v>29</v>
      </c>
      <c r="C28" s="3"/>
      <c r="D28" s="69" t="s">
        <v>30</v>
      </c>
      <c r="E28" s="3">
        <v>2167040780</v>
      </c>
      <c r="F28" s="4">
        <f t="shared" si="0"/>
        <v>2</v>
      </c>
      <c r="G28" s="5">
        <v>45772</v>
      </c>
      <c r="H28" s="5">
        <f t="shared" si="1"/>
        <v>45772</v>
      </c>
      <c r="I28" s="32">
        <v>280</v>
      </c>
      <c r="J28" s="6" t="s">
        <v>19</v>
      </c>
      <c r="K28" s="63">
        <f t="shared" si="2"/>
        <v>56</v>
      </c>
      <c r="L28" s="6" t="s">
        <v>6</v>
      </c>
      <c r="M28" s="24"/>
      <c r="N28" s="24">
        <v>34</v>
      </c>
    </row>
    <row r="29" spans="1:15" ht="18.75" customHeight="1">
      <c r="A29" s="11">
        <v>26</v>
      </c>
      <c r="B29" s="2" t="s">
        <v>29</v>
      </c>
      <c r="C29" s="3"/>
      <c r="D29" s="69" t="s">
        <v>30</v>
      </c>
      <c r="E29" s="3">
        <v>2168523020</v>
      </c>
      <c r="F29" s="4">
        <f t="shared" si="0"/>
        <v>6</v>
      </c>
      <c r="G29" s="5">
        <v>45775</v>
      </c>
      <c r="H29" s="5">
        <f t="shared" si="1"/>
        <v>45775</v>
      </c>
      <c r="I29" s="32">
        <v>420</v>
      </c>
      <c r="J29" s="6" t="s">
        <v>19</v>
      </c>
      <c r="K29" s="63">
        <f t="shared" si="2"/>
        <v>84</v>
      </c>
      <c r="L29" s="6" t="s">
        <v>6</v>
      </c>
      <c r="M29" s="24"/>
      <c r="N29" s="24">
        <v>35</v>
      </c>
    </row>
    <row r="30" spans="1:15" ht="18.75" customHeight="1">
      <c r="A30" s="11">
        <v>27</v>
      </c>
      <c r="B30" s="2" t="s">
        <v>27</v>
      </c>
      <c r="C30" s="3"/>
      <c r="D30" s="69" t="s">
        <v>28</v>
      </c>
      <c r="E30" s="3">
        <v>2602209160</v>
      </c>
      <c r="F30" s="4">
        <f t="shared" si="0"/>
        <v>5</v>
      </c>
      <c r="G30" s="5">
        <v>45777</v>
      </c>
      <c r="H30" s="5">
        <f t="shared" si="1"/>
        <v>45777</v>
      </c>
      <c r="I30" s="32">
        <v>150</v>
      </c>
      <c r="J30" s="8" t="s">
        <v>19</v>
      </c>
      <c r="K30" s="63">
        <f t="shared" si="2"/>
        <v>30</v>
      </c>
      <c r="L30" s="6" t="s">
        <v>6</v>
      </c>
      <c r="M30" s="24"/>
      <c r="N30" s="24">
        <v>36</v>
      </c>
    </row>
    <row r="31" spans="1:15" ht="18.75" customHeight="1">
      <c r="A31" s="11">
        <v>28</v>
      </c>
      <c r="B31" s="2" t="s">
        <v>29</v>
      </c>
      <c r="C31" s="3"/>
      <c r="D31" s="69" t="s">
        <v>25</v>
      </c>
      <c r="E31" s="7">
        <v>2585447398</v>
      </c>
      <c r="F31" s="4">
        <f t="shared" si="0"/>
        <v>2</v>
      </c>
      <c r="G31" s="5">
        <v>45777</v>
      </c>
      <c r="H31" s="5">
        <f t="shared" si="1"/>
        <v>45777</v>
      </c>
      <c r="I31" s="38">
        <v>250</v>
      </c>
      <c r="J31" s="6" t="s">
        <v>19</v>
      </c>
      <c r="K31" s="30">
        <f t="shared" si="2"/>
        <v>50</v>
      </c>
      <c r="L31" s="6" t="s">
        <v>6</v>
      </c>
      <c r="M31" s="24">
        <v>499</v>
      </c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19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19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16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16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16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16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16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16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16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16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16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6740</v>
      </c>
      <c r="J44" s="8" t="s">
        <v>15</v>
      </c>
      <c r="K44" s="44">
        <f>SUM(K4:K43)</f>
        <v>1348</v>
      </c>
      <c r="L44" s="8" t="s">
        <v>6</v>
      </c>
      <c r="M44" s="45">
        <f>SUM(K44)-N44</f>
        <v>306</v>
      </c>
      <c r="N44" s="61">
        <f>SUMIF(M4:M42,"",K4:K43)</f>
        <v>1042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16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6740</v>
      </c>
      <c r="J88" s="8" t="s">
        <v>16</v>
      </c>
      <c r="K88" s="44">
        <f>SUM(K48:K87)+K44</f>
        <v>1348</v>
      </c>
      <c r="L88" s="8" t="s">
        <v>6</v>
      </c>
      <c r="M88" s="45"/>
      <c r="N88" s="45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4">
    <dataValidation type="list" imeMode="on" allowBlank="1" showInputMessage="1" showErrorMessage="1" sqref="B48:C88 B4:C44" xr:uid="{E62D5B41-5627-4FF8-BDF5-7DE43EB94CBC}">
      <formula1>"水産系燃え殻,医療系燃え殻"</formula1>
    </dataValidation>
    <dataValidation imeMode="disabled" allowBlank="1" showInputMessage="1" showErrorMessage="1" sqref="G4:G40 N21:N42 H4:M42 H43:L44 N5:N19 E48:E88 N65:N88 H48:M88 M44:N44 E4:E44 G48:G84 N49:N63" xr:uid="{5F704D1F-A866-44FA-93F6-2FA5576D6F9A}"/>
    <dataValidation type="list" imeMode="on" allowBlank="1" showInputMessage="1" prompt="なければ直接入力" sqref="D48:D88 D4:D44" xr:uid="{A6D8A387-F141-4C4D-A3E7-3FFC1801208C}">
      <formula1>"利尻島国保中央病院,道立鬼脇診療所,カムイウィスキー,福士水産㈱,糀谷商店,米田商店"</formula1>
    </dataValidation>
    <dataValidation imeMode="disabled" allowBlank="1" showInputMessage="1" sqref="G41:G44 G85:G88" xr:uid="{C9B141B7-793B-49B0-AF15-09B7CAADD469}"/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85D1-C71F-48CE-B1CA-F290077B8DBA}">
  <sheetPr>
    <tabColor rgb="FFFFFF00"/>
  </sheetPr>
  <dimension ref="A1:O88"/>
  <sheetViews>
    <sheetView topLeftCell="A4" workbookViewId="0">
      <selection activeCell="I17" sqref="I17"/>
    </sheetView>
  </sheetViews>
  <sheetFormatPr defaultRowHeight="13.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0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0"/>
    </row>
    <row r="3" spans="1:15" ht="26.25" customHeight="1">
      <c r="A3" s="11"/>
      <c r="B3" s="2" t="s">
        <v>1</v>
      </c>
      <c r="C3" s="86" t="s">
        <v>2</v>
      </c>
      <c r="D3" s="87"/>
      <c r="E3" s="88" t="s">
        <v>3</v>
      </c>
      <c r="F3" s="89"/>
      <c r="G3" s="22" t="s">
        <v>4</v>
      </c>
      <c r="H3" s="22" t="s">
        <v>7</v>
      </c>
      <c r="I3" s="90" t="s">
        <v>8</v>
      </c>
      <c r="J3" s="88"/>
      <c r="K3" s="90" t="s">
        <v>5</v>
      </c>
      <c r="L3" s="90"/>
      <c r="M3" s="23" t="s">
        <v>14</v>
      </c>
      <c r="N3" s="1" t="s">
        <v>10</v>
      </c>
    </row>
    <row r="4" spans="1:15" ht="18.75" customHeight="1">
      <c r="A4" s="11">
        <v>1</v>
      </c>
      <c r="B4" s="2" t="s">
        <v>12</v>
      </c>
      <c r="C4" s="3"/>
      <c r="D4" s="64" t="s">
        <v>26</v>
      </c>
      <c r="E4" s="3">
        <v>2171575634</v>
      </c>
      <c r="F4" s="4">
        <f t="shared" ref="F4:F43" si="0">IF(E4="","",E4-7*INT(E4/7))</f>
        <v>4</v>
      </c>
      <c r="G4" s="5">
        <v>46083</v>
      </c>
      <c r="H4" s="5">
        <f t="shared" ref="H4:H43" si="1">IF(G4="","",G4)</f>
        <v>46083</v>
      </c>
      <c r="I4" s="14">
        <v>2890</v>
      </c>
      <c r="J4" s="6" t="s">
        <v>15</v>
      </c>
      <c r="K4" s="15">
        <f t="shared" ref="K4:K43" si="2">IF(I4&gt;0,I4,"")</f>
        <v>2890</v>
      </c>
      <c r="L4" s="6" t="s">
        <v>6</v>
      </c>
      <c r="M4" s="24">
        <v>316</v>
      </c>
      <c r="N4" s="24"/>
    </row>
    <row r="5" spans="1:15" ht="18.75" customHeight="1">
      <c r="A5" s="11">
        <v>2</v>
      </c>
      <c r="B5" s="2" t="s">
        <v>12</v>
      </c>
      <c r="C5" s="3"/>
      <c r="D5" s="64" t="s">
        <v>31</v>
      </c>
      <c r="E5" s="7">
        <v>2175454246</v>
      </c>
      <c r="F5" s="4">
        <f t="shared" si="0"/>
        <v>0</v>
      </c>
      <c r="G5" s="5">
        <v>46087</v>
      </c>
      <c r="H5" s="5">
        <f t="shared" si="1"/>
        <v>46087</v>
      </c>
      <c r="I5" s="16">
        <v>3690</v>
      </c>
      <c r="J5" s="8" t="s">
        <v>15</v>
      </c>
      <c r="K5" s="15">
        <f t="shared" si="2"/>
        <v>3690</v>
      </c>
      <c r="L5" s="9" t="s">
        <v>6</v>
      </c>
      <c r="M5" s="24">
        <v>317</v>
      </c>
      <c r="N5" s="24"/>
    </row>
    <row r="6" spans="1:15" ht="18.75" customHeight="1">
      <c r="A6" s="11">
        <v>3</v>
      </c>
      <c r="B6" s="2" t="s">
        <v>12</v>
      </c>
      <c r="C6" s="3"/>
      <c r="D6" s="64" t="s">
        <v>26</v>
      </c>
      <c r="E6" s="3">
        <v>2171575635</v>
      </c>
      <c r="F6" s="4">
        <f t="shared" si="0"/>
        <v>5</v>
      </c>
      <c r="G6" s="5">
        <v>46090</v>
      </c>
      <c r="H6" s="5">
        <f t="shared" si="1"/>
        <v>46090</v>
      </c>
      <c r="I6" s="17">
        <v>2920</v>
      </c>
      <c r="J6" s="6" t="s">
        <v>15</v>
      </c>
      <c r="K6" s="15">
        <f t="shared" si="2"/>
        <v>2920</v>
      </c>
      <c r="L6" s="6" t="s">
        <v>6</v>
      </c>
      <c r="M6" s="24">
        <v>318</v>
      </c>
      <c r="N6" s="24"/>
    </row>
    <row r="7" spans="1:15" ht="18.75" customHeight="1">
      <c r="A7" s="11">
        <v>4</v>
      </c>
      <c r="B7" s="2" t="s">
        <v>12</v>
      </c>
      <c r="C7" s="3"/>
      <c r="D7" s="64" t="s">
        <v>26</v>
      </c>
      <c r="E7" s="3">
        <v>2171575641</v>
      </c>
      <c r="F7" s="4">
        <f t="shared" si="0"/>
        <v>4</v>
      </c>
      <c r="G7" s="5">
        <v>46091</v>
      </c>
      <c r="H7" s="5">
        <f t="shared" si="1"/>
        <v>46091</v>
      </c>
      <c r="I7" s="16">
        <v>2940</v>
      </c>
      <c r="J7" s="8" t="s">
        <v>15</v>
      </c>
      <c r="K7" s="15">
        <f t="shared" si="2"/>
        <v>2940</v>
      </c>
      <c r="L7" s="9" t="s">
        <v>6</v>
      </c>
      <c r="M7" s="24">
        <v>321</v>
      </c>
      <c r="N7" s="24"/>
    </row>
    <row r="8" spans="1:15" ht="18.75" customHeight="1">
      <c r="A8" s="11">
        <v>5</v>
      </c>
      <c r="B8" s="2" t="s">
        <v>12</v>
      </c>
      <c r="C8" s="3"/>
      <c r="D8" s="64" t="s">
        <v>31</v>
      </c>
      <c r="E8" s="7">
        <v>2175454243</v>
      </c>
      <c r="F8" s="4">
        <f t="shared" si="0"/>
        <v>4</v>
      </c>
      <c r="G8" s="5">
        <v>46094</v>
      </c>
      <c r="H8" s="5">
        <f t="shared" si="1"/>
        <v>46094</v>
      </c>
      <c r="I8" s="17">
        <v>2340</v>
      </c>
      <c r="J8" s="6" t="s">
        <v>15</v>
      </c>
      <c r="K8" s="15">
        <f t="shared" si="2"/>
        <v>2340</v>
      </c>
      <c r="L8" s="6" t="s">
        <v>6</v>
      </c>
      <c r="M8" s="24">
        <v>322</v>
      </c>
      <c r="N8" s="24"/>
    </row>
    <row r="9" spans="1:15" ht="18.75" customHeight="1">
      <c r="A9" s="11">
        <v>6</v>
      </c>
      <c r="B9" s="2" t="s">
        <v>12</v>
      </c>
      <c r="C9" s="3"/>
      <c r="D9" s="64" t="s">
        <v>26</v>
      </c>
      <c r="E9" s="3">
        <v>2171575642</v>
      </c>
      <c r="F9" s="4">
        <f t="shared" si="0"/>
        <v>5</v>
      </c>
      <c r="G9" s="5">
        <v>46097</v>
      </c>
      <c r="H9" s="5">
        <f t="shared" si="1"/>
        <v>46097</v>
      </c>
      <c r="I9" s="17">
        <v>2890</v>
      </c>
      <c r="J9" s="6" t="s">
        <v>15</v>
      </c>
      <c r="K9" s="15">
        <f t="shared" si="2"/>
        <v>2890</v>
      </c>
      <c r="L9" s="6" t="s">
        <v>6</v>
      </c>
      <c r="M9" s="24">
        <v>323</v>
      </c>
      <c r="N9" s="24"/>
    </row>
    <row r="10" spans="1:15" ht="18.75" customHeight="1">
      <c r="A10" s="11">
        <v>7</v>
      </c>
      <c r="B10" s="2" t="s">
        <v>12</v>
      </c>
      <c r="C10" s="3"/>
      <c r="D10" s="64" t="s">
        <v>26</v>
      </c>
      <c r="E10" s="3">
        <v>2171575643</v>
      </c>
      <c r="F10" s="4">
        <f t="shared" si="0"/>
        <v>6</v>
      </c>
      <c r="G10" s="5">
        <v>46098</v>
      </c>
      <c r="H10" s="5">
        <f t="shared" si="1"/>
        <v>46098</v>
      </c>
      <c r="I10" s="16">
        <v>2960</v>
      </c>
      <c r="J10" s="25" t="s">
        <v>15</v>
      </c>
      <c r="K10" s="15">
        <f t="shared" si="2"/>
        <v>2960</v>
      </c>
      <c r="L10" s="25" t="s">
        <v>6</v>
      </c>
      <c r="M10" s="24">
        <v>324</v>
      </c>
      <c r="N10" s="24"/>
    </row>
    <row r="11" spans="1:15" ht="18.75" customHeight="1">
      <c r="A11" s="11">
        <v>8</v>
      </c>
      <c r="B11" s="2" t="s">
        <v>12</v>
      </c>
      <c r="C11" s="3"/>
      <c r="D11" s="64" t="s">
        <v>31</v>
      </c>
      <c r="E11" s="7">
        <v>2175454244</v>
      </c>
      <c r="F11" s="4">
        <f t="shared" si="0"/>
        <v>5</v>
      </c>
      <c r="G11" s="5">
        <v>46100</v>
      </c>
      <c r="H11" s="5">
        <f t="shared" si="1"/>
        <v>46100</v>
      </c>
      <c r="I11" s="17">
        <v>2390</v>
      </c>
      <c r="J11" s="8" t="s">
        <v>15</v>
      </c>
      <c r="K11" s="15">
        <f t="shared" si="2"/>
        <v>2390</v>
      </c>
      <c r="L11" s="9" t="s">
        <v>6</v>
      </c>
      <c r="M11" s="24">
        <v>325</v>
      </c>
      <c r="N11" s="24"/>
    </row>
    <row r="12" spans="1:15" ht="18.75" customHeight="1">
      <c r="A12" s="11">
        <v>9</v>
      </c>
      <c r="B12" s="2" t="s">
        <v>12</v>
      </c>
      <c r="C12" s="3"/>
      <c r="D12" s="64" t="s">
        <v>26</v>
      </c>
      <c r="E12" s="3">
        <v>2171575644</v>
      </c>
      <c r="F12" s="4">
        <f t="shared" si="0"/>
        <v>0</v>
      </c>
      <c r="G12" s="5">
        <v>46104</v>
      </c>
      <c r="H12" s="5">
        <f t="shared" si="1"/>
        <v>46104</v>
      </c>
      <c r="I12" s="17">
        <v>2920</v>
      </c>
      <c r="J12" s="6" t="s">
        <v>15</v>
      </c>
      <c r="K12" s="15">
        <f t="shared" si="2"/>
        <v>2920</v>
      </c>
      <c r="L12" s="6" t="s">
        <v>6</v>
      </c>
      <c r="M12" s="24">
        <v>328</v>
      </c>
      <c r="N12" s="24"/>
    </row>
    <row r="13" spans="1:15" ht="18.75" customHeight="1">
      <c r="A13" s="11">
        <v>10</v>
      </c>
      <c r="B13" s="2" t="s">
        <v>12</v>
      </c>
      <c r="C13" s="3"/>
      <c r="D13" s="64" t="s">
        <v>26</v>
      </c>
      <c r="E13" s="7">
        <v>2171575645</v>
      </c>
      <c r="F13" s="4">
        <f t="shared" si="0"/>
        <v>1</v>
      </c>
      <c r="G13" s="5">
        <v>46106</v>
      </c>
      <c r="H13" s="5">
        <f t="shared" si="1"/>
        <v>46106</v>
      </c>
      <c r="I13" s="17">
        <v>3010</v>
      </c>
      <c r="J13" s="8" t="s">
        <v>15</v>
      </c>
      <c r="K13" s="15">
        <f t="shared" si="2"/>
        <v>3010</v>
      </c>
      <c r="L13" s="9" t="s">
        <v>6</v>
      </c>
      <c r="M13" s="24">
        <v>331</v>
      </c>
      <c r="N13" s="24"/>
      <c r="O13" s="56"/>
    </row>
    <row r="14" spans="1:15" ht="18.75" customHeight="1">
      <c r="A14" s="11">
        <v>11</v>
      </c>
      <c r="B14" s="2" t="s">
        <v>12</v>
      </c>
      <c r="C14" s="3"/>
      <c r="D14" s="64" t="s">
        <v>31</v>
      </c>
      <c r="E14" s="3">
        <v>2175454242</v>
      </c>
      <c r="F14" s="4">
        <f t="shared" si="0"/>
        <v>3</v>
      </c>
      <c r="G14" s="5">
        <v>46108</v>
      </c>
      <c r="H14" s="5">
        <f t="shared" si="1"/>
        <v>46108</v>
      </c>
      <c r="I14" s="17">
        <v>3380</v>
      </c>
      <c r="J14" s="6" t="s">
        <v>15</v>
      </c>
      <c r="K14" s="15">
        <f t="shared" si="2"/>
        <v>3380</v>
      </c>
      <c r="L14" s="6" t="s">
        <v>6</v>
      </c>
      <c r="M14" s="24">
        <v>333</v>
      </c>
      <c r="N14" s="24"/>
    </row>
    <row r="15" spans="1:15" ht="18.75" customHeight="1">
      <c r="A15" s="11">
        <v>12</v>
      </c>
      <c r="B15" s="2" t="s">
        <v>12</v>
      </c>
      <c r="C15" s="3"/>
      <c r="D15" s="64" t="s">
        <v>26</v>
      </c>
      <c r="E15" s="3">
        <v>2171575646</v>
      </c>
      <c r="F15" s="4">
        <f t="shared" si="0"/>
        <v>2</v>
      </c>
      <c r="G15" s="5">
        <v>46111</v>
      </c>
      <c r="H15" s="5">
        <f t="shared" si="1"/>
        <v>46111</v>
      </c>
      <c r="I15" s="16">
        <v>2950</v>
      </c>
      <c r="J15" s="8" t="s">
        <v>15</v>
      </c>
      <c r="K15" s="15">
        <f t="shared" si="2"/>
        <v>2950</v>
      </c>
      <c r="L15" s="6" t="s">
        <v>6</v>
      </c>
      <c r="M15" s="24">
        <v>335</v>
      </c>
      <c r="N15" s="24"/>
    </row>
    <row r="16" spans="1:15" ht="18.75" customHeight="1">
      <c r="A16" s="11">
        <v>13</v>
      </c>
      <c r="B16" s="2"/>
      <c r="C16" s="3"/>
      <c r="D16" s="66"/>
      <c r="E16" s="3"/>
      <c r="F16" s="4" t="str">
        <f t="shared" si="0"/>
        <v/>
      </c>
      <c r="G16" s="5"/>
      <c r="H16" s="5" t="str">
        <f t="shared" si="1"/>
        <v/>
      </c>
      <c r="I16" s="17"/>
      <c r="J16" s="6" t="s">
        <v>15</v>
      </c>
      <c r="K16" s="15" t="str">
        <f t="shared" si="2"/>
        <v/>
      </c>
      <c r="L16" s="6" t="s">
        <v>6</v>
      </c>
      <c r="M16" s="24"/>
      <c r="N16" s="24"/>
    </row>
    <row r="17" spans="1:14" ht="18.75" customHeight="1">
      <c r="A17" s="11">
        <v>14</v>
      </c>
      <c r="B17" s="2"/>
      <c r="C17" s="3"/>
      <c r="D17" s="66"/>
      <c r="E17" s="3"/>
      <c r="F17" s="4" t="str">
        <f t="shared" si="0"/>
        <v/>
      </c>
      <c r="G17" s="5"/>
      <c r="H17" s="5" t="str">
        <f t="shared" si="1"/>
        <v/>
      </c>
      <c r="I17" s="17"/>
      <c r="J17" s="6" t="s">
        <v>15</v>
      </c>
      <c r="K17" s="15" t="str">
        <f t="shared" si="2"/>
        <v/>
      </c>
      <c r="L17" s="6" t="s">
        <v>6</v>
      </c>
      <c r="M17" s="24"/>
      <c r="N17" s="24"/>
    </row>
    <row r="18" spans="1:14" ht="18.75" customHeight="1">
      <c r="A18" s="11">
        <v>15</v>
      </c>
      <c r="B18" s="2"/>
      <c r="C18" s="3"/>
      <c r="D18" s="66"/>
      <c r="E18" s="3"/>
      <c r="F18" s="4" t="str">
        <f t="shared" si="0"/>
        <v/>
      </c>
      <c r="G18" s="5"/>
      <c r="H18" s="5" t="str">
        <f t="shared" si="1"/>
        <v/>
      </c>
      <c r="I18" s="17"/>
      <c r="J18" s="6" t="s">
        <v>15</v>
      </c>
      <c r="K18" s="15" t="str">
        <f t="shared" si="2"/>
        <v/>
      </c>
      <c r="L18" s="9" t="s">
        <v>6</v>
      </c>
      <c r="M18" s="24"/>
      <c r="N18" s="24"/>
    </row>
    <row r="19" spans="1:14" ht="18.75" customHeight="1">
      <c r="A19" s="11">
        <v>16</v>
      </c>
      <c r="B19" s="2"/>
      <c r="C19" s="3"/>
      <c r="D19" s="66"/>
      <c r="E19" s="7"/>
      <c r="F19" s="4" t="str">
        <f t="shared" si="0"/>
        <v/>
      </c>
      <c r="G19" s="5"/>
      <c r="H19" s="5" t="str">
        <f t="shared" si="1"/>
        <v/>
      </c>
      <c r="I19" s="16"/>
      <c r="J19" s="8" t="s">
        <v>15</v>
      </c>
      <c r="K19" s="15" t="str">
        <f t="shared" si="2"/>
        <v/>
      </c>
      <c r="L19" s="6" t="s">
        <v>6</v>
      </c>
      <c r="M19" s="24"/>
      <c r="N19" s="24"/>
    </row>
    <row r="20" spans="1:14" ht="18.75" customHeight="1">
      <c r="A20" s="11">
        <v>17</v>
      </c>
      <c r="B20" s="2"/>
      <c r="C20" s="3"/>
      <c r="D20" s="66"/>
      <c r="E20" s="3"/>
      <c r="F20" s="4" t="str">
        <f t="shared" si="0"/>
        <v/>
      </c>
      <c r="G20" s="5"/>
      <c r="H20" s="5" t="str">
        <f t="shared" si="1"/>
        <v/>
      </c>
      <c r="I20" s="17"/>
      <c r="J20" s="6" t="s">
        <v>15</v>
      </c>
      <c r="K20" s="15" t="str">
        <f t="shared" si="2"/>
        <v/>
      </c>
      <c r="L20" s="6" t="s">
        <v>6</v>
      </c>
      <c r="M20" s="24"/>
      <c r="N20" s="24"/>
    </row>
    <row r="21" spans="1:14" ht="18.75" customHeight="1">
      <c r="A21" s="11">
        <v>18</v>
      </c>
      <c r="B21" s="2"/>
      <c r="C21" s="3"/>
      <c r="D21" s="66"/>
      <c r="E21" s="3"/>
      <c r="F21" s="4" t="str">
        <f t="shared" si="0"/>
        <v/>
      </c>
      <c r="G21" s="5"/>
      <c r="H21" s="5" t="str">
        <f t="shared" si="1"/>
        <v/>
      </c>
      <c r="I21" s="17"/>
      <c r="J21" s="6" t="s">
        <v>15</v>
      </c>
      <c r="K21" s="15" t="str">
        <f t="shared" si="2"/>
        <v/>
      </c>
      <c r="L21" s="6" t="s">
        <v>6</v>
      </c>
      <c r="M21" s="24"/>
      <c r="N21" s="24"/>
    </row>
    <row r="22" spans="1:14" ht="18.75" customHeight="1">
      <c r="A22" s="11">
        <v>19</v>
      </c>
      <c r="B22" s="2"/>
      <c r="C22" s="3"/>
      <c r="D22" s="66"/>
      <c r="E22" s="3"/>
      <c r="F22" s="4" t="str">
        <f t="shared" si="0"/>
        <v/>
      </c>
      <c r="G22" s="5"/>
      <c r="H22" s="5" t="str">
        <f t="shared" si="1"/>
        <v/>
      </c>
      <c r="I22" s="17"/>
      <c r="J22" s="6" t="s">
        <v>15</v>
      </c>
      <c r="K22" s="15" t="str">
        <f t="shared" si="2"/>
        <v/>
      </c>
      <c r="L22" s="6" t="s">
        <v>6</v>
      </c>
      <c r="M22" s="24"/>
      <c r="N22" s="24"/>
    </row>
    <row r="23" spans="1:14" ht="18.75" customHeight="1">
      <c r="A23" s="11">
        <v>20</v>
      </c>
      <c r="B23" s="2"/>
      <c r="C23" s="3"/>
      <c r="D23" s="67"/>
      <c r="E23" s="3"/>
      <c r="F23" s="4" t="str">
        <f t="shared" si="0"/>
        <v/>
      </c>
      <c r="G23" s="5"/>
      <c r="H23" s="5" t="str">
        <f t="shared" si="1"/>
        <v/>
      </c>
      <c r="I23" s="17"/>
      <c r="J23" s="6" t="s">
        <v>11</v>
      </c>
      <c r="K23" s="15" t="str">
        <f t="shared" si="2"/>
        <v/>
      </c>
      <c r="L23" s="6" t="s">
        <v>6</v>
      </c>
      <c r="M23" s="24"/>
      <c r="N23" s="24"/>
    </row>
    <row r="24" spans="1:14" ht="18.75" customHeight="1">
      <c r="A24" s="11">
        <v>21</v>
      </c>
      <c r="B24" s="2"/>
      <c r="C24" s="3"/>
      <c r="D24" s="67"/>
      <c r="E24" s="3"/>
      <c r="F24" s="4" t="str">
        <f t="shared" si="0"/>
        <v/>
      </c>
      <c r="G24" s="5"/>
      <c r="H24" s="5" t="str">
        <f t="shared" si="1"/>
        <v/>
      </c>
      <c r="I24" s="17"/>
      <c r="J24" s="8" t="s">
        <v>11</v>
      </c>
      <c r="K24" s="15" t="str">
        <f t="shared" si="2"/>
        <v/>
      </c>
      <c r="L24" s="6" t="s">
        <v>6</v>
      </c>
      <c r="M24" s="24"/>
      <c r="N24" s="24"/>
    </row>
    <row r="25" spans="1:14" ht="18.75" customHeight="1">
      <c r="A25" s="11">
        <v>22</v>
      </c>
      <c r="B25" s="2"/>
      <c r="C25" s="3"/>
      <c r="D25" s="67"/>
      <c r="E25" s="3"/>
      <c r="F25" s="4" t="str">
        <f t="shared" si="0"/>
        <v/>
      </c>
      <c r="G25" s="5"/>
      <c r="H25" s="5" t="str">
        <f t="shared" si="1"/>
        <v/>
      </c>
      <c r="I25" s="17"/>
      <c r="J25" s="6" t="s">
        <v>11</v>
      </c>
      <c r="K25" s="15" t="str">
        <f t="shared" si="2"/>
        <v/>
      </c>
      <c r="L25" s="6" t="s">
        <v>6</v>
      </c>
      <c r="M25" s="24"/>
      <c r="N25" s="24"/>
    </row>
    <row r="26" spans="1:14" ht="18.75" customHeight="1">
      <c r="A26" s="11">
        <v>23</v>
      </c>
      <c r="B26" s="2"/>
      <c r="C26" s="3"/>
      <c r="D26" s="67"/>
      <c r="E26" s="3"/>
      <c r="F26" s="4" t="str">
        <f t="shared" si="0"/>
        <v/>
      </c>
      <c r="G26" s="5"/>
      <c r="H26" s="5" t="str">
        <f t="shared" si="1"/>
        <v/>
      </c>
      <c r="I26" s="17"/>
      <c r="J26" s="6" t="s">
        <v>15</v>
      </c>
      <c r="K26" s="15" t="str">
        <f t="shared" si="2"/>
        <v/>
      </c>
      <c r="L26" s="6" t="s">
        <v>6</v>
      </c>
      <c r="M26" s="24"/>
      <c r="N26" s="24"/>
    </row>
    <row r="27" spans="1:14" ht="18.75" customHeight="1">
      <c r="A27" s="11">
        <v>24</v>
      </c>
      <c r="B27" s="2"/>
      <c r="C27" s="3"/>
      <c r="D27" s="67"/>
      <c r="E27" s="3"/>
      <c r="F27" s="4" t="str">
        <f t="shared" si="0"/>
        <v/>
      </c>
      <c r="G27" s="5"/>
      <c r="H27" s="5" t="str">
        <f t="shared" si="1"/>
        <v/>
      </c>
      <c r="I27" s="17"/>
      <c r="J27" s="8" t="s">
        <v>15</v>
      </c>
      <c r="K27" s="15" t="str">
        <f t="shared" si="2"/>
        <v/>
      </c>
      <c r="L27" s="6" t="s">
        <v>6</v>
      </c>
      <c r="M27" s="24"/>
      <c r="N27" s="24"/>
    </row>
    <row r="28" spans="1:14" ht="18.75" customHeight="1">
      <c r="A28" s="11">
        <v>25</v>
      </c>
      <c r="B28" s="2"/>
      <c r="C28" s="3"/>
      <c r="D28" s="67"/>
      <c r="E28" s="3"/>
      <c r="F28" s="4" t="str">
        <f t="shared" si="0"/>
        <v/>
      </c>
      <c r="G28" s="5"/>
      <c r="H28" s="5" t="str">
        <f t="shared" si="1"/>
        <v/>
      </c>
      <c r="I28" s="17"/>
      <c r="J28" s="6" t="s">
        <v>15</v>
      </c>
      <c r="K28" s="15" t="str">
        <f t="shared" si="2"/>
        <v/>
      </c>
      <c r="L28" s="6" t="s">
        <v>6</v>
      </c>
      <c r="M28" s="24"/>
      <c r="N28" s="24"/>
    </row>
    <row r="29" spans="1:14" ht="18.75" customHeight="1">
      <c r="A29" s="11">
        <v>26</v>
      </c>
      <c r="B29" s="2"/>
      <c r="C29" s="3"/>
      <c r="D29" s="67"/>
      <c r="E29" s="3"/>
      <c r="F29" s="4" t="str">
        <f t="shared" si="0"/>
        <v/>
      </c>
      <c r="G29" s="5"/>
      <c r="H29" s="5" t="str">
        <f t="shared" si="1"/>
        <v/>
      </c>
      <c r="I29" s="17"/>
      <c r="J29" s="6" t="s">
        <v>15</v>
      </c>
      <c r="K29" s="15" t="str">
        <f t="shared" si="2"/>
        <v/>
      </c>
      <c r="L29" s="6" t="s">
        <v>6</v>
      </c>
      <c r="M29" s="24"/>
      <c r="N29" s="24"/>
    </row>
    <row r="30" spans="1:14" ht="18.75" customHeight="1">
      <c r="A30" s="11">
        <v>27</v>
      </c>
      <c r="B30" s="2"/>
      <c r="C30" s="3"/>
      <c r="D30" s="67"/>
      <c r="E30" s="3"/>
      <c r="F30" s="4" t="str">
        <f t="shared" si="0"/>
        <v/>
      </c>
      <c r="G30" s="5"/>
      <c r="H30" s="5" t="str">
        <f t="shared" si="1"/>
        <v/>
      </c>
      <c r="I30" s="17"/>
      <c r="J30" s="8" t="s">
        <v>15</v>
      </c>
      <c r="K30" s="15" t="str">
        <f t="shared" si="2"/>
        <v/>
      </c>
      <c r="L30" s="6" t="s">
        <v>6</v>
      </c>
      <c r="M30" s="24"/>
      <c r="N30" s="24"/>
    </row>
    <row r="31" spans="1:14" ht="18.75" customHeight="1">
      <c r="A31" s="11">
        <v>28</v>
      </c>
      <c r="B31" s="2"/>
      <c r="C31" s="3"/>
      <c r="D31" s="67"/>
      <c r="E31" s="7"/>
      <c r="F31" s="4" t="str">
        <f t="shared" si="0"/>
        <v/>
      </c>
      <c r="G31" s="5"/>
      <c r="H31" s="5" t="str">
        <f t="shared" si="1"/>
        <v/>
      </c>
      <c r="I31" s="17"/>
      <c r="J31" s="6" t="s">
        <v>15</v>
      </c>
      <c r="K31" s="15" t="str">
        <f t="shared" si="2"/>
        <v/>
      </c>
      <c r="L31" s="6" t="s">
        <v>6</v>
      </c>
      <c r="M31" s="24"/>
      <c r="N31" s="24"/>
    </row>
    <row r="32" spans="1:14" ht="18.75" customHeight="1">
      <c r="A32" s="11">
        <v>29</v>
      </c>
      <c r="B32" s="2"/>
      <c r="C32" s="3"/>
      <c r="D32" s="67"/>
      <c r="E32" s="3"/>
      <c r="F32" s="4" t="str">
        <f t="shared" si="0"/>
        <v/>
      </c>
      <c r="G32" s="5"/>
      <c r="H32" s="5" t="str">
        <f t="shared" si="1"/>
        <v/>
      </c>
      <c r="I32" s="17"/>
      <c r="J32" s="6" t="s">
        <v>15</v>
      </c>
      <c r="K32" s="15" t="str">
        <f t="shared" si="2"/>
        <v/>
      </c>
      <c r="L32" s="6" t="s">
        <v>6</v>
      </c>
      <c r="M32" s="24"/>
      <c r="N32" s="24"/>
    </row>
    <row r="33" spans="1:14" ht="18.75" customHeight="1">
      <c r="A33" s="11">
        <v>30</v>
      </c>
      <c r="B33" s="2"/>
      <c r="C33" s="3"/>
      <c r="D33" s="67"/>
      <c r="E33" s="3"/>
      <c r="F33" s="4" t="str">
        <f t="shared" si="0"/>
        <v/>
      </c>
      <c r="G33" s="5"/>
      <c r="H33" s="5" t="str">
        <f t="shared" si="1"/>
        <v/>
      </c>
      <c r="I33" s="17"/>
      <c r="J33" s="6" t="s">
        <v>15</v>
      </c>
      <c r="K33" s="15" t="str">
        <f t="shared" si="2"/>
        <v/>
      </c>
      <c r="L33" s="6" t="s">
        <v>6</v>
      </c>
      <c r="M33" s="24"/>
      <c r="N33" s="24"/>
    </row>
    <row r="34" spans="1:14" ht="18.75" customHeight="1">
      <c r="A34" s="11">
        <v>31</v>
      </c>
      <c r="B34" s="2"/>
      <c r="C34" s="3"/>
      <c r="D34" s="67"/>
      <c r="E34" s="3"/>
      <c r="F34" s="4" t="str">
        <f t="shared" si="0"/>
        <v/>
      </c>
      <c r="G34" s="5"/>
      <c r="H34" s="5" t="str">
        <f t="shared" si="1"/>
        <v/>
      </c>
      <c r="I34" s="18"/>
      <c r="J34" s="6" t="s">
        <v>15</v>
      </c>
      <c r="K34" s="15" t="str">
        <f t="shared" si="2"/>
        <v/>
      </c>
      <c r="L34" s="6" t="s">
        <v>6</v>
      </c>
      <c r="M34" s="24"/>
      <c r="N34" s="24"/>
    </row>
    <row r="35" spans="1:14" ht="18.75" customHeight="1">
      <c r="A35" s="11">
        <v>32</v>
      </c>
      <c r="B35" s="2"/>
      <c r="C35" s="3"/>
      <c r="D35" s="67"/>
      <c r="E35" s="3"/>
      <c r="F35" s="4" t="str">
        <f t="shared" si="0"/>
        <v/>
      </c>
      <c r="G35" s="5"/>
      <c r="H35" s="5" t="str">
        <f t="shared" si="1"/>
        <v/>
      </c>
      <c r="I35" s="17"/>
      <c r="J35" s="6" t="s">
        <v>15</v>
      </c>
      <c r="K35" s="15" t="str">
        <f t="shared" si="2"/>
        <v/>
      </c>
      <c r="L35" s="6" t="s">
        <v>6</v>
      </c>
      <c r="M35" s="24"/>
      <c r="N35" s="24"/>
    </row>
    <row r="36" spans="1:14" ht="18.75" customHeight="1">
      <c r="A36" s="11">
        <v>33</v>
      </c>
      <c r="B36" s="2"/>
      <c r="C36" s="3"/>
      <c r="D36" s="67"/>
      <c r="E36" s="7"/>
      <c r="F36" s="4" t="str">
        <f t="shared" si="0"/>
        <v/>
      </c>
      <c r="G36" s="5"/>
      <c r="H36" s="5" t="str">
        <f t="shared" si="1"/>
        <v/>
      </c>
      <c r="I36" s="16"/>
      <c r="J36" s="6" t="s">
        <v>15</v>
      </c>
      <c r="K36" s="15" t="str">
        <f t="shared" si="2"/>
        <v/>
      </c>
      <c r="L36" s="6" t="s">
        <v>6</v>
      </c>
      <c r="M36" s="24"/>
      <c r="N36" s="24"/>
    </row>
    <row r="37" spans="1:14" ht="18.75" customHeight="1">
      <c r="A37" s="11">
        <v>34</v>
      </c>
      <c r="B37" s="2"/>
      <c r="C37" s="3"/>
      <c r="D37" s="67"/>
      <c r="E37" s="3"/>
      <c r="F37" s="4" t="str">
        <f t="shared" si="0"/>
        <v/>
      </c>
      <c r="G37" s="5"/>
      <c r="H37" s="5" t="str">
        <f t="shared" si="1"/>
        <v/>
      </c>
      <c r="I37" s="17"/>
      <c r="J37" s="6" t="s">
        <v>15</v>
      </c>
      <c r="K37" s="15" t="str">
        <f t="shared" si="2"/>
        <v/>
      </c>
      <c r="L37" s="6" t="s">
        <v>6</v>
      </c>
      <c r="M37" s="24"/>
      <c r="N37" s="24"/>
    </row>
    <row r="38" spans="1:14" ht="18.75" customHeight="1">
      <c r="A38" s="11">
        <v>35</v>
      </c>
      <c r="B38" s="2"/>
      <c r="C38" s="3"/>
      <c r="D38" s="67"/>
      <c r="E38" s="3"/>
      <c r="F38" s="4"/>
      <c r="G38" s="5"/>
      <c r="H38" s="5"/>
      <c r="I38" s="17"/>
      <c r="J38" s="6" t="s">
        <v>15</v>
      </c>
      <c r="K38" s="15"/>
      <c r="L38" s="6" t="s">
        <v>6</v>
      </c>
      <c r="M38" s="24"/>
      <c r="N38" s="24"/>
    </row>
    <row r="39" spans="1:14" ht="18.75" customHeight="1">
      <c r="A39" s="11">
        <v>36</v>
      </c>
      <c r="B39" s="2"/>
      <c r="C39" s="3"/>
      <c r="D39" s="67"/>
      <c r="E39" s="3"/>
      <c r="F39" s="4"/>
      <c r="G39" s="5"/>
      <c r="H39" s="5"/>
      <c r="I39" s="17"/>
      <c r="J39" s="6" t="s">
        <v>15</v>
      </c>
      <c r="K39" s="15"/>
      <c r="L39" s="6" t="s">
        <v>6</v>
      </c>
      <c r="M39" s="24"/>
      <c r="N39" s="24"/>
    </row>
    <row r="40" spans="1:14" ht="18.75" customHeight="1">
      <c r="A40" s="11">
        <v>37</v>
      </c>
      <c r="B40" s="2"/>
      <c r="C40" s="3"/>
      <c r="D40" s="67"/>
      <c r="E40" s="3"/>
      <c r="F40" s="4"/>
      <c r="G40" s="5"/>
      <c r="H40" s="5"/>
      <c r="I40" s="17"/>
      <c r="J40" s="6" t="s">
        <v>15</v>
      </c>
      <c r="K40" s="15"/>
      <c r="L40" s="6" t="s">
        <v>6</v>
      </c>
      <c r="M40" s="24"/>
      <c r="N40" s="24"/>
    </row>
    <row r="41" spans="1:14" ht="18.75" customHeight="1">
      <c r="A41" s="11">
        <v>38</v>
      </c>
      <c r="B41" s="2"/>
      <c r="C41" s="3"/>
      <c r="D41" s="67"/>
      <c r="E41" s="3"/>
      <c r="F41" s="4"/>
      <c r="G41" s="5"/>
      <c r="H41" s="5"/>
      <c r="I41" s="17"/>
      <c r="J41" s="6" t="s">
        <v>15</v>
      </c>
      <c r="K41" s="15"/>
      <c r="L41" s="6" t="s">
        <v>6</v>
      </c>
      <c r="M41" s="24"/>
      <c r="N41" s="24"/>
    </row>
    <row r="42" spans="1:14" ht="18.75" customHeight="1">
      <c r="A42" s="11">
        <v>39</v>
      </c>
      <c r="B42" s="2"/>
      <c r="C42" s="3"/>
      <c r="D42" s="67"/>
      <c r="E42" s="3"/>
      <c r="F42" s="4" t="str">
        <f t="shared" si="0"/>
        <v/>
      </c>
      <c r="G42" s="5"/>
      <c r="H42" s="5" t="str">
        <f t="shared" si="1"/>
        <v/>
      </c>
      <c r="I42" s="17"/>
      <c r="J42" s="6" t="s">
        <v>15</v>
      </c>
      <c r="K42" s="15" t="str">
        <f t="shared" si="2"/>
        <v/>
      </c>
      <c r="L42" s="6" t="s">
        <v>6</v>
      </c>
      <c r="M42" s="24"/>
      <c r="N42" s="24"/>
    </row>
    <row r="43" spans="1:14" ht="18.75" customHeight="1" thickBot="1">
      <c r="A43" s="47">
        <v>40</v>
      </c>
      <c r="B43" s="48"/>
      <c r="C43" s="49"/>
      <c r="D43" s="68"/>
      <c r="E43" s="49"/>
      <c r="F43" s="50" t="str">
        <f t="shared" si="0"/>
        <v/>
      </c>
      <c r="G43" s="51"/>
      <c r="H43" s="51" t="str">
        <f t="shared" si="1"/>
        <v/>
      </c>
      <c r="I43" s="59"/>
      <c r="J43" s="53" t="s">
        <v>15</v>
      </c>
      <c r="K43" s="60" t="str">
        <f t="shared" si="2"/>
        <v/>
      </c>
      <c r="L43" s="53" t="s">
        <v>6</v>
      </c>
      <c r="M43" s="55"/>
      <c r="N43" s="55"/>
    </row>
    <row r="44" spans="1:14" ht="18.75" customHeight="1" thickTop="1">
      <c r="I44" s="58">
        <f>SUM(I4:I43)</f>
        <v>35280</v>
      </c>
      <c r="J44" s="10" t="s">
        <v>17</v>
      </c>
      <c r="K44" s="20">
        <f>SUM(K4:K43)</f>
        <v>35280</v>
      </c>
      <c r="L44" s="10" t="s">
        <v>6</v>
      </c>
    </row>
    <row r="45" spans="1:14" ht="20.25" customHeight="1">
      <c r="B45" s="78" t="s">
        <v>13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0"/>
    </row>
    <row r="46" spans="1:14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0"/>
    </row>
    <row r="47" spans="1:14" ht="26.25" customHeight="1">
      <c r="A47" s="11"/>
      <c r="B47" s="2" t="s">
        <v>1</v>
      </c>
      <c r="C47" s="86" t="s">
        <v>2</v>
      </c>
      <c r="D47" s="87"/>
      <c r="E47" s="88" t="s">
        <v>3</v>
      </c>
      <c r="F47" s="89"/>
      <c r="G47" s="22" t="s">
        <v>4</v>
      </c>
      <c r="H47" s="22" t="s">
        <v>7</v>
      </c>
      <c r="I47" s="90" t="s">
        <v>8</v>
      </c>
      <c r="J47" s="88"/>
      <c r="K47" s="90" t="s">
        <v>5</v>
      </c>
      <c r="L47" s="90"/>
      <c r="M47" s="23" t="s">
        <v>14</v>
      </c>
      <c r="N47" s="1" t="s">
        <v>10</v>
      </c>
    </row>
    <row r="48" spans="1:14" ht="18.75" customHeight="1">
      <c r="A48" s="11">
        <v>41</v>
      </c>
      <c r="B48" s="2"/>
      <c r="C48" s="3"/>
      <c r="D48" s="6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4"/>
      <c r="J48" s="6" t="s">
        <v>15</v>
      </c>
      <c r="K48" s="15" t="str">
        <f t="shared" ref="K48:K81" si="5">IF(I48&gt;0,I48,"")</f>
        <v/>
      </c>
      <c r="L48" s="6" t="s">
        <v>6</v>
      </c>
      <c r="M48" s="24"/>
      <c r="N48" s="24"/>
    </row>
    <row r="49" spans="1:14" ht="18.75" customHeight="1">
      <c r="A49" s="11">
        <v>42</v>
      </c>
      <c r="B49" s="2"/>
      <c r="C49" s="3"/>
      <c r="D49" s="64"/>
      <c r="E49" s="7"/>
      <c r="F49" s="4" t="str">
        <f t="shared" si="3"/>
        <v/>
      </c>
      <c r="G49" s="5"/>
      <c r="H49" s="5" t="str">
        <f t="shared" si="4"/>
        <v/>
      </c>
      <c r="I49" s="16"/>
      <c r="J49" s="8" t="s">
        <v>15</v>
      </c>
      <c r="K49" s="15" t="str">
        <f t="shared" si="5"/>
        <v/>
      </c>
      <c r="L49" s="9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4"/>
      <c r="E50" s="3"/>
      <c r="F50" s="4" t="str">
        <f t="shared" si="3"/>
        <v/>
      </c>
      <c r="G50" s="5"/>
      <c r="H50" s="5" t="str">
        <f t="shared" si="4"/>
        <v/>
      </c>
      <c r="I50" s="17"/>
      <c r="J50" s="6" t="s">
        <v>15</v>
      </c>
      <c r="K50" s="15" t="str">
        <f t="shared" si="5"/>
        <v/>
      </c>
      <c r="L50" s="6" t="s">
        <v>6</v>
      </c>
      <c r="M50" s="24"/>
      <c r="N50" s="24"/>
    </row>
    <row r="51" spans="1:14" ht="18.75" customHeight="1">
      <c r="A51" s="11">
        <v>44</v>
      </c>
      <c r="B51" s="2"/>
      <c r="C51" s="3"/>
      <c r="D51" s="64"/>
      <c r="E51" s="3"/>
      <c r="F51" s="4" t="str">
        <f t="shared" si="3"/>
        <v/>
      </c>
      <c r="G51" s="5"/>
      <c r="H51" s="5" t="str">
        <f t="shared" si="4"/>
        <v/>
      </c>
      <c r="I51" s="16"/>
      <c r="J51" s="8" t="s">
        <v>15</v>
      </c>
      <c r="K51" s="15" t="str">
        <f t="shared" si="5"/>
        <v/>
      </c>
      <c r="L51" s="9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5"/>
      <c r="E52" s="7"/>
      <c r="F52" s="4" t="str">
        <f t="shared" si="3"/>
        <v/>
      </c>
      <c r="G52" s="5"/>
      <c r="H52" s="5" t="str">
        <f t="shared" si="4"/>
        <v/>
      </c>
      <c r="I52" s="17"/>
      <c r="J52" s="6" t="s">
        <v>15</v>
      </c>
      <c r="K52" s="15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4"/>
      <c r="E53" s="3"/>
      <c r="F53" s="4" t="str">
        <f t="shared" si="3"/>
        <v/>
      </c>
      <c r="G53" s="5"/>
      <c r="H53" s="5" t="str">
        <f t="shared" si="4"/>
        <v/>
      </c>
      <c r="I53" s="17"/>
      <c r="J53" s="6" t="s">
        <v>15</v>
      </c>
      <c r="K53" s="15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4"/>
      <c r="E54" s="3"/>
      <c r="F54" s="4" t="str">
        <f t="shared" si="3"/>
        <v/>
      </c>
      <c r="G54" s="5"/>
      <c r="H54" s="5" t="str">
        <f t="shared" si="4"/>
        <v/>
      </c>
      <c r="I54" s="16"/>
      <c r="J54" s="25" t="s">
        <v>15</v>
      </c>
      <c r="K54" s="15" t="str">
        <f t="shared" si="5"/>
        <v/>
      </c>
      <c r="L54" s="25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4"/>
      <c r="E55" s="7"/>
      <c r="F55" s="4" t="str">
        <f t="shared" si="3"/>
        <v/>
      </c>
      <c r="G55" s="5"/>
      <c r="H55" s="5" t="str">
        <f t="shared" si="4"/>
        <v/>
      </c>
      <c r="I55" s="17"/>
      <c r="J55" s="8" t="s">
        <v>15</v>
      </c>
      <c r="K55" s="15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4"/>
      <c r="E56" s="3"/>
      <c r="F56" s="4" t="str">
        <f t="shared" si="3"/>
        <v/>
      </c>
      <c r="G56" s="5"/>
      <c r="H56" s="5" t="str">
        <f t="shared" si="4"/>
        <v/>
      </c>
      <c r="I56" s="17"/>
      <c r="J56" s="6" t="s">
        <v>15</v>
      </c>
      <c r="K56" s="15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4"/>
      <c r="E57" s="7"/>
      <c r="F57" s="4" t="str">
        <f t="shared" si="3"/>
        <v/>
      </c>
      <c r="G57" s="5"/>
      <c r="H57" s="5" t="str">
        <f t="shared" si="4"/>
        <v/>
      </c>
      <c r="I57" s="17"/>
      <c r="J57" s="8" t="s">
        <v>15</v>
      </c>
      <c r="K57" s="15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4"/>
      <c r="E58" s="3"/>
      <c r="F58" s="4" t="str">
        <f t="shared" si="3"/>
        <v/>
      </c>
      <c r="G58" s="5"/>
      <c r="H58" s="5" t="str">
        <f t="shared" si="4"/>
        <v/>
      </c>
      <c r="I58" s="17"/>
      <c r="J58" s="6" t="s">
        <v>15</v>
      </c>
      <c r="K58" s="15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4"/>
      <c r="E59" s="3"/>
      <c r="F59" s="4" t="str">
        <f t="shared" si="3"/>
        <v/>
      </c>
      <c r="G59" s="5"/>
      <c r="H59" s="5" t="str">
        <f t="shared" si="4"/>
        <v/>
      </c>
      <c r="I59" s="16"/>
      <c r="J59" s="8" t="s">
        <v>15</v>
      </c>
      <c r="K59" s="15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6"/>
      <c r="E60" s="3"/>
      <c r="F60" s="4" t="str">
        <f t="shared" si="3"/>
        <v/>
      </c>
      <c r="G60" s="5"/>
      <c r="H60" s="5" t="str">
        <f t="shared" si="4"/>
        <v/>
      </c>
      <c r="I60" s="17"/>
      <c r="J60" s="6" t="s">
        <v>15</v>
      </c>
      <c r="K60" s="15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6"/>
      <c r="E61" s="3"/>
      <c r="F61" s="4" t="str">
        <f t="shared" si="3"/>
        <v/>
      </c>
      <c r="G61" s="5"/>
      <c r="H61" s="5" t="str">
        <f t="shared" si="4"/>
        <v/>
      </c>
      <c r="I61" s="17"/>
      <c r="J61" s="6" t="s">
        <v>15</v>
      </c>
      <c r="K61" s="15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6"/>
      <c r="E62" s="3"/>
      <c r="F62" s="4" t="str">
        <f t="shared" si="3"/>
        <v/>
      </c>
      <c r="G62" s="5"/>
      <c r="H62" s="5" t="str">
        <f t="shared" si="4"/>
        <v/>
      </c>
      <c r="I62" s="17"/>
      <c r="J62" s="6" t="s">
        <v>15</v>
      </c>
      <c r="K62" s="15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6"/>
      <c r="E63" s="7"/>
      <c r="F63" s="4" t="str">
        <f t="shared" si="3"/>
        <v/>
      </c>
      <c r="G63" s="5"/>
      <c r="H63" s="5" t="str">
        <f t="shared" si="4"/>
        <v/>
      </c>
      <c r="I63" s="16"/>
      <c r="J63" s="8" t="s">
        <v>15</v>
      </c>
      <c r="K63" s="15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6"/>
      <c r="E64" s="3"/>
      <c r="F64" s="4" t="str">
        <f t="shared" si="3"/>
        <v/>
      </c>
      <c r="G64" s="5"/>
      <c r="H64" s="5" t="str">
        <f t="shared" si="4"/>
        <v/>
      </c>
      <c r="I64" s="17"/>
      <c r="J64" s="6" t="s">
        <v>15</v>
      </c>
      <c r="K64" s="15" t="str">
        <f t="shared" si="5"/>
        <v/>
      </c>
      <c r="L64" s="6" t="s">
        <v>6</v>
      </c>
      <c r="M64" s="24"/>
      <c r="N64" s="24"/>
    </row>
    <row r="65" spans="1:14" ht="18.75" customHeight="1">
      <c r="A65" s="11">
        <v>58</v>
      </c>
      <c r="B65" s="2"/>
      <c r="C65" s="3"/>
      <c r="D65" s="66"/>
      <c r="E65" s="3"/>
      <c r="F65" s="4" t="str">
        <f t="shared" si="3"/>
        <v/>
      </c>
      <c r="G65" s="5"/>
      <c r="H65" s="5" t="str">
        <f t="shared" si="4"/>
        <v/>
      </c>
      <c r="I65" s="17"/>
      <c r="J65" s="6" t="s">
        <v>15</v>
      </c>
      <c r="K65" s="15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6"/>
      <c r="E66" s="3"/>
      <c r="F66" s="4" t="str">
        <f t="shared" si="3"/>
        <v/>
      </c>
      <c r="G66" s="5"/>
      <c r="H66" s="5" t="str">
        <f t="shared" si="4"/>
        <v/>
      </c>
      <c r="I66" s="17"/>
      <c r="J66" s="6" t="s">
        <v>15</v>
      </c>
      <c r="K66" s="15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7"/>
      <c r="E67" s="3"/>
      <c r="F67" s="4" t="str">
        <f t="shared" si="3"/>
        <v/>
      </c>
      <c r="G67" s="5"/>
      <c r="H67" s="5" t="str">
        <f t="shared" si="4"/>
        <v/>
      </c>
      <c r="I67" s="17"/>
      <c r="J67" s="6" t="s">
        <v>11</v>
      </c>
      <c r="K67" s="15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7"/>
      <c r="E68" s="3"/>
      <c r="F68" s="4" t="str">
        <f t="shared" si="3"/>
        <v/>
      </c>
      <c r="G68" s="5"/>
      <c r="H68" s="5" t="str">
        <f t="shared" si="4"/>
        <v/>
      </c>
      <c r="I68" s="17"/>
      <c r="J68" s="8" t="s">
        <v>11</v>
      </c>
      <c r="K68" s="15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7"/>
      <c r="E69" s="3"/>
      <c r="F69" s="4" t="str">
        <f t="shared" si="3"/>
        <v/>
      </c>
      <c r="G69" s="5"/>
      <c r="H69" s="5" t="str">
        <f t="shared" si="4"/>
        <v/>
      </c>
      <c r="I69" s="17"/>
      <c r="J69" s="6" t="s">
        <v>11</v>
      </c>
      <c r="K69" s="15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7"/>
      <c r="E70" s="3"/>
      <c r="F70" s="4" t="str">
        <f t="shared" si="3"/>
        <v/>
      </c>
      <c r="G70" s="5"/>
      <c r="H70" s="5" t="str">
        <f t="shared" si="4"/>
        <v/>
      </c>
      <c r="I70" s="17"/>
      <c r="J70" s="6" t="s">
        <v>15</v>
      </c>
      <c r="K70" s="15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7"/>
      <c r="E71" s="3"/>
      <c r="F71" s="4" t="str">
        <f t="shared" si="3"/>
        <v/>
      </c>
      <c r="G71" s="5"/>
      <c r="H71" s="5" t="str">
        <f t="shared" si="4"/>
        <v/>
      </c>
      <c r="I71" s="17"/>
      <c r="J71" s="8" t="s">
        <v>15</v>
      </c>
      <c r="K71" s="15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7"/>
      <c r="E72" s="3"/>
      <c r="F72" s="4" t="str">
        <f t="shared" si="3"/>
        <v/>
      </c>
      <c r="G72" s="5"/>
      <c r="H72" s="5" t="str">
        <f t="shared" si="4"/>
        <v/>
      </c>
      <c r="I72" s="17"/>
      <c r="J72" s="6" t="s">
        <v>15</v>
      </c>
      <c r="K72" s="15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7"/>
      <c r="E73" s="3"/>
      <c r="F73" s="4" t="str">
        <f t="shared" si="3"/>
        <v/>
      </c>
      <c r="G73" s="5"/>
      <c r="H73" s="5" t="str">
        <f t="shared" si="4"/>
        <v/>
      </c>
      <c r="I73" s="17"/>
      <c r="J73" s="6" t="s">
        <v>15</v>
      </c>
      <c r="K73" s="15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7"/>
      <c r="E74" s="3"/>
      <c r="F74" s="4" t="str">
        <f t="shared" si="3"/>
        <v/>
      </c>
      <c r="G74" s="5"/>
      <c r="H74" s="5" t="str">
        <f t="shared" si="4"/>
        <v/>
      </c>
      <c r="I74" s="17"/>
      <c r="J74" s="8" t="s">
        <v>15</v>
      </c>
      <c r="K74" s="15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7"/>
      <c r="E75" s="7"/>
      <c r="F75" s="4" t="str">
        <f t="shared" si="3"/>
        <v/>
      </c>
      <c r="G75" s="5"/>
      <c r="H75" s="5" t="str">
        <f t="shared" si="4"/>
        <v/>
      </c>
      <c r="I75" s="17"/>
      <c r="J75" s="6" t="s">
        <v>15</v>
      </c>
      <c r="K75" s="15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7"/>
      <c r="E76" s="3"/>
      <c r="F76" s="4" t="str">
        <f t="shared" si="3"/>
        <v/>
      </c>
      <c r="G76" s="5"/>
      <c r="H76" s="5" t="str">
        <f t="shared" si="4"/>
        <v/>
      </c>
      <c r="I76" s="17"/>
      <c r="J76" s="6" t="s">
        <v>15</v>
      </c>
      <c r="K76" s="15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7"/>
      <c r="E77" s="3"/>
      <c r="F77" s="4" t="str">
        <f t="shared" si="3"/>
        <v/>
      </c>
      <c r="G77" s="5"/>
      <c r="H77" s="5" t="str">
        <f t="shared" si="4"/>
        <v/>
      </c>
      <c r="I77" s="17"/>
      <c r="J77" s="6" t="s">
        <v>15</v>
      </c>
      <c r="K77" s="15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7"/>
      <c r="E78" s="3"/>
      <c r="F78" s="4" t="str">
        <f t="shared" si="3"/>
        <v/>
      </c>
      <c r="G78" s="5"/>
      <c r="H78" s="5" t="str">
        <f t="shared" si="4"/>
        <v/>
      </c>
      <c r="I78" s="18"/>
      <c r="J78" s="6" t="s">
        <v>15</v>
      </c>
      <c r="K78" s="15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7"/>
      <c r="E79" s="3"/>
      <c r="F79" s="4" t="str">
        <f t="shared" si="3"/>
        <v/>
      </c>
      <c r="G79" s="5"/>
      <c r="H79" s="5" t="str">
        <f t="shared" si="4"/>
        <v/>
      </c>
      <c r="I79" s="17"/>
      <c r="J79" s="6" t="s">
        <v>15</v>
      </c>
      <c r="K79" s="15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7"/>
      <c r="E80" s="7"/>
      <c r="F80" s="4" t="str">
        <f t="shared" si="3"/>
        <v/>
      </c>
      <c r="G80" s="5"/>
      <c r="H80" s="5" t="str">
        <f t="shared" si="4"/>
        <v/>
      </c>
      <c r="I80" s="16"/>
      <c r="J80" s="6" t="s">
        <v>15</v>
      </c>
      <c r="K80" s="15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7"/>
      <c r="E81" s="3"/>
      <c r="F81" s="4" t="str">
        <f t="shared" si="3"/>
        <v/>
      </c>
      <c r="G81" s="5"/>
      <c r="H81" s="5" t="str">
        <f t="shared" si="4"/>
        <v/>
      </c>
      <c r="I81" s="17"/>
      <c r="J81" s="6" t="s">
        <v>15</v>
      </c>
      <c r="K81" s="15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7"/>
      <c r="E82" s="3"/>
      <c r="F82" s="4"/>
      <c r="G82" s="5"/>
      <c r="H82" s="5"/>
      <c r="I82" s="17"/>
      <c r="J82" s="6" t="s">
        <v>15</v>
      </c>
      <c r="K82" s="15"/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7"/>
      <c r="E83" s="3"/>
      <c r="F83" s="4"/>
      <c r="G83" s="5"/>
      <c r="H83" s="5"/>
      <c r="I83" s="17"/>
      <c r="J83" s="6" t="s">
        <v>15</v>
      </c>
      <c r="K83" s="15"/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7"/>
      <c r="E84" s="3"/>
      <c r="F84" s="4"/>
      <c r="G84" s="5"/>
      <c r="H84" s="5"/>
      <c r="I84" s="17"/>
      <c r="J84" s="6" t="s">
        <v>15</v>
      </c>
      <c r="K84" s="15"/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7"/>
      <c r="E85" s="3"/>
      <c r="F85" s="4"/>
      <c r="G85" s="5"/>
      <c r="H85" s="5"/>
      <c r="I85" s="17"/>
      <c r="J85" s="6" t="s">
        <v>15</v>
      </c>
      <c r="K85" s="15"/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7"/>
      <c r="E86" s="3"/>
      <c r="F86" s="4" t="str">
        <f t="shared" si="3"/>
        <v/>
      </c>
      <c r="G86" s="5"/>
      <c r="H86" s="5" t="str">
        <f t="shared" si="4"/>
        <v/>
      </c>
      <c r="I86" s="17"/>
      <c r="J86" s="6" t="s">
        <v>15</v>
      </c>
      <c r="K86" s="15" t="str">
        <f>IF(I86&gt;0,I86,"")</f>
        <v/>
      </c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68"/>
      <c r="E87" s="49"/>
      <c r="F87" s="50" t="str">
        <f t="shared" si="3"/>
        <v/>
      </c>
      <c r="G87" s="51"/>
      <c r="H87" s="51" t="str">
        <f t="shared" si="4"/>
        <v/>
      </c>
      <c r="I87" s="59"/>
      <c r="J87" s="53" t="s">
        <v>15</v>
      </c>
      <c r="K87" s="60" t="str">
        <f>IF(I87&gt;0,I87,"")</f>
        <v/>
      </c>
      <c r="L87" s="53" t="s">
        <v>6</v>
      </c>
      <c r="M87" s="55"/>
      <c r="N87" s="55"/>
    </row>
    <row r="88" spans="1:14" ht="18.75" customHeight="1" thickTop="1">
      <c r="I88" s="19">
        <f>SUM(I48:I87)+I44</f>
        <v>35280</v>
      </c>
      <c r="J88" s="10" t="s">
        <v>17</v>
      </c>
      <c r="K88" s="20">
        <f>SUM(K48:K87)+K44</f>
        <v>35280</v>
      </c>
      <c r="L88" s="10" t="s">
        <v>6</v>
      </c>
    </row>
  </sheetData>
  <mergeCells count="12">
    <mergeCell ref="B46:M46"/>
    <mergeCell ref="B45:M45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3">
    <dataValidation imeMode="on" allowBlank="1" showInputMessage="1" showErrorMessage="1" sqref="B48:C87 B4:C43" xr:uid="{30763A67-B9DC-477D-983E-7141ED5E4BB0}"/>
    <dataValidation imeMode="disabled" allowBlank="1" showInputMessage="1" showErrorMessage="1" sqref="E48:E87 E4:E43 G4:N43 G48:N87" xr:uid="{888C71B0-D54A-47BE-B7C8-2C3774013C7F}"/>
    <dataValidation type="list" imeMode="on" allowBlank="1" showInputMessage="1" showErrorMessage="1" promptTitle="こんにちは" sqref="D4:D43 D53:D87 D48:D51" xr:uid="{C9C5DB0E-7443-4D29-B710-C6A71F9F1B0C}">
      <formula1>"鴛泊下水浄化センター,沓形浄化センター"</formula1>
    </dataValidation>
  </dataValidations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portrait" horizontalDpi="4294967293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830C-0D36-4526-984B-0B8057C4F8A7}">
  <dimension ref="A1:O88"/>
  <sheetViews>
    <sheetView topLeftCell="A7" workbookViewId="0">
      <selection activeCell="B14" sqref="B14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29</v>
      </c>
      <c r="C4" s="3"/>
      <c r="D4" s="69" t="s">
        <v>35</v>
      </c>
      <c r="E4" s="3">
        <v>2056052084</v>
      </c>
      <c r="F4" s="4">
        <f t="shared" ref="F4:F41" si="0">IF(E4="","",E4-INT(E4/7)*7)</f>
        <v>2</v>
      </c>
      <c r="G4" s="5">
        <v>45778</v>
      </c>
      <c r="H4" s="5">
        <f t="shared" ref="H4:H41" si="1">IF(G4="","",G4)</f>
        <v>45778</v>
      </c>
      <c r="I4" s="29">
        <v>1830</v>
      </c>
      <c r="J4" s="6" t="s">
        <v>15</v>
      </c>
      <c r="K4" s="63">
        <f t="shared" ref="K4:K41" si="2">IF(I4&gt;0,I4*0.2,"")</f>
        <v>366</v>
      </c>
      <c r="L4" s="6" t="s">
        <v>6</v>
      </c>
      <c r="M4" s="24"/>
      <c r="N4" s="31">
        <v>38</v>
      </c>
    </row>
    <row r="5" spans="1:15" ht="18.75" customHeight="1">
      <c r="A5" s="11">
        <v>2</v>
      </c>
      <c r="B5" s="2" t="s">
        <v>29</v>
      </c>
      <c r="C5" s="3"/>
      <c r="D5" s="69" t="s">
        <v>30</v>
      </c>
      <c r="E5" s="7">
        <v>2168523017</v>
      </c>
      <c r="F5" s="4">
        <f t="shared" si="0"/>
        <v>3</v>
      </c>
      <c r="G5" s="5">
        <v>45779</v>
      </c>
      <c r="H5" s="5">
        <f t="shared" si="1"/>
        <v>45779</v>
      </c>
      <c r="I5" s="32">
        <v>420</v>
      </c>
      <c r="J5" s="33" t="s">
        <v>15</v>
      </c>
      <c r="K5" s="73">
        <f t="shared" si="2"/>
        <v>84</v>
      </c>
      <c r="L5" s="6" t="s">
        <v>6</v>
      </c>
      <c r="M5" s="24"/>
      <c r="N5" s="24">
        <v>39</v>
      </c>
    </row>
    <row r="6" spans="1:15" ht="18.75" customHeight="1">
      <c r="A6" s="11">
        <v>3</v>
      </c>
      <c r="B6" s="2" t="s">
        <v>29</v>
      </c>
      <c r="C6" s="3"/>
      <c r="D6" s="69" t="s">
        <v>30</v>
      </c>
      <c r="E6" s="3">
        <v>2168523015</v>
      </c>
      <c r="F6" s="4">
        <f t="shared" si="0"/>
        <v>1</v>
      </c>
      <c r="G6" s="5">
        <v>45784</v>
      </c>
      <c r="H6" s="5">
        <f t="shared" si="1"/>
        <v>45784</v>
      </c>
      <c r="I6" s="35">
        <v>430</v>
      </c>
      <c r="J6" s="8" t="s">
        <v>15</v>
      </c>
      <c r="K6" s="71">
        <f t="shared" si="2"/>
        <v>86</v>
      </c>
      <c r="L6" s="9" t="s">
        <v>6</v>
      </c>
      <c r="M6" s="37"/>
      <c r="N6" s="24">
        <v>40</v>
      </c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2168522935</v>
      </c>
      <c r="F7" s="4">
        <f t="shared" si="0"/>
        <v>5</v>
      </c>
      <c r="G7" s="5">
        <v>45785</v>
      </c>
      <c r="H7" s="5">
        <f t="shared" si="1"/>
        <v>45785</v>
      </c>
      <c r="I7" s="32">
        <v>430</v>
      </c>
      <c r="J7" s="6" t="s">
        <v>15</v>
      </c>
      <c r="K7" s="63">
        <f t="shared" si="2"/>
        <v>86</v>
      </c>
      <c r="L7" s="6" t="s">
        <v>6</v>
      </c>
      <c r="M7" s="24"/>
      <c r="N7" s="24">
        <v>42</v>
      </c>
    </row>
    <row r="8" spans="1:15" ht="18.75" customHeight="1">
      <c r="A8" s="11">
        <v>5</v>
      </c>
      <c r="B8" s="2" t="s">
        <v>27</v>
      </c>
      <c r="C8" s="3"/>
      <c r="D8" s="69" t="s">
        <v>28</v>
      </c>
      <c r="E8" s="3">
        <v>2602209158</v>
      </c>
      <c r="F8" s="4">
        <f t="shared" si="0"/>
        <v>3</v>
      </c>
      <c r="G8" s="5">
        <v>45786</v>
      </c>
      <c r="H8" s="5">
        <f t="shared" si="1"/>
        <v>45786</v>
      </c>
      <c r="I8" s="32">
        <v>70</v>
      </c>
      <c r="J8" s="6" t="s">
        <v>15</v>
      </c>
      <c r="K8" s="63">
        <f t="shared" si="2"/>
        <v>14</v>
      </c>
      <c r="L8" s="6" t="s">
        <v>6</v>
      </c>
      <c r="M8" s="24"/>
      <c r="N8" s="24">
        <v>43</v>
      </c>
    </row>
    <row r="9" spans="1:15" ht="18.75" customHeight="1">
      <c r="A9" s="11">
        <v>6</v>
      </c>
      <c r="B9" s="2" t="s">
        <v>29</v>
      </c>
      <c r="C9" s="3"/>
      <c r="D9" s="69" t="s">
        <v>30</v>
      </c>
      <c r="E9" s="3">
        <v>2168523014</v>
      </c>
      <c r="F9" s="4">
        <f t="shared" si="0"/>
        <v>0</v>
      </c>
      <c r="G9" s="5">
        <v>45786</v>
      </c>
      <c r="H9" s="5">
        <f t="shared" si="1"/>
        <v>45786</v>
      </c>
      <c r="I9" s="32">
        <v>220</v>
      </c>
      <c r="J9" s="6" t="s">
        <v>15</v>
      </c>
      <c r="K9" s="63">
        <f t="shared" si="2"/>
        <v>44</v>
      </c>
      <c r="L9" s="6" t="s">
        <v>6</v>
      </c>
      <c r="M9" s="24"/>
      <c r="N9" s="24">
        <v>45</v>
      </c>
    </row>
    <row r="10" spans="1:15" ht="18.75" customHeight="1">
      <c r="A10" s="11">
        <v>7</v>
      </c>
      <c r="B10" s="2" t="s">
        <v>29</v>
      </c>
      <c r="C10" s="3"/>
      <c r="D10" s="69" t="s">
        <v>25</v>
      </c>
      <c r="E10" s="3">
        <v>2585447399</v>
      </c>
      <c r="F10" s="4">
        <f t="shared" si="0"/>
        <v>3</v>
      </c>
      <c r="G10" s="5">
        <v>45786</v>
      </c>
      <c r="H10" s="5">
        <f t="shared" si="1"/>
        <v>45786</v>
      </c>
      <c r="I10" s="32">
        <v>340</v>
      </c>
      <c r="J10" s="6" t="s">
        <v>15</v>
      </c>
      <c r="K10" s="30">
        <f t="shared" si="2"/>
        <v>68</v>
      </c>
      <c r="L10" s="6" t="s">
        <v>6</v>
      </c>
      <c r="M10" s="24">
        <v>546</v>
      </c>
      <c r="N10" s="24"/>
    </row>
    <row r="11" spans="1:15" ht="18.75" customHeight="1">
      <c r="A11" s="11">
        <v>8</v>
      </c>
      <c r="B11" s="2" t="s">
        <v>29</v>
      </c>
      <c r="C11" s="3"/>
      <c r="D11" s="69" t="s">
        <v>30</v>
      </c>
      <c r="E11" s="3">
        <v>2168523012</v>
      </c>
      <c r="F11" s="4">
        <f t="shared" si="0"/>
        <v>5</v>
      </c>
      <c r="G11" s="5">
        <v>45789</v>
      </c>
      <c r="H11" s="5">
        <f t="shared" si="1"/>
        <v>45789</v>
      </c>
      <c r="I11" s="38">
        <v>210</v>
      </c>
      <c r="J11" s="8" t="s">
        <v>15</v>
      </c>
      <c r="K11" s="63">
        <f t="shared" si="2"/>
        <v>42</v>
      </c>
      <c r="L11" s="9" t="s">
        <v>6</v>
      </c>
      <c r="M11" s="24"/>
      <c r="N11" s="24">
        <v>47</v>
      </c>
    </row>
    <row r="12" spans="1:15" ht="18.75" customHeight="1">
      <c r="A12" s="11">
        <v>9</v>
      </c>
      <c r="B12" s="2" t="s">
        <v>29</v>
      </c>
      <c r="C12" s="3"/>
      <c r="D12" s="69" t="s">
        <v>30</v>
      </c>
      <c r="E12" s="3">
        <v>2168523011</v>
      </c>
      <c r="F12" s="4">
        <f t="shared" si="0"/>
        <v>4</v>
      </c>
      <c r="G12" s="5">
        <v>45790</v>
      </c>
      <c r="H12" s="5">
        <f t="shared" si="1"/>
        <v>45790</v>
      </c>
      <c r="I12" s="32">
        <v>410</v>
      </c>
      <c r="J12" s="6" t="s">
        <v>15</v>
      </c>
      <c r="K12" s="63">
        <f t="shared" si="2"/>
        <v>82</v>
      </c>
      <c r="L12" s="6" t="s">
        <v>6</v>
      </c>
      <c r="M12" s="24"/>
      <c r="N12" s="24">
        <v>49</v>
      </c>
    </row>
    <row r="13" spans="1:15" ht="18.75" customHeight="1">
      <c r="A13" s="11">
        <v>10</v>
      </c>
      <c r="B13" s="2" t="s">
        <v>29</v>
      </c>
      <c r="C13" s="3"/>
      <c r="D13" s="69" t="s">
        <v>25</v>
      </c>
      <c r="E13" s="3">
        <v>2585447400</v>
      </c>
      <c r="F13" s="4">
        <f t="shared" si="0"/>
        <v>4</v>
      </c>
      <c r="G13" s="5">
        <v>45790</v>
      </c>
      <c r="H13" s="5">
        <f t="shared" si="1"/>
        <v>45790</v>
      </c>
      <c r="I13" s="38">
        <v>450</v>
      </c>
      <c r="J13" s="8" t="s">
        <v>15</v>
      </c>
      <c r="K13" s="30">
        <f t="shared" si="2"/>
        <v>90</v>
      </c>
      <c r="L13" s="9" t="s">
        <v>6</v>
      </c>
      <c r="M13" s="24">
        <v>567</v>
      </c>
      <c r="N13" s="24"/>
    </row>
    <row r="14" spans="1:15" ht="18.75" customHeight="1">
      <c r="A14" s="11">
        <v>11</v>
      </c>
      <c r="B14" s="2" t="s">
        <v>29</v>
      </c>
      <c r="C14" s="3"/>
      <c r="D14" s="69" t="s">
        <v>30</v>
      </c>
      <c r="E14" s="3">
        <v>2168522951</v>
      </c>
      <c r="F14" s="4">
        <f t="shared" si="0"/>
        <v>0</v>
      </c>
      <c r="G14" s="5">
        <v>45792</v>
      </c>
      <c r="H14" s="5">
        <f t="shared" si="1"/>
        <v>45792</v>
      </c>
      <c r="I14" s="32">
        <v>210</v>
      </c>
      <c r="J14" s="6" t="s">
        <v>15</v>
      </c>
      <c r="K14" s="63">
        <f t="shared" si="2"/>
        <v>42</v>
      </c>
      <c r="L14" s="6" t="s">
        <v>6</v>
      </c>
      <c r="M14" s="24"/>
      <c r="N14" s="24">
        <v>51</v>
      </c>
      <c r="O14" s="56"/>
    </row>
    <row r="15" spans="1:15" ht="18.75" customHeight="1">
      <c r="A15" s="11">
        <v>12</v>
      </c>
      <c r="B15" s="2" t="s">
        <v>27</v>
      </c>
      <c r="C15" s="3"/>
      <c r="D15" s="69" t="s">
        <v>28</v>
      </c>
      <c r="E15" s="3">
        <v>2602209159</v>
      </c>
      <c r="F15" s="4">
        <f t="shared" si="0"/>
        <v>4</v>
      </c>
      <c r="G15" s="5">
        <v>45793</v>
      </c>
      <c r="H15" s="5">
        <f t="shared" si="1"/>
        <v>45793</v>
      </c>
      <c r="I15" s="39">
        <v>160</v>
      </c>
      <c r="J15" s="8" t="s">
        <v>15</v>
      </c>
      <c r="K15" s="63">
        <f t="shared" si="2"/>
        <v>32</v>
      </c>
      <c r="L15" s="6" t="s">
        <v>6</v>
      </c>
      <c r="M15" s="24"/>
      <c r="N15" s="24">
        <v>53</v>
      </c>
    </row>
    <row r="16" spans="1:15" ht="18.75" customHeight="1">
      <c r="A16" s="11">
        <v>13</v>
      </c>
      <c r="B16" s="2" t="s">
        <v>29</v>
      </c>
      <c r="C16" s="3"/>
      <c r="D16" s="69" t="s">
        <v>30</v>
      </c>
      <c r="E16" s="3">
        <v>2168522950</v>
      </c>
      <c r="F16" s="4">
        <f t="shared" si="0"/>
        <v>6</v>
      </c>
      <c r="G16" s="5">
        <v>45793</v>
      </c>
      <c r="H16" s="5">
        <f t="shared" si="1"/>
        <v>45793</v>
      </c>
      <c r="I16" s="32">
        <v>220</v>
      </c>
      <c r="J16" s="6" t="s">
        <v>15</v>
      </c>
      <c r="K16" s="63">
        <f t="shared" si="2"/>
        <v>44</v>
      </c>
      <c r="L16" s="6" t="s">
        <v>6</v>
      </c>
      <c r="M16" s="24"/>
      <c r="N16" s="24">
        <v>55</v>
      </c>
    </row>
    <row r="17" spans="1:15" ht="18.75" customHeight="1">
      <c r="A17" s="11">
        <v>14</v>
      </c>
      <c r="B17" s="2" t="s">
        <v>29</v>
      </c>
      <c r="C17" s="3"/>
      <c r="D17" s="69" t="s">
        <v>25</v>
      </c>
      <c r="E17" s="3">
        <v>2585447405</v>
      </c>
      <c r="F17" s="4">
        <f t="shared" si="0"/>
        <v>2</v>
      </c>
      <c r="G17" s="5">
        <v>45793</v>
      </c>
      <c r="H17" s="5">
        <f t="shared" si="1"/>
        <v>45793</v>
      </c>
      <c r="I17" s="32">
        <v>600</v>
      </c>
      <c r="J17" s="6" t="s">
        <v>15</v>
      </c>
      <c r="K17" s="30">
        <f t="shared" si="2"/>
        <v>120</v>
      </c>
      <c r="L17" s="6" t="s">
        <v>6</v>
      </c>
      <c r="M17" s="24">
        <v>584</v>
      </c>
      <c r="N17" s="24"/>
    </row>
    <row r="18" spans="1:15" ht="18.75" customHeight="1">
      <c r="A18" s="11">
        <v>15</v>
      </c>
      <c r="B18" s="2" t="s">
        <v>29</v>
      </c>
      <c r="C18" s="3"/>
      <c r="D18" s="69" t="s">
        <v>30</v>
      </c>
      <c r="E18" s="3">
        <v>2168522953</v>
      </c>
      <c r="F18" s="4">
        <f t="shared" si="0"/>
        <v>2</v>
      </c>
      <c r="G18" s="5">
        <v>45796</v>
      </c>
      <c r="H18" s="5">
        <f t="shared" si="1"/>
        <v>45796</v>
      </c>
      <c r="I18" s="38">
        <v>400</v>
      </c>
      <c r="J18" s="6" t="s">
        <v>15</v>
      </c>
      <c r="K18" s="63">
        <f t="shared" si="2"/>
        <v>80</v>
      </c>
      <c r="L18" s="9" t="s">
        <v>6</v>
      </c>
      <c r="M18" s="24"/>
      <c r="N18" s="24">
        <v>57</v>
      </c>
    </row>
    <row r="19" spans="1:15" ht="18.75" customHeight="1">
      <c r="A19" s="11">
        <v>16</v>
      </c>
      <c r="B19" s="2" t="s">
        <v>29</v>
      </c>
      <c r="C19" s="3"/>
      <c r="D19" s="69" t="s">
        <v>30</v>
      </c>
      <c r="E19" s="3">
        <v>2168522948</v>
      </c>
      <c r="F19" s="4">
        <f t="shared" si="0"/>
        <v>4</v>
      </c>
      <c r="G19" s="5">
        <v>45797</v>
      </c>
      <c r="H19" s="5">
        <f t="shared" si="1"/>
        <v>45797</v>
      </c>
      <c r="I19" s="32">
        <v>210</v>
      </c>
      <c r="J19" s="6" t="s">
        <v>15</v>
      </c>
      <c r="K19" s="63">
        <f t="shared" si="2"/>
        <v>42</v>
      </c>
      <c r="L19" s="6" t="s">
        <v>6</v>
      </c>
      <c r="M19" s="24"/>
      <c r="N19" s="24">
        <v>59</v>
      </c>
    </row>
    <row r="20" spans="1:15" ht="18.75" customHeight="1">
      <c r="A20" s="11">
        <v>17</v>
      </c>
      <c r="B20" s="2" t="s">
        <v>27</v>
      </c>
      <c r="C20" s="3"/>
      <c r="D20" s="69" t="s">
        <v>28</v>
      </c>
      <c r="E20" s="7">
        <v>2602209181</v>
      </c>
      <c r="F20" s="4">
        <f t="shared" si="0"/>
        <v>5</v>
      </c>
      <c r="G20" s="5">
        <v>45797</v>
      </c>
      <c r="H20" s="5">
        <f t="shared" si="1"/>
        <v>45797</v>
      </c>
      <c r="I20" s="39">
        <v>80</v>
      </c>
      <c r="J20" s="8" t="s">
        <v>15</v>
      </c>
      <c r="K20" s="63">
        <f t="shared" si="2"/>
        <v>16</v>
      </c>
      <c r="L20" s="6" t="s">
        <v>6</v>
      </c>
      <c r="M20" s="24"/>
      <c r="N20" s="31">
        <v>60</v>
      </c>
    </row>
    <row r="21" spans="1:15" ht="18.75" customHeight="1">
      <c r="A21" s="11">
        <v>18</v>
      </c>
      <c r="B21" s="2" t="s">
        <v>29</v>
      </c>
      <c r="C21" s="3"/>
      <c r="D21" s="69" t="s">
        <v>30</v>
      </c>
      <c r="E21" s="3">
        <v>2168522947</v>
      </c>
      <c r="F21" s="4">
        <f t="shared" si="0"/>
        <v>3</v>
      </c>
      <c r="G21" s="5">
        <v>45799</v>
      </c>
      <c r="H21" s="5">
        <f t="shared" si="1"/>
        <v>45799</v>
      </c>
      <c r="I21" s="32">
        <v>210</v>
      </c>
      <c r="J21" s="6" t="s">
        <v>15</v>
      </c>
      <c r="K21" s="63">
        <f t="shared" si="2"/>
        <v>42</v>
      </c>
      <c r="L21" s="6" t="s">
        <v>6</v>
      </c>
      <c r="M21" s="24"/>
      <c r="N21" s="24">
        <v>61</v>
      </c>
    </row>
    <row r="22" spans="1:15" ht="18.75" customHeight="1">
      <c r="A22" s="11">
        <v>19</v>
      </c>
      <c r="B22" s="2" t="s">
        <v>29</v>
      </c>
      <c r="C22" s="3"/>
      <c r="D22" s="69" t="s">
        <v>30</v>
      </c>
      <c r="E22" s="3">
        <v>2168522949</v>
      </c>
      <c r="F22" s="4">
        <f t="shared" si="0"/>
        <v>5</v>
      </c>
      <c r="G22" s="5">
        <v>45800</v>
      </c>
      <c r="H22" s="5">
        <f t="shared" si="1"/>
        <v>45800</v>
      </c>
      <c r="I22" s="32">
        <v>200</v>
      </c>
      <c r="J22" s="6" t="s">
        <v>15</v>
      </c>
      <c r="K22" s="63">
        <f t="shared" si="2"/>
        <v>40</v>
      </c>
      <c r="L22" s="6" t="s">
        <v>6</v>
      </c>
      <c r="M22" s="24"/>
      <c r="N22" s="24">
        <v>62</v>
      </c>
    </row>
    <row r="23" spans="1:15" ht="18.75" customHeight="1">
      <c r="A23" s="11">
        <v>20</v>
      </c>
      <c r="B23" s="2" t="s">
        <v>29</v>
      </c>
      <c r="C23" s="3"/>
      <c r="D23" s="69" t="s">
        <v>30</v>
      </c>
      <c r="E23" s="3">
        <v>2168523013</v>
      </c>
      <c r="F23" s="4">
        <f t="shared" si="0"/>
        <v>6</v>
      </c>
      <c r="G23" s="5">
        <v>45803</v>
      </c>
      <c r="H23" s="5">
        <f t="shared" si="1"/>
        <v>45803</v>
      </c>
      <c r="I23" s="32">
        <v>210</v>
      </c>
      <c r="J23" s="6" t="s">
        <v>11</v>
      </c>
      <c r="K23" s="63">
        <f t="shared" si="2"/>
        <v>42</v>
      </c>
      <c r="L23" s="6" t="s">
        <v>6</v>
      </c>
      <c r="M23" s="24"/>
      <c r="N23" s="24">
        <v>64</v>
      </c>
    </row>
    <row r="24" spans="1:15" ht="18.75" customHeight="1">
      <c r="A24" s="11">
        <v>21</v>
      </c>
      <c r="B24" s="2" t="s">
        <v>27</v>
      </c>
      <c r="C24" s="3"/>
      <c r="D24" s="69" t="s">
        <v>36</v>
      </c>
      <c r="E24" s="3">
        <v>2173725301</v>
      </c>
      <c r="F24" s="4">
        <f t="shared" si="0"/>
        <v>6</v>
      </c>
      <c r="G24" s="5">
        <v>45803</v>
      </c>
      <c r="H24" s="5">
        <f t="shared" si="1"/>
        <v>45803</v>
      </c>
      <c r="I24" s="32">
        <v>60</v>
      </c>
      <c r="J24" s="8" t="s">
        <v>11</v>
      </c>
      <c r="K24" s="30">
        <f t="shared" si="2"/>
        <v>12</v>
      </c>
      <c r="L24" s="6" t="s">
        <v>6</v>
      </c>
      <c r="M24" s="24">
        <v>630</v>
      </c>
      <c r="N24" s="24"/>
    </row>
    <row r="25" spans="1:15" ht="18.75" customHeight="1">
      <c r="A25" s="11">
        <v>22</v>
      </c>
      <c r="B25" s="2" t="s">
        <v>29</v>
      </c>
      <c r="C25" s="3"/>
      <c r="D25" s="69" t="s">
        <v>30</v>
      </c>
      <c r="E25" s="3">
        <v>2168523016</v>
      </c>
      <c r="F25" s="4">
        <f t="shared" si="0"/>
        <v>2</v>
      </c>
      <c r="G25" s="5">
        <v>45804</v>
      </c>
      <c r="H25" s="5">
        <f t="shared" si="1"/>
        <v>45804</v>
      </c>
      <c r="I25" s="38">
        <v>420</v>
      </c>
      <c r="J25" s="6" t="s">
        <v>11</v>
      </c>
      <c r="K25" s="63">
        <f t="shared" si="2"/>
        <v>84</v>
      </c>
      <c r="L25" s="6" t="s">
        <v>6</v>
      </c>
      <c r="M25" s="24"/>
      <c r="N25" s="24">
        <v>67</v>
      </c>
    </row>
    <row r="26" spans="1:15" ht="18.75" customHeight="1">
      <c r="A26" s="11">
        <v>23</v>
      </c>
      <c r="B26" s="2" t="s">
        <v>27</v>
      </c>
      <c r="C26" s="3"/>
      <c r="D26" s="69" t="s">
        <v>28</v>
      </c>
      <c r="E26" s="3">
        <v>2602209168</v>
      </c>
      <c r="F26" s="4">
        <f t="shared" si="0"/>
        <v>6</v>
      </c>
      <c r="G26" s="5">
        <v>45805</v>
      </c>
      <c r="H26" s="5">
        <f t="shared" si="1"/>
        <v>45805</v>
      </c>
      <c r="I26" s="38">
        <v>90</v>
      </c>
      <c r="J26" s="6" t="s">
        <v>15</v>
      </c>
      <c r="K26" s="63">
        <f t="shared" si="2"/>
        <v>18</v>
      </c>
      <c r="L26" s="6" t="s">
        <v>6</v>
      </c>
      <c r="M26" s="24"/>
      <c r="N26" s="24">
        <v>68</v>
      </c>
    </row>
    <row r="27" spans="1:15" ht="18.75" customHeight="1">
      <c r="A27" s="11">
        <v>24</v>
      </c>
      <c r="B27" s="2" t="s">
        <v>29</v>
      </c>
      <c r="C27" s="3"/>
      <c r="D27" s="69" t="s">
        <v>25</v>
      </c>
      <c r="E27" s="3">
        <v>2585447401</v>
      </c>
      <c r="F27" s="4">
        <f t="shared" si="0"/>
        <v>5</v>
      </c>
      <c r="G27" s="5">
        <v>45805</v>
      </c>
      <c r="H27" s="5">
        <f t="shared" si="1"/>
        <v>45805</v>
      </c>
      <c r="I27" s="32">
        <v>230</v>
      </c>
      <c r="J27" s="8" t="s">
        <v>15</v>
      </c>
      <c r="K27" s="30">
        <f t="shared" si="2"/>
        <v>46</v>
      </c>
      <c r="L27" s="6" t="s">
        <v>6</v>
      </c>
      <c r="M27" s="24">
        <v>642</v>
      </c>
      <c r="N27" s="24"/>
      <c r="O27" s="56"/>
    </row>
    <row r="28" spans="1:15" ht="18.75" customHeight="1">
      <c r="A28" s="11">
        <v>25</v>
      </c>
      <c r="B28" s="2" t="s">
        <v>29</v>
      </c>
      <c r="C28" s="3"/>
      <c r="D28" s="69" t="s">
        <v>30</v>
      </c>
      <c r="E28" s="3">
        <v>2168523018</v>
      </c>
      <c r="F28" s="4">
        <f t="shared" si="0"/>
        <v>4</v>
      </c>
      <c r="G28" s="5">
        <v>45806</v>
      </c>
      <c r="H28" s="5">
        <f t="shared" si="1"/>
        <v>45806</v>
      </c>
      <c r="I28" s="32">
        <v>220</v>
      </c>
      <c r="J28" s="6" t="s">
        <v>15</v>
      </c>
      <c r="K28" s="63">
        <f t="shared" si="2"/>
        <v>44</v>
      </c>
      <c r="L28" s="6" t="s">
        <v>6</v>
      </c>
      <c r="M28" s="24"/>
      <c r="N28" s="24">
        <v>71</v>
      </c>
    </row>
    <row r="29" spans="1:15" ht="18.75" customHeight="1">
      <c r="A29" s="11">
        <v>26</v>
      </c>
      <c r="B29" s="2" t="s">
        <v>29</v>
      </c>
      <c r="C29" s="3"/>
      <c r="D29" s="69" t="s">
        <v>30</v>
      </c>
      <c r="E29" s="3">
        <v>2168523019</v>
      </c>
      <c r="F29" s="4">
        <f t="shared" si="0"/>
        <v>5</v>
      </c>
      <c r="G29" s="5">
        <v>45807</v>
      </c>
      <c r="H29" s="5">
        <f t="shared" si="1"/>
        <v>45807</v>
      </c>
      <c r="I29" s="32">
        <v>200</v>
      </c>
      <c r="J29" s="6" t="s">
        <v>15</v>
      </c>
      <c r="K29" s="63">
        <f t="shared" si="2"/>
        <v>40</v>
      </c>
      <c r="L29" s="6" t="s">
        <v>6</v>
      </c>
      <c r="M29" s="24"/>
      <c r="N29" s="24">
        <v>73</v>
      </c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8530</v>
      </c>
      <c r="J44" s="8" t="s">
        <v>15</v>
      </c>
      <c r="K44" s="44">
        <f>SUM(K4:K43)</f>
        <v>1706</v>
      </c>
      <c r="L44" s="8" t="s">
        <v>6</v>
      </c>
      <c r="M44" s="45">
        <f>SUM(K44)-N44</f>
        <v>336</v>
      </c>
      <c r="N44" s="61">
        <f>SUMIF(M4:M42,"",K4:K43)</f>
        <v>1370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8530</v>
      </c>
      <c r="J88" s="8" t="s">
        <v>15</v>
      </c>
      <c r="K88" s="44">
        <f>SUM(K48:K87)+K44</f>
        <v>1706</v>
      </c>
      <c r="L88" s="8" t="s">
        <v>6</v>
      </c>
      <c r="M88" s="45"/>
      <c r="N88" s="45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8842828B-4904-4D53-958C-93EF1D4D351C}"/>
    <dataValidation imeMode="disabled" allowBlank="1" showInputMessage="1" sqref="G41:G44 G85:G88" xr:uid="{6BB839BA-8BE7-4F60-928C-F86588C3BA59}"/>
    <dataValidation type="list" imeMode="on" allowBlank="1" showInputMessage="1" prompt="なければ直接入力" sqref="D48:D88 D4:D44" xr:uid="{CF716685-976E-42E0-A6BC-4FB004665476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8:C88 B4:C44" xr:uid="{ECD3B96E-2A7C-41D5-9DF2-E971A773C46C}">
      <formula1>"水産系燃え殻,医療系燃え殻"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0D20-846E-42BE-9DBD-4E9978D26353}">
  <dimension ref="A1:O88"/>
  <sheetViews>
    <sheetView workbookViewId="0">
      <selection activeCell="P23" sqref="P23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29</v>
      </c>
      <c r="C4" s="3"/>
      <c r="D4" s="69" t="s">
        <v>30</v>
      </c>
      <c r="E4" s="3">
        <v>2168522946</v>
      </c>
      <c r="F4" s="4">
        <f t="shared" ref="F4:F41" si="0">IF(E4="","",E4-INT(E4/7)*7)</f>
        <v>2</v>
      </c>
      <c r="G4" s="5">
        <v>45810</v>
      </c>
      <c r="H4" s="5">
        <f t="shared" ref="H4:H41" si="1">IF(G4="","",G4)</f>
        <v>45810</v>
      </c>
      <c r="I4" s="29">
        <v>390</v>
      </c>
      <c r="J4" s="6" t="s">
        <v>15</v>
      </c>
      <c r="K4" s="63">
        <f t="shared" ref="K4:K41" si="2">IF(I4&gt;0,I4*0.2,"")</f>
        <v>78</v>
      </c>
      <c r="L4" s="6" t="s">
        <v>6</v>
      </c>
      <c r="M4" s="24"/>
      <c r="N4" s="31">
        <v>74</v>
      </c>
    </row>
    <row r="5" spans="1:15" ht="18.75" customHeight="1">
      <c r="A5" s="11">
        <v>2</v>
      </c>
      <c r="B5" s="2" t="s">
        <v>29</v>
      </c>
      <c r="C5" s="3"/>
      <c r="D5" s="69" t="s">
        <v>30</v>
      </c>
      <c r="E5" s="7">
        <v>2168523023</v>
      </c>
      <c r="F5" s="4">
        <f t="shared" si="0"/>
        <v>2</v>
      </c>
      <c r="G5" s="5">
        <v>45811</v>
      </c>
      <c r="H5" s="5">
        <f t="shared" si="1"/>
        <v>45811</v>
      </c>
      <c r="I5" s="32">
        <v>220</v>
      </c>
      <c r="J5" s="33" t="s">
        <v>15</v>
      </c>
      <c r="K5" s="73">
        <f t="shared" si="2"/>
        <v>44</v>
      </c>
      <c r="L5" s="6" t="s">
        <v>6</v>
      </c>
      <c r="M5" s="24"/>
      <c r="N5" s="24">
        <v>76</v>
      </c>
    </row>
    <row r="6" spans="1:15" ht="18.75" customHeight="1">
      <c r="A6" s="11">
        <v>3</v>
      </c>
      <c r="B6" s="2" t="s">
        <v>27</v>
      </c>
      <c r="C6" s="3"/>
      <c r="D6" s="69" t="s">
        <v>32</v>
      </c>
      <c r="E6" s="3">
        <v>2152521875</v>
      </c>
      <c r="F6" s="4">
        <f t="shared" si="0"/>
        <v>0</v>
      </c>
      <c r="G6" s="5">
        <v>45811</v>
      </c>
      <c r="H6" s="5">
        <f t="shared" si="1"/>
        <v>45811</v>
      </c>
      <c r="I6" s="35">
        <v>110</v>
      </c>
      <c r="J6" s="8" t="s">
        <v>15</v>
      </c>
      <c r="K6" s="71">
        <f t="shared" si="2"/>
        <v>22</v>
      </c>
      <c r="L6" s="9" t="s">
        <v>6</v>
      </c>
      <c r="M6" s="37"/>
      <c r="N6" s="24">
        <v>77</v>
      </c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2168523022</v>
      </c>
      <c r="F7" s="4">
        <f t="shared" si="0"/>
        <v>1</v>
      </c>
      <c r="G7" s="5">
        <v>45813</v>
      </c>
      <c r="H7" s="5">
        <f t="shared" si="1"/>
        <v>45813</v>
      </c>
      <c r="I7" s="32">
        <v>210</v>
      </c>
      <c r="J7" s="6" t="s">
        <v>15</v>
      </c>
      <c r="K7" s="63">
        <f t="shared" si="2"/>
        <v>42</v>
      </c>
      <c r="L7" s="6" t="s">
        <v>6</v>
      </c>
      <c r="M7" s="24"/>
      <c r="N7" s="24">
        <v>78</v>
      </c>
    </row>
    <row r="8" spans="1:15" ht="18.75" customHeight="1">
      <c r="A8" s="11">
        <v>5</v>
      </c>
      <c r="B8" s="2" t="s">
        <v>29</v>
      </c>
      <c r="C8" s="3"/>
      <c r="D8" s="69" t="s">
        <v>30</v>
      </c>
      <c r="E8" s="3">
        <v>2168523021</v>
      </c>
      <c r="F8" s="4">
        <f t="shared" si="0"/>
        <v>0</v>
      </c>
      <c r="G8" s="5">
        <v>45814</v>
      </c>
      <c r="H8" s="5">
        <f t="shared" si="1"/>
        <v>45814</v>
      </c>
      <c r="I8" s="32">
        <v>220</v>
      </c>
      <c r="J8" s="6" t="s">
        <v>15</v>
      </c>
      <c r="K8" s="63">
        <f t="shared" si="2"/>
        <v>44</v>
      </c>
      <c r="L8" s="6" t="s">
        <v>6</v>
      </c>
      <c r="M8" s="24"/>
      <c r="N8" s="24">
        <v>79</v>
      </c>
    </row>
    <row r="9" spans="1:15" ht="18.75" customHeight="1">
      <c r="A9" s="11">
        <v>6</v>
      </c>
      <c r="B9" s="2" t="s">
        <v>29</v>
      </c>
      <c r="C9" s="3"/>
      <c r="D9" s="69" t="s">
        <v>30</v>
      </c>
      <c r="E9" s="3">
        <v>2168523051</v>
      </c>
      <c r="F9" s="4">
        <f t="shared" si="0"/>
        <v>2</v>
      </c>
      <c r="G9" s="5">
        <v>45817</v>
      </c>
      <c r="H9" s="5">
        <f t="shared" si="1"/>
        <v>45817</v>
      </c>
      <c r="I9" s="32">
        <v>470</v>
      </c>
      <c r="J9" s="6" t="s">
        <v>15</v>
      </c>
      <c r="K9" s="63">
        <f t="shared" si="2"/>
        <v>94</v>
      </c>
      <c r="L9" s="6" t="s">
        <v>6</v>
      </c>
      <c r="M9" s="24"/>
      <c r="N9" s="24">
        <v>81</v>
      </c>
    </row>
    <row r="10" spans="1:15" ht="18.75" customHeight="1">
      <c r="A10" s="11">
        <v>7</v>
      </c>
      <c r="B10" s="2" t="s">
        <v>29</v>
      </c>
      <c r="C10" s="3"/>
      <c r="D10" s="69" t="s">
        <v>30</v>
      </c>
      <c r="E10" s="3">
        <v>2168523055</v>
      </c>
      <c r="F10" s="4">
        <f t="shared" si="0"/>
        <v>6</v>
      </c>
      <c r="G10" s="5">
        <v>45818</v>
      </c>
      <c r="H10" s="5">
        <f t="shared" si="1"/>
        <v>45818</v>
      </c>
      <c r="I10" s="32">
        <v>220</v>
      </c>
      <c r="J10" s="6" t="s">
        <v>15</v>
      </c>
      <c r="K10" s="63">
        <f t="shared" si="2"/>
        <v>44</v>
      </c>
      <c r="L10" s="6" t="s">
        <v>6</v>
      </c>
      <c r="M10" s="24"/>
      <c r="N10" s="24">
        <v>83</v>
      </c>
    </row>
    <row r="11" spans="1:15" ht="18.75" customHeight="1">
      <c r="A11" s="11">
        <v>8</v>
      </c>
      <c r="B11" s="2" t="s">
        <v>27</v>
      </c>
      <c r="C11" s="3"/>
      <c r="D11" s="69" t="s">
        <v>28</v>
      </c>
      <c r="E11" s="3">
        <v>2602209180</v>
      </c>
      <c r="F11" s="4">
        <f t="shared" si="0"/>
        <v>4</v>
      </c>
      <c r="G11" s="5">
        <v>45819</v>
      </c>
      <c r="H11" s="5">
        <f t="shared" si="1"/>
        <v>45819</v>
      </c>
      <c r="I11" s="38">
        <v>210</v>
      </c>
      <c r="J11" s="8" t="s">
        <v>15</v>
      </c>
      <c r="K11" s="63">
        <f t="shared" si="2"/>
        <v>42</v>
      </c>
      <c r="L11" s="9" t="s">
        <v>6</v>
      </c>
      <c r="M11" s="24"/>
      <c r="N11" s="24">
        <v>84</v>
      </c>
    </row>
    <row r="12" spans="1:15" ht="18.75" customHeight="1">
      <c r="A12" s="11">
        <v>9</v>
      </c>
      <c r="B12" s="2" t="s">
        <v>29</v>
      </c>
      <c r="C12" s="3"/>
      <c r="D12" s="69" t="s">
        <v>30</v>
      </c>
      <c r="E12" s="3">
        <v>2168523060</v>
      </c>
      <c r="F12" s="4">
        <f t="shared" si="0"/>
        <v>4</v>
      </c>
      <c r="G12" s="5">
        <v>45820</v>
      </c>
      <c r="H12" s="5">
        <f t="shared" si="1"/>
        <v>45820</v>
      </c>
      <c r="I12" s="32">
        <v>200</v>
      </c>
      <c r="J12" s="6" t="s">
        <v>15</v>
      </c>
      <c r="K12" s="63">
        <f t="shared" si="2"/>
        <v>40</v>
      </c>
      <c r="L12" s="6" t="s">
        <v>6</v>
      </c>
      <c r="M12" s="24"/>
      <c r="N12" s="24">
        <v>85</v>
      </c>
    </row>
    <row r="13" spans="1:15" ht="18.75" customHeight="1">
      <c r="A13" s="11">
        <v>10</v>
      </c>
      <c r="B13" s="2" t="s">
        <v>29</v>
      </c>
      <c r="C13" s="3"/>
      <c r="D13" s="69" t="s">
        <v>30</v>
      </c>
      <c r="E13" s="3">
        <v>2168523062</v>
      </c>
      <c r="F13" s="4">
        <f t="shared" si="0"/>
        <v>6</v>
      </c>
      <c r="G13" s="5">
        <v>45821</v>
      </c>
      <c r="H13" s="5">
        <f t="shared" si="1"/>
        <v>45821</v>
      </c>
      <c r="I13" s="38">
        <v>200</v>
      </c>
      <c r="J13" s="8" t="s">
        <v>15</v>
      </c>
      <c r="K13" s="63">
        <f t="shared" si="2"/>
        <v>40</v>
      </c>
      <c r="L13" s="9" t="s">
        <v>6</v>
      </c>
      <c r="M13" s="24"/>
      <c r="N13" s="24">
        <v>86</v>
      </c>
    </row>
    <row r="14" spans="1:15" ht="18.75" customHeight="1">
      <c r="A14" s="11">
        <v>11</v>
      </c>
      <c r="B14" s="2" t="s">
        <v>29</v>
      </c>
      <c r="C14" s="3"/>
      <c r="D14" s="69" t="s">
        <v>30</v>
      </c>
      <c r="E14" s="3">
        <v>2167040773</v>
      </c>
      <c r="F14" s="4">
        <f t="shared" si="0"/>
        <v>2</v>
      </c>
      <c r="G14" s="5">
        <v>45824</v>
      </c>
      <c r="H14" s="5">
        <f t="shared" si="1"/>
        <v>45824</v>
      </c>
      <c r="I14" s="32">
        <v>420</v>
      </c>
      <c r="J14" s="6" t="s">
        <v>15</v>
      </c>
      <c r="K14" s="63">
        <f t="shared" si="2"/>
        <v>84</v>
      </c>
      <c r="L14" s="6" t="s">
        <v>6</v>
      </c>
      <c r="M14" s="24"/>
      <c r="N14" s="24">
        <v>88</v>
      </c>
      <c r="O14" s="56"/>
    </row>
    <row r="15" spans="1:15" ht="18.75" customHeight="1">
      <c r="A15" s="11">
        <v>12</v>
      </c>
      <c r="B15" s="2" t="s">
        <v>29</v>
      </c>
      <c r="C15" s="3"/>
      <c r="D15" s="69" t="s">
        <v>30</v>
      </c>
      <c r="E15" s="3">
        <v>2168522936</v>
      </c>
      <c r="F15" s="4">
        <f t="shared" si="0"/>
        <v>6</v>
      </c>
      <c r="G15" s="5">
        <v>45825</v>
      </c>
      <c r="H15" s="5">
        <f t="shared" si="1"/>
        <v>45825</v>
      </c>
      <c r="I15" s="39">
        <v>220</v>
      </c>
      <c r="J15" s="8" t="s">
        <v>15</v>
      </c>
      <c r="K15" s="63">
        <f t="shared" si="2"/>
        <v>44</v>
      </c>
      <c r="L15" s="6" t="s">
        <v>6</v>
      </c>
      <c r="M15" s="24"/>
      <c r="N15" s="24">
        <v>90</v>
      </c>
    </row>
    <row r="16" spans="1:15" ht="18.75" customHeight="1">
      <c r="A16" s="11">
        <v>13</v>
      </c>
      <c r="B16" s="2" t="s">
        <v>27</v>
      </c>
      <c r="C16" s="3"/>
      <c r="D16" s="69" t="s">
        <v>28</v>
      </c>
      <c r="E16" s="3">
        <v>2602209179</v>
      </c>
      <c r="F16" s="4">
        <f t="shared" si="0"/>
        <v>3</v>
      </c>
      <c r="G16" s="5">
        <v>45826</v>
      </c>
      <c r="H16" s="5">
        <f t="shared" si="1"/>
        <v>45826</v>
      </c>
      <c r="I16" s="32">
        <v>110</v>
      </c>
      <c r="J16" s="6" t="s">
        <v>15</v>
      </c>
      <c r="K16" s="63">
        <f t="shared" si="2"/>
        <v>22</v>
      </c>
      <c r="L16" s="6" t="s">
        <v>6</v>
      </c>
      <c r="M16" s="24"/>
      <c r="N16" s="24">
        <v>91</v>
      </c>
    </row>
    <row r="17" spans="1:15" ht="18.75" customHeight="1">
      <c r="A17" s="11">
        <v>14</v>
      </c>
      <c r="B17" s="2" t="s">
        <v>29</v>
      </c>
      <c r="C17" s="3"/>
      <c r="D17" s="69" t="s">
        <v>30</v>
      </c>
      <c r="E17" s="3">
        <v>2168522952</v>
      </c>
      <c r="F17" s="4">
        <f t="shared" si="0"/>
        <v>1</v>
      </c>
      <c r="G17" s="5">
        <v>45827</v>
      </c>
      <c r="H17" s="5">
        <f t="shared" si="1"/>
        <v>45827</v>
      </c>
      <c r="I17" s="32">
        <v>220</v>
      </c>
      <c r="J17" s="6" t="s">
        <v>15</v>
      </c>
      <c r="K17" s="63">
        <f t="shared" si="2"/>
        <v>44</v>
      </c>
      <c r="L17" s="6" t="s">
        <v>6</v>
      </c>
      <c r="M17" s="24"/>
      <c r="N17" s="24">
        <v>92</v>
      </c>
    </row>
    <row r="18" spans="1:15" ht="18.75" customHeight="1">
      <c r="A18" s="11">
        <v>15</v>
      </c>
      <c r="B18" s="2" t="s">
        <v>29</v>
      </c>
      <c r="C18" s="3"/>
      <c r="D18" s="69" t="s">
        <v>30</v>
      </c>
      <c r="E18" s="3">
        <v>2168522941</v>
      </c>
      <c r="F18" s="4">
        <f t="shared" si="0"/>
        <v>4</v>
      </c>
      <c r="G18" s="5">
        <v>45828</v>
      </c>
      <c r="H18" s="5">
        <f t="shared" si="1"/>
        <v>45828</v>
      </c>
      <c r="I18" s="38">
        <v>220</v>
      </c>
      <c r="J18" s="6" t="s">
        <v>15</v>
      </c>
      <c r="K18" s="63">
        <f t="shared" si="2"/>
        <v>44</v>
      </c>
      <c r="L18" s="9" t="s">
        <v>6</v>
      </c>
      <c r="M18" s="24"/>
      <c r="N18" s="24">
        <v>93</v>
      </c>
    </row>
    <row r="19" spans="1:15" ht="18.75" customHeight="1">
      <c r="A19" s="11">
        <v>16</v>
      </c>
      <c r="B19" s="2" t="s">
        <v>29</v>
      </c>
      <c r="C19" s="3"/>
      <c r="D19" s="69" t="s">
        <v>30</v>
      </c>
      <c r="E19" s="3">
        <v>2168522940</v>
      </c>
      <c r="F19" s="4">
        <f t="shared" si="0"/>
        <v>3</v>
      </c>
      <c r="G19" s="5">
        <v>45831</v>
      </c>
      <c r="H19" s="5">
        <f t="shared" si="1"/>
        <v>45831</v>
      </c>
      <c r="I19" s="32">
        <v>420</v>
      </c>
      <c r="J19" s="6" t="s">
        <v>15</v>
      </c>
      <c r="K19" s="63">
        <f t="shared" si="2"/>
        <v>84</v>
      </c>
      <c r="L19" s="6" t="s">
        <v>6</v>
      </c>
      <c r="M19" s="24"/>
      <c r="N19" s="24">
        <v>95</v>
      </c>
    </row>
    <row r="20" spans="1:15" ht="18.75" customHeight="1">
      <c r="A20" s="11">
        <v>17</v>
      </c>
      <c r="B20" s="2" t="s">
        <v>29</v>
      </c>
      <c r="C20" s="3"/>
      <c r="D20" s="69" t="s">
        <v>30</v>
      </c>
      <c r="E20" s="7">
        <v>2168522939</v>
      </c>
      <c r="F20" s="4">
        <f t="shared" si="0"/>
        <v>2</v>
      </c>
      <c r="G20" s="5">
        <v>45832</v>
      </c>
      <c r="H20" s="5">
        <f t="shared" si="1"/>
        <v>45832</v>
      </c>
      <c r="I20" s="39">
        <v>220</v>
      </c>
      <c r="J20" s="8" t="s">
        <v>15</v>
      </c>
      <c r="K20" s="63">
        <f t="shared" si="2"/>
        <v>44</v>
      </c>
      <c r="L20" s="6" t="s">
        <v>6</v>
      </c>
      <c r="M20" s="24"/>
      <c r="N20" s="31">
        <v>96</v>
      </c>
    </row>
    <row r="21" spans="1:15" ht="18.75" customHeight="1">
      <c r="A21" s="11">
        <v>18</v>
      </c>
      <c r="B21" s="2" t="s">
        <v>27</v>
      </c>
      <c r="C21" s="3"/>
      <c r="D21" s="69" t="s">
        <v>37</v>
      </c>
      <c r="E21" s="3">
        <v>2066027457</v>
      </c>
      <c r="F21" s="4">
        <f t="shared" si="0"/>
        <v>4</v>
      </c>
      <c r="G21" s="5">
        <v>45834</v>
      </c>
      <c r="H21" s="5">
        <f t="shared" si="1"/>
        <v>45834</v>
      </c>
      <c r="I21" s="32">
        <v>50</v>
      </c>
      <c r="J21" s="6" t="s">
        <v>15</v>
      </c>
      <c r="K21" s="30">
        <f t="shared" si="2"/>
        <v>10</v>
      </c>
      <c r="L21" s="6" t="s">
        <v>6</v>
      </c>
      <c r="M21" s="24">
        <v>722</v>
      </c>
      <c r="N21" s="24"/>
    </row>
    <row r="22" spans="1:15" ht="18.75" customHeight="1">
      <c r="A22" s="11">
        <v>19</v>
      </c>
      <c r="B22" s="2" t="s">
        <v>29</v>
      </c>
      <c r="C22" s="3"/>
      <c r="D22" s="69" t="s">
        <v>30</v>
      </c>
      <c r="E22" s="3">
        <v>2168522938</v>
      </c>
      <c r="F22" s="4">
        <f t="shared" si="0"/>
        <v>1</v>
      </c>
      <c r="G22" s="5">
        <v>45835</v>
      </c>
      <c r="H22" s="5">
        <f t="shared" si="1"/>
        <v>45835</v>
      </c>
      <c r="I22" s="32">
        <v>220</v>
      </c>
      <c r="J22" s="6" t="s">
        <v>15</v>
      </c>
      <c r="K22" s="63">
        <f t="shared" si="2"/>
        <v>44</v>
      </c>
      <c r="L22" s="6" t="s">
        <v>6</v>
      </c>
      <c r="M22" s="24"/>
      <c r="N22" s="24">
        <v>100</v>
      </c>
    </row>
    <row r="23" spans="1:15" ht="18.75" customHeight="1">
      <c r="A23" s="11">
        <v>20</v>
      </c>
      <c r="B23" s="2" t="s">
        <v>29</v>
      </c>
      <c r="C23" s="3"/>
      <c r="D23" s="69" t="s">
        <v>30</v>
      </c>
      <c r="E23" s="3">
        <v>2168522937</v>
      </c>
      <c r="F23" s="4">
        <f t="shared" si="0"/>
        <v>0</v>
      </c>
      <c r="G23" s="5">
        <v>45838</v>
      </c>
      <c r="H23" s="5">
        <f t="shared" si="1"/>
        <v>45838</v>
      </c>
      <c r="I23" s="32">
        <v>230</v>
      </c>
      <c r="J23" s="6" t="s">
        <v>11</v>
      </c>
      <c r="K23" s="63">
        <f t="shared" si="2"/>
        <v>46</v>
      </c>
      <c r="L23" s="6" t="s">
        <v>6</v>
      </c>
      <c r="M23" s="24"/>
      <c r="N23" s="24">
        <v>101</v>
      </c>
    </row>
    <row r="24" spans="1:15" ht="18.75" customHeight="1">
      <c r="A24" s="11">
        <v>21</v>
      </c>
      <c r="B24" s="2"/>
      <c r="C24" s="3"/>
      <c r="D24" s="69"/>
      <c r="E24" s="3"/>
      <c r="F24" s="4" t="str">
        <f t="shared" si="0"/>
        <v/>
      </c>
      <c r="G24" s="5"/>
      <c r="H24" s="5" t="str">
        <f t="shared" si="1"/>
        <v/>
      </c>
      <c r="I24" s="32"/>
      <c r="J24" s="8" t="s">
        <v>11</v>
      </c>
      <c r="K24" s="30" t="str">
        <f t="shared" si="2"/>
        <v/>
      </c>
      <c r="L24" s="6" t="s">
        <v>6</v>
      </c>
      <c r="M24" s="24"/>
      <c r="N24" s="24"/>
    </row>
    <row r="25" spans="1:15" ht="18.75" customHeight="1">
      <c r="A25" s="11">
        <v>22</v>
      </c>
      <c r="B25" s="2"/>
      <c r="C25" s="3"/>
      <c r="D25" s="69"/>
      <c r="E25" s="3"/>
      <c r="F25" s="4" t="str">
        <f t="shared" si="0"/>
        <v/>
      </c>
      <c r="G25" s="5"/>
      <c r="H25" s="5" t="str">
        <f t="shared" si="1"/>
        <v/>
      </c>
      <c r="I25" s="38"/>
      <c r="J25" s="6" t="s">
        <v>11</v>
      </c>
      <c r="K25" s="30" t="str">
        <f t="shared" si="2"/>
        <v/>
      </c>
      <c r="L25" s="6" t="s">
        <v>6</v>
      </c>
      <c r="M25" s="24"/>
      <c r="N25" s="24"/>
    </row>
    <row r="26" spans="1:15" ht="18.75" customHeight="1">
      <c r="A26" s="11">
        <v>23</v>
      </c>
      <c r="B26" s="2"/>
      <c r="C26" s="3"/>
      <c r="D26" s="69"/>
      <c r="E26" s="3"/>
      <c r="F26" s="4" t="str">
        <f t="shared" si="0"/>
        <v/>
      </c>
      <c r="G26" s="5"/>
      <c r="H26" s="5" t="str">
        <f t="shared" si="1"/>
        <v/>
      </c>
      <c r="I26" s="38"/>
      <c r="J26" s="6" t="s">
        <v>15</v>
      </c>
      <c r="K26" s="30" t="str">
        <f t="shared" si="2"/>
        <v/>
      </c>
      <c r="L26" s="6" t="s">
        <v>6</v>
      </c>
      <c r="M26" s="24"/>
      <c r="N26" s="24"/>
    </row>
    <row r="27" spans="1:15" ht="18.75" customHeight="1">
      <c r="A27" s="11">
        <v>24</v>
      </c>
      <c r="B27" s="2"/>
      <c r="C27" s="3"/>
      <c r="D27" s="69"/>
      <c r="E27" s="3"/>
      <c r="F27" s="4" t="str">
        <f t="shared" si="0"/>
        <v/>
      </c>
      <c r="G27" s="5"/>
      <c r="H27" s="5" t="str">
        <f t="shared" si="1"/>
        <v/>
      </c>
      <c r="I27" s="32"/>
      <c r="J27" s="8" t="s">
        <v>15</v>
      </c>
      <c r="K27" s="30" t="str">
        <f t="shared" si="2"/>
        <v/>
      </c>
      <c r="L27" s="6" t="s">
        <v>6</v>
      </c>
      <c r="M27" s="24"/>
      <c r="N27" s="24"/>
      <c r="O27" s="56"/>
    </row>
    <row r="28" spans="1:15" ht="18.75" customHeight="1">
      <c r="A28" s="11">
        <v>25</v>
      </c>
      <c r="B28" s="2"/>
      <c r="C28" s="3"/>
      <c r="D28" s="69"/>
      <c r="E28" s="3"/>
      <c r="F28" s="4" t="str">
        <f t="shared" si="0"/>
        <v/>
      </c>
      <c r="G28" s="5"/>
      <c r="H28" s="5" t="str">
        <f t="shared" si="1"/>
        <v/>
      </c>
      <c r="I28" s="32"/>
      <c r="J28" s="6" t="s">
        <v>15</v>
      </c>
      <c r="K28" s="30" t="str">
        <f t="shared" si="2"/>
        <v/>
      </c>
      <c r="L28" s="6" t="s">
        <v>6</v>
      </c>
      <c r="M28" s="24"/>
      <c r="N28" s="24"/>
    </row>
    <row r="29" spans="1:15" ht="18.75" customHeight="1">
      <c r="A29" s="11">
        <v>26</v>
      </c>
      <c r="B29" s="2"/>
      <c r="C29" s="3"/>
      <c r="D29" s="69"/>
      <c r="E29" s="3"/>
      <c r="F29" s="4" t="str">
        <f t="shared" si="0"/>
        <v/>
      </c>
      <c r="G29" s="5"/>
      <c r="H29" s="5" t="str">
        <f t="shared" si="1"/>
        <v/>
      </c>
      <c r="I29" s="32"/>
      <c r="J29" s="6" t="s">
        <v>15</v>
      </c>
      <c r="K29" s="30" t="str">
        <f t="shared" si="2"/>
        <v/>
      </c>
      <c r="L29" s="6" t="s">
        <v>6</v>
      </c>
      <c r="M29" s="24"/>
      <c r="N29" s="24"/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4780</v>
      </c>
      <c r="J44" s="8" t="s">
        <v>15</v>
      </c>
      <c r="K44" s="44">
        <f>SUM(K4:K43)</f>
        <v>956</v>
      </c>
      <c r="L44" s="8" t="s">
        <v>6</v>
      </c>
      <c r="M44" s="45">
        <f>SUM(K44)-N44</f>
        <v>10</v>
      </c>
      <c r="N44" s="61">
        <f>SUMIF(M4:M42,"",K4:K43)</f>
        <v>946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4780</v>
      </c>
      <c r="J88" s="8" t="s">
        <v>15</v>
      </c>
      <c r="K88" s="44">
        <f>SUM(K48:K87)+K44</f>
        <v>956</v>
      </c>
      <c r="L88" s="8" t="s">
        <v>6</v>
      </c>
      <c r="M88" s="45"/>
      <c r="N88" s="45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F784D158-EDCF-41D6-B8CA-25184DEF4831}"/>
    <dataValidation imeMode="disabled" allowBlank="1" showInputMessage="1" sqref="G41:G44 G85:G88" xr:uid="{ACF4623E-07F8-426B-92F3-DFDD928A41FD}"/>
    <dataValidation type="list" imeMode="on" allowBlank="1" showInputMessage="1" showErrorMessage="1" sqref="B48:C88 B4:C44" xr:uid="{58A94A82-463E-4BEB-8834-6F6347BCAD77}">
      <formula1>"水産系燃え殻,医療系燃え殻"</formula1>
    </dataValidation>
    <dataValidation type="list" imeMode="on" allowBlank="1" showInputMessage="1" prompt="なければ直接入力" sqref="D48:D88 D4:D44" xr:uid="{BFF4FEAA-6A27-4CBE-AB84-6CC0701FA6E0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E5BC-EE4B-4911-B0A4-5C5207909F65}">
  <dimension ref="A1:O88"/>
  <sheetViews>
    <sheetView workbookViewId="0">
      <selection activeCell="B4" sqref="B4:B5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29</v>
      </c>
      <c r="C4" s="3"/>
      <c r="D4" s="69" t="s">
        <v>30</v>
      </c>
      <c r="E4" s="3">
        <v>2168523081</v>
      </c>
      <c r="F4" s="4">
        <f t="shared" ref="F4:F41" si="0">IF(E4="","",E4-INT(E4/7)*7)</f>
        <v>4</v>
      </c>
      <c r="G4" s="5">
        <v>45839</v>
      </c>
      <c r="H4" s="5">
        <f t="shared" ref="H4:H41" si="1">IF(G4="","",G4)</f>
        <v>45839</v>
      </c>
      <c r="I4" s="29">
        <v>290</v>
      </c>
      <c r="J4" s="6" t="s">
        <v>15</v>
      </c>
      <c r="K4" s="63">
        <f t="shared" ref="K4:K41" si="2">IF(I4&gt;0,I4*0.2,"")</f>
        <v>58</v>
      </c>
      <c r="L4" s="6" t="s">
        <v>6</v>
      </c>
      <c r="M4" s="24"/>
      <c r="N4" s="31">
        <v>103</v>
      </c>
    </row>
    <row r="5" spans="1:15" ht="18.75" customHeight="1">
      <c r="A5" s="11">
        <v>2</v>
      </c>
      <c r="B5" s="2" t="s">
        <v>27</v>
      </c>
      <c r="C5" s="3"/>
      <c r="D5" s="69" t="s">
        <v>28</v>
      </c>
      <c r="E5" s="7">
        <v>2602209178</v>
      </c>
      <c r="F5" s="4">
        <f t="shared" si="0"/>
        <v>2</v>
      </c>
      <c r="G5" s="5">
        <v>45839</v>
      </c>
      <c r="H5" s="5">
        <f t="shared" si="1"/>
        <v>45839</v>
      </c>
      <c r="I5" s="32">
        <v>180</v>
      </c>
      <c r="J5" s="33" t="s">
        <v>15</v>
      </c>
      <c r="K5" s="73">
        <f t="shared" si="2"/>
        <v>36</v>
      </c>
      <c r="L5" s="6" t="s">
        <v>6</v>
      </c>
      <c r="M5" s="24"/>
      <c r="N5" s="24">
        <v>104</v>
      </c>
    </row>
    <row r="6" spans="1:15" ht="18.75" customHeight="1">
      <c r="A6" s="11">
        <v>3</v>
      </c>
      <c r="B6" s="2" t="s">
        <v>27</v>
      </c>
      <c r="C6" s="3"/>
      <c r="D6" s="69" t="s">
        <v>28</v>
      </c>
      <c r="E6" s="3">
        <v>2602209177</v>
      </c>
      <c r="F6" s="4">
        <f t="shared" si="0"/>
        <v>1</v>
      </c>
      <c r="G6" s="5">
        <v>45846</v>
      </c>
      <c r="H6" s="5">
        <f t="shared" si="1"/>
        <v>45846</v>
      </c>
      <c r="I6" s="35">
        <v>130</v>
      </c>
      <c r="J6" s="8" t="s">
        <v>15</v>
      </c>
      <c r="K6" s="71">
        <f t="shared" si="2"/>
        <v>26</v>
      </c>
      <c r="L6" s="9" t="s">
        <v>6</v>
      </c>
      <c r="M6" s="37"/>
      <c r="N6" s="24">
        <v>109</v>
      </c>
    </row>
    <row r="7" spans="1:15" ht="18.75" customHeight="1">
      <c r="A7" s="11">
        <v>4</v>
      </c>
      <c r="B7" s="2" t="s">
        <v>27</v>
      </c>
      <c r="C7" s="3"/>
      <c r="D7" s="69" t="s">
        <v>32</v>
      </c>
      <c r="E7" s="3">
        <v>2174949101</v>
      </c>
      <c r="F7" s="4">
        <f t="shared" si="0"/>
        <v>3</v>
      </c>
      <c r="G7" s="5">
        <v>45847</v>
      </c>
      <c r="H7" s="5">
        <f t="shared" si="1"/>
        <v>45847</v>
      </c>
      <c r="I7" s="32">
        <v>100</v>
      </c>
      <c r="J7" s="6" t="s">
        <v>15</v>
      </c>
      <c r="K7" s="63">
        <f t="shared" si="2"/>
        <v>20</v>
      </c>
      <c r="L7" s="6" t="s">
        <v>6</v>
      </c>
      <c r="M7" s="24"/>
      <c r="N7" s="24">
        <v>110</v>
      </c>
    </row>
    <row r="8" spans="1:15" ht="18.75" customHeight="1">
      <c r="A8" s="11">
        <v>5</v>
      </c>
      <c r="B8" s="2" t="s">
        <v>27</v>
      </c>
      <c r="C8" s="3"/>
      <c r="D8" s="69" t="s">
        <v>28</v>
      </c>
      <c r="E8" s="3">
        <v>2602209176</v>
      </c>
      <c r="F8" s="4">
        <f t="shared" si="0"/>
        <v>0</v>
      </c>
      <c r="G8" s="5">
        <v>45853</v>
      </c>
      <c r="H8" s="5">
        <f t="shared" si="1"/>
        <v>45853</v>
      </c>
      <c r="I8" s="32">
        <v>70</v>
      </c>
      <c r="J8" s="6" t="s">
        <v>15</v>
      </c>
      <c r="K8" s="63">
        <f t="shared" si="2"/>
        <v>14</v>
      </c>
      <c r="L8" s="6" t="s">
        <v>6</v>
      </c>
      <c r="M8" s="24"/>
      <c r="N8" s="24">
        <v>114</v>
      </c>
    </row>
    <row r="9" spans="1:15" ht="18.75" customHeight="1">
      <c r="A9" s="11">
        <v>6</v>
      </c>
      <c r="B9" s="2" t="s">
        <v>29</v>
      </c>
      <c r="C9" s="3"/>
      <c r="D9" s="69" t="s">
        <v>30</v>
      </c>
      <c r="E9" s="3">
        <v>2168523100</v>
      </c>
      <c r="F9" s="4">
        <f t="shared" si="0"/>
        <v>2</v>
      </c>
      <c r="G9" s="5">
        <v>45860</v>
      </c>
      <c r="H9" s="5">
        <f t="shared" si="1"/>
        <v>45860</v>
      </c>
      <c r="I9" s="32">
        <v>420</v>
      </c>
      <c r="J9" s="6" t="s">
        <v>15</v>
      </c>
      <c r="K9" s="63">
        <f t="shared" si="2"/>
        <v>84</v>
      </c>
      <c r="L9" s="6" t="s">
        <v>6</v>
      </c>
      <c r="M9" s="24"/>
      <c r="N9" s="24">
        <v>117</v>
      </c>
    </row>
    <row r="10" spans="1:15" ht="18.75" customHeight="1">
      <c r="A10" s="11">
        <v>7</v>
      </c>
      <c r="B10" s="2" t="s">
        <v>29</v>
      </c>
      <c r="C10" s="3"/>
      <c r="D10" s="69" t="s">
        <v>30</v>
      </c>
      <c r="E10" s="3">
        <v>2168523082</v>
      </c>
      <c r="F10" s="4">
        <f t="shared" si="0"/>
        <v>5</v>
      </c>
      <c r="G10" s="5">
        <v>45866</v>
      </c>
      <c r="H10" s="5">
        <f t="shared" si="1"/>
        <v>45866</v>
      </c>
      <c r="I10" s="32">
        <v>420</v>
      </c>
      <c r="J10" s="6" t="s">
        <v>15</v>
      </c>
      <c r="K10" s="63">
        <f t="shared" si="2"/>
        <v>84</v>
      </c>
      <c r="L10" s="6" t="s">
        <v>6</v>
      </c>
      <c r="M10" s="24"/>
      <c r="N10" s="24">
        <v>119</v>
      </c>
    </row>
    <row r="11" spans="1:15" ht="18.75" customHeight="1">
      <c r="A11" s="11">
        <v>8</v>
      </c>
      <c r="B11" s="2" t="s">
        <v>29</v>
      </c>
      <c r="C11" s="3"/>
      <c r="D11" s="69" t="s">
        <v>30</v>
      </c>
      <c r="E11" s="3">
        <v>2168523083</v>
      </c>
      <c r="F11" s="4">
        <f t="shared" si="0"/>
        <v>6</v>
      </c>
      <c r="G11" s="5">
        <v>45867</v>
      </c>
      <c r="H11" s="5">
        <f t="shared" si="1"/>
        <v>45867</v>
      </c>
      <c r="I11" s="38">
        <v>210</v>
      </c>
      <c r="J11" s="8" t="s">
        <v>15</v>
      </c>
      <c r="K11" s="63">
        <f t="shared" si="2"/>
        <v>42</v>
      </c>
      <c r="L11" s="9" t="s">
        <v>6</v>
      </c>
      <c r="M11" s="24"/>
      <c r="N11" s="24">
        <v>121</v>
      </c>
    </row>
    <row r="12" spans="1:15" ht="18.75" customHeight="1">
      <c r="A12" s="11">
        <v>9</v>
      </c>
      <c r="B12" s="2"/>
      <c r="C12" s="3"/>
      <c r="D12" s="69"/>
      <c r="E12" s="3"/>
      <c r="F12" s="4" t="str">
        <f t="shared" si="0"/>
        <v/>
      </c>
      <c r="G12" s="5"/>
      <c r="H12" s="5" t="str">
        <f t="shared" si="1"/>
        <v/>
      </c>
      <c r="I12" s="32"/>
      <c r="J12" s="6" t="s">
        <v>15</v>
      </c>
      <c r="K12" s="30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9"/>
      <c r="E13" s="3"/>
      <c r="F13" s="4" t="str">
        <f t="shared" si="0"/>
        <v/>
      </c>
      <c r="G13" s="5"/>
      <c r="H13" s="5" t="str">
        <f t="shared" si="1"/>
        <v/>
      </c>
      <c r="I13" s="38"/>
      <c r="J13" s="8" t="s">
        <v>15</v>
      </c>
      <c r="K13" s="30" t="str">
        <f t="shared" si="2"/>
        <v/>
      </c>
      <c r="L13" s="9" t="s">
        <v>6</v>
      </c>
      <c r="M13" s="24"/>
      <c r="N13" s="24"/>
    </row>
    <row r="14" spans="1:15" ht="18.75" customHeight="1">
      <c r="A14" s="11">
        <v>11</v>
      </c>
      <c r="B14" s="2"/>
      <c r="C14" s="3"/>
      <c r="D14" s="69"/>
      <c r="E14" s="3"/>
      <c r="F14" s="4" t="str">
        <f t="shared" si="0"/>
        <v/>
      </c>
      <c r="G14" s="5"/>
      <c r="H14" s="5" t="str">
        <f t="shared" si="1"/>
        <v/>
      </c>
      <c r="I14" s="32"/>
      <c r="J14" s="6" t="s">
        <v>15</v>
      </c>
      <c r="K14" s="30" t="str">
        <f t="shared" si="2"/>
        <v/>
      </c>
      <c r="L14" s="6" t="s">
        <v>6</v>
      </c>
      <c r="M14" s="24"/>
      <c r="N14" s="24"/>
      <c r="O14" s="56"/>
    </row>
    <row r="15" spans="1:15" ht="18.75" customHeight="1">
      <c r="A15" s="11">
        <v>12</v>
      </c>
      <c r="B15" s="2"/>
      <c r="C15" s="3"/>
      <c r="D15" s="69"/>
      <c r="E15" s="3"/>
      <c r="F15" s="4" t="str">
        <f t="shared" si="0"/>
        <v/>
      </c>
      <c r="G15" s="5"/>
      <c r="H15" s="5" t="str">
        <f t="shared" si="1"/>
        <v/>
      </c>
      <c r="I15" s="39"/>
      <c r="J15" s="8" t="s">
        <v>15</v>
      </c>
      <c r="K15" s="30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9"/>
      <c r="E16" s="3"/>
      <c r="F16" s="4" t="str">
        <f t="shared" si="0"/>
        <v/>
      </c>
      <c r="G16" s="5"/>
      <c r="H16" s="5" t="str">
        <f t="shared" si="1"/>
        <v/>
      </c>
      <c r="I16" s="32"/>
      <c r="J16" s="6" t="s">
        <v>15</v>
      </c>
      <c r="K16" s="30" t="str">
        <f t="shared" si="2"/>
        <v/>
      </c>
      <c r="L16" s="6" t="s">
        <v>6</v>
      </c>
      <c r="M16" s="24"/>
      <c r="N16" s="24"/>
    </row>
    <row r="17" spans="1:15" ht="18.75" customHeight="1">
      <c r="A17" s="11">
        <v>14</v>
      </c>
      <c r="B17" s="2"/>
      <c r="C17" s="3"/>
      <c r="D17" s="69"/>
      <c r="E17" s="3"/>
      <c r="F17" s="4" t="str">
        <f t="shared" si="0"/>
        <v/>
      </c>
      <c r="G17" s="5"/>
      <c r="H17" s="5" t="str">
        <f t="shared" si="1"/>
        <v/>
      </c>
      <c r="I17" s="32"/>
      <c r="J17" s="6" t="s">
        <v>15</v>
      </c>
      <c r="K17" s="30" t="str">
        <f t="shared" si="2"/>
        <v/>
      </c>
      <c r="L17" s="6" t="s">
        <v>6</v>
      </c>
      <c r="M17" s="24"/>
      <c r="N17" s="24"/>
    </row>
    <row r="18" spans="1:15" ht="18.75" customHeight="1">
      <c r="A18" s="11">
        <v>15</v>
      </c>
      <c r="B18" s="2"/>
      <c r="C18" s="3"/>
      <c r="D18" s="69"/>
      <c r="E18" s="3"/>
      <c r="F18" s="4" t="str">
        <f t="shared" si="0"/>
        <v/>
      </c>
      <c r="G18" s="5"/>
      <c r="H18" s="5" t="str">
        <f t="shared" si="1"/>
        <v/>
      </c>
      <c r="I18" s="38"/>
      <c r="J18" s="6" t="s">
        <v>15</v>
      </c>
      <c r="K18" s="30" t="str">
        <f t="shared" si="2"/>
        <v/>
      </c>
      <c r="L18" s="9" t="s">
        <v>6</v>
      </c>
      <c r="M18" s="24"/>
      <c r="N18" s="24"/>
    </row>
    <row r="19" spans="1:15" ht="18.75" customHeight="1">
      <c r="A19" s="11">
        <v>16</v>
      </c>
      <c r="B19" s="2"/>
      <c r="C19" s="3"/>
      <c r="D19" s="69"/>
      <c r="E19" s="3"/>
      <c r="F19" s="4" t="str">
        <f t="shared" si="0"/>
        <v/>
      </c>
      <c r="G19" s="5"/>
      <c r="H19" s="5" t="str">
        <f t="shared" si="1"/>
        <v/>
      </c>
      <c r="I19" s="32"/>
      <c r="J19" s="6" t="s">
        <v>15</v>
      </c>
      <c r="K19" s="30" t="str">
        <f t="shared" si="2"/>
        <v/>
      </c>
      <c r="L19" s="6" t="s">
        <v>6</v>
      </c>
      <c r="M19" s="24"/>
      <c r="N19" s="24"/>
    </row>
    <row r="20" spans="1:15" ht="18.75" customHeight="1">
      <c r="A20" s="11">
        <v>17</v>
      </c>
      <c r="B20" s="2"/>
      <c r="C20" s="3"/>
      <c r="D20" s="69"/>
      <c r="E20" s="7"/>
      <c r="F20" s="4" t="str">
        <f t="shared" si="0"/>
        <v/>
      </c>
      <c r="G20" s="5"/>
      <c r="H20" s="5" t="str">
        <f t="shared" si="1"/>
        <v/>
      </c>
      <c r="I20" s="39"/>
      <c r="J20" s="8" t="s">
        <v>15</v>
      </c>
      <c r="K20" s="30" t="str">
        <f t="shared" si="2"/>
        <v/>
      </c>
      <c r="L20" s="6" t="s">
        <v>6</v>
      </c>
      <c r="M20" s="24"/>
      <c r="N20" s="31"/>
    </row>
    <row r="21" spans="1:15" ht="18.75" customHeight="1">
      <c r="A21" s="11">
        <v>18</v>
      </c>
      <c r="B21" s="2"/>
      <c r="C21" s="3"/>
      <c r="D21" s="69"/>
      <c r="E21" s="3"/>
      <c r="F21" s="4" t="str">
        <f t="shared" si="0"/>
        <v/>
      </c>
      <c r="G21" s="5"/>
      <c r="H21" s="5" t="str">
        <f t="shared" si="1"/>
        <v/>
      </c>
      <c r="I21" s="32"/>
      <c r="J21" s="6" t="s">
        <v>15</v>
      </c>
      <c r="K21" s="30" t="str">
        <f t="shared" si="2"/>
        <v/>
      </c>
      <c r="L21" s="6" t="s">
        <v>6</v>
      </c>
      <c r="M21" s="24"/>
      <c r="N21" s="24"/>
    </row>
    <row r="22" spans="1:15" ht="18.75" customHeight="1">
      <c r="A22" s="11">
        <v>19</v>
      </c>
      <c r="B22" s="2"/>
      <c r="C22" s="3"/>
      <c r="D22" s="69"/>
      <c r="E22" s="3"/>
      <c r="F22" s="4" t="str">
        <f t="shared" si="0"/>
        <v/>
      </c>
      <c r="G22" s="5"/>
      <c r="H22" s="5" t="str">
        <f t="shared" si="1"/>
        <v/>
      </c>
      <c r="I22" s="32"/>
      <c r="J22" s="6" t="s">
        <v>15</v>
      </c>
      <c r="K22" s="30" t="str">
        <f t="shared" si="2"/>
        <v/>
      </c>
      <c r="L22" s="6" t="s">
        <v>6</v>
      </c>
      <c r="M22" s="24"/>
      <c r="N22" s="24"/>
    </row>
    <row r="23" spans="1:15" ht="18.75" customHeight="1">
      <c r="A23" s="11">
        <v>20</v>
      </c>
      <c r="B23" s="2"/>
      <c r="C23" s="3"/>
      <c r="D23" s="69"/>
      <c r="E23" s="3"/>
      <c r="F23" s="4" t="str">
        <f t="shared" si="0"/>
        <v/>
      </c>
      <c r="G23" s="5"/>
      <c r="H23" s="5" t="str">
        <f t="shared" si="1"/>
        <v/>
      </c>
      <c r="I23" s="32"/>
      <c r="J23" s="6" t="s">
        <v>11</v>
      </c>
      <c r="K23" s="30" t="str">
        <f t="shared" si="2"/>
        <v/>
      </c>
      <c r="L23" s="6" t="s">
        <v>6</v>
      </c>
      <c r="M23" s="24"/>
      <c r="N23" s="24"/>
    </row>
    <row r="24" spans="1:15" ht="18.75" customHeight="1">
      <c r="A24" s="11">
        <v>21</v>
      </c>
      <c r="B24" s="2"/>
      <c r="C24" s="3"/>
      <c r="D24" s="69"/>
      <c r="E24" s="3"/>
      <c r="F24" s="4" t="str">
        <f t="shared" si="0"/>
        <v/>
      </c>
      <c r="G24" s="5"/>
      <c r="H24" s="5" t="str">
        <f t="shared" si="1"/>
        <v/>
      </c>
      <c r="I24" s="32"/>
      <c r="J24" s="8" t="s">
        <v>11</v>
      </c>
      <c r="K24" s="30" t="str">
        <f t="shared" si="2"/>
        <v/>
      </c>
      <c r="L24" s="6" t="s">
        <v>6</v>
      </c>
      <c r="M24" s="24"/>
      <c r="N24" s="24"/>
    </row>
    <row r="25" spans="1:15" ht="18.75" customHeight="1">
      <c r="A25" s="11">
        <v>22</v>
      </c>
      <c r="B25" s="2"/>
      <c r="C25" s="3"/>
      <c r="D25" s="69"/>
      <c r="E25" s="3"/>
      <c r="F25" s="4" t="str">
        <f t="shared" si="0"/>
        <v/>
      </c>
      <c r="G25" s="5"/>
      <c r="H25" s="5" t="str">
        <f t="shared" si="1"/>
        <v/>
      </c>
      <c r="I25" s="38"/>
      <c r="J25" s="6" t="s">
        <v>11</v>
      </c>
      <c r="K25" s="30" t="str">
        <f t="shared" si="2"/>
        <v/>
      </c>
      <c r="L25" s="6" t="s">
        <v>6</v>
      </c>
      <c r="M25" s="24"/>
      <c r="N25" s="24"/>
    </row>
    <row r="26" spans="1:15" ht="18.75" customHeight="1">
      <c r="A26" s="11">
        <v>23</v>
      </c>
      <c r="B26" s="2"/>
      <c r="C26" s="3"/>
      <c r="D26" s="69"/>
      <c r="E26" s="3"/>
      <c r="F26" s="4" t="str">
        <f t="shared" si="0"/>
        <v/>
      </c>
      <c r="G26" s="5"/>
      <c r="H26" s="5" t="str">
        <f t="shared" si="1"/>
        <v/>
      </c>
      <c r="I26" s="38"/>
      <c r="J26" s="6" t="s">
        <v>15</v>
      </c>
      <c r="K26" s="30" t="str">
        <f t="shared" si="2"/>
        <v/>
      </c>
      <c r="L26" s="6" t="s">
        <v>6</v>
      </c>
      <c r="M26" s="24"/>
      <c r="N26" s="24"/>
    </row>
    <row r="27" spans="1:15" ht="18.75" customHeight="1">
      <c r="A27" s="11">
        <v>24</v>
      </c>
      <c r="B27" s="2"/>
      <c r="C27" s="3"/>
      <c r="D27" s="69"/>
      <c r="E27" s="3"/>
      <c r="F27" s="4" t="str">
        <f t="shared" si="0"/>
        <v/>
      </c>
      <c r="G27" s="5"/>
      <c r="H27" s="5" t="str">
        <f t="shared" si="1"/>
        <v/>
      </c>
      <c r="I27" s="32"/>
      <c r="J27" s="8" t="s">
        <v>15</v>
      </c>
      <c r="K27" s="30" t="str">
        <f t="shared" si="2"/>
        <v/>
      </c>
      <c r="L27" s="6" t="s">
        <v>6</v>
      </c>
      <c r="M27" s="24"/>
      <c r="N27" s="24"/>
      <c r="O27" s="56"/>
    </row>
    <row r="28" spans="1:15" ht="18.75" customHeight="1">
      <c r="A28" s="11">
        <v>25</v>
      </c>
      <c r="B28" s="2"/>
      <c r="C28" s="3"/>
      <c r="D28" s="69"/>
      <c r="E28" s="3"/>
      <c r="F28" s="4" t="str">
        <f t="shared" si="0"/>
        <v/>
      </c>
      <c r="G28" s="5"/>
      <c r="H28" s="5" t="str">
        <f t="shared" si="1"/>
        <v/>
      </c>
      <c r="I28" s="32"/>
      <c r="J28" s="6" t="s">
        <v>15</v>
      </c>
      <c r="K28" s="30" t="str">
        <f t="shared" si="2"/>
        <v/>
      </c>
      <c r="L28" s="6" t="s">
        <v>6</v>
      </c>
      <c r="M28" s="24"/>
      <c r="N28" s="24"/>
    </row>
    <row r="29" spans="1:15" ht="18.75" customHeight="1">
      <c r="A29" s="11">
        <v>26</v>
      </c>
      <c r="B29" s="2"/>
      <c r="C29" s="3"/>
      <c r="D29" s="69"/>
      <c r="E29" s="3"/>
      <c r="F29" s="4" t="str">
        <f t="shared" si="0"/>
        <v/>
      </c>
      <c r="G29" s="5"/>
      <c r="H29" s="5" t="str">
        <f t="shared" si="1"/>
        <v/>
      </c>
      <c r="I29" s="32"/>
      <c r="J29" s="6" t="s">
        <v>15</v>
      </c>
      <c r="K29" s="30" t="str">
        <f t="shared" si="2"/>
        <v/>
      </c>
      <c r="L29" s="6" t="s">
        <v>6</v>
      </c>
      <c r="M29" s="24"/>
      <c r="N29" s="24"/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1820</v>
      </c>
      <c r="J44" s="8" t="s">
        <v>15</v>
      </c>
      <c r="K44" s="44">
        <f>SUM(K4:K43)</f>
        <v>364</v>
      </c>
      <c r="L44" s="8" t="s">
        <v>6</v>
      </c>
      <c r="M44" s="45">
        <f>SUM(K44)-N44</f>
        <v>0</v>
      </c>
      <c r="N44" s="61">
        <f>SUMIF(M4:M42,"",K4:K43)</f>
        <v>364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1820</v>
      </c>
      <c r="J88" s="8" t="s">
        <v>15</v>
      </c>
      <c r="K88" s="44">
        <f>SUM(K48:K87)+K44</f>
        <v>364</v>
      </c>
      <c r="L88" s="8" t="s">
        <v>6</v>
      </c>
      <c r="M88" s="45"/>
      <c r="N88" s="45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ADEABDF6-E2CC-4B07-B33F-FEEE9A76867C}"/>
    <dataValidation imeMode="disabled" allowBlank="1" showInputMessage="1" sqref="G41:G44 G85:G88" xr:uid="{CB89755E-04F1-414C-BAB6-F647A4103623}"/>
    <dataValidation type="list" imeMode="on" allowBlank="1" showInputMessage="1" showErrorMessage="1" sqref="B48:C88 B4:C44" xr:uid="{9F485F8A-DED5-45C9-845C-D1C3B4D8948A}">
      <formula1>"水産系燃え殻,医療系燃え殻"</formula1>
    </dataValidation>
    <dataValidation type="list" imeMode="on" allowBlank="1" showInputMessage="1" prompt="なければ直接入力" sqref="D4:D44 D48:D88" xr:uid="{02E8E774-A3F5-4A4D-88D8-CBB7AD3356F3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10E0-82E8-4C67-8D09-DFF9E2B6A157}">
  <dimension ref="A1:O88"/>
  <sheetViews>
    <sheetView workbookViewId="0">
      <selection activeCell="I44" sqref="I44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29</v>
      </c>
      <c r="C4" s="3"/>
      <c r="D4" s="69" t="s">
        <v>30</v>
      </c>
      <c r="E4" s="3">
        <v>2168523099</v>
      </c>
      <c r="F4" s="4">
        <f t="shared" ref="F4:F41" si="0">IF(E4="","",E4-INT(E4/7)*7)</f>
        <v>1</v>
      </c>
      <c r="G4" s="5">
        <v>45870</v>
      </c>
      <c r="H4" s="5">
        <f t="shared" ref="H4:H41" si="1">IF(G4="","",G4)</f>
        <v>45870</v>
      </c>
      <c r="I4" s="29">
        <v>220</v>
      </c>
      <c r="J4" s="6" t="s">
        <v>15</v>
      </c>
      <c r="K4" s="63">
        <f t="shared" ref="K4:K41" si="2">IF(I4&gt;0,I4*0.2,"")</f>
        <v>44</v>
      </c>
      <c r="L4" s="6" t="s">
        <v>6</v>
      </c>
      <c r="M4" s="24"/>
      <c r="N4" s="31">
        <v>122</v>
      </c>
    </row>
    <row r="5" spans="1:15" ht="18.75" customHeight="1">
      <c r="A5" s="11">
        <v>2</v>
      </c>
      <c r="B5" s="2" t="s">
        <v>27</v>
      </c>
      <c r="C5" s="3"/>
      <c r="D5" s="69" t="s">
        <v>28</v>
      </c>
      <c r="E5" s="7">
        <v>2602209170</v>
      </c>
      <c r="F5" s="4">
        <f t="shared" si="0"/>
        <v>1</v>
      </c>
      <c r="G5" s="5">
        <v>45870</v>
      </c>
      <c r="H5" s="5">
        <f t="shared" si="1"/>
        <v>45870</v>
      </c>
      <c r="I5" s="32">
        <v>270</v>
      </c>
      <c r="J5" s="33" t="s">
        <v>15</v>
      </c>
      <c r="K5" s="73">
        <f t="shared" si="2"/>
        <v>54</v>
      </c>
      <c r="L5" s="6" t="s">
        <v>6</v>
      </c>
      <c r="M5" s="24"/>
      <c r="N5" s="24">
        <v>124</v>
      </c>
    </row>
    <row r="6" spans="1:15" ht="18.75" customHeight="1">
      <c r="A6" s="11">
        <v>3</v>
      </c>
      <c r="B6" s="2" t="s">
        <v>29</v>
      </c>
      <c r="C6" s="3"/>
      <c r="D6" s="69" t="s">
        <v>30</v>
      </c>
      <c r="E6" s="3">
        <v>2168523079</v>
      </c>
      <c r="F6" s="4">
        <f t="shared" si="0"/>
        <v>2</v>
      </c>
      <c r="G6" s="5">
        <v>45873</v>
      </c>
      <c r="H6" s="5">
        <f t="shared" si="1"/>
        <v>45873</v>
      </c>
      <c r="I6" s="35">
        <v>200</v>
      </c>
      <c r="J6" s="8" t="s">
        <v>15</v>
      </c>
      <c r="K6" s="71">
        <f t="shared" si="2"/>
        <v>40</v>
      </c>
      <c r="L6" s="9" t="s">
        <v>6</v>
      </c>
      <c r="M6" s="37"/>
      <c r="N6" s="24">
        <v>125</v>
      </c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2168523098</v>
      </c>
      <c r="F7" s="4">
        <f t="shared" si="0"/>
        <v>0</v>
      </c>
      <c r="G7" s="5">
        <v>45874</v>
      </c>
      <c r="H7" s="5">
        <f t="shared" si="1"/>
        <v>45874</v>
      </c>
      <c r="I7" s="32">
        <v>290</v>
      </c>
      <c r="J7" s="6" t="s">
        <v>15</v>
      </c>
      <c r="K7" s="63">
        <f t="shared" si="2"/>
        <v>58</v>
      </c>
      <c r="L7" s="6" t="s">
        <v>6</v>
      </c>
      <c r="M7" s="24"/>
      <c r="N7" s="24">
        <v>127</v>
      </c>
    </row>
    <row r="8" spans="1:15" ht="18.75" customHeight="1">
      <c r="A8" s="11">
        <v>5</v>
      </c>
      <c r="B8" s="2" t="s">
        <v>27</v>
      </c>
      <c r="C8" s="3"/>
      <c r="D8" s="69" t="s">
        <v>28</v>
      </c>
      <c r="E8" s="3">
        <v>2602209175</v>
      </c>
      <c r="F8" s="4">
        <f t="shared" si="0"/>
        <v>6</v>
      </c>
      <c r="G8" s="5">
        <v>45875</v>
      </c>
      <c r="H8" s="5">
        <f t="shared" si="1"/>
        <v>45875</v>
      </c>
      <c r="I8" s="32">
        <v>90</v>
      </c>
      <c r="J8" s="6" t="s">
        <v>15</v>
      </c>
      <c r="K8" s="63">
        <f t="shared" si="2"/>
        <v>18</v>
      </c>
      <c r="L8" s="6" t="s">
        <v>6</v>
      </c>
      <c r="M8" s="24"/>
      <c r="N8" s="24">
        <v>128</v>
      </c>
    </row>
    <row r="9" spans="1:15" ht="18.75" customHeight="1">
      <c r="A9" s="11">
        <v>6</v>
      </c>
      <c r="B9" s="2" t="s">
        <v>29</v>
      </c>
      <c r="C9" s="3"/>
      <c r="D9" s="69" t="s">
        <v>30</v>
      </c>
      <c r="E9" s="3">
        <v>2168523049</v>
      </c>
      <c r="F9" s="4">
        <f t="shared" si="0"/>
        <v>0</v>
      </c>
      <c r="G9" s="5">
        <v>45876</v>
      </c>
      <c r="H9" s="5">
        <f t="shared" si="1"/>
        <v>45876</v>
      </c>
      <c r="I9" s="32">
        <v>200</v>
      </c>
      <c r="J9" s="6" t="s">
        <v>15</v>
      </c>
      <c r="K9" s="63">
        <f t="shared" si="2"/>
        <v>40</v>
      </c>
      <c r="L9" s="6" t="s">
        <v>6</v>
      </c>
      <c r="M9" s="24"/>
      <c r="N9" s="24">
        <v>129</v>
      </c>
    </row>
    <row r="10" spans="1:15" ht="18.75" customHeight="1">
      <c r="A10" s="11">
        <v>7</v>
      </c>
      <c r="B10" s="2" t="s">
        <v>29</v>
      </c>
      <c r="C10" s="3"/>
      <c r="D10" s="69" t="s">
        <v>30</v>
      </c>
      <c r="E10" s="3">
        <v>2168522945</v>
      </c>
      <c r="F10" s="4">
        <f t="shared" si="0"/>
        <v>1</v>
      </c>
      <c r="G10" s="5">
        <v>45877</v>
      </c>
      <c r="H10" s="5">
        <f t="shared" si="1"/>
        <v>45877</v>
      </c>
      <c r="I10" s="32">
        <v>210</v>
      </c>
      <c r="J10" s="6" t="s">
        <v>15</v>
      </c>
      <c r="K10" s="63">
        <f t="shared" si="2"/>
        <v>42</v>
      </c>
      <c r="L10" s="6" t="s">
        <v>6</v>
      </c>
      <c r="M10" s="24"/>
      <c r="N10" s="24">
        <v>131</v>
      </c>
    </row>
    <row r="11" spans="1:15" ht="18.75" customHeight="1">
      <c r="A11" s="11">
        <v>8</v>
      </c>
      <c r="B11" s="2" t="s">
        <v>29</v>
      </c>
      <c r="C11" s="3"/>
      <c r="D11" s="69" t="s">
        <v>30</v>
      </c>
      <c r="E11" s="3">
        <v>2168523002</v>
      </c>
      <c r="F11" s="4">
        <f t="shared" si="0"/>
        <v>2</v>
      </c>
      <c r="G11" s="5">
        <v>45881</v>
      </c>
      <c r="H11" s="5">
        <f t="shared" si="1"/>
        <v>45881</v>
      </c>
      <c r="I11" s="38">
        <v>380</v>
      </c>
      <c r="J11" s="8" t="s">
        <v>15</v>
      </c>
      <c r="K11" s="63">
        <f t="shared" si="2"/>
        <v>76</v>
      </c>
      <c r="L11" s="9" t="s">
        <v>6</v>
      </c>
      <c r="M11" s="24"/>
      <c r="N11" s="24">
        <v>130</v>
      </c>
    </row>
    <row r="12" spans="1:15" ht="18.75" customHeight="1">
      <c r="A12" s="11">
        <v>9</v>
      </c>
      <c r="B12" s="2" t="s">
        <v>29</v>
      </c>
      <c r="C12" s="3"/>
      <c r="D12" s="69" t="s">
        <v>30</v>
      </c>
      <c r="E12" s="3">
        <v>2168523050</v>
      </c>
      <c r="F12" s="4">
        <f t="shared" si="0"/>
        <v>1</v>
      </c>
      <c r="G12" s="5">
        <v>45882</v>
      </c>
      <c r="H12" s="5">
        <f t="shared" si="1"/>
        <v>45882</v>
      </c>
      <c r="I12" s="32">
        <v>390</v>
      </c>
      <c r="J12" s="6" t="s">
        <v>15</v>
      </c>
      <c r="K12" s="63">
        <f t="shared" si="2"/>
        <v>78</v>
      </c>
      <c r="L12" s="6" t="s">
        <v>6</v>
      </c>
      <c r="M12" s="24"/>
      <c r="N12" s="24">
        <v>134</v>
      </c>
    </row>
    <row r="13" spans="1:15" ht="18.75" customHeight="1">
      <c r="A13" s="11">
        <v>10</v>
      </c>
      <c r="B13" s="2" t="s">
        <v>29</v>
      </c>
      <c r="C13" s="3"/>
      <c r="D13" s="69" t="s">
        <v>30</v>
      </c>
      <c r="E13" s="3">
        <v>2168523061</v>
      </c>
      <c r="F13" s="4">
        <f t="shared" si="0"/>
        <v>5</v>
      </c>
      <c r="G13" s="5">
        <v>45884</v>
      </c>
      <c r="H13" s="5">
        <f t="shared" si="1"/>
        <v>45884</v>
      </c>
      <c r="I13" s="38">
        <v>280</v>
      </c>
      <c r="J13" s="8" t="s">
        <v>15</v>
      </c>
      <c r="K13" s="63">
        <f t="shared" si="2"/>
        <v>56</v>
      </c>
      <c r="L13" s="9" t="s">
        <v>6</v>
      </c>
      <c r="M13" s="24"/>
      <c r="N13" s="24">
        <v>136</v>
      </c>
    </row>
    <row r="14" spans="1:15" ht="18.75" customHeight="1">
      <c r="A14" s="11">
        <v>11</v>
      </c>
      <c r="B14" s="2" t="s">
        <v>29</v>
      </c>
      <c r="C14" s="3"/>
      <c r="D14" s="69" t="s">
        <v>30</v>
      </c>
      <c r="E14" s="3">
        <v>2168523005</v>
      </c>
      <c r="F14" s="4">
        <f t="shared" si="0"/>
        <v>5</v>
      </c>
      <c r="G14" s="5">
        <v>45887</v>
      </c>
      <c r="H14" s="5">
        <f t="shared" si="1"/>
        <v>45887</v>
      </c>
      <c r="I14" s="32">
        <v>390</v>
      </c>
      <c r="J14" s="6" t="s">
        <v>15</v>
      </c>
      <c r="K14" s="63">
        <f t="shared" si="2"/>
        <v>78</v>
      </c>
      <c r="L14" s="6" t="s">
        <v>6</v>
      </c>
      <c r="M14" s="24"/>
      <c r="N14" s="24">
        <v>138</v>
      </c>
      <c r="O14" s="56"/>
    </row>
    <row r="15" spans="1:15" ht="18.75" customHeight="1">
      <c r="A15" s="11">
        <v>12</v>
      </c>
      <c r="B15" s="2" t="s">
        <v>27</v>
      </c>
      <c r="C15" s="3"/>
      <c r="D15" s="69" t="s">
        <v>28</v>
      </c>
      <c r="E15" s="3">
        <v>2602209174</v>
      </c>
      <c r="F15" s="4">
        <f t="shared" si="0"/>
        <v>5</v>
      </c>
      <c r="G15" s="5">
        <v>45888</v>
      </c>
      <c r="H15" s="5">
        <f t="shared" si="1"/>
        <v>45888</v>
      </c>
      <c r="I15" s="39">
        <v>120</v>
      </c>
      <c r="J15" s="8" t="s">
        <v>15</v>
      </c>
      <c r="K15" s="63">
        <f t="shared" si="2"/>
        <v>24</v>
      </c>
      <c r="L15" s="6" t="s">
        <v>6</v>
      </c>
      <c r="M15" s="24"/>
      <c r="N15" s="24">
        <v>140</v>
      </c>
    </row>
    <row r="16" spans="1:15" ht="18.75" customHeight="1">
      <c r="A16" s="11">
        <v>13</v>
      </c>
      <c r="B16" s="2" t="s">
        <v>29</v>
      </c>
      <c r="C16" s="3"/>
      <c r="D16" s="69" t="s">
        <v>30</v>
      </c>
      <c r="E16" s="3">
        <v>2168523059</v>
      </c>
      <c r="F16" s="4">
        <f t="shared" si="0"/>
        <v>3</v>
      </c>
      <c r="G16" s="5">
        <v>45888</v>
      </c>
      <c r="H16" s="5">
        <f t="shared" si="1"/>
        <v>45888</v>
      </c>
      <c r="I16" s="32">
        <v>260</v>
      </c>
      <c r="J16" s="6" t="s">
        <v>15</v>
      </c>
      <c r="K16" s="63">
        <f t="shared" si="2"/>
        <v>52</v>
      </c>
      <c r="L16" s="6" t="s">
        <v>6</v>
      </c>
      <c r="M16" s="24"/>
      <c r="N16" s="24">
        <v>141</v>
      </c>
    </row>
    <row r="17" spans="1:15" ht="18.75" customHeight="1">
      <c r="A17" s="11">
        <v>14</v>
      </c>
      <c r="B17" s="2" t="s">
        <v>29</v>
      </c>
      <c r="C17" s="3"/>
      <c r="D17" s="69" t="s">
        <v>30</v>
      </c>
      <c r="E17" s="3">
        <v>2168523007</v>
      </c>
      <c r="F17" s="4">
        <f t="shared" si="0"/>
        <v>0</v>
      </c>
      <c r="G17" s="5">
        <v>45890</v>
      </c>
      <c r="H17" s="5">
        <f t="shared" si="1"/>
        <v>45890</v>
      </c>
      <c r="I17" s="32">
        <v>200</v>
      </c>
      <c r="J17" s="6" t="s">
        <v>15</v>
      </c>
      <c r="K17" s="63">
        <f t="shared" si="2"/>
        <v>40</v>
      </c>
      <c r="L17" s="6" t="s">
        <v>6</v>
      </c>
      <c r="M17" s="24"/>
      <c r="N17" s="24">
        <v>142</v>
      </c>
    </row>
    <row r="18" spans="1:15" ht="18.75" customHeight="1">
      <c r="A18" s="11">
        <v>15</v>
      </c>
      <c r="B18" s="2" t="s">
        <v>29</v>
      </c>
      <c r="C18" s="3"/>
      <c r="D18" s="69" t="s">
        <v>30</v>
      </c>
      <c r="E18" s="3">
        <v>2168523058</v>
      </c>
      <c r="F18" s="4">
        <f t="shared" si="0"/>
        <v>2</v>
      </c>
      <c r="G18" s="5">
        <v>45891</v>
      </c>
      <c r="H18" s="5">
        <f t="shared" si="1"/>
        <v>45891</v>
      </c>
      <c r="I18" s="38">
        <v>200</v>
      </c>
      <c r="J18" s="6" t="s">
        <v>15</v>
      </c>
      <c r="K18" s="63">
        <f t="shared" si="2"/>
        <v>40</v>
      </c>
      <c r="L18" s="9" t="s">
        <v>6</v>
      </c>
      <c r="M18" s="24"/>
      <c r="N18" s="24">
        <v>144</v>
      </c>
    </row>
    <row r="19" spans="1:15" ht="18.75" customHeight="1">
      <c r="A19" s="11">
        <v>16</v>
      </c>
      <c r="B19" s="2" t="s">
        <v>29</v>
      </c>
      <c r="C19" s="3"/>
      <c r="D19" s="69" t="s">
        <v>30</v>
      </c>
      <c r="E19" s="3">
        <v>2168523056</v>
      </c>
      <c r="F19" s="4">
        <f t="shared" si="0"/>
        <v>0</v>
      </c>
      <c r="G19" s="5">
        <v>45894</v>
      </c>
      <c r="H19" s="5">
        <f t="shared" si="1"/>
        <v>45894</v>
      </c>
      <c r="I19" s="32">
        <v>220</v>
      </c>
      <c r="J19" s="6" t="s">
        <v>15</v>
      </c>
      <c r="K19" s="63">
        <f t="shared" si="2"/>
        <v>44</v>
      </c>
      <c r="L19" s="6" t="s">
        <v>6</v>
      </c>
      <c r="M19" s="24"/>
      <c r="N19" s="24">
        <v>145</v>
      </c>
    </row>
    <row r="20" spans="1:15" ht="18.75" customHeight="1">
      <c r="A20" s="11">
        <v>17</v>
      </c>
      <c r="B20" s="2" t="s">
        <v>27</v>
      </c>
      <c r="C20" s="3"/>
      <c r="D20" s="69" t="s">
        <v>28</v>
      </c>
      <c r="E20" s="7">
        <v>2602209173</v>
      </c>
      <c r="F20" s="4">
        <f t="shared" si="0"/>
        <v>4</v>
      </c>
      <c r="G20" s="5">
        <v>45895</v>
      </c>
      <c r="H20" s="5">
        <f t="shared" si="1"/>
        <v>45895</v>
      </c>
      <c r="I20" s="39">
        <v>220</v>
      </c>
      <c r="J20" s="8" t="s">
        <v>15</v>
      </c>
      <c r="K20" s="63">
        <f t="shared" si="2"/>
        <v>44</v>
      </c>
      <c r="L20" s="6" t="s">
        <v>6</v>
      </c>
      <c r="M20" s="24"/>
      <c r="N20" s="31">
        <v>147</v>
      </c>
    </row>
    <row r="21" spans="1:15" ht="18.75" customHeight="1">
      <c r="A21" s="11">
        <v>18</v>
      </c>
      <c r="B21" s="2" t="s">
        <v>29</v>
      </c>
      <c r="C21" s="3"/>
      <c r="D21" s="69" t="s">
        <v>30</v>
      </c>
      <c r="E21" s="3">
        <v>2168523054</v>
      </c>
      <c r="F21" s="4">
        <f t="shared" si="0"/>
        <v>5</v>
      </c>
      <c r="G21" s="5">
        <v>45895</v>
      </c>
      <c r="H21" s="5">
        <f t="shared" si="1"/>
        <v>45895</v>
      </c>
      <c r="I21" s="32">
        <v>280</v>
      </c>
      <c r="J21" s="6" t="s">
        <v>15</v>
      </c>
      <c r="K21" s="63">
        <f t="shared" si="2"/>
        <v>56</v>
      </c>
      <c r="L21" s="6" t="s">
        <v>6</v>
      </c>
      <c r="M21" s="24"/>
      <c r="N21" s="24">
        <v>148</v>
      </c>
    </row>
    <row r="22" spans="1:15" ht="18.75" customHeight="1">
      <c r="A22" s="11">
        <v>19</v>
      </c>
      <c r="B22" s="2" t="s">
        <v>29</v>
      </c>
      <c r="C22" s="3"/>
      <c r="D22" s="69" t="s">
        <v>30</v>
      </c>
      <c r="E22" s="3">
        <v>2168523008</v>
      </c>
      <c r="F22" s="4">
        <f t="shared" si="0"/>
        <v>1</v>
      </c>
      <c r="G22" s="5">
        <v>45897</v>
      </c>
      <c r="H22" s="5">
        <f t="shared" si="1"/>
        <v>45897</v>
      </c>
      <c r="I22" s="32">
        <v>170</v>
      </c>
      <c r="J22" s="6" t="s">
        <v>15</v>
      </c>
      <c r="K22" s="63">
        <f t="shared" si="2"/>
        <v>34</v>
      </c>
      <c r="L22" s="6" t="s">
        <v>6</v>
      </c>
      <c r="M22" s="24"/>
      <c r="N22" s="24">
        <v>150</v>
      </c>
    </row>
    <row r="23" spans="1:15" ht="18.75" customHeight="1">
      <c r="A23" s="11">
        <v>20</v>
      </c>
      <c r="B23" s="2" t="s">
        <v>29</v>
      </c>
      <c r="C23" s="3"/>
      <c r="D23" s="69" t="s">
        <v>30</v>
      </c>
      <c r="E23" s="3">
        <v>2168523053</v>
      </c>
      <c r="F23" s="4">
        <f t="shared" si="0"/>
        <v>4</v>
      </c>
      <c r="G23" s="5">
        <v>45898</v>
      </c>
      <c r="H23" s="5">
        <f t="shared" si="1"/>
        <v>45898</v>
      </c>
      <c r="I23" s="32">
        <v>220</v>
      </c>
      <c r="J23" s="6" t="s">
        <v>11</v>
      </c>
      <c r="K23" s="63">
        <f t="shared" si="2"/>
        <v>44</v>
      </c>
      <c r="L23" s="6" t="s">
        <v>6</v>
      </c>
      <c r="M23" s="24"/>
      <c r="N23" s="24">
        <v>152</v>
      </c>
    </row>
    <row r="24" spans="1:15" ht="18.75" customHeight="1">
      <c r="A24" s="11">
        <v>21</v>
      </c>
      <c r="B24" s="2" t="s">
        <v>27</v>
      </c>
      <c r="C24" s="3"/>
      <c r="D24" s="69" t="s">
        <v>39</v>
      </c>
      <c r="E24" s="3">
        <v>2042152444</v>
      </c>
      <c r="F24" s="4">
        <f t="shared" si="0"/>
        <v>3</v>
      </c>
      <c r="G24" s="5">
        <v>45898</v>
      </c>
      <c r="H24" s="5">
        <f t="shared" si="1"/>
        <v>45898</v>
      </c>
      <c r="I24" s="32">
        <v>70</v>
      </c>
      <c r="J24" s="8" t="s">
        <v>11</v>
      </c>
      <c r="K24" s="63">
        <f t="shared" si="2"/>
        <v>14</v>
      </c>
      <c r="L24" s="6" t="s">
        <v>6</v>
      </c>
      <c r="M24" s="24"/>
      <c r="N24" s="24">
        <v>153</v>
      </c>
    </row>
    <row r="25" spans="1:15" ht="18.75" customHeight="1">
      <c r="A25" s="11">
        <v>22</v>
      </c>
      <c r="B25" s="2"/>
      <c r="C25" s="3"/>
      <c r="D25" s="69"/>
      <c r="E25" s="3"/>
      <c r="F25" s="4" t="str">
        <f t="shared" si="0"/>
        <v/>
      </c>
      <c r="G25" s="5"/>
      <c r="H25" s="5" t="str">
        <f t="shared" si="1"/>
        <v/>
      </c>
      <c r="I25" s="38"/>
      <c r="J25" s="6" t="s">
        <v>11</v>
      </c>
      <c r="K25" s="30" t="str">
        <f t="shared" si="2"/>
        <v/>
      </c>
      <c r="L25" s="6" t="s">
        <v>6</v>
      </c>
      <c r="M25" s="24"/>
      <c r="N25" s="24"/>
    </row>
    <row r="26" spans="1:15" ht="18.75" customHeight="1">
      <c r="A26" s="11">
        <v>23</v>
      </c>
      <c r="B26" s="2"/>
      <c r="C26" s="3"/>
      <c r="D26" s="69"/>
      <c r="E26" s="3"/>
      <c r="F26" s="4" t="str">
        <f t="shared" si="0"/>
        <v/>
      </c>
      <c r="G26" s="5"/>
      <c r="H26" s="5" t="str">
        <f t="shared" si="1"/>
        <v/>
      </c>
      <c r="I26" s="38"/>
      <c r="J26" s="6" t="s">
        <v>15</v>
      </c>
      <c r="K26" s="30" t="str">
        <f t="shared" si="2"/>
        <v/>
      </c>
      <c r="L26" s="6" t="s">
        <v>6</v>
      </c>
      <c r="M26" s="24"/>
      <c r="N26" s="24"/>
    </row>
    <row r="27" spans="1:15" ht="18.75" customHeight="1">
      <c r="A27" s="11">
        <v>24</v>
      </c>
      <c r="B27" s="2"/>
      <c r="C27" s="3"/>
      <c r="D27" s="69"/>
      <c r="E27" s="3"/>
      <c r="F27" s="4" t="str">
        <f t="shared" si="0"/>
        <v/>
      </c>
      <c r="G27" s="5"/>
      <c r="H27" s="5" t="str">
        <f t="shared" si="1"/>
        <v/>
      </c>
      <c r="I27" s="32"/>
      <c r="J27" s="8" t="s">
        <v>15</v>
      </c>
      <c r="K27" s="30" t="str">
        <f t="shared" si="2"/>
        <v/>
      </c>
      <c r="L27" s="6" t="s">
        <v>6</v>
      </c>
      <c r="M27" s="24"/>
      <c r="N27" s="24"/>
      <c r="O27" s="56"/>
    </row>
    <row r="28" spans="1:15" ht="18.75" customHeight="1">
      <c r="A28" s="11">
        <v>25</v>
      </c>
      <c r="B28" s="2"/>
      <c r="C28" s="3"/>
      <c r="D28" s="69"/>
      <c r="E28" s="3"/>
      <c r="F28" s="4" t="str">
        <f t="shared" si="0"/>
        <v/>
      </c>
      <c r="G28" s="5"/>
      <c r="H28" s="5" t="str">
        <f t="shared" si="1"/>
        <v/>
      </c>
      <c r="I28" s="32"/>
      <c r="J28" s="6" t="s">
        <v>15</v>
      </c>
      <c r="K28" s="30" t="str">
        <f t="shared" si="2"/>
        <v/>
      </c>
      <c r="L28" s="6" t="s">
        <v>6</v>
      </c>
      <c r="M28" s="24"/>
      <c r="N28" s="24"/>
    </row>
    <row r="29" spans="1:15" ht="18.75" customHeight="1">
      <c r="A29" s="11">
        <v>26</v>
      </c>
      <c r="B29" s="2"/>
      <c r="C29" s="3"/>
      <c r="D29" s="69"/>
      <c r="E29" s="3"/>
      <c r="F29" s="4" t="str">
        <f t="shared" si="0"/>
        <v/>
      </c>
      <c r="G29" s="5"/>
      <c r="H29" s="5" t="str">
        <f t="shared" si="1"/>
        <v/>
      </c>
      <c r="I29" s="32"/>
      <c r="J29" s="6" t="s">
        <v>15</v>
      </c>
      <c r="K29" s="30" t="str">
        <f t="shared" si="2"/>
        <v/>
      </c>
      <c r="L29" s="6" t="s">
        <v>6</v>
      </c>
      <c r="M29" s="24"/>
      <c r="N29" s="24"/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4880</v>
      </c>
      <c r="J44" s="8" t="s">
        <v>15</v>
      </c>
      <c r="K44" s="44">
        <f>SUM(K4:K43)</f>
        <v>976</v>
      </c>
      <c r="L44" s="8" t="s">
        <v>6</v>
      </c>
      <c r="M44" s="45">
        <f>SUM(K44)-N44</f>
        <v>0</v>
      </c>
      <c r="N44" s="61">
        <f>SUMIF(M4:M42,"",K4:K43)</f>
        <v>976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4880</v>
      </c>
      <c r="J88" s="8" t="s">
        <v>15</v>
      </c>
      <c r="K88" s="44">
        <f>SUM(K48:K87)+K44</f>
        <v>976</v>
      </c>
      <c r="L88" s="8" t="s">
        <v>6</v>
      </c>
      <c r="M88" s="45"/>
      <c r="N88" s="45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90FB2483-E8CF-49A8-B730-E41865D9082D}"/>
    <dataValidation imeMode="disabled" allowBlank="1" showInputMessage="1" sqref="G41:G44 G85:G88" xr:uid="{B604BC0E-88AC-4F7B-8C47-265C355ED9BE}"/>
    <dataValidation type="list" imeMode="on" allowBlank="1" showInputMessage="1" showErrorMessage="1" sqref="B48:C88 B4:C44" xr:uid="{B4E5721F-3DB6-4DC7-8A37-CC6E1F460540}">
      <formula1>"水産系燃え殻,医療系燃え殻"</formula1>
    </dataValidation>
    <dataValidation type="list" imeMode="on" allowBlank="1" showInputMessage="1" prompt="なければ直接入力" sqref="D48:D88 D4:D44" xr:uid="{E69D1C5E-6DF1-48CC-A138-9FAE2F6B41AF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35CA-4D7D-4BC5-818C-608038099F29}">
  <dimension ref="A1:O88"/>
  <sheetViews>
    <sheetView workbookViewId="0">
      <selection activeCell="I44" sqref="I44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29</v>
      </c>
      <c r="C4" s="3"/>
      <c r="D4" s="69" t="s">
        <v>30</v>
      </c>
      <c r="E4" s="3">
        <v>2168523048</v>
      </c>
      <c r="F4" s="4">
        <f t="shared" ref="F4:F41" si="0">IF(E4="","",E4-INT(E4/7)*7)</f>
        <v>6</v>
      </c>
      <c r="G4" s="5">
        <v>45901</v>
      </c>
      <c r="H4" s="5">
        <f t="shared" ref="H4:H41" si="1">IF(G4="","",G4)</f>
        <v>45901</v>
      </c>
      <c r="I4" s="29">
        <v>220</v>
      </c>
      <c r="J4" s="6" t="s">
        <v>15</v>
      </c>
      <c r="K4" s="63">
        <f t="shared" ref="K4:K41" si="2">IF(I4&gt;0,I4*0.2,"")</f>
        <v>44</v>
      </c>
      <c r="L4" s="6" t="s">
        <v>6</v>
      </c>
      <c r="M4" s="24"/>
      <c r="N4" s="31">
        <v>154</v>
      </c>
    </row>
    <row r="5" spans="1:15" ht="18.75" customHeight="1">
      <c r="A5" s="11">
        <v>2</v>
      </c>
      <c r="B5" s="2" t="s">
        <v>29</v>
      </c>
      <c r="C5" s="3"/>
      <c r="D5" s="69" t="s">
        <v>30</v>
      </c>
      <c r="E5" s="7">
        <v>2168523047</v>
      </c>
      <c r="F5" s="4">
        <f t="shared" si="0"/>
        <v>5</v>
      </c>
      <c r="G5" s="5">
        <v>45902</v>
      </c>
      <c r="H5" s="5">
        <f t="shared" si="1"/>
        <v>45902</v>
      </c>
      <c r="I5" s="32">
        <v>200</v>
      </c>
      <c r="J5" s="33" t="s">
        <v>15</v>
      </c>
      <c r="K5" s="73">
        <f t="shared" si="2"/>
        <v>40</v>
      </c>
      <c r="L5" s="6" t="s">
        <v>6</v>
      </c>
      <c r="M5" s="24"/>
      <c r="N5" s="24">
        <v>155</v>
      </c>
    </row>
    <row r="6" spans="1:15" ht="18.75" customHeight="1">
      <c r="A6" s="11">
        <v>3</v>
      </c>
      <c r="B6" s="2" t="s">
        <v>27</v>
      </c>
      <c r="C6" s="3"/>
      <c r="D6" s="69" t="s">
        <v>28</v>
      </c>
      <c r="E6" s="3">
        <v>2602209172</v>
      </c>
      <c r="F6" s="4">
        <f t="shared" si="0"/>
        <v>3</v>
      </c>
      <c r="G6" s="5">
        <v>45903</v>
      </c>
      <c r="H6" s="5">
        <f t="shared" si="1"/>
        <v>45903</v>
      </c>
      <c r="I6" s="35">
        <v>120</v>
      </c>
      <c r="J6" s="8" t="s">
        <v>15</v>
      </c>
      <c r="K6" s="71">
        <f t="shared" si="2"/>
        <v>24</v>
      </c>
      <c r="L6" s="9" t="s">
        <v>6</v>
      </c>
      <c r="M6" s="37"/>
      <c r="N6" s="24">
        <v>157</v>
      </c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2168523088</v>
      </c>
      <c r="F7" s="4">
        <f t="shared" si="0"/>
        <v>4</v>
      </c>
      <c r="G7" s="5">
        <v>45903</v>
      </c>
      <c r="H7" s="5">
        <f t="shared" si="1"/>
        <v>45903</v>
      </c>
      <c r="I7" s="32">
        <v>200</v>
      </c>
      <c r="J7" s="6" t="s">
        <v>15</v>
      </c>
      <c r="K7" s="63">
        <f t="shared" si="2"/>
        <v>40</v>
      </c>
      <c r="L7" s="6" t="s">
        <v>6</v>
      </c>
      <c r="M7" s="24"/>
      <c r="N7" s="24">
        <v>158</v>
      </c>
    </row>
    <row r="8" spans="1:15" ht="18.75" customHeight="1">
      <c r="A8" s="11">
        <v>5</v>
      </c>
      <c r="B8" s="2" t="s">
        <v>27</v>
      </c>
      <c r="C8" s="3"/>
      <c r="D8" s="69" t="s">
        <v>32</v>
      </c>
      <c r="E8" s="3">
        <v>2174949102</v>
      </c>
      <c r="F8" s="4">
        <f t="shared" si="0"/>
        <v>4</v>
      </c>
      <c r="G8" s="5">
        <v>45904</v>
      </c>
      <c r="H8" s="5">
        <f t="shared" si="1"/>
        <v>45904</v>
      </c>
      <c r="I8" s="32">
        <v>110</v>
      </c>
      <c r="J8" s="6" t="s">
        <v>15</v>
      </c>
      <c r="K8" s="63">
        <f t="shared" si="2"/>
        <v>22</v>
      </c>
      <c r="L8" s="6" t="s">
        <v>6</v>
      </c>
      <c r="M8" s="24"/>
      <c r="N8" s="24">
        <v>159</v>
      </c>
    </row>
    <row r="9" spans="1:15" ht="18.75" customHeight="1">
      <c r="A9" s="11">
        <v>6</v>
      </c>
      <c r="B9" s="2" t="s">
        <v>29</v>
      </c>
      <c r="C9" s="3"/>
      <c r="D9" s="69" t="s">
        <v>25</v>
      </c>
      <c r="E9" s="3">
        <v>2585447402</v>
      </c>
      <c r="F9" s="4">
        <f t="shared" si="0"/>
        <v>6</v>
      </c>
      <c r="G9" s="5">
        <v>45905</v>
      </c>
      <c r="H9" s="5">
        <f t="shared" si="1"/>
        <v>45905</v>
      </c>
      <c r="I9" s="32">
        <v>600</v>
      </c>
      <c r="J9" s="6" t="s">
        <v>15</v>
      </c>
      <c r="K9" s="30">
        <f t="shared" si="2"/>
        <v>120</v>
      </c>
      <c r="L9" s="6" t="s">
        <v>6</v>
      </c>
      <c r="M9" s="24">
        <v>884</v>
      </c>
      <c r="N9" s="24"/>
    </row>
    <row r="10" spans="1:15" ht="18.75" customHeight="1">
      <c r="A10" s="11">
        <v>7</v>
      </c>
      <c r="B10" s="2" t="s">
        <v>29</v>
      </c>
      <c r="C10" s="3"/>
      <c r="D10" s="69" t="s">
        <v>30</v>
      </c>
      <c r="E10" s="3">
        <v>2168523087</v>
      </c>
      <c r="F10" s="4">
        <f t="shared" si="0"/>
        <v>3</v>
      </c>
      <c r="G10" s="5">
        <v>45905</v>
      </c>
      <c r="H10" s="5">
        <f t="shared" si="1"/>
        <v>45905</v>
      </c>
      <c r="I10" s="32">
        <v>420</v>
      </c>
      <c r="J10" s="6" t="s">
        <v>15</v>
      </c>
      <c r="K10" s="63">
        <f t="shared" si="2"/>
        <v>84</v>
      </c>
      <c r="L10" s="6" t="s">
        <v>6</v>
      </c>
      <c r="M10" s="24"/>
      <c r="N10" s="24">
        <v>163</v>
      </c>
    </row>
    <row r="11" spans="1:15" ht="18.75" customHeight="1">
      <c r="A11" s="11">
        <v>8</v>
      </c>
      <c r="B11" s="2" t="s">
        <v>29</v>
      </c>
      <c r="C11" s="3"/>
      <c r="D11" s="69" t="s">
        <v>30</v>
      </c>
      <c r="E11" s="3">
        <v>2168523057</v>
      </c>
      <c r="F11" s="4">
        <f t="shared" si="0"/>
        <v>1</v>
      </c>
      <c r="G11" s="5">
        <v>45908</v>
      </c>
      <c r="H11" s="5">
        <f t="shared" si="1"/>
        <v>45908</v>
      </c>
      <c r="I11" s="38">
        <v>220</v>
      </c>
      <c r="J11" s="8" t="s">
        <v>15</v>
      </c>
      <c r="K11" s="63">
        <f t="shared" si="2"/>
        <v>44</v>
      </c>
      <c r="L11" s="9" t="s">
        <v>6</v>
      </c>
      <c r="M11" s="24"/>
      <c r="N11" s="24">
        <v>164</v>
      </c>
    </row>
    <row r="12" spans="1:15" ht="18.75" customHeight="1">
      <c r="A12" s="11">
        <v>9</v>
      </c>
      <c r="B12" s="2" t="s">
        <v>29</v>
      </c>
      <c r="C12" s="3"/>
      <c r="D12" s="69" t="s">
        <v>25</v>
      </c>
      <c r="E12" s="3">
        <v>2585447403</v>
      </c>
      <c r="F12" s="4">
        <f t="shared" si="0"/>
        <v>0</v>
      </c>
      <c r="G12" s="5">
        <v>45908</v>
      </c>
      <c r="H12" s="5">
        <f t="shared" si="1"/>
        <v>45908</v>
      </c>
      <c r="I12" s="32">
        <v>520</v>
      </c>
      <c r="J12" s="6" t="s">
        <v>15</v>
      </c>
      <c r="K12" s="30">
        <f t="shared" si="2"/>
        <v>104</v>
      </c>
      <c r="L12" s="6" t="s">
        <v>6</v>
      </c>
      <c r="M12" s="24">
        <v>890</v>
      </c>
      <c r="N12" s="24"/>
    </row>
    <row r="13" spans="1:15" ht="18.75" customHeight="1">
      <c r="A13" s="11">
        <v>10</v>
      </c>
      <c r="B13" s="2" t="s">
        <v>29</v>
      </c>
      <c r="C13" s="3"/>
      <c r="D13" s="69" t="s">
        <v>30</v>
      </c>
      <c r="E13" s="3">
        <v>2168523052</v>
      </c>
      <c r="F13" s="4">
        <f t="shared" si="0"/>
        <v>3</v>
      </c>
      <c r="G13" s="5">
        <v>45909</v>
      </c>
      <c r="H13" s="5">
        <f t="shared" si="1"/>
        <v>45909</v>
      </c>
      <c r="I13" s="38">
        <v>390</v>
      </c>
      <c r="J13" s="8" t="s">
        <v>15</v>
      </c>
      <c r="K13" s="63">
        <f t="shared" si="2"/>
        <v>78</v>
      </c>
      <c r="L13" s="9" t="s">
        <v>6</v>
      </c>
      <c r="M13" s="24"/>
      <c r="N13" s="24">
        <v>166</v>
      </c>
    </row>
    <row r="14" spans="1:15" ht="18.75" customHeight="1">
      <c r="A14" s="11">
        <v>11</v>
      </c>
      <c r="B14" s="2" t="s">
        <v>29</v>
      </c>
      <c r="C14" s="3"/>
      <c r="D14" s="69" t="s">
        <v>25</v>
      </c>
      <c r="E14" s="3">
        <v>2585447404</v>
      </c>
      <c r="F14" s="4">
        <f t="shared" si="0"/>
        <v>1</v>
      </c>
      <c r="G14" s="5">
        <v>45910</v>
      </c>
      <c r="H14" s="5">
        <f t="shared" si="1"/>
        <v>45910</v>
      </c>
      <c r="I14" s="32">
        <v>250</v>
      </c>
      <c r="J14" s="6" t="s">
        <v>15</v>
      </c>
      <c r="K14" s="30">
        <f t="shared" si="2"/>
        <v>50</v>
      </c>
      <c r="L14" s="6" t="s">
        <v>6</v>
      </c>
      <c r="M14" s="24">
        <v>896</v>
      </c>
      <c r="N14" s="24"/>
      <c r="O14" s="56"/>
    </row>
    <row r="15" spans="1:15" ht="18.75" customHeight="1">
      <c r="A15" s="11">
        <v>12</v>
      </c>
      <c r="B15" s="2" t="s">
        <v>29</v>
      </c>
      <c r="C15" s="3"/>
      <c r="D15" s="69" t="s">
        <v>30</v>
      </c>
      <c r="E15" s="3">
        <v>2168523089</v>
      </c>
      <c r="F15" s="4">
        <f t="shared" si="0"/>
        <v>5</v>
      </c>
      <c r="G15" s="5">
        <v>45911</v>
      </c>
      <c r="H15" s="5">
        <f t="shared" si="1"/>
        <v>45911</v>
      </c>
      <c r="I15" s="39">
        <v>200</v>
      </c>
      <c r="J15" s="8" t="s">
        <v>15</v>
      </c>
      <c r="K15" s="63">
        <f t="shared" si="2"/>
        <v>40</v>
      </c>
      <c r="L15" s="6" t="s">
        <v>6</v>
      </c>
      <c r="M15" s="24"/>
      <c r="N15" s="24">
        <v>169</v>
      </c>
    </row>
    <row r="16" spans="1:15" ht="18.75" customHeight="1">
      <c r="A16" s="11">
        <v>13</v>
      </c>
      <c r="B16" s="2" t="s">
        <v>27</v>
      </c>
      <c r="C16" s="3"/>
      <c r="D16" s="69" t="s">
        <v>28</v>
      </c>
      <c r="E16" s="3">
        <v>2602209171</v>
      </c>
      <c r="F16" s="4">
        <f t="shared" si="0"/>
        <v>2</v>
      </c>
      <c r="G16" s="5">
        <v>45912</v>
      </c>
      <c r="H16" s="5">
        <f t="shared" si="1"/>
        <v>45912</v>
      </c>
      <c r="I16" s="32">
        <v>150</v>
      </c>
      <c r="J16" s="6" t="s">
        <v>15</v>
      </c>
      <c r="K16" s="63">
        <f t="shared" si="2"/>
        <v>30</v>
      </c>
      <c r="L16" s="6" t="s">
        <v>6</v>
      </c>
      <c r="M16" s="24"/>
      <c r="N16" s="24">
        <v>171</v>
      </c>
    </row>
    <row r="17" spans="1:15" ht="18.75" customHeight="1">
      <c r="A17" s="11">
        <v>14</v>
      </c>
      <c r="B17" s="2" t="s">
        <v>29</v>
      </c>
      <c r="C17" s="3"/>
      <c r="D17" s="69" t="s">
        <v>30</v>
      </c>
      <c r="E17" s="3">
        <v>2168523090</v>
      </c>
      <c r="F17" s="4">
        <f t="shared" si="0"/>
        <v>6</v>
      </c>
      <c r="G17" s="5">
        <v>45912</v>
      </c>
      <c r="H17" s="5">
        <f t="shared" si="1"/>
        <v>45912</v>
      </c>
      <c r="I17" s="32">
        <v>210</v>
      </c>
      <c r="J17" s="6" t="s">
        <v>15</v>
      </c>
      <c r="K17" s="63">
        <f t="shared" si="2"/>
        <v>42</v>
      </c>
      <c r="L17" s="6" t="s">
        <v>6</v>
      </c>
      <c r="M17" s="24"/>
      <c r="N17" s="24">
        <v>172</v>
      </c>
    </row>
    <row r="18" spans="1:15" ht="18.75" customHeight="1">
      <c r="A18" s="11">
        <v>15</v>
      </c>
      <c r="B18" s="2" t="s">
        <v>29</v>
      </c>
      <c r="C18" s="3"/>
      <c r="D18" s="69" t="s">
        <v>30</v>
      </c>
      <c r="E18" s="3">
        <v>2168523066</v>
      </c>
      <c r="F18" s="4">
        <f t="shared" si="0"/>
        <v>3</v>
      </c>
      <c r="G18" s="5">
        <v>45916</v>
      </c>
      <c r="H18" s="5">
        <f t="shared" si="1"/>
        <v>45916</v>
      </c>
      <c r="I18" s="38">
        <v>610</v>
      </c>
      <c r="J18" s="6" t="s">
        <v>15</v>
      </c>
      <c r="K18" s="63">
        <f t="shared" si="2"/>
        <v>122</v>
      </c>
      <c r="L18" s="9" t="s">
        <v>6</v>
      </c>
      <c r="M18" s="24"/>
      <c r="N18" s="24">
        <v>173</v>
      </c>
    </row>
    <row r="19" spans="1:15" ht="18.75" customHeight="1">
      <c r="A19" s="11">
        <v>16</v>
      </c>
      <c r="B19" s="2" t="s">
        <v>29</v>
      </c>
      <c r="C19" s="3"/>
      <c r="D19" s="69" t="s">
        <v>30</v>
      </c>
      <c r="E19" s="3">
        <v>2168523067</v>
      </c>
      <c r="F19" s="4">
        <f t="shared" si="0"/>
        <v>4</v>
      </c>
      <c r="G19" s="5">
        <v>45918</v>
      </c>
      <c r="H19" s="5">
        <f t="shared" si="1"/>
        <v>45918</v>
      </c>
      <c r="I19" s="32">
        <v>220</v>
      </c>
      <c r="J19" s="6" t="s">
        <v>15</v>
      </c>
      <c r="K19" s="63">
        <f t="shared" si="2"/>
        <v>44</v>
      </c>
      <c r="L19" s="6" t="s">
        <v>6</v>
      </c>
      <c r="M19" s="24"/>
      <c r="N19" s="24">
        <v>175</v>
      </c>
    </row>
    <row r="20" spans="1:15" ht="18.75" customHeight="1">
      <c r="A20" s="11">
        <v>17</v>
      </c>
      <c r="B20" s="2" t="s">
        <v>29</v>
      </c>
      <c r="C20" s="3"/>
      <c r="D20" s="69" t="s">
        <v>30</v>
      </c>
      <c r="E20" s="7">
        <v>2168523001</v>
      </c>
      <c r="F20" s="4">
        <f t="shared" si="0"/>
        <v>1</v>
      </c>
      <c r="G20" s="5">
        <v>45919</v>
      </c>
      <c r="H20" s="5">
        <f t="shared" si="1"/>
        <v>45919</v>
      </c>
      <c r="I20" s="39">
        <v>290</v>
      </c>
      <c r="J20" s="8" t="s">
        <v>15</v>
      </c>
      <c r="K20" s="63">
        <f t="shared" si="2"/>
        <v>58</v>
      </c>
      <c r="L20" s="6" t="s">
        <v>6</v>
      </c>
      <c r="M20" s="24"/>
      <c r="N20" s="31">
        <v>177</v>
      </c>
    </row>
    <row r="21" spans="1:15" ht="18.75" customHeight="1">
      <c r="A21" s="11">
        <v>18</v>
      </c>
      <c r="B21" s="2" t="s">
        <v>27</v>
      </c>
      <c r="C21" s="3"/>
      <c r="D21" s="69" t="s">
        <v>28</v>
      </c>
      <c r="E21" s="3">
        <v>2602209184</v>
      </c>
      <c r="F21" s="4">
        <f t="shared" si="0"/>
        <v>1</v>
      </c>
      <c r="G21" s="5">
        <v>45919</v>
      </c>
      <c r="H21" s="5">
        <f t="shared" si="1"/>
        <v>45919</v>
      </c>
      <c r="I21" s="32">
        <v>70</v>
      </c>
      <c r="J21" s="6" t="s">
        <v>15</v>
      </c>
      <c r="K21" s="63">
        <f t="shared" si="2"/>
        <v>14</v>
      </c>
      <c r="L21" s="6" t="s">
        <v>6</v>
      </c>
      <c r="M21" s="24"/>
      <c r="N21" s="24">
        <v>178</v>
      </c>
    </row>
    <row r="22" spans="1:15" ht="18.75" customHeight="1">
      <c r="A22" s="11">
        <v>19</v>
      </c>
      <c r="B22" s="2" t="s">
        <v>29</v>
      </c>
      <c r="C22" s="3"/>
      <c r="D22" s="69" t="s">
        <v>30</v>
      </c>
      <c r="E22" s="3">
        <v>2168523003</v>
      </c>
      <c r="F22" s="4">
        <f t="shared" si="0"/>
        <v>3</v>
      </c>
      <c r="G22" s="5">
        <v>45922</v>
      </c>
      <c r="H22" s="5">
        <f t="shared" si="1"/>
        <v>45922</v>
      </c>
      <c r="I22" s="32">
        <v>420</v>
      </c>
      <c r="J22" s="6" t="s">
        <v>15</v>
      </c>
      <c r="K22" s="63">
        <f t="shared" si="2"/>
        <v>84</v>
      </c>
      <c r="L22" s="6" t="s">
        <v>6</v>
      </c>
      <c r="M22" s="24"/>
      <c r="N22" s="24">
        <v>179</v>
      </c>
    </row>
    <row r="23" spans="1:15" ht="18.75" customHeight="1">
      <c r="A23" s="11">
        <v>20</v>
      </c>
      <c r="B23" s="2" t="s">
        <v>29</v>
      </c>
      <c r="C23" s="3"/>
      <c r="D23" s="69" t="s">
        <v>40</v>
      </c>
      <c r="E23" s="3">
        <v>2126185585</v>
      </c>
      <c r="F23" s="4">
        <f t="shared" si="0"/>
        <v>6</v>
      </c>
      <c r="G23" s="5">
        <v>45924</v>
      </c>
      <c r="H23" s="5">
        <f t="shared" si="1"/>
        <v>45924</v>
      </c>
      <c r="I23" s="32">
        <v>320</v>
      </c>
      <c r="J23" s="6" t="s">
        <v>11</v>
      </c>
      <c r="K23" s="30">
        <f t="shared" si="2"/>
        <v>64</v>
      </c>
      <c r="L23" s="6" t="s">
        <v>6</v>
      </c>
      <c r="M23" s="24">
        <v>940</v>
      </c>
      <c r="N23" s="24"/>
    </row>
    <row r="24" spans="1:15" ht="18.75" customHeight="1">
      <c r="A24" s="11">
        <v>21</v>
      </c>
      <c r="B24" s="2" t="s">
        <v>29</v>
      </c>
      <c r="C24" s="3"/>
      <c r="D24" s="69" t="s">
        <v>30</v>
      </c>
      <c r="E24" s="3">
        <v>2168523009</v>
      </c>
      <c r="F24" s="4">
        <f t="shared" si="0"/>
        <v>2</v>
      </c>
      <c r="G24" s="5">
        <v>45925</v>
      </c>
      <c r="H24" s="5">
        <f t="shared" si="1"/>
        <v>45925</v>
      </c>
      <c r="I24" s="32">
        <v>420</v>
      </c>
      <c r="J24" s="8" t="s">
        <v>11</v>
      </c>
      <c r="K24" s="63">
        <f t="shared" si="2"/>
        <v>84</v>
      </c>
      <c r="L24" s="6" t="s">
        <v>6</v>
      </c>
      <c r="M24" s="24"/>
      <c r="N24" s="24">
        <v>182</v>
      </c>
    </row>
    <row r="25" spans="1:15" ht="18.75" customHeight="1">
      <c r="A25" s="11">
        <v>22</v>
      </c>
      <c r="B25" s="2" t="s">
        <v>29</v>
      </c>
      <c r="C25" s="3"/>
      <c r="D25" s="69" t="s">
        <v>25</v>
      </c>
      <c r="E25" s="3">
        <v>2585447406</v>
      </c>
      <c r="F25" s="4">
        <f t="shared" si="0"/>
        <v>3</v>
      </c>
      <c r="G25" s="5">
        <v>45925</v>
      </c>
      <c r="H25" s="5">
        <f t="shared" si="1"/>
        <v>45925</v>
      </c>
      <c r="I25" s="38">
        <v>400</v>
      </c>
      <c r="J25" s="6" t="s">
        <v>11</v>
      </c>
      <c r="K25" s="30">
        <f t="shared" si="2"/>
        <v>80</v>
      </c>
      <c r="L25" s="6" t="s">
        <v>6</v>
      </c>
      <c r="M25" s="24">
        <v>942</v>
      </c>
      <c r="N25" s="24"/>
    </row>
    <row r="26" spans="1:15" ht="18.75" customHeight="1">
      <c r="A26" s="11">
        <v>23</v>
      </c>
      <c r="B26" s="2" t="s">
        <v>29</v>
      </c>
      <c r="C26" s="3"/>
      <c r="D26" s="69" t="s">
        <v>30</v>
      </c>
      <c r="E26" s="3">
        <v>2168523006</v>
      </c>
      <c r="F26" s="4">
        <f t="shared" si="0"/>
        <v>6</v>
      </c>
      <c r="G26" s="5">
        <v>45926</v>
      </c>
      <c r="H26" s="5">
        <f t="shared" si="1"/>
        <v>45926</v>
      </c>
      <c r="I26" s="38">
        <v>250</v>
      </c>
      <c r="J26" s="6" t="s">
        <v>15</v>
      </c>
      <c r="K26" s="63">
        <f t="shared" si="2"/>
        <v>50</v>
      </c>
      <c r="L26" s="6" t="s">
        <v>6</v>
      </c>
      <c r="M26" s="24"/>
      <c r="N26" s="24">
        <v>185</v>
      </c>
    </row>
    <row r="27" spans="1:15" ht="18.75" customHeight="1">
      <c r="A27" s="11">
        <v>24</v>
      </c>
      <c r="B27" s="2" t="s">
        <v>29</v>
      </c>
      <c r="C27" s="3"/>
      <c r="D27" s="69" t="s">
        <v>30</v>
      </c>
      <c r="E27" s="3">
        <v>2168523004</v>
      </c>
      <c r="F27" s="4">
        <f t="shared" si="0"/>
        <v>4</v>
      </c>
      <c r="G27" s="5">
        <v>45929</v>
      </c>
      <c r="H27" s="5">
        <f t="shared" si="1"/>
        <v>45929</v>
      </c>
      <c r="I27" s="32">
        <v>460</v>
      </c>
      <c r="J27" s="8" t="s">
        <v>15</v>
      </c>
      <c r="K27" s="63">
        <f t="shared" si="2"/>
        <v>92</v>
      </c>
      <c r="L27" s="6" t="s">
        <v>6</v>
      </c>
      <c r="M27" s="24"/>
      <c r="N27" s="24">
        <v>186</v>
      </c>
      <c r="O27" s="56"/>
    </row>
    <row r="28" spans="1:15" ht="18.75" customHeight="1">
      <c r="A28" s="11">
        <v>25</v>
      </c>
      <c r="B28" s="2" t="s">
        <v>27</v>
      </c>
      <c r="C28" s="3"/>
      <c r="D28" s="69" t="s">
        <v>41</v>
      </c>
      <c r="E28" s="3">
        <v>2173725302</v>
      </c>
      <c r="F28" s="4">
        <f t="shared" si="0"/>
        <v>0</v>
      </c>
      <c r="G28" s="5">
        <v>45929</v>
      </c>
      <c r="H28" s="5">
        <f t="shared" si="1"/>
        <v>45929</v>
      </c>
      <c r="I28" s="32">
        <v>50</v>
      </c>
      <c r="J28" s="6" t="s">
        <v>15</v>
      </c>
      <c r="K28" s="30">
        <f t="shared" si="2"/>
        <v>10</v>
      </c>
      <c r="L28" s="6" t="s">
        <v>6</v>
      </c>
      <c r="M28" s="24">
        <v>949</v>
      </c>
      <c r="N28" s="24"/>
    </row>
    <row r="29" spans="1:15" ht="18.75" customHeight="1">
      <c r="A29" s="11">
        <v>26</v>
      </c>
      <c r="B29" s="2" t="s">
        <v>29</v>
      </c>
      <c r="C29" s="3"/>
      <c r="D29" s="69" t="s">
        <v>30</v>
      </c>
      <c r="E29" s="3">
        <v>2168523076</v>
      </c>
      <c r="F29" s="4">
        <f t="shared" si="0"/>
        <v>6</v>
      </c>
      <c r="G29" s="5">
        <v>45930</v>
      </c>
      <c r="H29" s="5">
        <f t="shared" si="1"/>
        <v>45930</v>
      </c>
      <c r="I29" s="32">
        <v>240</v>
      </c>
      <c r="J29" s="6" t="s">
        <v>15</v>
      </c>
      <c r="K29" s="63">
        <f t="shared" si="2"/>
        <v>48</v>
      </c>
      <c r="L29" s="6" t="s">
        <v>6</v>
      </c>
      <c r="M29" s="24"/>
      <c r="N29" s="24">
        <v>188</v>
      </c>
    </row>
    <row r="30" spans="1:15" ht="18.75" customHeight="1">
      <c r="A30" s="11">
        <v>27</v>
      </c>
      <c r="B30" s="2" t="s">
        <v>29</v>
      </c>
      <c r="C30" s="3"/>
      <c r="D30" s="69" t="s">
        <v>42</v>
      </c>
      <c r="E30" s="3">
        <v>2146315534</v>
      </c>
      <c r="F30" s="4">
        <f t="shared" si="0"/>
        <v>6</v>
      </c>
      <c r="G30" s="5">
        <v>45930</v>
      </c>
      <c r="H30" s="5">
        <f t="shared" si="1"/>
        <v>45930</v>
      </c>
      <c r="I30" s="32">
        <v>230</v>
      </c>
      <c r="J30" s="8" t="s">
        <v>15</v>
      </c>
      <c r="K30" s="30">
        <f t="shared" si="2"/>
        <v>46</v>
      </c>
      <c r="L30" s="6" t="s">
        <v>6</v>
      </c>
      <c r="M30" s="24">
        <v>951</v>
      </c>
      <c r="N30" s="24"/>
    </row>
    <row r="31" spans="1:15" ht="18.75" customHeight="1">
      <c r="A31" s="11">
        <v>28</v>
      </c>
      <c r="B31" s="2" t="s">
        <v>29</v>
      </c>
      <c r="C31" s="3"/>
      <c r="D31" s="69" t="s">
        <v>25</v>
      </c>
      <c r="E31" s="7">
        <v>2585447408</v>
      </c>
      <c r="F31" s="4">
        <f t="shared" si="0"/>
        <v>5</v>
      </c>
      <c r="G31" s="5">
        <v>45930</v>
      </c>
      <c r="H31" s="5">
        <f t="shared" si="1"/>
        <v>45930</v>
      </c>
      <c r="I31" s="38">
        <v>380</v>
      </c>
      <c r="J31" s="6" t="s">
        <v>15</v>
      </c>
      <c r="K31" s="30">
        <f t="shared" si="2"/>
        <v>76</v>
      </c>
      <c r="L31" s="6" t="s">
        <v>6</v>
      </c>
      <c r="M31" s="24">
        <v>954</v>
      </c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8170</v>
      </c>
      <c r="J44" s="8" t="s">
        <v>15</v>
      </c>
      <c r="K44" s="44">
        <f>SUM(K4:K43)</f>
        <v>1634</v>
      </c>
      <c r="L44" s="8" t="s">
        <v>6</v>
      </c>
      <c r="M44" s="45">
        <f>SUM(K44)-N44</f>
        <v>550</v>
      </c>
      <c r="N44" s="61">
        <f>SUMIF(M4:M42,"",K4:K43)</f>
        <v>1084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8170</v>
      </c>
      <c r="J88" s="8" t="s">
        <v>15</v>
      </c>
      <c r="K88" s="44">
        <f>SUM(K48:K87)+K44</f>
        <v>1634</v>
      </c>
      <c r="L88" s="8" t="s">
        <v>6</v>
      </c>
      <c r="M88" s="45"/>
      <c r="N88" s="45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DCEC4C61-C225-4617-B7A6-AA13711DF952}"/>
    <dataValidation imeMode="disabled" allowBlank="1" showInputMessage="1" sqref="G41:G44 G85:G88" xr:uid="{70C3E37A-01AA-47AB-817B-81029EEDA5F8}"/>
    <dataValidation type="list" imeMode="on" allowBlank="1" showInputMessage="1" showErrorMessage="1" sqref="B4:C44 B48:C88" xr:uid="{59297B61-6EF4-4CA8-A770-B53147D32EBB}">
      <formula1>"水産系燃え殻,医療系燃え殻"</formula1>
    </dataValidation>
    <dataValidation type="list" imeMode="on" allowBlank="1" showInputMessage="1" prompt="なければ直接入力" sqref="D4:D44 D48:D88" xr:uid="{59560D04-73A3-4FEF-87D7-FE234EBCE5D7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0589-CD3F-4654-9266-5150F06426CF}">
  <dimension ref="A1:O88"/>
  <sheetViews>
    <sheetView topLeftCell="A16" workbookViewId="0">
      <selection activeCell="D11" sqref="D11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27</v>
      </c>
      <c r="C4" s="3"/>
      <c r="D4" s="69" t="s">
        <v>28</v>
      </c>
      <c r="E4" s="3">
        <v>2602209182</v>
      </c>
      <c r="F4" s="4">
        <f t="shared" ref="F4:F43" si="0">IF(E4="","",E4-INT(E4/7)*7)</f>
        <v>6</v>
      </c>
      <c r="G4" s="5">
        <v>45931</v>
      </c>
      <c r="H4" s="5">
        <f t="shared" ref="H4:H43" si="1">IF(G4="","",G4)</f>
        <v>45931</v>
      </c>
      <c r="I4" s="29">
        <v>220</v>
      </c>
      <c r="J4" s="6" t="s">
        <v>15</v>
      </c>
      <c r="K4" s="63">
        <f t="shared" ref="K4:K43" si="2">IF(I4&gt;0,I4*0.2,"")</f>
        <v>44</v>
      </c>
      <c r="L4" s="6" t="s">
        <v>6</v>
      </c>
      <c r="M4" s="24"/>
      <c r="N4" s="31">
        <v>191</v>
      </c>
    </row>
    <row r="5" spans="1:15" ht="18.75" customHeight="1">
      <c r="A5" s="11">
        <v>2</v>
      </c>
      <c r="B5" s="2" t="s">
        <v>29</v>
      </c>
      <c r="C5" s="3"/>
      <c r="D5" s="69" t="s">
        <v>40</v>
      </c>
      <c r="E5" s="7">
        <v>2126185584</v>
      </c>
      <c r="F5" s="4">
        <f t="shared" si="0"/>
        <v>5</v>
      </c>
      <c r="G5" s="5">
        <v>45931</v>
      </c>
      <c r="H5" s="5">
        <f t="shared" si="1"/>
        <v>45931</v>
      </c>
      <c r="I5" s="32">
        <v>140</v>
      </c>
      <c r="J5" s="33" t="s">
        <v>15</v>
      </c>
      <c r="K5" s="34">
        <f t="shared" si="2"/>
        <v>28</v>
      </c>
      <c r="L5" s="6" t="s">
        <v>6</v>
      </c>
      <c r="M5" s="24">
        <v>958</v>
      </c>
      <c r="N5" s="24"/>
    </row>
    <row r="6" spans="1:15" ht="18.75" customHeight="1">
      <c r="A6" s="11">
        <v>3</v>
      </c>
      <c r="B6" s="2" t="s">
        <v>29</v>
      </c>
      <c r="C6" s="3"/>
      <c r="D6" s="69" t="s">
        <v>42</v>
      </c>
      <c r="E6" s="3">
        <v>2146315547</v>
      </c>
      <c r="F6" s="4">
        <f t="shared" si="0"/>
        <v>5</v>
      </c>
      <c r="G6" s="5">
        <v>45932</v>
      </c>
      <c r="H6" s="5">
        <f t="shared" si="1"/>
        <v>45932</v>
      </c>
      <c r="I6" s="35">
        <v>510</v>
      </c>
      <c r="J6" s="8" t="s">
        <v>15</v>
      </c>
      <c r="K6" s="36">
        <f t="shared" si="2"/>
        <v>102</v>
      </c>
      <c r="L6" s="9" t="s">
        <v>6</v>
      </c>
      <c r="M6" s="37">
        <v>960</v>
      </c>
      <c r="N6" s="24"/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2168523077</v>
      </c>
      <c r="F7" s="4">
        <f t="shared" si="0"/>
        <v>0</v>
      </c>
      <c r="G7" s="5">
        <v>45932</v>
      </c>
      <c r="H7" s="5">
        <f t="shared" si="1"/>
        <v>45932</v>
      </c>
      <c r="I7" s="32">
        <v>230</v>
      </c>
      <c r="J7" s="6" t="s">
        <v>15</v>
      </c>
      <c r="K7" s="63">
        <f t="shared" si="2"/>
        <v>46</v>
      </c>
      <c r="L7" s="6" t="s">
        <v>6</v>
      </c>
      <c r="M7" s="24"/>
      <c r="N7" s="24">
        <v>194</v>
      </c>
    </row>
    <row r="8" spans="1:15" ht="18.75" customHeight="1">
      <c r="A8" s="11">
        <v>5</v>
      </c>
      <c r="B8" s="2" t="s">
        <v>29</v>
      </c>
      <c r="C8" s="3"/>
      <c r="D8" s="69" t="s">
        <v>40</v>
      </c>
      <c r="E8" s="3">
        <v>2126185583</v>
      </c>
      <c r="F8" s="4">
        <f t="shared" si="0"/>
        <v>4</v>
      </c>
      <c r="G8" s="5">
        <v>45932</v>
      </c>
      <c r="H8" s="5">
        <f t="shared" si="1"/>
        <v>45932</v>
      </c>
      <c r="I8" s="32">
        <v>140</v>
      </c>
      <c r="J8" s="6" t="s">
        <v>15</v>
      </c>
      <c r="K8" s="30">
        <f t="shared" si="2"/>
        <v>28</v>
      </c>
      <c r="L8" s="6" t="s">
        <v>6</v>
      </c>
      <c r="M8" s="24">
        <v>965</v>
      </c>
      <c r="N8" s="24"/>
    </row>
    <row r="9" spans="1:15" ht="18.75" customHeight="1">
      <c r="A9" s="11">
        <v>6</v>
      </c>
      <c r="B9" s="2" t="s">
        <v>27</v>
      </c>
      <c r="C9" s="3"/>
      <c r="D9" s="69" t="s">
        <v>28</v>
      </c>
      <c r="E9" s="3">
        <v>2602209202</v>
      </c>
      <c r="F9" s="4">
        <f t="shared" si="0"/>
        <v>5</v>
      </c>
      <c r="G9" s="5">
        <v>45933</v>
      </c>
      <c r="H9" s="5">
        <f t="shared" si="1"/>
        <v>45933</v>
      </c>
      <c r="I9" s="32">
        <v>70</v>
      </c>
      <c r="J9" s="6" t="s">
        <v>15</v>
      </c>
      <c r="K9" s="63">
        <f t="shared" si="2"/>
        <v>14</v>
      </c>
      <c r="L9" s="6" t="s">
        <v>6</v>
      </c>
      <c r="M9" s="24"/>
      <c r="N9" s="24">
        <v>197</v>
      </c>
    </row>
    <row r="10" spans="1:15" ht="18.75" customHeight="1">
      <c r="A10" s="11">
        <v>7</v>
      </c>
      <c r="B10" s="2" t="s">
        <v>29</v>
      </c>
      <c r="C10" s="3"/>
      <c r="D10" s="69" t="s">
        <v>30</v>
      </c>
      <c r="E10" s="3">
        <v>2168523078</v>
      </c>
      <c r="F10" s="4">
        <f t="shared" si="0"/>
        <v>1</v>
      </c>
      <c r="G10" s="5">
        <v>45933</v>
      </c>
      <c r="H10" s="5">
        <f t="shared" si="1"/>
        <v>45933</v>
      </c>
      <c r="I10" s="32">
        <v>230</v>
      </c>
      <c r="J10" s="6" t="s">
        <v>15</v>
      </c>
      <c r="K10" s="63">
        <f t="shared" si="2"/>
        <v>46</v>
      </c>
      <c r="L10" s="6" t="s">
        <v>6</v>
      </c>
      <c r="M10" s="24"/>
      <c r="N10" s="24">
        <v>198</v>
      </c>
    </row>
    <row r="11" spans="1:15" ht="18.75" customHeight="1">
      <c r="A11" s="11">
        <v>8</v>
      </c>
      <c r="B11" s="2" t="s">
        <v>29</v>
      </c>
      <c r="C11" s="3"/>
      <c r="D11" s="21" t="s">
        <v>43</v>
      </c>
      <c r="E11" s="3">
        <v>2147560080</v>
      </c>
      <c r="F11" s="4">
        <f t="shared" si="0"/>
        <v>1</v>
      </c>
      <c r="G11" s="5">
        <v>45933</v>
      </c>
      <c r="H11" s="5">
        <f t="shared" si="1"/>
        <v>45933</v>
      </c>
      <c r="I11" s="38">
        <v>180</v>
      </c>
      <c r="J11" s="8" t="s">
        <v>15</v>
      </c>
      <c r="K11" s="63">
        <f t="shared" si="2"/>
        <v>36</v>
      </c>
      <c r="L11" s="9" t="s">
        <v>6</v>
      </c>
      <c r="M11" s="24"/>
      <c r="N11" s="24">
        <v>199</v>
      </c>
    </row>
    <row r="12" spans="1:15" ht="18.75" customHeight="1">
      <c r="A12" s="11">
        <v>9</v>
      </c>
      <c r="B12" s="2" t="s">
        <v>29</v>
      </c>
      <c r="C12" s="3"/>
      <c r="D12" s="69" t="s">
        <v>42</v>
      </c>
      <c r="E12" s="3">
        <v>2146315548</v>
      </c>
      <c r="F12" s="4">
        <f t="shared" si="0"/>
        <v>6</v>
      </c>
      <c r="G12" s="5">
        <v>45933</v>
      </c>
      <c r="H12" s="5">
        <f t="shared" si="1"/>
        <v>45933</v>
      </c>
      <c r="I12" s="32">
        <v>270</v>
      </c>
      <c r="J12" s="6" t="s">
        <v>15</v>
      </c>
      <c r="K12" s="30">
        <f t="shared" si="2"/>
        <v>54</v>
      </c>
      <c r="L12" s="6" t="s">
        <v>6</v>
      </c>
      <c r="M12" s="24">
        <v>969</v>
      </c>
      <c r="N12" s="24"/>
    </row>
    <row r="13" spans="1:15" ht="18.75" customHeight="1">
      <c r="A13" s="11">
        <v>10</v>
      </c>
      <c r="B13" s="2" t="s">
        <v>29</v>
      </c>
      <c r="C13" s="3"/>
      <c r="D13" s="69" t="s">
        <v>40</v>
      </c>
      <c r="E13" s="3">
        <v>2126185582</v>
      </c>
      <c r="F13" s="4">
        <f t="shared" si="0"/>
        <v>3</v>
      </c>
      <c r="G13" s="5">
        <v>45933</v>
      </c>
      <c r="H13" s="5">
        <f t="shared" si="1"/>
        <v>45933</v>
      </c>
      <c r="I13" s="38">
        <v>50</v>
      </c>
      <c r="J13" s="8" t="s">
        <v>15</v>
      </c>
      <c r="K13" s="30">
        <f t="shared" si="2"/>
        <v>10</v>
      </c>
      <c r="L13" s="9" t="s">
        <v>6</v>
      </c>
      <c r="M13" s="24">
        <v>972</v>
      </c>
      <c r="N13" s="24"/>
    </row>
    <row r="14" spans="1:15" ht="18.75" customHeight="1">
      <c r="A14" s="11">
        <v>11</v>
      </c>
      <c r="B14" s="2" t="s">
        <v>29</v>
      </c>
      <c r="C14" s="3"/>
      <c r="D14" s="69" t="s">
        <v>42</v>
      </c>
      <c r="E14" s="3">
        <v>2146315543</v>
      </c>
      <c r="F14" s="4">
        <f t="shared" si="0"/>
        <v>1</v>
      </c>
      <c r="G14" s="5">
        <v>45933</v>
      </c>
      <c r="H14" s="5">
        <f t="shared" si="1"/>
        <v>45933</v>
      </c>
      <c r="I14" s="32">
        <v>80</v>
      </c>
      <c r="J14" s="6" t="s">
        <v>15</v>
      </c>
      <c r="K14" s="30">
        <f t="shared" si="2"/>
        <v>16</v>
      </c>
      <c r="L14" s="6" t="s">
        <v>6</v>
      </c>
      <c r="M14" s="24">
        <v>975</v>
      </c>
      <c r="N14" s="24"/>
      <c r="O14" s="56"/>
    </row>
    <row r="15" spans="1:15" ht="18.75" customHeight="1">
      <c r="A15" s="11">
        <v>12</v>
      </c>
      <c r="B15" s="2" t="s">
        <v>29</v>
      </c>
      <c r="C15" s="3"/>
      <c r="D15" s="69" t="s">
        <v>42</v>
      </c>
      <c r="E15" s="3">
        <v>2146315544</v>
      </c>
      <c r="F15" s="4">
        <f t="shared" si="0"/>
        <v>2</v>
      </c>
      <c r="G15" s="5">
        <v>45936</v>
      </c>
      <c r="H15" s="5">
        <f t="shared" si="1"/>
        <v>45936</v>
      </c>
      <c r="I15" s="39">
        <v>560</v>
      </c>
      <c r="J15" s="8" t="s">
        <v>15</v>
      </c>
      <c r="K15" s="30">
        <f t="shared" si="2"/>
        <v>112</v>
      </c>
      <c r="L15" s="6" t="s">
        <v>6</v>
      </c>
      <c r="M15" s="24">
        <v>978</v>
      </c>
      <c r="N15" s="24"/>
    </row>
    <row r="16" spans="1:15" ht="18.75" customHeight="1">
      <c r="A16" s="11">
        <v>13</v>
      </c>
      <c r="B16" s="2" t="s">
        <v>29</v>
      </c>
      <c r="C16" s="3"/>
      <c r="D16" s="69" t="s">
        <v>30</v>
      </c>
      <c r="E16" s="3">
        <v>2168523097</v>
      </c>
      <c r="F16" s="4">
        <f t="shared" si="0"/>
        <v>6</v>
      </c>
      <c r="G16" s="5">
        <v>45936</v>
      </c>
      <c r="H16" s="5">
        <f t="shared" si="1"/>
        <v>45936</v>
      </c>
      <c r="I16" s="32">
        <v>470</v>
      </c>
      <c r="J16" s="6" t="s">
        <v>15</v>
      </c>
      <c r="K16" s="63">
        <f t="shared" si="2"/>
        <v>94</v>
      </c>
      <c r="L16" s="6" t="s">
        <v>6</v>
      </c>
      <c r="M16" s="24"/>
      <c r="N16" s="24">
        <v>204</v>
      </c>
    </row>
    <row r="17" spans="1:15" ht="18.75" customHeight="1">
      <c r="A17" s="11">
        <v>14</v>
      </c>
      <c r="B17" s="2" t="s">
        <v>29</v>
      </c>
      <c r="C17" s="3"/>
      <c r="D17" s="69" t="s">
        <v>30</v>
      </c>
      <c r="E17" s="3">
        <v>2168523096</v>
      </c>
      <c r="F17" s="4">
        <f t="shared" si="0"/>
        <v>5</v>
      </c>
      <c r="G17" s="5">
        <v>45937</v>
      </c>
      <c r="H17" s="5">
        <f t="shared" si="1"/>
        <v>45937</v>
      </c>
      <c r="I17" s="32">
        <v>250</v>
      </c>
      <c r="J17" s="6" t="s">
        <v>15</v>
      </c>
      <c r="K17" s="63">
        <f t="shared" si="2"/>
        <v>50</v>
      </c>
      <c r="L17" s="6" t="s">
        <v>6</v>
      </c>
      <c r="M17" s="24"/>
      <c r="N17" s="24">
        <v>205</v>
      </c>
    </row>
    <row r="18" spans="1:15" ht="18.75" customHeight="1">
      <c r="A18" s="11">
        <v>15</v>
      </c>
      <c r="B18" s="2" t="s">
        <v>29</v>
      </c>
      <c r="C18" s="3"/>
      <c r="D18" s="69" t="s">
        <v>25</v>
      </c>
      <c r="E18" s="3">
        <v>2585447410</v>
      </c>
      <c r="F18" s="4">
        <f t="shared" si="0"/>
        <v>0</v>
      </c>
      <c r="G18" s="5">
        <v>45938</v>
      </c>
      <c r="H18" s="5">
        <f t="shared" si="1"/>
        <v>45938</v>
      </c>
      <c r="I18" s="38">
        <v>270</v>
      </c>
      <c r="J18" s="6" t="s">
        <v>15</v>
      </c>
      <c r="K18" s="30">
        <f t="shared" si="2"/>
        <v>54</v>
      </c>
      <c r="L18" s="9" t="s">
        <v>6</v>
      </c>
      <c r="M18" s="24">
        <v>998</v>
      </c>
      <c r="N18" s="24"/>
    </row>
    <row r="19" spans="1:15" ht="18.75" customHeight="1">
      <c r="A19" s="11">
        <v>16</v>
      </c>
      <c r="B19" s="2" t="s">
        <v>29</v>
      </c>
      <c r="C19" s="3"/>
      <c r="D19" s="69" t="s">
        <v>42</v>
      </c>
      <c r="E19" s="3">
        <v>2146315545</v>
      </c>
      <c r="F19" s="4">
        <f t="shared" si="0"/>
        <v>3</v>
      </c>
      <c r="G19" s="5">
        <v>45938</v>
      </c>
      <c r="H19" s="5">
        <f t="shared" si="1"/>
        <v>45938</v>
      </c>
      <c r="I19" s="32">
        <v>300</v>
      </c>
      <c r="J19" s="6" t="s">
        <v>15</v>
      </c>
      <c r="K19" s="30">
        <f t="shared" si="2"/>
        <v>60</v>
      </c>
      <c r="L19" s="6" t="s">
        <v>6</v>
      </c>
      <c r="M19" s="24">
        <v>1</v>
      </c>
      <c r="N19" s="24"/>
    </row>
    <row r="20" spans="1:15" ht="18.75" customHeight="1">
      <c r="A20" s="11">
        <v>17</v>
      </c>
      <c r="B20" s="2" t="s">
        <v>29</v>
      </c>
      <c r="C20" s="3"/>
      <c r="D20" s="69" t="s">
        <v>30</v>
      </c>
      <c r="E20" s="7">
        <v>2168523095</v>
      </c>
      <c r="F20" s="4">
        <f t="shared" si="0"/>
        <v>4</v>
      </c>
      <c r="G20" s="5">
        <v>45939</v>
      </c>
      <c r="H20" s="5">
        <f t="shared" si="1"/>
        <v>45939</v>
      </c>
      <c r="I20" s="39">
        <v>240</v>
      </c>
      <c r="J20" s="8" t="s">
        <v>15</v>
      </c>
      <c r="K20" s="63">
        <f t="shared" si="2"/>
        <v>48</v>
      </c>
      <c r="L20" s="6" t="s">
        <v>6</v>
      </c>
      <c r="M20" s="24"/>
      <c r="N20" s="31">
        <v>208</v>
      </c>
    </row>
    <row r="21" spans="1:15" ht="18.75" customHeight="1">
      <c r="A21" s="11">
        <v>18</v>
      </c>
      <c r="B21" s="2" t="s">
        <v>29</v>
      </c>
      <c r="C21" s="3"/>
      <c r="D21" s="69" t="s">
        <v>44</v>
      </c>
      <c r="E21" s="3">
        <v>2162889113</v>
      </c>
      <c r="F21" s="4">
        <f t="shared" si="0"/>
        <v>0</v>
      </c>
      <c r="G21" s="5">
        <v>45939</v>
      </c>
      <c r="H21" s="5">
        <f t="shared" si="1"/>
        <v>45939</v>
      </c>
      <c r="I21" s="32">
        <v>1960</v>
      </c>
      <c r="J21" s="6" t="s">
        <v>15</v>
      </c>
      <c r="K21" s="63">
        <f t="shared" si="2"/>
        <v>392</v>
      </c>
      <c r="L21" s="6" t="s">
        <v>6</v>
      </c>
      <c r="M21" s="24"/>
      <c r="N21" s="24">
        <v>209</v>
      </c>
    </row>
    <row r="22" spans="1:15" ht="18.75" customHeight="1">
      <c r="A22" s="11">
        <v>19</v>
      </c>
      <c r="B22" s="2" t="s">
        <v>27</v>
      </c>
      <c r="C22" s="3"/>
      <c r="D22" s="69" t="s">
        <v>28</v>
      </c>
      <c r="E22" s="3">
        <v>2602209183</v>
      </c>
      <c r="F22" s="4">
        <f t="shared" si="0"/>
        <v>0</v>
      </c>
      <c r="G22" s="5">
        <v>45940</v>
      </c>
      <c r="H22" s="5">
        <f t="shared" si="1"/>
        <v>45940</v>
      </c>
      <c r="I22" s="32">
        <v>110</v>
      </c>
      <c r="J22" s="6" t="s">
        <v>15</v>
      </c>
      <c r="K22" s="63">
        <f t="shared" si="2"/>
        <v>22</v>
      </c>
      <c r="L22" s="6" t="s">
        <v>6</v>
      </c>
      <c r="M22" s="24"/>
      <c r="N22" s="24">
        <v>211</v>
      </c>
    </row>
    <row r="23" spans="1:15" ht="18.75" customHeight="1">
      <c r="A23" s="11">
        <v>20</v>
      </c>
      <c r="B23" s="2" t="s">
        <v>29</v>
      </c>
      <c r="C23" s="3"/>
      <c r="D23" s="69" t="s">
        <v>30</v>
      </c>
      <c r="E23" s="3">
        <v>2168523094</v>
      </c>
      <c r="F23" s="4">
        <f t="shared" si="0"/>
        <v>3</v>
      </c>
      <c r="G23" s="5">
        <v>45940</v>
      </c>
      <c r="H23" s="5">
        <f t="shared" si="1"/>
        <v>45940</v>
      </c>
      <c r="I23" s="32">
        <v>240</v>
      </c>
      <c r="J23" s="6" t="s">
        <v>11</v>
      </c>
      <c r="K23" s="63">
        <f t="shared" si="2"/>
        <v>48</v>
      </c>
      <c r="L23" s="6" t="s">
        <v>6</v>
      </c>
      <c r="M23" s="24"/>
      <c r="N23" s="24">
        <v>212</v>
      </c>
    </row>
    <row r="24" spans="1:15" ht="18.75" customHeight="1">
      <c r="A24" s="11">
        <v>21</v>
      </c>
      <c r="B24" s="2" t="s">
        <v>29</v>
      </c>
      <c r="C24" s="3"/>
      <c r="D24" s="69" t="s">
        <v>30</v>
      </c>
      <c r="E24" s="3">
        <v>2168523093</v>
      </c>
      <c r="F24" s="4">
        <f t="shared" si="0"/>
        <v>2</v>
      </c>
      <c r="G24" s="5">
        <v>45944</v>
      </c>
      <c r="H24" s="5">
        <f t="shared" si="1"/>
        <v>45944</v>
      </c>
      <c r="I24" s="32">
        <v>430</v>
      </c>
      <c r="J24" s="8" t="s">
        <v>11</v>
      </c>
      <c r="K24" s="63">
        <f t="shared" si="2"/>
        <v>86</v>
      </c>
      <c r="L24" s="6" t="s">
        <v>6</v>
      </c>
      <c r="M24" s="24"/>
      <c r="N24" s="24">
        <v>213</v>
      </c>
    </row>
    <row r="25" spans="1:15" ht="18.75" customHeight="1">
      <c r="A25" s="11">
        <v>22</v>
      </c>
      <c r="B25" s="2" t="s">
        <v>29</v>
      </c>
      <c r="C25" s="3"/>
      <c r="D25" s="69" t="s">
        <v>25</v>
      </c>
      <c r="E25" s="3">
        <v>2585447409</v>
      </c>
      <c r="F25" s="4">
        <f t="shared" si="0"/>
        <v>6</v>
      </c>
      <c r="G25" s="5">
        <v>45944</v>
      </c>
      <c r="H25" s="5">
        <f t="shared" si="1"/>
        <v>45944</v>
      </c>
      <c r="I25" s="38">
        <v>360</v>
      </c>
      <c r="J25" s="6" t="s">
        <v>11</v>
      </c>
      <c r="K25" s="30">
        <f t="shared" si="2"/>
        <v>72</v>
      </c>
      <c r="L25" s="6" t="s">
        <v>6</v>
      </c>
      <c r="M25" s="24">
        <v>16</v>
      </c>
      <c r="N25" s="24"/>
    </row>
    <row r="26" spans="1:15" ht="18.75" customHeight="1">
      <c r="A26" s="11">
        <v>23</v>
      </c>
      <c r="B26" s="2" t="s">
        <v>27</v>
      </c>
      <c r="C26" s="3"/>
      <c r="D26" s="69" t="s">
        <v>28</v>
      </c>
      <c r="E26" s="3">
        <v>2602209200</v>
      </c>
      <c r="F26" s="4">
        <f t="shared" si="0"/>
        <v>3</v>
      </c>
      <c r="G26" s="5">
        <v>45945</v>
      </c>
      <c r="H26" s="5">
        <f t="shared" si="1"/>
        <v>45945</v>
      </c>
      <c r="I26" s="38">
        <v>100</v>
      </c>
      <c r="J26" s="6" t="s">
        <v>15</v>
      </c>
      <c r="K26" s="63">
        <f t="shared" si="2"/>
        <v>20</v>
      </c>
      <c r="L26" s="6" t="s">
        <v>6</v>
      </c>
      <c r="M26" s="24"/>
      <c r="N26" s="24">
        <v>216</v>
      </c>
    </row>
    <row r="27" spans="1:15" ht="18.75" customHeight="1">
      <c r="A27" s="11">
        <v>24</v>
      </c>
      <c r="B27" s="2" t="s">
        <v>29</v>
      </c>
      <c r="C27" s="3"/>
      <c r="D27" s="69" t="s">
        <v>40</v>
      </c>
      <c r="E27" s="3">
        <v>2126185589</v>
      </c>
      <c r="F27" s="4">
        <f t="shared" si="0"/>
        <v>3</v>
      </c>
      <c r="G27" s="5">
        <v>45945</v>
      </c>
      <c r="H27" s="5">
        <f t="shared" si="1"/>
        <v>45945</v>
      </c>
      <c r="I27" s="32">
        <v>80</v>
      </c>
      <c r="J27" s="8" t="s">
        <v>15</v>
      </c>
      <c r="K27" s="30">
        <f t="shared" si="2"/>
        <v>16</v>
      </c>
      <c r="L27" s="6" t="s">
        <v>6</v>
      </c>
      <c r="M27" s="24">
        <v>29</v>
      </c>
      <c r="N27" s="24"/>
      <c r="O27" s="56"/>
    </row>
    <row r="28" spans="1:15" ht="18.75" customHeight="1">
      <c r="A28" s="11">
        <v>25</v>
      </c>
      <c r="B28" s="2" t="s">
        <v>29</v>
      </c>
      <c r="C28" s="3"/>
      <c r="D28" s="69" t="s">
        <v>30</v>
      </c>
      <c r="E28" s="3">
        <v>2168523092</v>
      </c>
      <c r="F28" s="4">
        <f t="shared" si="0"/>
        <v>1</v>
      </c>
      <c r="G28" s="5">
        <v>45945</v>
      </c>
      <c r="H28" s="5">
        <f t="shared" si="1"/>
        <v>45945</v>
      </c>
      <c r="I28" s="32">
        <v>220</v>
      </c>
      <c r="J28" s="6" t="s">
        <v>15</v>
      </c>
      <c r="K28" s="63">
        <f t="shared" si="2"/>
        <v>44</v>
      </c>
      <c r="L28" s="6" t="s">
        <v>6</v>
      </c>
      <c r="M28" s="24"/>
      <c r="N28" s="24">
        <v>218</v>
      </c>
    </row>
    <row r="29" spans="1:15" ht="18.75" customHeight="1">
      <c r="A29" s="11">
        <v>26</v>
      </c>
      <c r="B29" s="2" t="s">
        <v>29</v>
      </c>
      <c r="C29" s="3"/>
      <c r="D29" s="69" t="s">
        <v>30</v>
      </c>
      <c r="E29" s="3">
        <v>2168523091</v>
      </c>
      <c r="F29" s="4">
        <f t="shared" si="0"/>
        <v>0</v>
      </c>
      <c r="G29" s="5">
        <v>45946</v>
      </c>
      <c r="H29" s="5">
        <f t="shared" si="1"/>
        <v>45946</v>
      </c>
      <c r="I29" s="32">
        <v>240</v>
      </c>
      <c r="J29" s="6" t="s">
        <v>15</v>
      </c>
      <c r="K29" s="63">
        <f t="shared" si="2"/>
        <v>48</v>
      </c>
      <c r="L29" s="6" t="s">
        <v>6</v>
      </c>
      <c r="M29" s="24"/>
      <c r="N29" s="24">
        <v>219</v>
      </c>
    </row>
    <row r="30" spans="1:15" ht="18.75" customHeight="1">
      <c r="A30" s="11">
        <v>27</v>
      </c>
      <c r="B30" s="2" t="s">
        <v>29</v>
      </c>
      <c r="C30" s="3"/>
      <c r="D30" s="69" t="s">
        <v>42</v>
      </c>
      <c r="E30" s="3">
        <v>2146315546</v>
      </c>
      <c r="F30" s="4">
        <f t="shared" si="0"/>
        <v>4</v>
      </c>
      <c r="G30" s="5">
        <v>45946</v>
      </c>
      <c r="H30" s="5">
        <f t="shared" si="1"/>
        <v>45946</v>
      </c>
      <c r="I30" s="32">
        <v>200</v>
      </c>
      <c r="J30" s="8" t="s">
        <v>15</v>
      </c>
      <c r="K30" s="30">
        <f t="shared" si="2"/>
        <v>40</v>
      </c>
      <c r="L30" s="6" t="s">
        <v>6</v>
      </c>
      <c r="M30" s="24">
        <v>39</v>
      </c>
      <c r="N30" s="24"/>
    </row>
    <row r="31" spans="1:15" ht="18.75" customHeight="1">
      <c r="A31" s="11">
        <v>28</v>
      </c>
      <c r="B31" s="2" t="s">
        <v>29</v>
      </c>
      <c r="C31" s="3"/>
      <c r="D31" s="69" t="s">
        <v>30</v>
      </c>
      <c r="E31" s="7">
        <v>2168523084</v>
      </c>
      <c r="F31" s="4">
        <f t="shared" si="0"/>
        <v>0</v>
      </c>
      <c r="G31" s="5">
        <v>45947</v>
      </c>
      <c r="H31" s="5">
        <f t="shared" si="1"/>
        <v>45947</v>
      </c>
      <c r="I31" s="38">
        <v>250</v>
      </c>
      <c r="J31" s="6" t="s">
        <v>15</v>
      </c>
      <c r="K31" s="63">
        <f t="shared" si="2"/>
        <v>50</v>
      </c>
      <c r="L31" s="6" t="s">
        <v>6</v>
      </c>
      <c r="M31" s="24"/>
      <c r="N31" s="24">
        <v>222</v>
      </c>
    </row>
    <row r="32" spans="1:15" ht="18.75" customHeight="1">
      <c r="A32" s="11">
        <v>29</v>
      </c>
      <c r="B32" s="2" t="s">
        <v>29</v>
      </c>
      <c r="C32" s="3"/>
      <c r="D32" s="69" t="s">
        <v>25</v>
      </c>
      <c r="E32" s="3">
        <v>2585447411</v>
      </c>
      <c r="F32" s="4">
        <f t="shared" si="0"/>
        <v>1</v>
      </c>
      <c r="G32" s="5">
        <v>45947</v>
      </c>
      <c r="H32" s="5">
        <f t="shared" si="1"/>
        <v>45947</v>
      </c>
      <c r="I32" s="32">
        <v>310</v>
      </c>
      <c r="J32" s="6" t="s">
        <v>15</v>
      </c>
      <c r="K32" s="30">
        <f t="shared" si="2"/>
        <v>62</v>
      </c>
      <c r="L32" s="6" t="s">
        <v>6</v>
      </c>
      <c r="M32" s="24">
        <v>46</v>
      </c>
      <c r="N32" s="24"/>
    </row>
    <row r="33" spans="1:15" ht="18.75" customHeight="1">
      <c r="A33" s="11">
        <v>30</v>
      </c>
      <c r="B33" s="2" t="s">
        <v>29</v>
      </c>
      <c r="C33" s="3"/>
      <c r="D33" s="69" t="s">
        <v>42</v>
      </c>
      <c r="E33" s="3">
        <v>2146315549</v>
      </c>
      <c r="F33" s="4">
        <f t="shared" si="0"/>
        <v>0</v>
      </c>
      <c r="G33" s="5">
        <v>45950</v>
      </c>
      <c r="H33" s="5">
        <f t="shared" si="1"/>
        <v>45950</v>
      </c>
      <c r="I33" s="32">
        <v>230</v>
      </c>
      <c r="J33" s="6" t="s">
        <v>15</v>
      </c>
      <c r="K33" s="30">
        <f t="shared" si="2"/>
        <v>46</v>
      </c>
      <c r="L33" s="6" t="s">
        <v>6</v>
      </c>
      <c r="M33" s="24">
        <v>52</v>
      </c>
      <c r="N33" s="24"/>
    </row>
    <row r="34" spans="1:15" ht="18.75" customHeight="1">
      <c r="A34" s="11">
        <v>31</v>
      </c>
      <c r="B34" s="2" t="s">
        <v>29</v>
      </c>
      <c r="C34" s="3"/>
      <c r="D34" s="69" t="s">
        <v>30</v>
      </c>
      <c r="E34" s="3">
        <v>2168523085</v>
      </c>
      <c r="F34" s="4">
        <f t="shared" si="0"/>
        <v>1</v>
      </c>
      <c r="G34" s="5">
        <v>45950</v>
      </c>
      <c r="H34" s="5">
        <f t="shared" si="1"/>
        <v>45950</v>
      </c>
      <c r="I34" s="39">
        <v>470</v>
      </c>
      <c r="J34" s="6" t="s">
        <v>15</v>
      </c>
      <c r="K34" s="63">
        <f t="shared" si="2"/>
        <v>94</v>
      </c>
      <c r="L34" s="6" t="s">
        <v>6</v>
      </c>
      <c r="M34" s="24"/>
      <c r="N34" s="24">
        <v>225</v>
      </c>
      <c r="O34" s="56"/>
    </row>
    <row r="35" spans="1:15" ht="18.75" customHeight="1">
      <c r="A35" s="11">
        <v>32</v>
      </c>
      <c r="B35" s="2" t="s">
        <v>29</v>
      </c>
      <c r="C35" s="3"/>
      <c r="D35" s="21" t="s">
        <v>43</v>
      </c>
      <c r="E35" s="7">
        <v>2176349001</v>
      </c>
      <c r="F35" s="4">
        <f t="shared" si="0"/>
        <v>1</v>
      </c>
      <c r="G35" s="5">
        <v>45950</v>
      </c>
      <c r="H35" s="5">
        <f t="shared" si="1"/>
        <v>45950</v>
      </c>
      <c r="I35" s="32">
        <v>250</v>
      </c>
      <c r="J35" s="6" t="s">
        <v>15</v>
      </c>
      <c r="K35" s="63">
        <f t="shared" si="2"/>
        <v>50</v>
      </c>
      <c r="L35" s="6" t="s">
        <v>6</v>
      </c>
      <c r="M35" s="24"/>
      <c r="N35" s="24">
        <v>227</v>
      </c>
    </row>
    <row r="36" spans="1:15" ht="18.75" customHeight="1">
      <c r="A36" s="11">
        <v>33</v>
      </c>
      <c r="B36" s="2" t="s">
        <v>29</v>
      </c>
      <c r="C36" s="3"/>
      <c r="D36" s="69" t="s">
        <v>30</v>
      </c>
      <c r="E36" s="3">
        <v>2168523086</v>
      </c>
      <c r="F36" s="4">
        <f t="shared" si="0"/>
        <v>2</v>
      </c>
      <c r="G36" s="5">
        <v>45951</v>
      </c>
      <c r="H36" s="5">
        <f t="shared" si="1"/>
        <v>45951</v>
      </c>
      <c r="I36" s="40">
        <v>250</v>
      </c>
      <c r="J36" s="6" t="s">
        <v>15</v>
      </c>
      <c r="K36" s="63">
        <f t="shared" si="2"/>
        <v>50</v>
      </c>
      <c r="L36" s="6" t="s">
        <v>6</v>
      </c>
      <c r="M36" s="24"/>
      <c r="N36" s="24">
        <v>228</v>
      </c>
    </row>
    <row r="37" spans="1:15" ht="18.75" customHeight="1">
      <c r="A37" s="11">
        <v>34</v>
      </c>
      <c r="B37" s="2" t="s">
        <v>27</v>
      </c>
      <c r="C37" s="3"/>
      <c r="D37" s="69" t="s">
        <v>32</v>
      </c>
      <c r="E37" s="3">
        <v>2174949103</v>
      </c>
      <c r="F37" s="4">
        <f t="shared" si="0"/>
        <v>5</v>
      </c>
      <c r="G37" s="5">
        <v>45951</v>
      </c>
      <c r="H37" s="5">
        <f t="shared" si="1"/>
        <v>45951</v>
      </c>
      <c r="I37" s="32">
        <v>100</v>
      </c>
      <c r="J37" s="6" t="s">
        <v>15</v>
      </c>
      <c r="K37" s="63">
        <f t="shared" si="2"/>
        <v>20</v>
      </c>
      <c r="L37" s="6" t="s">
        <v>6</v>
      </c>
      <c r="M37" s="24"/>
      <c r="N37" s="24">
        <v>229</v>
      </c>
    </row>
    <row r="38" spans="1:15" ht="18.75" customHeight="1">
      <c r="A38" s="11">
        <v>35</v>
      </c>
      <c r="B38" s="2" t="s">
        <v>29</v>
      </c>
      <c r="C38" s="3"/>
      <c r="D38" s="69" t="s">
        <v>25</v>
      </c>
      <c r="E38" s="7">
        <v>2585447412</v>
      </c>
      <c r="F38" s="4">
        <f t="shared" si="0"/>
        <v>2</v>
      </c>
      <c r="G38" s="5">
        <v>45951</v>
      </c>
      <c r="H38" s="5">
        <f t="shared" si="1"/>
        <v>45951</v>
      </c>
      <c r="I38" s="39">
        <v>250</v>
      </c>
      <c r="J38" s="6" t="s">
        <v>15</v>
      </c>
      <c r="K38" s="30">
        <f t="shared" si="2"/>
        <v>50</v>
      </c>
      <c r="L38" s="6" t="s">
        <v>6</v>
      </c>
      <c r="M38" s="24">
        <v>65</v>
      </c>
      <c r="N38" s="24"/>
    </row>
    <row r="39" spans="1:15" ht="18.75" customHeight="1">
      <c r="A39" s="11">
        <v>36</v>
      </c>
      <c r="B39" s="2" t="s">
        <v>29</v>
      </c>
      <c r="C39" s="3"/>
      <c r="D39" s="69" t="s">
        <v>30</v>
      </c>
      <c r="E39" s="3">
        <v>2168523075</v>
      </c>
      <c r="F39" s="4">
        <f t="shared" si="0"/>
        <v>5</v>
      </c>
      <c r="G39" s="5">
        <v>45952</v>
      </c>
      <c r="H39" s="5">
        <f t="shared" si="1"/>
        <v>45952</v>
      </c>
      <c r="I39" s="32">
        <v>240</v>
      </c>
      <c r="J39" s="6" t="s">
        <v>15</v>
      </c>
      <c r="K39" s="63">
        <f t="shared" si="2"/>
        <v>48</v>
      </c>
      <c r="L39" s="6" t="s">
        <v>6</v>
      </c>
      <c r="M39" s="24"/>
      <c r="N39" s="24">
        <v>231</v>
      </c>
    </row>
    <row r="40" spans="1:15" ht="18.75" customHeight="1">
      <c r="A40" s="11">
        <v>37</v>
      </c>
      <c r="B40" s="2" t="s">
        <v>27</v>
      </c>
      <c r="C40" s="3"/>
      <c r="D40" s="69" t="s">
        <v>28</v>
      </c>
      <c r="E40" s="3">
        <v>2602209199</v>
      </c>
      <c r="F40" s="4">
        <f t="shared" si="0"/>
        <v>2</v>
      </c>
      <c r="G40" s="5">
        <v>45954</v>
      </c>
      <c r="H40" s="5">
        <f t="shared" si="1"/>
        <v>45954</v>
      </c>
      <c r="I40" s="32">
        <v>120</v>
      </c>
      <c r="J40" s="6" t="s">
        <v>15</v>
      </c>
      <c r="K40" s="63">
        <f t="shared" si="2"/>
        <v>24</v>
      </c>
      <c r="L40" s="6" t="s">
        <v>6</v>
      </c>
      <c r="M40" s="24"/>
      <c r="N40" s="24">
        <v>233</v>
      </c>
    </row>
    <row r="41" spans="1:15" ht="18.75" customHeight="1">
      <c r="A41" s="11">
        <v>38</v>
      </c>
      <c r="B41" s="2" t="s">
        <v>29</v>
      </c>
      <c r="C41" s="3"/>
      <c r="D41" s="69" t="s">
        <v>30</v>
      </c>
      <c r="E41" s="3">
        <v>2168523010</v>
      </c>
      <c r="F41" s="4">
        <f t="shared" si="0"/>
        <v>3</v>
      </c>
      <c r="G41" s="5">
        <v>45954</v>
      </c>
      <c r="H41" s="5">
        <f t="shared" si="1"/>
        <v>45954</v>
      </c>
      <c r="I41" s="32">
        <v>240</v>
      </c>
      <c r="J41" s="6" t="s">
        <v>15</v>
      </c>
      <c r="K41" s="73">
        <f t="shared" si="2"/>
        <v>48</v>
      </c>
      <c r="L41" s="6" t="s">
        <v>6</v>
      </c>
      <c r="M41" s="24"/>
      <c r="N41" s="24">
        <v>234</v>
      </c>
    </row>
    <row r="42" spans="1:15" ht="18.75" customHeight="1">
      <c r="A42" s="11">
        <v>39</v>
      </c>
      <c r="B42" s="2" t="s">
        <v>29</v>
      </c>
      <c r="C42" s="3"/>
      <c r="D42" s="69" t="s">
        <v>30</v>
      </c>
      <c r="E42" s="3">
        <v>2175817515</v>
      </c>
      <c r="F42" s="4">
        <f t="shared" si="0"/>
        <v>4</v>
      </c>
      <c r="G42" s="5">
        <v>45957</v>
      </c>
      <c r="H42" s="5">
        <f t="shared" si="1"/>
        <v>45957</v>
      </c>
      <c r="I42" s="32">
        <v>250</v>
      </c>
      <c r="J42" s="6" t="s">
        <v>15</v>
      </c>
      <c r="K42" s="73">
        <f t="shared" si="2"/>
        <v>50</v>
      </c>
      <c r="L42" s="6" t="s">
        <v>6</v>
      </c>
      <c r="M42" s="24"/>
      <c r="N42" s="24">
        <v>235</v>
      </c>
    </row>
    <row r="43" spans="1:15" ht="18.75" customHeight="1" thickBot="1">
      <c r="A43" s="47">
        <v>40</v>
      </c>
      <c r="B43" s="48" t="s">
        <v>29</v>
      </c>
      <c r="C43" s="49"/>
      <c r="D43" s="70" t="s">
        <v>30</v>
      </c>
      <c r="E43" s="49">
        <v>2175817514</v>
      </c>
      <c r="F43" s="50">
        <f t="shared" si="0"/>
        <v>3</v>
      </c>
      <c r="G43" s="51">
        <v>45958</v>
      </c>
      <c r="H43" s="51">
        <f t="shared" si="1"/>
        <v>45958</v>
      </c>
      <c r="I43" s="52">
        <v>470</v>
      </c>
      <c r="J43" s="53"/>
      <c r="K43" s="75">
        <f t="shared" si="2"/>
        <v>94</v>
      </c>
      <c r="L43" s="53" t="s">
        <v>6</v>
      </c>
      <c r="M43" s="62"/>
      <c r="N43" s="74">
        <v>236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11580</v>
      </c>
      <c r="J44" s="8" t="s">
        <v>15</v>
      </c>
      <c r="K44" s="44">
        <f>SUM(K4:K43)</f>
        <v>2316</v>
      </c>
      <c r="L44" s="8" t="s">
        <v>6</v>
      </c>
      <c r="M44" s="45">
        <f>SUM(K44)-N44</f>
        <v>750</v>
      </c>
      <c r="N44" s="61">
        <f>SUMIF(M4:M43,"",K4:K43)</f>
        <v>1566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 t="s">
        <v>29</v>
      </c>
      <c r="C48" s="3"/>
      <c r="D48" s="69" t="s">
        <v>30</v>
      </c>
      <c r="E48" s="3">
        <v>2175817513</v>
      </c>
      <c r="F48" s="4">
        <f t="shared" ref="F48:F85" si="3">IF(E48="","",E48-INT(E48/7)*7)</f>
        <v>2</v>
      </c>
      <c r="G48" s="5">
        <v>45959</v>
      </c>
      <c r="H48" s="5">
        <f t="shared" ref="H48:H85" si="4">IF(G48="","",G48)</f>
        <v>45959</v>
      </c>
      <c r="I48" s="29">
        <v>260</v>
      </c>
      <c r="J48" s="6" t="s">
        <v>15</v>
      </c>
      <c r="K48" s="63">
        <f t="shared" ref="K48:K85" si="5">IF(I48&gt;0,I48*0.2,"")</f>
        <v>52</v>
      </c>
      <c r="L48" s="6" t="s">
        <v>6</v>
      </c>
      <c r="M48" s="24"/>
      <c r="N48" s="31">
        <v>237</v>
      </c>
    </row>
    <row r="49" spans="1:14" ht="18.75" customHeight="1">
      <c r="A49" s="11">
        <v>42</v>
      </c>
      <c r="B49" s="2" t="s">
        <v>29</v>
      </c>
      <c r="C49" s="3"/>
      <c r="D49" s="69" t="s">
        <v>44</v>
      </c>
      <c r="E49" s="7">
        <v>2162889114</v>
      </c>
      <c r="F49" s="4">
        <f t="shared" si="3"/>
        <v>1</v>
      </c>
      <c r="G49" s="5">
        <v>45959</v>
      </c>
      <c r="H49" s="5">
        <f t="shared" si="4"/>
        <v>45959</v>
      </c>
      <c r="I49" s="32">
        <v>2000</v>
      </c>
      <c r="J49" s="33" t="s">
        <v>15</v>
      </c>
      <c r="K49" s="73">
        <f t="shared" si="5"/>
        <v>400</v>
      </c>
      <c r="L49" s="6" t="s">
        <v>6</v>
      </c>
      <c r="M49" s="24"/>
      <c r="N49" s="24">
        <v>238</v>
      </c>
    </row>
    <row r="50" spans="1:14" ht="18.75" customHeight="1">
      <c r="A50" s="11">
        <v>43</v>
      </c>
      <c r="B50" s="2" t="s">
        <v>27</v>
      </c>
      <c r="C50" s="3"/>
      <c r="D50" s="69" t="s">
        <v>28</v>
      </c>
      <c r="E50" s="3">
        <v>2602209198</v>
      </c>
      <c r="F50" s="4">
        <f t="shared" si="3"/>
        <v>1</v>
      </c>
      <c r="G50" s="5">
        <v>45960</v>
      </c>
      <c r="H50" s="5">
        <f t="shared" si="4"/>
        <v>45960</v>
      </c>
      <c r="I50" s="35">
        <v>100</v>
      </c>
      <c r="J50" s="8" t="s">
        <v>15</v>
      </c>
      <c r="K50" s="71">
        <f t="shared" si="5"/>
        <v>20</v>
      </c>
      <c r="L50" s="9" t="s">
        <v>6</v>
      </c>
      <c r="M50" s="37"/>
      <c r="N50" s="24">
        <v>239</v>
      </c>
    </row>
    <row r="51" spans="1:14" ht="18.75" customHeight="1">
      <c r="A51" s="11">
        <v>44</v>
      </c>
      <c r="B51" s="2" t="s">
        <v>29</v>
      </c>
      <c r="C51" s="3"/>
      <c r="D51" s="69" t="s">
        <v>25</v>
      </c>
      <c r="E51" s="3">
        <v>2585447414</v>
      </c>
      <c r="F51" s="4">
        <f t="shared" si="3"/>
        <v>4</v>
      </c>
      <c r="G51" s="5">
        <v>45960</v>
      </c>
      <c r="H51" s="5">
        <f t="shared" si="4"/>
        <v>45960</v>
      </c>
      <c r="I51" s="32">
        <v>300</v>
      </c>
      <c r="J51" s="6" t="s">
        <v>15</v>
      </c>
      <c r="K51" s="30">
        <f t="shared" si="5"/>
        <v>60</v>
      </c>
      <c r="L51" s="6" t="s">
        <v>6</v>
      </c>
      <c r="M51" s="24">
        <v>95</v>
      </c>
      <c r="N51" s="24"/>
    </row>
    <row r="52" spans="1:14" ht="18.75" customHeight="1">
      <c r="A52" s="11">
        <v>45</v>
      </c>
      <c r="B52" s="2" t="s">
        <v>29</v>
      </c>
      <c r="C52" s="3"/>
      <c r="D52" s="69" t="s">
        <v>42</v>
      </c>
      <c r="E52" s="3">
        <v>2146315550</v>
      </c>
      <c r="F52" s="4">
        <f t="shared" si="3"/>
        <v>1</v>
      </c>
      <c r="G52" s="5">
        <v>45960</v>
      </c>
      <c r="H52" s="5">
        <f t="shared" si="4"/>
        <v>45960</v>
      </c>
      <c r="I52" s="32">
        <v>150</v>
      </c>
      <c r="J52" s="6" t="s">
        <v>15</v>
      </c>
      <c r="K52" s="30">
        <f t="shared" si="5"/>
        <v>30</v>
      </c>
      <c r="L52" s="6" t="s">
        <v>6</v>
      </c>
      <c r="M52" s="24">
        <v>98</v>
      </c>
      <c r="N52" s="24"/>
    </row>
    <row r="53" spans="1:14" ht="18.75" customHeight="1">
      <c r="A53" s="11">
        <v>46</v>
      </c>
      <c r="B53" s="2" t="s">
        <v>29</v>
      </c>
      <c r="C53" s="3"/>
      <c r="D53" s="69" t="s">
        <v>30</v>
      </c>
      <c r="E53" s="3">
        <v>2175817512</v>
      </c>
      <c r="F53" s="4">
        <f t="shared" si="3"/>
        <v>1</v>
      </c>
      <c r="G53" s="5">
        <v>45961</v>
      </c>
      <c r="H53" s="5">
        <f t="shared" si="4"/>
        <v>45961</v>
      </c>
      <c r="I53" s="32">
        <v>250</v>
      </c>
      <c r="J53" s="6" t="s">
        <v>15</v>
      </c>
      <c r="K53" s="63">
        <f t="shared" si="5"/>
        <v>50</v>
      </c>
      <c r="L53" s="6" t="s">
        <v>6</v>
      </c>
      <c r="M53" s="24"/>
      <c r="N53" s="24">
        <v>243</v>
      </c>
    </row>
    <row r="54" spans="1:14" ht="18.75" customHeight="1">
      <c r="A54" s="11">
        <v>47</v>
      </c>
      <c r="B54" s="2" t="s">
        <v>29</v>
      </c>
      <c r="C54" s="3"/>
      <c r="D54" s="21" t="s">
        <v>43</v>
      </c>
      <c r="E54" s="3">
        <v>2176349100</v>
      </c>
      <c r="F54" s="4">
        <f t="shared" si="3"/>
        <v>2</v>
      </c>
      <c r="G54" s="5">
        <v>45961</v>
      </c>
      <c r="H54" s="5">
        <f t="shared" si="4"/>
        <v>45961</v>
      </c>
      <c r="I54" s="32">
        <v>290</v>
      </c>
      <c r="J54" s="6" t="s">
        <v>15</v>
      </c>
      <c r="K54" s="63">
        <f t="shared" si="5"/>
        <v>58</v>
      </c>
      <c r="L54" s="6" t="s">
        <v>6</v>
      </c>
      <c r="M54" s="24"/>
      <c r="N54" s="24">
        <v>244</v>
      </c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 thickBot="1">
      <c r="A87" s="47">
        <v>80</v>
      </c>
      <c r="B87" s="48"/>
      <c r="C87" s="49"/>
      <c r="D87" s="76"/>
      <c r="E87" s="49"/>
      <c r="F87" s="50" t="str">
        <f t="shared" ref="F87:F88" si="6">IF(E87="","",E87-INT(E87/7)*7)</f>
        <v/>
      </c>
      <c r="G87" s="51"/>
      <c r="H87" s="51" t="str">
        <f t="shared" ref="H87:H88" si="7">IF(G87="","",G87)</f>
        <v/>
      </c>
      <c r="I87" s="52"/>
      <c r="J87" s="53" t="s">
        <v>15</v>
      </c>
      <c r="K87" s="54" t="str">
        <f>IF(I87&gt;0,I87*0.2,"")</f>
        <v/>
      </c>
      <c r="L87" s="53" t="s">
        <v>6</v>
      </c>
      <c r="M87" s="55"/>
      <c r="N87" s="55"/>
    </row>
    <row r="88" spans="1:14" ht="18.75" customHeight="1" thickTop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</f>
        <v>3350</v>
      </c>
      <c r="J88" s="8" t="s">
        <v>15</v>
      </c>
      <c r="K88" s="44">
        <f>SUM(K48:K87)</f>
        <v>670</v>
      </c>
      <c r="L88" s="8" t="s">
        <v>6</v>
      </c>
      <c r="M88" s="45">
        <f>SUM(K88)-N88</f>
        <v>90</v>
      </c>
      <c r="N88" s="61">
        <f>SUMIF(M48:M87,"",K48:K87)</f>
        <v>580</v>
      </c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4">
    <dataValidation imeMode="disabled" allowBlank="1" showInputMessage="1" showErrorMessage="1" sqref="G4:G40 N21:N42 H4:M42 N49:N63 N5:N19 E48:E88 H43:L44 N65:N88 M44:N44 E4:E44 G48:G84 H48:M88" xr:uid="{3725D0DC-1DCA-420E-83D5-EB6EE682D636}"/>
    <dataValidation imeMode="disabled" allowBlank="1" showInputMessage="1" sqref="G41:G44 G85:G88" xr:uid="{78ADBF62-492D-4EC8-9A0F-8C6F4E3265F8}"/>
    <dataValidation type="list" imeMode="on" allowBlank="1" showInputMessage="1" showErrorMessage="1" sqref="B48:C88 B4:C44" xr:uid="{84DF9E9D-D433-41ED-B9F7-76D008D41C07}">
      <formula1>"水産系燃え殻,医療系燃え殻"</formula1>
    </dataValidation>
    <dataValidation type="list" imeMode="on" allowBlank="1" showInputMessage="1" prompt="なければ直接入力" sqref="D4:D44 D48:D88" xr:uid="{2488F0A8-9233-4AA1-8D2A-B556BD50568F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49AE-796B-47B3-8C1E-90F55FAB30D0}">
  <dimension ref="A1:O88"/>
  <sheetViews>
    <sheetView topLeftCell="A4" workbookViewId="0">
      <selection activeCell="N29" sqref="N29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29</v>
      </c>
      <c r="C4" s="3"/>
      <c r="D4" s="69" t="s">
        <v>30</v>
      </c>
      <c r="E4" s="3">
        <v>2175817510</v>
      </c>
      <c r="F4" s="4">
        <f t="shared" ref="F4:F41" si="0">IF(E4="","",E4-INT(E4/7)*7)</f>
        <v>6</v>
      </c>
      <c r="G4" s="5">
        <v>45965</v>
      </c>
      <c r="H4" s="5">
        <f t="shared" ref="H4:H41" si="1">IF(G4="","",G4)</f>
        <v>45965</v>
      </c>
      <c r="I4" s="29">
        <v>530</v>
      </c>
      <c r="J4" s="6" t="s">
        <v>15</v>
      </c>
      <c r="K4" s="63">
        <f t="shared" ref="K4:K41" si="2">IF(I4&gt;0,I4*0.2,"")</f>
        <v>106</v>
      </c>
      <c r="L4" s="6" t="s">
        <v>6</v>
      </c>
      <c r="M4" s="24"/>
      <c r="N4" s="31">
        <v>245</v>
      </c>
    </row>
    <row r="5" spans="1:15" ht="18.75" customHeight="1">
      <c r="A5" s="11">
        <v>2</v>
      </c>
      <c r="B5" s="2" t="s">
        <v>29</v>
      </c>
      <c r="C5" s="3"/>
      <c r="D5" s="69" t="s">
        <v>42</v>
      </c>
      <c r="E5" s="7">
        <v>2146315551</v>
      </c>
      <c r="F5" s="4">
        <f t="shared" si="0"/>
        <v>2</v>
      </c>
      <c r="G5" s="5">
        <v>45965</v>
      </c>
      <c r="H5" s="5">
        <f t="shared" si="1"/>
        <v>45965</v>
      </c>
      <c r="I5" s="32">
        <v>240</v>
      </c>
      <c r="J5" s="33" t="s">
        <v>15</v>
      </c>
      <c r="K5" s="34">
        <f t="shared" si="2"/>
        <v>48</v>
      </c>
      <c r="L5" s="6" t="s">
        <v>6</v>
      </c>
      <c r="M5" s="24">
        <v>108</v>
      </c>
      <c r="N5" s="24"/>
    </row>
    <row r="6" spans="1:15" ht="18.75" customHeight="1">
      <c r="A6" s="11">
        <v>3</v>
      </c>
      <c r="B6" s="2" t="s">
        <v>29</v>
      </c>
      <c r="C6" s="3"/>
      <c r="D6" s="69" t="s">
        <v>25</v>
      </c>
      <c r="E6" s="3">
        <v>2585447413</v>
      </c>
      <c r="F6" s="4">
        <f t="shared" si="0"/>
        <v>3</v>
      </c>
      <c r="G6" s="5">
        <v>45966</v>
      </c>
      <c r="H6" s="5">
        <f t="shared" si="1"/>
        <v>45966</v>
      </c>
      <c r="I6" s="35">
        <v>360</v>
      </c>
      <c r="J6" s="8" t="s">
        <v>15</v>
      </c>
      <c r="K6" s="36">
        <f t="shared" si="2"/>
        <v>72</v>
      </c>
      <c r="L6" s="9" t="s">
        <v>6</v>
      </c>
      <c r="M6" s="37">
        <v>117</v>
      </c>
      <c r="N6" s="24"/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2175817511</v>
      </c>
      <c r="F7" s="4">
        <f t="shared" si="0"/>
        <v>0</v>
      </c>
      <c r="G7" s="5">
        <v>45967</v>
      </c>
      <c r="H7" s="5">
        <f t="shared" si="1"/>
        <v>45967</v>
      </c>
      <c r="I7" s="32">
        <v>450</v>
      </c>
      <c r="J7" s="6" t="s">
        <v>15</v>
      </c>
      <c r="K7" s="63">
        <f t="shared" si="2"/>
        <v>90</v>
      </c>
      <c r="L7" s="6" t="s">
        <v>6</v>
      </c>
      <c r="M7" s="24"/>
      <c r="N7" s="24">
        <v>248</v>
      </c>
    </row>
    <row r="8" spans="1:15" ht="18.75" customHeight="1">
      <c r="A8" s="11">
        <v>5</v>
      </c>
      <c r="B8" s="2" t="s">
        <v>29</v>
      </c>
      <c r="C8" s="3"/>
      <c r="D8" s="69" t="s">
        <v>30</v>
      </c>
      <c r="E8" s="3">
        <v>2175817509</v>
      </c>
      <c r="F8" s="4">
        <f t="shared" si="0"/>
        <v>5</v>
      </c>
      <c r="G8" s="5">
        <v>45968</v>
      </c>
      <c r="H8" s="5">
        <f t="shared" si="1"/>
        <v>45968</v>
      </c>
      <c r="I8" s="32">
        <v>260</v>
      </c>
      <c r="J8" s="6" t="s">
        <v>15</v>
      </c>
      <c r="K8" s="63">
        <f t="shared" si="2"/>
        <v>52</v>
      </c>
      <c r="L8" s="6" t="s">
        <v>6</v>
      </c>
      <c r="M8" s="24"/>
      <c r="N8" s="24">
        <v>250</v>
      </c>
    </row>
    <row r="9" spans="1:15" ht="18.75" customHeight="1">
      <c r="A9" s="11">
        <v>6</v>
      </c>
      <c r="B9" s="2" t="s">
        <v>29</v>
      </c>
      <c r="C9" s="3"/>
      <c r="D9" s="69" t="s">
        <v>30</v>
      </c>
      <c r="E9" s="3">
        <v>2175817508</v>
      </c>
      <c r="F9" s="4">
        <f t="shared" si="0"/>
        <v>4</v>
      </c>
      <c r="G9" s="5">
        <v>45971</v>
      </c>
      <c r="H9" s="5">
        <f t="shared" si="1"/>
        <v>45971</v>
      </c>
      <c r="I9" s="32">
        <v>460</v>
      </c>
      <c r="J9" s="6" t="s">
        <v>15</v>
      </c>
      <c r="K9" s="63">
        <f t="shared" si="2"/>
        <v>92</v>
      </c>
      <c r="L9" s="6" t="s">
        <v>6</v>
      </c>
      <c r="M9" s="24"/>
      <c r="N9" s="24">
        <v>251</v>
      </c>
    </row>
    <row r="10" spans="1:15" ht="18.75" customHeight="1">
      <c r="A10" s="11">
        <v>7</v>
      </c>
      <c r="B10" s="2" t="s">
        <v>29</v>
      </c>
      <c r="C10" s="3"/>
      <c r="D10" s="69" t="s">
        <v>25</v>
      </c>
      <c r="E10" s="3">
        <v>2585447417</v>
      </c>
      <c r="F10" s="4">
        <f t="shared" si="0"/>
        <v>0</v>
      </c>
      <c r="G10" s="5">
        <v>45971</v>
      </c>
      <c r="H10" s="5">
        <f t="shared" si="1"/>
        <v>45971</v>
      </c>
      <c r="I10" s="32">
        <v>360</v>
      </c>
      <c r="J10" s="6" t="s">
        <v>15</v>
      </c>
      <c r="K10" s="30">
        <f t="shared" si="2"/>
        <v>72</v>
      </c>
      <c r="L10" s="6" t="s">
        <v>6</v>
      </c>
      <c r="M10" s="24">
        <v>134</v>
      </c>
      <c r="N10" s="24"/>
    </row>
    <row r="11" spans="1:15" ht="18.75" customHeight="1">
      <c r="A11" s="11">
        <v>8</v>
      </c>
      <c r="B11" s="2" t="s">
        <v>29</v>
      </c>
      <c r="C11" s="3"/>
      <c r="D11" s="69" t="s">
        <v>30</v>
      </c>
      <c r="E11" s="3">
        <v>2175817507</v>
      </c>
      <c r="F11" s="4">
        <f t="shared" si="0"/>
        <v>3</v>
      </c>
      <c r="G11" s="5">
        <v>45972</v>
      </c>
      <c r="H11" s="5">
        <f t="shared" si="1"/>
        <v>45972</v>
      </c>
      <c r="I11" s="38">
        <v>240</v>
      </c>
      <c r="J11" s="8" t="s">
        <v>15</v>
      </c>
      <c r="K11" s="63">
        <f t="shared" si="2"/>
        <v>48</v>
      </c>
      <c r="L11" s="9" t="s">
        <v>6</v>
      </c>
      <c r="M11" s="24"/>
      <c r="N11" s="24">
        <v>254</v>
      </c>
    </row>
    <row r="12" spans="1:15" ht="18.75" customHeight="1">
      <c r="A12" s="11">
        <v>9</v>
      </c>
      <c r="B12" s="2" t="s">
        <v>29</v>
      </c>
      <c r="C12" s="3"/>
      <c r="D12" s="69" t="s">
        <v>25</v>
      </c>
      <c r="E12" s="3">
        <v>2585447418</v>
      </c>
      <c r="F12" s="4">
        <f t="shared" si="0"/>
        <v>1</v>
      </c>
      <c r="G12" s="5">
        <v>45973</v>
      </c>
      <c r="H12" s="5">
        <f t="shared" si="1"/>
        <v>45973</v>
      </c>
      <c r="I12" s="32">
        <v>250</v>
      </c>
      <c r="J12" s="6" t="s">
        <v>15</v>
      </c>
      <c r="K12" s="30">
        <f t="shared" si="2"/>
        <v>50</v>
      </c>
      <c r="L12" s="6" t="s">
        <v>6</v>
      </c>
      <c r="M12" s="24">
        <v>139</v>
      </c>
      <c r="N12" s="24"/>
    </row>
    <row r="13" spans="1:15" ht="18.75" customHeight="1">
      <c r="A13" s="11">
        <v>10</v>
      </c>
      <c r="B13" s="2" t="s">
        <v>27</v>
      </c>
      <c r="C13" s="3"/>
      <c r="D13" s="69" t="s">
        <v>28</v>
      </c>
      <c r="E13" s="3">
        <v>2602209197</v>
      </c>
      <c r="F13" s="4">
        <f t="shared" si="0"/>
        <v>0</v>
      </c>
      <c r="G13" s="5">
        <v>45973</v>
      </c>
      <c r="H13" s="5">
        <f t="shared" si="1"/>
        <v>45973</v>
      </c>
      <c r="I13" s="38">
        <v>200</v>
      </c>
      <c r="J13" s="8" t="s">
        <v>15</v>
      </c>
      <c r="K13" s="63">
        <f t="shared" si="2"/>
        <v>40</v>
      </c>
      <c r="L13" s="9" t="s">
        <v>6</v>
      </c>
      <c r="M13" s="24"/>
      <c r="N13" s="24">
        <v>256</v>
      </c>
    </row>
    <row r="14" spans="1:15" ht="18.75" customHeight="1">
      <c r="A14" s="11">
        <v>11</v>
      </c>
      <c r="B14" s="2" t="s">
        <v>29</v>
      </c>
      <c r="C14" s="3"/>
      <c r="D14" s="69" t="s">
        <v>30</v>
      </c>
      <c r="E14" s="3">
        <v>2175817506</v>
      </c>
      <c r="F14" s="4">
        <f t="shared" si="0"/>
        <v>2</v>
      </c>
      <c r="G14" s="5">
        <v>45974</v>
      </c>
      <c r="H14" s="5">
        <f t="shared" si="1"/>
        <v>45974</v>
      </c>
      <c r="I14" s="32">
        <v>220</v>
      </c>
      <c r="J14" s="6" t="s">
        <v>15</v>
      </c>
      <c r="K14" s="63">
        <f t="shared" si="2"/>
        <v>44</v>
      </c>
      <c r="L14" s="6" t="s">
        <v>6</v>
      </c>
      <c r="M14" s="24"/>
      <c r="N14" s="24">
        <v>257</v>
      </c>
      <c r="O14" s="56"/>
    </row>
    <row r="15" spans="1:15" ht="18.75" customHeight="1">
      <c r="A15" s="11">
        <v>12</v>
      </c>
      <c r="B15" s="2" t="s">
        <v>29</v>
      </c>
      <c r="C15" s="3"/>
      <c r="D15" s="69" t="s">
        <v>42</v>
      </c>
      <c r="E15" s="3">
        <v>2146315552</v>
      </c>
      <c r="F15" s="4">
        <f t="shared" si="0"/>
        <v>3</v>
      </c>
      <c r="G15" s="5">
        <v>45974</v>
      </c>
      <c r="H15" s="5">
        <f t="shared" si="1"/>
        <v>45974</v>
      </c>
      <c r="I15" s="39">
        <v>80</v>
      </c>
      <c r="J15" s="8" t="s">
        <v>15</v>
      </c>
      <c r="K15" s="30">
        <f t="shared" si="2"/>
        <v>16</v>
      </c>
      <c r="L15" s="6" t="s">
        <v>6</v>
      </c>
      <c r="M15" s="24">
        <v>146</v>
      </c>
      <c r="N15" s="24"/>
    </row>
    <row r="16" spans="1:15" ht="18.75" customHeight="1">
      <c r="A16" s="11">
        <v>13</v>
      </c>
      <c r="B16" s="2" t="s">
        <v>29</v>
      </c>
      <c r="C16" s="3"/>
      <c r="D16" s="69" t="s">
        <v>30</v>
      </c>
      <c r="E16" s="3">
        <v>2175817505</v>
      </c>
      <c r="F16" s="4">
        <f t="shared" si="0"/>
        <v>1</v>
      </c>
      <c r="G16" s="5">
        <v>45975</v>
      </c>
      <c r="H16" s="5">
        <f t="shared" si="1"/>
        <v>45975</v>
      </c>
      <c r="I16" s="32">
        <v>250</v>
      </c>
      <c r="J16" s="6" t="s">
        <v>15</v>
      </c>
      <c r="K16" s="63">
        <f t="shared" si="2"/>
        <v>50</v>
      </c>
      <c r="L16" s="6" t="s">
        <v>6</v>
      </c>
      <c r="M16" s="24"/>
      <c r="N16" s="24">
        <v>260</v>
      </c>
    </row>
    <row r="17" spans="1:15" ht="18.75" customHeight="1">
      <c r="A17" s="11">
        <v>14</v>
      </c>
      <c r="B17" s="2" t="s">
        <v>29</v>
      </c>
      <c r="C17" s="3"/>
      <c r="D17" s="69" t="s">
        <v>30</v>
      </c>
      <c r="E17" s="3">
        <v>2175817504</v>
      </c>
      <c r="F17" s="4">
        <f t="shared" si="0"/>
        <v>0</v>
      </c>
      <c r="G17" s="5">
        <v>45978</v>
      </c>
      <c r="H17" s="5">
        <f t="shared" si="1"/>
        <v>45978</v>
      </c>
      <c r="I17" s="32">
        <v>520</v>
      </c>
      <c r="J17" s="6" t="s">
        <v>15</v>
      </c>
      <c r="K17" s="63">
        <f t="shared" si="2"/>
        <v>104</v>
      </c>
      <c r="L17" s="6" t="s">
        <v>6</v>
      </c>
      <c r="M17" s="24"/>
      <c r="N17" s="24">
        <v>261</v>
      </c>
    </row>
    <row r="18" spans="1:15" ht="18.75" customHeight="1">
      <c r="A18" s="11">
        <v>15</v>
      </c>
      <c r="B18" s="2" t="s">
        <v>29</v>
      </c>
      <c r="C18" s="3"/>
      <c r="D18" s="69" t="s">
        <v>30</v>
      </c>
      <c r="E18" s="3">
        <v>2175817503</v>
      </c>
      <c r="F18" s="4">
        <f t="shared" si="0"/>
        <v>6</v>
      </c>
      <c r="G18" s="5">
        <v>45979</v>
      </c>
      <c r="H18" s="5">
        <f t="shared" si="1"/>
        <v>45979</v>
      </c>
      <c r="I18" s="38">
        <v>270</v>
      </c>
      <c r="J18" s="6" t="s">
        <v>15</v>
      </c>
      <c r="K18" s="63">
        <f t="shared" si="2"/>
        <v>54</v>
      </c>
      <c r="L18" s="9" t="s">
        <v>6</v>
      </c>
      <c r="M18" s="24"/>
      <c r="N18" s="24">
        <v>262</v>
      </c>
    </row>
    <row r="19" spans="1:15" ht="18.75" customHeight="1">
      <c r="A19" s="11">
        <v>16</v>
      </c>
      <c r="B19" s="2" t="s">
        <v>29</v>
      </c>
      <c r="C19" s="3"/>
      <c r="D19" s="69" t="s">
        <v>25</v>
      </c>
      <c r="E19" s="3">
        <v>2585447415</v>
      </c>
      <c r="F19" s="4">
        <f t="shared" si="0"/>
        <v>5</v>
      </c>
      <c r="G19" s="5">
        <v>45980</v>
      </c>
      <c r="H19" s="5">
        <f t="shared" si="1"/>
        <v>45980</v>
      </c>
      <c r="I19" s="32">
        <v>520</v>
      </c>
      <c r="J19" s="6" t="s">
        <v>15</v>
      </c>
      <c r="K19" s="30">
        <f t="shared" si="2"/>
        <v>104</v>
      </c>
      <c r="L19" s="6" t="s">
        <v>6</v>
      </c>
      <c r="M19" s="24">
        <v>164</v>
      </c>
      <c r="N19" s="24"/>
    </row>
    <row r="20" spans="1:15" ht="18.75" customHeight="1">
      <c r="A20" s="11">
        <v>17</v>
      </c>
      <c r="B20" s="2" t="s">
        <v>29</v>
      </c>
      <c r="C20" s="3"/>
      <c r="D20" s="69" t="s">
        <v>30</v>
      </c>
      <c r="E20" s="7">
        <v>2175817502</v>
      </c>
      <c r="F20" s="4">
        <f t="shared" si="0"/>
        <v>5</v>
      </c>
      <c r="G20" s="5">
        <v>45980</v>
      </c>
      <c r="H20" s="5">
        <f t="shared" si="1"/>
        <v>45980</v>
      </c>
      <c r="I20" s="39">
        <v>250</v>
      </c>
      <c r="J20" s="8" t="s">
        <v>15</v>
      </c>
      <c r="K20" s="63">
        <f t="shared" si="2"/>
        <v>50</v>
      </c>
      <c r="L20" s="6" t="s">
        <v>6</v>
      </c>
      <c r="M20" s="24"/>
      <c r="N20" s="31">
        <v>265</v>
      </c>
    </row>
    <row r="21" spans="1:15" ht="18.75" customHeight="1">
      <c r="A21" s="11">
        <v>18</v>
      </c>
      <c r="B21" s="2" t="s">
        <v>27</v>
      </c>
      <c r="C21" s="3"/>
      <c r="D21" s="69" t="s">
        <v>28</v>
      </c>
      <c r="E21" s="3">
        <v>2602209196</v>
      </c>
      <c r="F21" s="4">
        <f t="shared" si="0"/>
        <v>6</v>
      </c>
      <c r="G21" s="5">
        <v>45981</v>
      </c>
      <c r="H21" s="5">
        <f t="shared" si="1"/>
        <v>45981</v>
      </c>
      <c r="I21" s="32">
        <v>110</v>
      </c>
      <c r="J21" s="6" t="s">
        <v>15</v>
      </c>
      <c r="K21" s="63">
        <f t="shared" si="2"/>
        <v>22</v>
      </c>
      <c r="L21" s="6" t="s">
        <v>6</v>
      </c>
      <c r="M21" s="24"/>
      <c r="N21" s="24">
        <v>266</v>
      </c>
    </row>
    <row r="22" spans="1:15" ht="18.75" customHeight="1">
      <c r="A22" s="11">
        <v>19</v>
      </c>
      <c r="B22" s="2" t="s">
        <v>29</v>
      </c>
      <c r="C22" s="3"/>
      <c r="D22" s="69" t="s">
        <v>30</v>
      </c>
      <c r="E22" s="3">
        <v>2175817501</v>
      </c>
      <c r="F22" s="4">
        <f t="shared" si="0"/>
        <v>4</v>
      </c>
      <c r="G22" s="5">
        <v>45982</v>
      </c>
      <c r="H22" s="5">
        <f t="shared" si="1"/>
        <v>45982</v>
      </c>
      <c r="I22" s="32">
        <v>270</v>
      </c>
      <c r="J22" s="6" t="s">
        <v>15</v>
      </c>
      <c r="K22" s="63">
        <f t="shared" si="2"/>
        <v>54</v>
      </c>
      <c r="L22" s="6" t="s">
        <v>6</v>
      </c>
      <c r="M22" s="24"/>
      <c r="N22" s="24">
        <v>267</v>
      </c>
    </row>
    <row r="23" spans="1:15" ht="18.75" customHeight="1">
      <c r="A23" s="11">
        <v>20</v>
      </c>
      <c r="B23" s="2" t="s">
        <v>27</v>
      </c>
      <c r="C23" s="3"/>
      <c r="D23" s="69" t="s">
        <v>32</v>
      </c>
      <c r="E23" s="3">
        <v>2174949104</v>
      </c>
      <c r="F23" s="4">
        <f t="shared" si="0"/>
        <v>6</v>
      </c>
      <c r="G23" s="5">
        <v>45982</v>
      </c>
      <c r="H23" s="5">
        <f t="shared" si="1"/>
        <v>45982</v>
      </c>
      <c r="I23" s="32">
        <v>90</v>
      </c>
      <c r="J23" s="6" t="s">
        <v>11</v>
      </c>
      <c r="K23" s="63">
        <f t="shared" si="2"/>
        <v>18</v>
      </c>
      <c r="L23" s="6" t="s">
        <v>6</v>
      </c>
      <c r="M23" s="24"/>
      <c r="N23" s="24">
        <v>269</v>
      </c>
    </row>
    <row r="24" spans="1:15" ht="18.75" customHeight="1">
      <c r="A24" s="11">
        <v>21</v>
      </c>
      <c r="B24" s="2" t="s">
        <v>29</v>
      </c>
      <c r="C24" s="3"/>
      <c r="D24" s="69" t="s">
        <v>30</v>
      </c>
      <c r="E24" s="3">
        <v>2175817545</v>
      </c>
      <c r="F24" s="4">
        <f t="shared" si="0"/>
        <v>6</v>
      </c>
      <c r="G24" s="5">
        <v>45986</v>
      </c>
      <c r="H24" s="5">
        <f t="shared" si="1"/>
        <v>45986</v>
      </c>
      <c r="I24" s="32">
        <v>470</v>
      </c>
      <c r="J24" s="8" t="s">
        <v>11</v>
      </c>
      <c r="K24" s="63">
        <f t="shared" si="2"/>
        <v>94</v>
      </c>
      <c r="L24" s="6" t="s">
        <v>6</v>
      </c>
      <c r="M24" s="24"/>
      <c r="N24" s="24">
        <v>270</v>
      </c>
    </row>
    <row r="25" spans="1:15" ht="18.75" customHeight="1">
      <c r="A25" s="11">
        <v>22</v>
      </c>
      <c r="B25" s="2" t="s">
        <v>29</v>
      </c>
      <c r="C25" s="3"/>
      <c r="D25" s="21" t="s">
        <v>43</v>
      </c>
      <c r="E25" s="3">
        <v>2176349099</v>
      </c>
      <c r="F25" s="4">
        <f t="shared" si="0"/>
        <v>1</v>
      </c>
      <c r="G25" s="5">
        <v>45986</v>
      </c>
      <c r="H25" s="5">
        <f t="shared" si="1"/>
        <v>45986</v>
      </c>
      <c r="I25" s="38">
        <v>160</v>
      </c>
      <c r="J25" s="6" t="s">
        <v>11</v>
      </c>
      <c r="K25" s="63">
        <f t="shared" si="2"/>
        <v>32</v>
      </c>
      <c r="L25" s="6" t="s">
        <v>6</v>
      </c>
      <c r="M25" s="24"/>
      <c r="N25" s="24">
        <v>271</v>
      </c>
    </row>
    <row r="26" spans="1:15" ht="18.75" customHeight="1">
      <c r="A26" s="11">
        <v>23</v>
      </c>
      <c r="B26" s="2" t="s">
        <v>27</v>
      </c>
      <c r="C26" s="3"/>
      <c r="D26" s="69" t="s">
        <v>28</v>
      </c>
      <c r="E26" s="3">
        <v>2602209195</v>
      </c>
      <c r="F26" s="4">
        <f t="shared" si="0"/>
        <v>5</v>
      </c>
      <c r="G26" s="5">
        <v>45987</v>
      </c>
      <c r="H26" s="5">
        <f t="shared" si="1"/>
        <v>45987</v>
      </c>
      <c r="I26" s="38">
        <v>110</v>
      </c>
      <c r="J26" s="6" t="s">
        <v>15</v>
      </c>
      <c r="K26" s="63">
        <f t="shared" si="2"/>
        <v>22</v>
      </c>
      <c r="L26" s="6" t="s">
        <v>6</v>
      </c>
      <c r="M26" s="24"/>
      <c r="N26" s="24">
        <v>272</v>
      </c>
    </row>
    <row r="27" spans="1:15" ht="18.75" customHeight="1">
      <c r="A27" s="11">
        <v>24</v>
      </c>
      <c r="B27" s="2" t="s">
        <v>29</v>
      </c>
      <c r="C27" s="3"/>
      <c r="D27" s="69" t="s">
        <v>25</v>
      </c>
      <c r="E27" s="3">
        <v>2585447419</v>
      </c>
      <c r="F27" s="4">
        <f t="shared" si="0"/>
        <v>2</v>
      </c>
      <c r="G27" s="5">
        <v>45987</v>
      </c>
      <c r="H27" s="5">
        <f t="shared" si="1"/>
        <v>45987</v>
      </c>
      <c r="I27" s="32">
        <v>360</v>
      </c>
      <c r="J27" s="8" t="s">
        <v>15</v>
      </c>
      <c r="K27" s="30">
        <f t="shared" si="2"/>
        <v>72</v>
      </c>
      <c r="L27" s="6" t="s">
        <v>6</v>
      </c>
      <c r="M27" s="24">
        <v>188</v>
      </c>
      <c r="N27" s="24"/>
      <c r="O27" s="56"/>
    </row>
    <row r="28" spans="1:15" ht="18.75" customHeight="1">
      <c r="A28" s="11">
        <v>25</v>
      </c>
      <c r="B28" s="2" t="s">
        <v>29</v>
      </c>
      <c r="C28" s="3"/>
      <c r="D28" s="69" t="s">
        <v>30</v>
      </c>
      <c r="E28" s="3">
        <v>2175817576</v>
      </c>
      <c r="F28" s="4">
        <f t="shared" si="0"/>
        <v>2</v>
      </c>
      <c r="G28" s="5">
        <v>45988</v>
      </c>
      <c r="H28" s="5">
        <f t="shared" si="1"/>
        <v>45988</v>
      </c>
      <c r="I28" s="32">
        <v>470</v>
      </c>
      <c r="J28" s="6" t="s">
        <v>15</v>
      </c>
      <c r="K28" s="63">
        <f t="shared" si="2"/>
        <v>94</v>
      </c>
      <c r="L28" s="6" t="s">
        <v>6</v>
      </c>
      <c r="M28" s="24"/>
      <c r="N28" s="24">
        <v>274</v>
      </c>
    </row>
    <row r="29" spans="1:15" ht="18.75" customHeight="1">
      <c r="A29" s="11">
        <v>26</v>
      </c>
      <c r="B29" s="2" t="s">
        <v>29</v>
      </c>
      <c r="C29" s="3"/>
      <c r="D29" s="69" t="s">
        <v>30</v>
      </c>
      <c r="E29" s="3">
        <v>2175817575</v>
      </c>
      <c r="F29" s="4">
        <f t="shared" si="0"/>
        <v>1</v>
      </c>
      <c r="G29" s="5">
        <v>45989</v>
      </c>
      <c r="H29" s="5">
        <f t="shared" si="1"/>
        <v>45989</v>
      </c>
      <c r="I29" s="32">
        <v>260</v>
      </c>
      <c r="J29" s="6" t="s">
        <v>15</v>
      </c>
      <c r="K29" s="63">
        <f t="shared" si="2"/>
        <v>52</v>
      </c>
      <c r="L29" s="6" t="s">
        <v>6</v>
      </c>
      <c r="M29" s="24"/>
      <c r="N29" s="24">
        <v>276</v>
      </c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7760</v>
      </c>
      <c r="J44" s="8" t="s">
        <v>15</v>
      </c>
      <c r="K44" s="44">
        <f>SUM(K4:K43)</f>
        <v>1552</v>
      </c>
      <c r="L44" s="8" t="s">
        <v>6</v>
      </c>
      <c r="M44" s="45">
        <f>SUM(K44)-N44</f>
        <v>434</v>
      </c>
      <c r="N44" s="61">
        <f>SUMIF(M4:M42,"",K4:K43)</f>
        <v>1118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7760</v>
      </c>
      <c r="J88" s="8" t="s">
        <v>15</v>
      </c>
      <c r="K88" s="44">
        <f>SUM(K48:K87)+K44</f>
        <v>1552</v>
      </c>
      <c r="L88" s="8" t="s">
        <v>6</v>
      </c>
      <c r="M88" s="45"/>
      <c r="N88" s="45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5BCFB371-DFB0-4EAC-8955-2D31C16134B6}"/>
    <dataValidation imeMode="disabled" allowBlank="1" showInputMessage="1" sqref="G41:G44 G85:G88" xr:uid="{5B92D0D6-B9A4-4314-A976-BB3E9B68D863}"/>
    <dataValidation type="list" imeMode="on" allowBlank="1" showInputMessage="1" showErrorMessage="1" sqref="B48:C88 B4:C44" xr:uid="{FF1DBA9E-31C3-4E3D-8A35-65FBF58CF0BB}">
      <formula1>"水産系燃え殻,医療系燃え殻"</formula1>
    </dataValidation>
    <dataValidation type="list" imeMode="on" allowBlank="1" showInputMessage="1" prompt="なければ直接入力" sqref="D48:D88 D4:D44" xr:uid="{69810A59-C5FF-41D9-89D3-2C947A2651F5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1A80-8EE6-497F-9B0F-395B14B58666}">
  <dimension ref="A1:O88"/>
  <sheetViews>
    <sheetView workbookViewId="0">
      <selection activeCell="R13" sqref="R13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29</v>
      </c>
      <c r="C4" s="3"/>
      <c r="D4" s="69" t="s">
        <v>30</v>
      </c>
      <c r="E4" s="3">
        <v>2175817573</v>
      </c>
      <c r="F4" s="4">
        <f t="shared" ref="F4:F41" si="0">IF(E4="","",E4-INT(E4/7)*7)</f>
        <v>6</v>
      </c>
      <c r="G4" s="5">
        <v>45992</v>
      </c>
      <c r="H4" s="5">
        <f t="shared" ref="H4:H41" si="1">IF(G4="","",G4)</f>
        <v>45992</v>
      </c>
      <c r="I4" s="29">
        <v>470</v>
      </c>
      <c r="J4" s="6" t="s">
        <v>15</v>
      </c>
      <c r="K4" s="63">
        <f t="shared" ref="K4:K41" si="2">IF(I4&gt;0,I4*0.2,"")</f>
        <v>94</v>
      </c>
      <c r="L4" s="6" t="s">
        <v>6</v>
      </c>
      <c r="M4" s="24"/>
      <c r="N4" s="31">
        <v>277</v>
      </c>
    </row>
    <row r="5" spans="1:15" ht="18.75" customHeight="1">
      <c r="A5" s="11">
        <v>2</v>
      </c>
      <c r="B5" s="2" t="s">
        <v>29</v>
      </c>
      <c r="C5" s="3"/>
      <c r="D5" s="69" t="s">
        <v>25</v>
      </c>
      <c r="E5" s="7">
        <v>2585447420</v>
      </c>
      <c r="F5" s="4">
        <f t="shared" si="0"/>
        <v>3</v>
      </c>
      <c r="G5" s="5">
        <v>45992</v>
      </c>
      <c r="H5" s="5">
        <f t="shared" si="1"/>
        <v>45992</v>
      </c>
      <c r="I5" s="32">
        <v>240</v>
      </c>
      <c r="J5" s="33" t="s">
        <v>15</v>
      </c>
      <c r="K5" s="34">
        <f t="shared" si="2"/>
        <v>48</v>
      </c>
      <c r="L5" s="6" t="s">
        <v>6</v>
      </c>
      <c r="M5" s="24">
        <v>195</v>
      </c>
      <c r="N5" s="24"/>
    </row>
    <row r="6" spans="1:15" ht="18.75" customHeight="1">
      <c r="A6" s="11">
        <v>3</v>
      </c>
      <c r="B6" s="2" t="s">
        <v>27</v>
      </c>
      <c r="C6" s="3"/>
      <c r="D6" s="77" t="s">
        <v>28</v>
      </c>
      <c r="E6" s="3">
        <v>2602209194</v>
      </c>
      <c r="F6" s="4">
        <f t="shared" si="0"/>
        <v>4</v>
      </c>
      <c r="G6" s="5">
        <v>45995</v>
      </c>
      <c r="H6" s="5">
        <f t="shared" si="1"/>
        <v>45995</v>
      </c>
      <c r="I6" s="35">
        <v>160</v>
      </c>
      <c r="J6" s="8" t="s">
        <v>15</v>
      </c>
      <c r="K6" s="71">
        <f t="shared" si="2"/>
        <v>32</v>
      </c>
      <c r="L6" s="9" t="s">
        <v>6</v>
      </c>
      <c r="M6" s="37"/>
      <c r="N6" s="24">
        <v>280</v>
      </c>
    </row>
    <row r="7" spans="1:15" ht="18.75" customHeight="1">
      <c r="A7" s="11">
        <v>4</v>
      </c>
      <c r="B7" s="2" t="s">
        <v>27</v>
      </c>
      <c r="C7" s="3"/>
      <c r="D7" s="77" t="s">
        <v>28</v>
      </c>
      <c r="E7" s="3">
        <v>2602209193</v>
      </c>
      <c r="F7" s="4">
        <f t="shared" si="0"/>
        <v>3</v>
      </c>
      <c r="G7" s="5">
        <v>46002</v>
      </c>
      <c r="H7" s="5">
        <f t="shared" si="1"/>
        <v>46002</v>
      </c>
      <c r="I7" s="32">
        <v>80</v>
      </c>
      <c r="J7" s="6" t="s">
        <v>15</v>
      </c>
      <c r="K7" s="63">
        <f t="shared" si="2"/>
        <v>16</v>
      </c>
      <c r="L7" s="6" t="s">
        <v>6</v>
      </c>
      <c r="M7" s="24"/>
      <c r="N7" s="24">
        <v>282</v>
      </c>
    </row>
    <row r="8" spans="1:15" ht="18.75" customHeight="1">
      <c r="A8" s="11">
        <v>5</v>
      </c>
      <c r="B8" s="2" t="s">
        <v>27</v>
      </c>
      <c r="C8" s="3"/>
      <c r="D8" s="69" t="s">
        <v>32</v>
      </c>
      <c r="E8" s="3">
        <v>2174949105</v>
      </c>
      <c r="F8" s="4">
        <f t="shared" si="0"/>
        <v>0</v>
      </c>
      <c r="G8" s="5">
        <v>46010</v>
      </c>
      <c r="H8" s="5">
        <f t="shared" si="1"/>
        <v>46010</v>
      </c>
      <c r="I8" s="32">
        <v>80</v>
      </c>
      <c r="J8" s="6" t="s">
        <v>15</v>
      </c>
      <c r="K8" s="63">
        <f t="shared" si="2"/>
        <v>16</v>
      </c>
      <c r="L8" s="6" t="s">
        <v>6</v>
      </c>
      <c r="M8" s="24"/>
      <c r="N8" s="24">
        <v>285</v>
      </c>
    </row>
    <row r="9" spans="1:15" ht="18.75" customHeight="1">
      <c r="A9" s="11">
        <v>6</v>
      </c>
      <c r="B9" s="2" t="s">
        <v>27</v>
      </c>
      <c r="C9" s="3"/>
      <c r="D9" s="77" t="s">
        <v>28</v>
      </c>
      <c r="E9" s="3">
        <v>2602209192</v>
      </c>
      <c r="F9" s="4">
        <f t="shared" si="0"/>
        <v>2</v>
      </c>
      <c r="G9" s="5">
        <v>46014</v>
      </c>
      <c r="H9" s="5">
        <f t="shared" si="1"/>
        <v>46014</v>
      </c>
      <c r="I9" s="32">
        <v>260</v>
      </c>
      <c r="J9" s="6" t="s">
        <v>15</v>
      </c>
      <c r="K9" s="63">
        <f t="shared" si="2"/>
        <v>52</v>
      </c>
      <c r="L9" s="6" t="s">
        <v>6</v>
      </c>
      <c r="M9" s="24"/>
      <c r="N9" s="24">
        <v>287</v>
      </c>
    </row>
    <row r="10" spans="1:15" ht="18.75" customHeight="1">
      <c r="A10" s="11">
        <v>7</v>
      </c>
      <c r="B10" s="2" t="s">
        <v>27</v>
      </c>
      <c r="C10" s="3"/>
      <c r="D10" s="77" t="s">
        <v>28</v>
      </c>
      <c r="E10" s="3">
        <v>2602209191</v>
      </c>
      <c r="F10" s="4">
        <f t="shared" si="0"/>
        <v>1</v>
      </c>
      <c r="G10" s="5">
        <v>46016</v>
      </c>
      <c r="H10" s="5">
        <f t="shared" si="1"/>
        <v>46016</v>
      </c>
      <c r="I10" s="32">
        <v>130</v>
      </c>
      <c r="J10" s="6" t="s">
        <v>15</v>
      </c>
      <c r="K10" s="63">
        <f t="shared" si="2"/>
        <v>26</v>
      </c>
      <c r="L10" s="6" t="s">
        <v>6</v>
      </c>
      <c r="M10" s="24"/>
      <c r="N10" s="24">
        <v>289</v>
      </c>
    </row>
    <row r="11" spans="1:15" ht="18.75" customHeight="1">
      <c r="A11" s="11">
        <v>8</v>
      </c>
      <c r="B11" s="2"/>
      <c r="C11" s="3"/>
      <c r="D11" s="69"/>
      <c r="E11" s="3"/>
      <c r="F11" s="4" t="str">
        <f t="shared" si="0"/>
        <v/>
      </c>
      <c r="G11" s="5"/>
      <c r="H11" s="5" t="str">
        <f t="shared" si="1"/>
        <v/>
      </c>
      <c r="I11" s="38"/>
      <c r="J11" s="8" t="s">
        <v>15</v>
      </c>
      <c r="K11" s="30" t="str">
        <f t="shared" si="2"/>
        <v/>
      </c>
      <c r="L11" s="9" t="s">
        <v>6</v>
      </c>
      <c r="M11" s="24"/>
      <c r="N11" s="24"/>
    </row>
    <row r="12" spans="1:15" ht="18.75" customHeight="1">
      <c r="A12" s="11">
        <v>9</v>
      </c>
      <c r="B12" s="2"/>
      <c r="C12" s="3"/>
      <c r="D12" s="69"/>
      <c r="E12" s="3"/>
      <c r="F12" s="4" t="str">
        <f t="shared" si="0"/>
        <v/>
      </c>
      <c r="G12" s="5"/>
      <c r="H12" s="5" t="str">
        <f t="shared" si="1"/>
        <v/>
      </c>
      <c r="I12" s="32"/>
      <c r="J12" s="6" t="s">
        <v>15</v>
      </c>
      <c r="K12" s="30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9"/>
      <c r="E13" s="3"/>
      <c r="F13" s="4" t="str">
        <f t="shared" si="0"/>
        <v/>
      </c>
      <c r="G13" s="5"/>
      <c r="H13" s="5" t="str">
        <f t="shared" si="1"/>
        <v/>
      </c>
      <c r="I13" s="38"/>
      <c r="J13" s="8" t="s">
        <v>15</v>
      </c>
      <c r="K13" s="30" t="str">
        <f t="shared" si="2"/>
        <v/>
      </c>
      <c r="L13" s="9" t="s">
        <v>6</v>
      </c>
      <c r="M13" s="24"/>
      <c r="N13" s="24"/>
    </row>
    <row r="14" spans="1:15" ht="18.75" customHeight="1">
      <c r="A14" s="11">
        <v>11</v>
      </c>
      <c r="B14" s="2"/>
      <c r="C14" s="3"/>
      <c r="D14" s="69"/>
      <c r="E14" s="3"/>
      <c r="F14" s="4" t="str">
        <f t="shared" si="0"/>
        <v/>
      </c>
      <c r="G14" s="5"/>
      <c r="H14" s="5" t="str">
        <f t="shared" si="1"/>
        <v/>
      </c>
      <c r="I14" s="32"/>
      <c r="J14" s="6" t="s">
        <v>15</v>
      </c>
      <c r="K14" s="30" t="str">
        <f t="shared" si="2"/>
        <v/>
      </c>
      <c r="L14" s="6" t="s">
        <v>6</v>
      </c>
      <c r="M14" s="24"/>
      <c r="N14" s="24"/>
      <c r="O14" s="56"/>
    </row>
    <row r="15" spans="1:15" ht="18.75" customHeight="1">
      <c r="A15" s="11">
        <v>12</v>
      </c>
      <c r="B15" s="2"/>
      <c r="C15" s="3"/>
      <c r="D15" s="69"/>
      <c r="E15" s="3"/>
      <c r="F15" s="4" t="str">
        <f t="shared" si="0"/>
        <v/>
      </c>
      <c r="G15" s="5"/>
      <c r="H15" s="5" t="str">
        <f t="shared" si="1"/>
        <v/>
      </c>
      <c r="I15" s="39"/>
      <c r="J15" s="8" t="s">
        <v>15</v>
      </c>
      <c r="K15" s="30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9"/>
      <c r="E16" s="3"/>
      <c r="F16" s="4" t="str">
        <f t="shared" si="0"/>
        <v/>
      </c>
      <c r="G16" s="5"/>
      <c r="H16" s="5" t="str">
        <f t="shared" si="1"/>
        <v/>
      </c>
      <c r="I16" s="32"/>
      <c r="J16" s="6" t="s">
        <v>15</v>
      </c>
      <c r="K16" s="30" t="str">
        <f t="shared" si="2"/>
        <v/>
      </c>
      <c r="L16" s="6" t="s">
        <v>6</v>
      </c>
      <c r="M16" s="24"/>
      <c r="N16" s="24"/>
    </row>
    <row r="17" spans="1:15" ht="18.75" customHeight="1">
      <c r="A17" s="11">
        <v>14</v>
      </c>
      <c r="B17" s="2"/>
      <c r="C17" s="3"/>
      <c r="D17" s="69"/>
      <c r="E17" s="3"/>
      <c r="F17" s="4" t="str">
        <f t="shared" si="0"/>
        <v/>
      </c>
      <c r="G17" s="5"/>
      <c r="H17" s="5" t="str">
        <f t="shared" si="1"/>
        <v/>
      </c>
      <c r="I17" s="32"/>
      <c r="J17" s="6" t="s">
        <v>15</v>
      </c>
      <c r="K17" s="30" t="str">
        <f t="shared" si="2"/>
        <v/>
      </c>
      <c r="L17" s="6" t="s">
        <v>6</v>
      </c>
      <c r="M17" s="24"/>
      <c r="N17" s="24"/>
    </row>
    <row r="18" spans="1:15" ht="18.75" customHeight="1">
      <c r="A18" s="11">
        <v>15</v>
      </c>
      <c r="B18" s="2"/>
      <c r="C18" s="3"/>
      <c r="D18" s="69"/>
      <c r="E18" s="3"/>
      <c r="F18" s="4" t="str">
        <f t="shared" si="0"/>
        <v/>
      </c>
      <c r="G18" s="5"/>
      <c r="H18" s="5" t="str">
        <f t="shared" si="1"/>
        <v/>
      </c>
      <c r="I18" s="38"/>
      <c r="J18" s="6" t="s">
        <v>15</v>
      </c>
      <c r="K18" s="30" t="str">
        <f t="shared" si="2"/>
        <v/>
      </c>
      <c r="L18" s="9" t="s">
        <v>6</v>
      </c>
      <c r="M18" s="24"/>
      <c r="N18" s="24"/>
    </row>
    <row r="19" spans="1:15" ht="18.75" customHeight="1">
      <c r="A19" s="11">
        <v>16</v>
      </c>
      <c r="B19" s="2"/>
      <c r="C19" s="3"/>
      <c r="D19" s="69"/>
      <c r="E19" s="3"/>
      <c r="F19" s="4" t="str">
        <f t="shared" si="0"/>
        <v/>
      </c>
      <c r="G19" s="5"/>
      <c r="H19" s="5" t="str">
        <f t="shared" si="1"/>
        <v/>
      </c>
      <c r="I19" s="32"/>
      <c r="J19" s="6" t="s">
        <v>15</v>
      </c>
      <c r="K19" s="30" t="str">
        <f t="shared" si="2"/>
        <v/>
      </c>
      <c r="L19" s="6" t="s">
        <v>6</v>
      </c>
      <c r="M19" s="24"/>
      <c r="N19" s="24"/>
    </row>
    <row r="20" spans="1:15" ht="18.75" customHeight="1">
      <c r="A20" s="11">
        <v>17</v>
      </c>
      <c r="B20" s="2"/>
      <c r="C20" s="3"/>
      <c r="D20" s="69"/>
      <c r="E20" s="7"/>
      <c r="F20" s="4" t="str">
        <f t="shared" si="0"/>
        <v/>
      </c>
      <c r="G20" s="5"/>
      <c r="H20" s="5" t="str">
        <f t="shared" si="1"/>
        <v/>
      </c>
      <c r="I20" s="39"/>
      <c r="J20" s="8" t="s">
        <v>15</v>
      </c>
      <c r="K20" s="30" t="str">
        <f t="shared" si="2"/>
        <v/>
      </c>
      <c r="L20" s="6" t="s">
        <v>6</v>
      </c>
      <c r="M20" s="24"/>
      <c r="N20" s="31"/>
    </row>
    <row r="21" spans="1:15" ht="18.75" customHeight="1">
      <c r="A21" s="11">
        <v>18</v>
      </c>
      <c r="B21" s="2"/>
      <c r="C21" s="3"/>
      <c r="D21" s="69"/>
      <c r="E21" s="3"/>
      <c r="F21" s="4" t="str">
        <f t="shared" si="0"/>
        <v/>
      </c>
      <c r="G21" s="5"/>
      <c r="H21" s="5" t="str">
        <f t="shared" si="1"/>
        <v/>
      </c>
      <c r="I21" s="32"/>
      <c r="J21" s="6" t="s">
        <v>15</v>
      </c>
      <c r="K21" s="30" t="str">
        <f t="shared" si="2"/>
        <v/>
      </c>
      <c r="L21" s="6" t="s">
        <v>6</v>
      </c>
      <c r="M21" s="24"/>
      <c r="N21" s="24"/>
    </row>
    <row r="22" spans="1:15" ht="18.75" customHeight="1">
      <c r="A22" s="11">
        <v>19</v>
      </c>
      <c r="B22" s="2"/>
      <c r="C22" s="3"/>
      <c r="D22" s="69"/>
      <c r="E22" s="3"/>
      <c r="F22" s="4" t="str">
        <f t="shared" si="0"/>
        <v/>
      </c>
      <c r="G22" s="5"/>
      <c r="H22" s="5" t="str">
        <f t="shared" si="1"/>
        <v/>
      </c>
      <c r="I22" s="32"/>
      <c r="J22" s="6" t="s">
        <v>15</v>
      </c>
      <c r="K22" s="30" t="str">
        <f t="shared" si="2"/>
        <v/>
      </c>
      <c r="L22" s="6" t="s">
        <v>6</v>
      </c>
      <c r="M22" s="24"/>
      <c r="N22" s="24"/>
    </row>
    <row r="23" spans="1:15" ht="18.75" customHeight="1">
      <c r="A23" s="11">
        <v>20</v>
      </c>
      <c r="B23" s="2"/>
      <c r="C23" s="3"/>
      <c r="D23" s="69"/>
      <c r="E23" s="3"/>
      <c r="F23" s="4" t="str">
        <f t="shared" si="0"/>
        <v/>
      </c>
      <c r="G23" s="5"/>
      <c r="H23" s="5" t="str">
        <f t="shared" si="1"/>
        <v/>
      </c>
      <c r="I23" s="32"/>
      <c r="J23" s="6" t="s">
        <v>11</v>
      </c>
      <c r="K23" s="30" t="str">
        <f t="shared" si="2"/>
        <v/>
      </c>
      <c r="L23" s="6" t="s">
        <v>6</v>
      </c>
      <c r="M23" s="24"/>
      <c r="N23" s="24"/>
    </row>
    <row r="24" spans="1:15" ht="18.75" customHeight="1">
      <c r="A24" s="11">
        <v>21</v>
      </c>
      <c r="B24" s="2"/>
      <c r="C24" s="3"/>
      <c r="D24" s="69"/>
      <c r="E24" s="3"/>
      <c r="F24" s="4" t="str">
        <f t="shared" si="0"/>
        <v/>
      </c>
      <c r="G24" s="5"/>
      <c r="H24" s="5" t="str">
        <f t="shared" si="1"/>
        <v/>
      </c>
      <c r="I24" s="32"/>
      <c r="J24" s="8" t="s">
        <v>11</v>
      </c>
      <c r="K24" s="30" t="str">
        <f t="shared" si="2"/>
        <v/>
      </c>
      <c r="L24" s="6" t="s">
        <v>6</v>
      </c>
      <c r="M24" s="24"/>
      <c r="N24" s="24"/>
    </row>
    <row r="25" spans="1:15" ht="18.75" customHeight="1">
      <c r="A25" s="11">
        <v>22</v>
      </c>
      <c r="B25" s="2"/>
      <c r="C25" s="3"/>
      <c r="D25" s="69"/>
      <c r="E25" s="3"/>
      <c r="F25" s="4" t="str">
        <f t="shared" si="0"/>
        <v/>
      </c>
      <c r="G25" s="5"/>
      <c r="H25" s="5" t="str">
        <f t="shared" si="1"/>
        <v/>
      </c>
      <c r="I25" s="38"/>
      <c r="J25" s="6" t="s">
        <v>11</v>
      </c>
      <c r="K25" s="30" t="str">
        <f t="shared" si="2"/>
        <v/>
      </c>
      <c r="L25" s="6" t="s">
        <v>6</v>
      </c>
      <c r="M25" s="24"/>
      <c r="N25" s="24"/>
    </row>
    <row r="26" spans="1:15" ht="18.75" customHeight="1">
      <c r="A26" s="11">
        <v>23</v>
      </c>
      <c r="B26" s="2"/>
      <c r="C26" s="3"/>
      <c r="D26" s="69"/>
      <c r="E26" s="3"/>
      <c r="F26" s="4" t="str">
        <f t="shared" si="0"/>
        <v/>
      </c>
      <c r="G26" s="5"/>
      <c r="H26" s="5" t="str">
        <f t="shared" si="1"/>
        <v/>
      </c>
      <c r="I26" s="38"/>
      <c r="J26" s="6" t="s">
        <v>15</v>
      </c>
      <c r="K26" s="30" t="str">
        <f t="shared" si="2"/>
        <v/>
      </c>
      <c r="L26" s="6" t="s">
        <v>6</v>
      </c>
      <c r="M26" s="24"/>
      <c r="N26" s="24"/>
    </row>
    <row r="27" spans="1:15" ht="18.75" customHeight="1">
      <c r="A27" s="11">
        <v>24</v>
      </c>
      <c r="B27" s="2"/>
      <c r="C27" s="3"/>
      <c r="D27" s="69"/>
      <c r="E27" s="3"/>
      <c r="F27" s="4" t="str">
        <f t="shared" si="0"/>
        <v/>
      </c>
      <c r="G27" s="5"/>
      <c r="H27" s="5" t="str">
        <f t="shared" si="1"/>
        <v/>
      </c>
      <c r="I27" s="32"/>
      <c r="J27" s="8" t="s">
        <v>15</v>
      </c>
      <c r="K27" s="30" t="str">
        <f t="shared" si="2"/>
        <v/>
      </c>
      <c r="L27" s="6" t="s">
        <v>6</v>
      </c>
      <c r="M27" s="24"/>
      <c r="N27" s="24"/>
      <c r="O27" s="56"/>
    </row>
    <row r="28" spans="1:15" ht="18.75" customHeight="1">
      <c r="A28" s="11">
        <v>25</v>
      </c>
      <c r="B28" s="2"/>
      <c r="C28" s="3"/>
      <c r="D28" s="69"/>
      <c r="E28" s="3"/>
      <c r="F28" s="4" t="str">
        <f t="shared" si="0"/>
        <v/>
      </c>
      <c r="G28" s="5"/>
      <c r="H28" s="5" t="str">
        <f t="shared" si="1"/>
        <v/>
      </c>
      <c r="I28" s="32"/>
      <c r="J28" s="6" t="s">
        <v>15</v>
      </c>
      <c r="K28" s="30" t="str">
        <f t="shared" si="2"/>
        <v/>
      </c>
      <c r="L28" s="6" t="s">
        <v>6</v>
      </c>
      <c r="M28" s="24"/>
      <c r="N28" s="24"/>
    </row>
    <row r="29" spans="1:15" ht="18.75" customHeight="1">
      <c r="A29" s="11">
        <v>26</v>
      </c>
      <c r="B29" s="2"/>
      <c r="C29" s="3"/>
      <c r="D29" s="69"/>
      <c r="E29" s="3"/>
      <c r="F29" s="4" t="str">
        <f t="shared" si="0"/>
        <v/>
      </c>
      <c r="G29" s="5"/>
      <c r="H29" s="5" t="str">
        <f t="shared" si="1"/>
        <v/>
      </c>
      <c r="I29" s="32"/>
      <c r="J29" s="6" t="s">
        <v>15</v>
      </c>
      <c r="K29" s="30" t="str">
        <f t="shared" si="2"/>
        <v/>
      </c>
      <c r="L29" s="6" t="s">
        <v>6</v>
      </c>
      <c r="M29" s="24"/>
      <c r="N29" s="24"/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1420</v>
      </c>
      <c r="J44" s="8" t="s">
        <v>15</v>
      </c>
      <c r="K44" s="44">
        <f>SUM(K4:K43)</f>
        <v>284</v>
      </c>
      <c r="L44" s="8" t="s">
        <v>6</v>
      </c>
      <c r="M44" s="45">
        <f>SUM(K44)-N44</f>
        <v>48</v>
      </c>
      <c r="N44" s="61">
        <f>SUMIF(M4:M42,"",K4:K43)</f>
        <v>236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1420</v>
      </c>
      <c r="J88" s="8" t="s">
        <v>15</v>
      </c>
      <c r="K88" s="44">
        <f>SUM(K48:K87)+K44</f>
        <v>284</v>
      </c>
      <c r="L88" s="8" t="s">
        <v>6</v>
      </c>
      <c r="M88" s="45"/>
      <c r="N88" s="45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9A3974EE-B45C-4120-8099-F96182CC892B}"/>
    <dataValidation imeMode="disabled" allowBlank="1" showInputMessage="1" sqref="G41:G44 G85:G88" xr:uid="{7BC59282-144D-4253-8310-B49A599F0499}"/>
    <dataValidation type="list" imeMode="on" allowBlank="1" showInputMessage="1" showErrorMessage="1" sqref="B4:C44 B48:C88" xr:uid="{2CD803B5-033B-463C-AB31-257C22604861}">
      <formula1>"水産系燃え殻,医療系燃え殻"</formula1>
    </dataValidation>
    <dataValidation type="list" imeMode="on" allowBlank="1" showInputMessage="1" prompt="なければ直接入力" sqref="D4:D44 D48:D88" xr:uid="{C6827913-4558-4EFB-9E82-8B964870A340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BA05-BE44-4164-804B-83A4AB06ED68}">
  <dimension ref="A1:O88"/>
  <sheetViews>
    <sheetView workbookViewId="0">
      <selection activeCell="T21" sqref="T19:T21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27</v>
      </c>
      <c r="C4" s="3"/>
      <c r="D4" s="77" t="s">
        <v>28</v>
      </c>
      <c r="E4" s="3">
        <v>2602209190</v>
      </c>
      <c r="F4" s="4">
        <f t="shared" ref="F4:F41" si="0">IF(E4="","",E4-INT(E4/7)*7)</f>
        <v>0</v>
      </c>
      <c r="G4" s="5">
        <v>46029</v>
      </c>
      <c r="H4" s="5">
        <f t="shared" ref="H4:H41" si="1">IF(G4="","",G4)</f>
        <v>46029</v>
      </c>
      <c r="I4" s="29">
        <v>140</v>
      </c>
      <c r="J4" s="6" t="s">
        <v>15</v>
      </c>
      <c r="K4" s="63">
        <f t="shared" ref="K4:K41" si="2">IF(I4&gt;0,I4*0.2,"")</f>
        <v>28</v>
      </c>
      <c r="L4" s="6" t="s">
        <v>6</v>
      </c>
      <c r="M4" s="24"/>
      <c r="N4" s="31">
        <v>291</v>
      </c>
    </row>
    <row r="5" spans="1:15" ht="18.75" customHeight="1">
      <c r="A5" s="11">
        <v>2</v>
      </c>
      <c r="B5" s="2" t="s">
        <v>27</v>
      </c>
      <c r="C5" s="3"/>
      <c r="D5" s="77" t="s">
        <v>28</v>
      </c>
      <c r="E5" s="7">
        <v>2602209189</v>
      </c>
      <c r="F5" s="4">
        <f t="shared" si="0"/>
        <v>6</v>
      </c>
      <c r="G5" s="5">
        <v>46036</v>
      </c>
      <c r="H5" s="5">
        <f t="shared" si="1"/>
        <v>46036</v>
      </c>
      <c r="I5" s="32">
        <v>60</v>
      </c>
      <c r="J5" s="33" t="s">
        <v>15</v>
      </c>
      <c r="K5" s="73">
        <f t="shared" si="2"/>
        <v>12</v>
      </c>
      <c r="L5" s="6" t="s">
        <v>6</v>
      </c>
      <c r="M5" s="24"/>
      <c r="N5" s="24">
        <v>294</v>
      </c>
    </row>
    <row r="6" spans="1:15" ht="18.75" customHeight="1">
      <c r="A6" s="11">
        <v>3</v>
      </c>
      <c r="B6" s="2" t="s">
        <v>27</v>
      </c>
      <c r="C6" s="3"/>
      <c r="D6" s="77" t="s">
        <v>28</v>
      </c>
      <c r="E6" s="3">
        <v>2602209188</v>
      </c>
      <c r="F6" s="4">
        <f t="shared" si="0"/>
        <v>5</v>
      </c>
      <c r="G6" s="5">
        <v>46049</v>
      </c>
      <c r="H6" s="5">
        <f t="shared" si="1"/>
        <v>46049</v>
      </c>
      <c r="I6" s="35">
        <v>170</v>
      </c>
      <c r="J6" s="8" t="s">
        <v>15</v>
      </c>
      <c r="K6" s="71">
        <f t="shared" si="2"/>
        <v>34</v>
      </c>
      <c r="L6" s="9" t="s">
        <v>6</v>
      </c>
      <c r="M6" s="37"/>
      <c r="N6" s="24">
        <v>300</v>
      </c>
    </row>
    <row r="7" spans="1:15" ht="18.75" customHeight="1">
      <c r="A7" s="11">
        <v>4</v>
      </c>
      <c r="B7" s="2"/>
      <c r="C7" s="3"/>
      <c r="D7" s="69"/>
      <c r="E7" s="3"/>
      <c r="F7" s="4" t="str">
        <f t="shared" si="0"/>
        <v/>
      </c>
      <c r="G7" s="5"/>
      <c r="H7" s="5" t="str">
        <f t="shared" si="1"/>
        <v/>
      </c>
      <c r="I7" s="32"/>
      <c r="J7" s="6" t="s">
        <v>15</v>
      </c>
      <c r="K7" s="30" t="str">
        <f t="shared" si="2"/>
        <v/>
      </c>
      <c r="L7" s="6" t="s">
        <v>6</v>
      </c>
      <c r="M7" s="24"/>
      <c r="N7" s="24"/>
    </row>
    <row r="8" spans="1:15" ht="18.75" customHeight="1">
      <c r="A8" s="11">
        <v>5</v>
      </c>
      <c r="B8" s="2"/>
      <c r="C8" s="3"/>
      <c r="D8" s="69"/>
      <c r="E8" s="3"/>
      <c r="F8" s="4" t="str">
        <f t="shared" si="0"/>
        <v/>
      </c>
      <c r="G8" s="5"/>
      <c r="H8" s="5" t="str">
        <f t="shared" si="1"/>
        <v/>
      </c>
      <c r="I8" s="32"/>
      <c r="J8" s="6" t="s">
        <v>15</v>
      </c>
      <c r="K8" s="30" t="str">
        <f t="shared" si="2"/>
        <v/>
      </c>
      <c r="L8" s="6" t="s">
        <v>6</v>
      </c>
      <c r="M8" s="24"/>
      <c r="N8" s="24"/>
    </row>
    <row r="9" spans="1:15" ht="18.75" customHeight="1">
      <c r="A9" s="11">
        <v>6</v>
      </c>
      <c r="B9" s="2"/>
      <c r="C9" s="3"/>
      <c r="D9" s="69"/>
      <c r="E9" s="3"/>
      <c r="F9" s="4" t="str">
        <f t="shared" si="0"/>
        <v/>
      </c>
      <c r="G9" s="5"/>
      <c r="H9" s="5" t="str">
        <f t="shared" si="1"/>
        <v/>
      </c>
      <c r="I9" s="32"/>
      <c r="J9" s="6" t="s">
        <v>15</v>
      </c>
      <c r="K9" s="30" t="str">
        <f t="shared" si="2"/>
        <v/>
      </c>
      <c r="L9" s="6" t="s">
        <v>6</v>
      </c>
      <c r="M9" s="24"/>
      <c r="N9" s="24"/>
    </row>
    <row r="10" spans="1:15" ht="18.75" customHeight="1">
      <c r="A10" s="11">
        <v>7</v>
      </c>
      <c r="B10" s="2"/>
      <c r="C10" s="3"/>
      <c r="D10" s="69"/>
      <c r="E10" s="3"/>
      <c r="F10" s="4" t="str">
        <f t="shared" si="0"/>
        <v/>
      </c>
      <c r="G10" s="5"/>
      <c r="H10" s="5" t="str">
        <f t="shared" si="1"/>
        <v/>
      </c>
      <c r="I10" s="32"/>
      <c r="J10" s="6" t="s">
        <v>15</v>
      </c>
      <c r="K10" s="30" t="str">
        <f t="shared" si="2"/>
        <v/>
      </c>
      <c r="L10" s="6" t="s">
        <v>6</v>
      </c>
      <c r="M10" s="24"/>
      <c r="N10" s="24"/>
    </row>
    <row r="11" spans="1:15" ht="18.75" customHeight="1">
      <c r="A11" s="11">
        <v>8</v>
      </c>
      <c r="B11" s="2"/>
      <c r="C11" s="3"/>
      <c r="D11" s="69"/>
      <c r="E11" s="3"/>
      <c r="F11" s="4" t="str">
        <f t="shared" si="0"/>
        <v/>
      </c>
      <c r="G11" s="5"/>
      <c r="H11" s="5" t="str">
        <f t="shared" si="1"/>
        <v/>
      </c>
      <c r="I11" s="38"/>
      <c r="J11" s="8" t="s">
        <v>15</v>
      </c>
      <c r="K11" s="30" t="str">
        <f t="shared" si="2"/>
        <v/>
      </c>
      <c r="L11" s="9" t="s">
        <v>6</v>
      </c>
      <c r="M11" s="24"/>
      <c r="N11" s="24"/>
    </row>
    <row r="12" spans="1:15" ht="18.75" customHeight="1">
      <c r="A12" s="11">
        <v>9</v>
      </c>
      <c r="B12" s="2"/>
      <c r="C12" s="3"/>
      <c r="D12" s="69"/>
      <c r="E12" s="3"/>
      <c r="F12" s="4" t="str">
        <f t="shared" si="0"/>
        <v/>
      </c>
      <c r="G12" s="5"/>
      <c r="H12" s="5" t="str">
        <f t="shared" si="1"/>
        <v/>
      </c>
      <c r="I12" s="32"/>
      <c r="J12" s="6" t="s">
        <v>15</v>
      </c>
      <c r="K12" s="30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9"/>
      <c r="E13" s="3"/>
      <c r="F13" s="4" t="str">
        <f t="shared" si="0"/>
        <v/>
      </c>
      <c r="G13" s="5"/>
      <c r="H13" s="5" t="str">
        <f t="shared" si="1"/>
        <v/>
      </c>
      <c r="I13" s="38"/>
      <c r="J13" s="8" t="s">
        <v>15</v>
      </c>
      <c r="K13" s="30" t="str">
        <f t="shared" si="2"/>
        <v/>
      </c>
      <c r="L13" s="9" t="s">
        <v>6</v>
      </c>
      <c r="M13" s="24"/>
      <c r="N13" s="24"/>
    </row>
    <row r="14" spans="1:15" ht="18.75" customHeight="1">
      <c r="A14" s="11">
        <v>11</v>
      </c>
      <c r="B14" s="2"/>
      <c r="C14" s="3"/>
      <c r="D14" s="69"/>
      <c r="E14" s="3"/>
      <c r="F14" s="4" t="str">
        <f t="shared" si="0"/>
        <v/>
      </c>
      <c r="G14" s="5"/>
      <c r="H14" s="5" t="str">
        <f t="shared" si="1"/>
        <v/>
      </c>
      <c r="I14" s="32"/>
      <c r="J14" s="6" t="s">
        <v>15</v>
      </c>
      <c r="K14" s="30" t="str">
        <f t="shared" si="2"/>
        <v/>
      </c>
      <c r="L14" s="6" t="s">
        <v>6</v>
      </c>
      <c r="M14" s="24"/>
      <c r="N14" s="24"/>
      <c r="O14" s="56"/>
    </row>
    <row r="15" spans="1:15" ht="18.75" customHeight="1">
      <c r="A15" s="11">
        <v>12</v>
      </c>
      <c r="B15" s="2"/>
      <c r="C15" s="3"/>
      <c r="D15" s="69"/>
      <c r="E15" s="3"/>
      <c r="F15" s="4" t="str">
        <f t="shared" si="0"/>
        <v/>
      </c>
      <c r="G15" s="5"/>
      <c r="H15" s="5" t="str">
        <f t="shared" si="1"/>
        <v/>
      </c>
      <c r="I15" s="39"/>
      <c r="J15" s="8" t="s">
        <v>15</v>
      </c>
      <c r="K15" s="30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9"/>
      <c r="E16" s="3"/>
      <c r="F16" s="4" t="str">
        <f t="shared" si="0"/>
        <v/>
      </c>
      <c r="G16" s="5"/>
      <c r="H16" s="5" t="str">
        <f t="shared" si="1"/>
        <v/>
      </c>
      <c r="I16" s="32"/>
      <c r="J16" s="6" t="s">
        <v>15</v>
      </c>
      <c r="K16" s="30" t="str">
        <f t="shared" si="2"/>
        <v/>
      </c>
      <c r="L16" s="6" t="s">
        <v>6</v>
      </c>
      <c r="M16" s="24"/>
      <c r="N16" s="24"/>
    </row>
    <row r="17" spans="1:15" ht="18.75" customHeight="1">
      <c r="A17" s="11">
        <v>14</v>
      </c>
      <c r="B17" s="2"/>
      <c r="C17" s="3"/>
      <c r="D17" s="69"/>
      <c r="E17" s="3"/>
      <c r="F17" s="4" t="str">
        <f t="shared" si="0"/>
        <v/>
      </c>
      <c r="G17" s="5"/>
      <c r="H17" s="5" t="str">
        <f t="shared" si="1"/>
        <v/>
      </c>
      <c r="I17" s="32"/>
      <c r="J17" s="6" t="s">
        <v>15</v>
      </c>
      <c r="K17" s="30" t="str">
        <f t="shared" si="2"/>
        <v/>
      </c>
      <c r="L17" s="6" t="s">
        <v>6</v>
      </c>
      <c r="M17" s="24"/>
      <c r="N17" s="24"/>
    </row>
    <row r="18" spans="1:15" ht="18.75" customHeight="1">
      <c r="A18" s="11">
        <v>15</v>
      </c>
      <c r="B18" s="2"/>
      <c r="C18" s="3"/>
      <c r="D18" s="69"/>
      <c r="E18" s="3"/>
      <c r="F18" s="4" t="str">
        <f t="shared" si="0"/>
        <v/>
      </c>
      <c r="G18" s="5"/>
      <c r="H18" s="5" t="str">
        <f t="shared" si="1"/>
        <v/>
      </c>
      <c r="I18" s="38"/>
      <c r="J18" s="6" t="s">
        <v>15</v>
      </c>
      <c r="K18" s="30" t="str">
        <f t="shared" si="2"/>
        <v/>
      </c>
      <c r="L18" s="9" t="s">
        <v>6</v>
      </c>
      <c r="M18" s="24"/>
      <c r="N18" s="24"/>
    </row>
    <row r="19" spans="1:15" ht="18.75" customHeight="1">
      <c r="A19" s="11">
        <v>16</v>
      </c>
      <c r="B19" s="2"/>
      <c r="C19" s="3"/>
      <c r="D19" s="69"/>
      <c r="E19" s="3"/>
      <c r="F19" s="4" t="str">
        <f t="shared" si="0"/>
        <v/>
      </c>
      <c r="G19" s="5"/>
      <c r="H19" s="5" t="str">
        <f t="shared" si="1"/>
        <v/>
      </c>
      <c r="I19" s="32"/>
      <c r="J19" s="6" t="s">
        <v>15</v>
      </c>
      <c r="K19" s="30" t="str">
        <f t="shared" si="2"/>
        <v/>
      </c>
      <c r="L19" s="6" t="s">
        <v>6</v>
      </c>
      <c r="M19" s="24"/>
      <c r="N19" s="24"/>
    </row>
    <row r="20" spans="1:15" ht="18.75" customHeight="1">
      <c r="A20" s="11">
        <v>17</v>
      </c>
      <c r="B20" s="2"/>
      <c r="C20" s="3"/>
      <c r="D20" s="69"/>
      <c r="E20" s="7"/>
      <c r="F20" s="4" t="str">
        <f t="shared" si="0"/>
        <v/>
      </c>
      <c r="G20" s="5"/>
      <c r="H20" s="5" t="str">
        <f t="shared" si="1"/>
        <v/>
      </c>
      <c r="I20" s="39"/>
      <c r="J20" s="8" t="s">
        <v>15</v>
      </c>
      <c r="K20" s="30" t="str">
        <f t="shared" si="2"/>
        <v/>
      </c>
      <c r="L20" s="6" t="s">
        <v>6</v>
      </c>
      <c r="M20" s="24"/>
      <c r="N20" s="31"/>
    </row>
    <row r="21" spans="1:15" ht="18.75" customHeight="1">
      <c r="A21" s="11">
        <v>18</v>
      </c>
      <c r="B21" s="2"/>
      <c r="C21" s="3"/>
      <c r="D21" s="69"/>
      <c r="E21" s="3"/>
      <c r="F21" s="4" t="str">
        <f t="shared" si="0"/>
        <v/>
      </c>
      <c r="G21" s="5"/>
      <c r="H21" s="5" t="str">
        <f t="shared" si="1"/>
        <v/>
      </c>
      <c r="I21" s="32"/>
      <c r="J21" s="6" t="s">
        <v>15</v>
      </c>
      <c r="K21" s="30" t="str">
        <f t="shared" si="2"/>
        <v/>
      </c>
      <c r="L21" s="6" t="s">
        <v>6</v>
      </c>
      <c r="M21" s="24"/>
      <c r="N21" s="24"/>
    </row>
    <row r="22" spans="1:15" ht="18.75" customHeight="1">
      <c r="A22" s="11">
        <v>19</v>
      </c>
      <c r="B22" s="2"/>
      <c r="C22" s="3"/>
      <c r="D22" s="69"/>
      <c r="E22" s="3"/>
      <c r="F22" s="4" t="str">
        <f t="shared" si="0"/>
        <v/>
      </c>
      <c r="G22" s="5"/>
      <c r="H22" s="5" t="str">
        <f t="shared" si="1"/>
        <v/>
      </c>
      <c r="I22" s="32"/>
      <c r="J22" s="6" t="s">
        <v>15</v>
      </c>
      <c r="K22" s="30" t="str">
        <f t="shared" si="2"/>
        <v/>
      </c>
      <c r="L22" s="6" t="s">
        <v>6</v>
      </c>
      <c r="M22" s="24"/>
      <c r="N22" s="24"/>
    </row>
    <row r="23" spans="1:15" ht="18.75" customHeight="1">
      <c r="A23" s="11">
        <v>20</v>
      </c>
      <c r="B23" s="2"/>
      <c r="C23" s="3"/>
      <c r="D23" s="69"/>
      <c r="E23" s="3"/>
      <c r="F23" s="4" t="str">
        <f t="shared" si="0"/>
        <v/>
      </c>
      <c r="G23" s="5"/>
      <c r="H23" s="5" t="str">
        <f t="shared" si="1"/>
        <v/>
      </c>
      <c r="I23" s="32"/>
      <c r="J23" s="6" t="s">
        <v>11</v>
      </c>
      <c r="K23" s="30" t="str">
        <f t="shared" si="2"/>
        <v/>
      </c>
      <c r="L23" s="6" t="s">
        <v>6</v>
      </c>
      <c r="M23" s="24"/>
      <c r="N23" s="24"/>
    </row>
    <row r="24" spans="1:15" ht="18.75" customHeight="1">
      <c r="A24" s="11">
        <v>21</v>
      </c>
      <c r="B24" s="2"/>
      <c r="C24" s="3"/>
      <c r="D24" s="69"/>
      <c r="E24" s="3"/>
      <c r="F24" s="4" t="str">
        <f t="shared" si="0"/>
        <v/>
      </c>
      <c r="G24" s="5"/>
      <c r="H24" s="5" t="str">
        <f t="shared" si="1"/>
        <v/>
      </c>
      <c r="I24" s="32"/>
      <c r="J24" s="8" t="s">
        <v>11</v>
      </c>
      <c r="K24" s="30" t="str">
        <f t="shared" si="2"/>
        <v/>
      </c>
      <c r="L24" s="6" t="s">
        <v>6</v>
      </c>
      <c r="M24" s="24"/>
      <c r="N24" s="24"/>
    </row>
    <row r="25" spans="1:15" ht="18.75" customHeight="1">
      <c r="A25" s="11">
        <v>22</v>
      </c>
      <c r="B25" s="2"/>
      <c r="C25" s="3"/>
      <c r="D25" s="69"/>
      <c r="E25" s="3"/>
      <c r="F25" s="4" t="str">
        <f t="shared" si="0"/>
        <v/>
      </c>
      <c r="G25" s="5"/>
      <c r="H25" s="5" t="str">
        <f t="shared" si="1"/>
        <v/>
      </c>
      <c r="I25" s="38"/>
      <c r="J25" s="6" t="s">
        <v>11</v>
      </c>
      <c r="K25" s="30" t="str">
        <f t="shared" si="2"/>
        <v/>
      </c>
      <c r="L25" s="6" t="s">
        <v>6</v>
      </c>
      <c r="M25" s="24"/>
      <c r="N25" s="24"/>
    </row>
    <row r="26" spans="1:15" ht="18.75" customHeight="1">
      <c r="A26" s="11">
        <v>23</v>
      </c>
      <c r="B26" s="2"/>
      <c r="C26" s="3"/>
      <c r="D26" s="69"/>
      <c r="E26" s="3"/>
      <c r="F26" s="4" t="str">
        <f t="shared" si="0"/>
        <v/>
      </c>
      <c r="G26" s="5"/>
      <c r="H26" s="5" t="str">
        <f t="shared" si="1"/>
        <v/>
      </c>
      <c r="I26" s="38"/>
      <c r="J26" s="6" t="s">
        <v>15</v>
      </c>
      <c r="K26" s="30" t="str">
        <f t="shared" si="2"/>
        <v/>
      </c>
      <c r="L26" s="6" t="s">
        <v>6</v>
      </c>
      <c r="M26" s="24"/>
      <c r="N26" s="24"/>
    </row>
    <row r="27" spans="1:15" ht="18.75" customHeight="1">
      <c r="A27" s="11">
        <v>24</v>
      </c>
      <c r="B27" s="2"/>
      <c r="C27" s="3"/>
      <c r="D27" s="69"/>
      <c r="E27" s="3"/>
      <c r="F27" s="4" t="str">
        <f t="shared" si="0"/>
        <v/>
      </c>
      <c r="G27" s="5"/>
      <c r="H27" s="5" t="str">
        <f t="shared" si="1"/>
        <v/>
      </c>
      <c r="I27" s="32"/>
      <c r="J27" s="8" t="s">
        <v>15</v>
      </c>
      <c r="K27" s="30" t="str">
        <f t="shared" si="2"/>
        <v/>
      </c>
      <c r="L27" s="6" t="s">
        <v>6</v>
      </c>
      <c r="M27" s="24"/>
      <c r="N27" s="24"/>
      <c r="O27" s="56"/>
    </row>
    <row r="28" spans="1:15" ht="18.75" customHeight="1">
      <c r="A28" s="11">
        <v>25</v>
      </c>
      <c r="B28" s="2"/>
      <c r="C28" s="3"/>
      <c r="D28" s="69"/>
      <c r="E28" s="3"/>
      <c r="F28" s="4" t="str">
        <f t="shared" si="0"/>
        <v/>
      </c>
      <c r="G28" s="5"/>
      <c r="H28" s="5" t="str">
        <f t="shared" si="1"/>
        <v/>
      </c>
      <c r="I28" s="32"/>
      <c r="J28" s="6" t="s">
        <v>15</v>
      </c>
      <c r="K28" s="30" t="str">
        <f t="shared" si="2"/>
        <v/>
      </c>
      <c r="L28" s="6" t="s">
        <v>6</v>
      </c>
      <c r="M28" s="24"/>
      <c r="N28" s="24"/>
    </row>
    <row r="29" spans="1:15" ht="18.75" customHeight="1">
      <c r="A29" s="11">
        <v>26</v>
      </c>
      <c r="B29" s="2"/>
      <c r="C29" s="3"/>
      <c r="D29" s="69"/>
      <c r="E29" s="3"/>
      <c r="F29" s="4" t="str">
        <f t="shared" si="0"/>
        <v/>
      </c>
      <c r="G29" s="5"/>
      <c r="H29" s="5" t="str">
        <f t="shared" si="1"/>
        <v/>
      </c>
      <c r="I29" s="32"/>
      <c r="J29" s="6" t="s">
        <v>15</v>
      </c>
      <c r="K29" s="30" t="str">
        <f t="shared" si="2"/>
        <v/>
      </c>
      <c r="L29" s="6" t="s">
        <v>6</v>
      </c>
      <c r="M29" s="24"/>
      <c r="N29" s="24"/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370</v>
      </c>
      <c r="J44" s="8" t="s">
        <v>15</v>
      </c>
      <c r="K44" s="44">
        <f>SUM(K4:K43)</f>
        <v>74</v>
      </c>
      <c r="L44" s="8" t="s">
        <v>6</v>
      </c>
      <c r="M44" s="45">
        <f>SUM(K44)-N44</f>
        <v>0</v>
      </c>
      <c r="N44" s="61">
        <f>SUMIF(M4:M42,"",K4:K43)</f>
        <v>74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370</v>
      </c>
      <c r="J88" s="8" t="s">
        <v>15</v>
      </c>
      <c r="K88" s="44">
        <f>SUM(K48:K87)+K44</f>
        <v>74</v>
      </c>
      <c r="L88" s="8" t="s">
        <v>6</v>
      </c>
      <c r="M88" s="45"/>
      <c r="N88" s="45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39ACE101-2023-48D2-B248-3774082FCBA5}"/>
    <dataValidation imeMode="disabled" allowBlank="1" showInputMessage="1" sqref="G41:G44 G85:G88" xr:uid="{22751EC4-66D6-487A-BC3A-02D117726D72}"/>
    <dataValidation type="list" imeMode="on" allowBlank="1" showInputMessage="1" showErrorMessage="1" sqref="B4:C44 B48:C88" xr:uid="{40DB70EA-BBE8-455E-8667-14A19CA53BBB}">
      <formula1>"水産系燃え殻,医療系燃え殻"</formula1>
    </dataValidation>
    <dataValidation type="list" imeMode="on" allowBlank="1" showInputMessage="1" prompt="なければ直接入力" sqref="D4:D44 D48:D88" xr:uid="{9A99C09A-1A9C-41C7-A5D3-ABFA3EFF3A4B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EAF2-C4F0-4B44-8625-E6CC91B33439}">
  <dimension ref="A1:O88"/>
  <sheetViews>
    <sheetView workbookViewId="0">
      <selection activeCell="O4" sqref="O4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27</v>
      </c>
      <c r="C4" s="3"/>
      <c r="D4" s="77" t="s">
        <v>28</v>
      </c>
      <c r="E4" s="3">
        <v>2602209187</v>
      </c>
      <c r="F4" s="4">
        <f t="shared" ref="F4:F41" si="0">IF(E4="","",E4-INT(E4/7)*7)</f>
        <v>4</v>
      </c>
      <c r="G4" s="5">
        <v>46058</v>
      </c>
      <c r="H4" s="5">
        <f t="shared" ref="H4:H41" si="1">IF(G4="","",G4)</f>
        <v>46058</v>
      </c>
      <c r="I4" s="29">
        <v>110</v>
      </c>
      <c r="J4" s="6" t="s">
        <v>15</v>
      </c>
      <c r="K4" s="63">
        <f t="shared" ref="K4:K41" si="2">IF(I4&gt;0,I4*0.2,"")</f>
        <v>22</v>
      </c>
      <c r="L4" s="6" t="s">
        <v>6</v>
      </c>
      <c r="M4" s="24"/>
      <c r="N4" s="31">
        <v>303</v>
      </c>
    </row>
    <row r="5" spans="1:15" ht="18.75" customHeight="1">
      <c r="A5" s="11">
        <v>2</v>
      </c>
      <c r="B5" s="2" t="s">
        <v>27</v>
      </c>
      <c r="C5" s="3"/>
      <c r="D5" s="77" t="s">
        <v>28</v>
      </c>
      <c r="E5" s="7">
        <v>2602209186</v>
      </c>
      <c r="F5" s="4">
        <f t="shared" si="0"/>
        <v>3</v>
      </c>
      <c r="G5" s="5">
        <v>46070</v>
      </c>
      <c r="H5" s="5">
        <f t="shared" si="1"/>
        <v>46070</v>
      </c>
      <c r="I5" s="32">
        <v>180</v>
      </c>
      <c r="J5" s="33" t="s">
        <v>15</v>
      </c>
      <c r="K5" s="73">
        <f t="shared" si="2"/>
        <v>36</v>
      </c>
      <c r="L5" s="6" t="s">
        <v>6</v>
      </c>
      <c r="M5" s="24"/>
      <c r="N5" s="24">
        <v>308</v>
      </c>
    </row>
    <row r="6" spans="1:15" ht="18.75" customHeight="1">
      <c r="A6" s="11">
        <v>3</v>
      </c>
      <c r="B6" s="2" t="s">
        <v>27</v>
      </c>
      <c r="C6" s="3"/>
      <c r="D6" s="69" t="s">
        <v>32</v>
      </c>
      <c r="E6" s="3">
        <v>2174949106</v>
      </c>
      <c r="F6" s="4">
        <f t="shared" si="0"/>
        <v>1</v>
      </c>
      <c r="G6" s="5">
        <v>46073</v>
      </c>
      <c r="H6" s="5">
        <f t="shared" si="1"/>
        <v>46073</v>
      </c>
      <c r="I6" s="35">
        <v>80</v>
      </c>
      <c r="J6" s="8" t="s">
        <v>15</v>
      </c>
      <c r="K6" s="71">
        <f t="shared" si="2"/>
        <v>16</v>
      </c>
      <c r="L6" s="9" t="s">
        <v>6</v>
      </c>
      <c r="M6" s="37"/>
      <c r="N6" s="24">
        <v>311</v>
      </c>
    </row>
    <row r="7" spans="1:15" ht="18.75" customHeight="1">
      <c r="A7" s="11">
        <v>4</v>
      </c>
      <c r="B7" s="2" t="s">
        <v>27</v>
      </c>
      <c r="C7" s="3"/>
      <c r="D7" s="77" t="s">
        <v>45</v>
      </c>
      <c r="E7" s="3">
        <v>2042152447</v>
      </c>
      <c r="F7" s="4">
        <f t="shared" si="0"/>
        <v>6</v>
      </c>
      <c r="G7" s="5">
        <v>46073</v>
      </c>
      <c r="H7" s="5">
        <f t="shared" si="1"/>
        <v>46073</v>
      </c>
      <c r="I7" s="32">
        <v>30</v>
      </c>
      <c r="J7" s="6" t="s">
        <v>15</v>
      </c>
      <c r="K7" s="63">
        <f t="shared" si="2"/>
        <v>6</v>
      </c>
      <c r="L7" s="6" t="s">
        <v>6</v>
      </c>
      <c r="M7" s="24"/>
      <c r="N7" s="24">
        <v>312</v>
      </c>
    </row>
    <row r="8" spans="1:15" ht="18.75" customHeight="1">
      <c r="A8" s="11">
        <v>5</v>
      </c>
      <c r="B8" s="2" t="s">
        <v>27</v>
      </c>
      <c r="C8" s="3"/>
      <c r="D8" s="77" t="s">
        <v>28</v>
      </c>
      <c r="E8" s="3">
        <v>2602209185</v>
      </c>
      <c r="F8" s="4">
        <f t="shared" si="0"/>
        <v>2</v>
      </c>
      <c r="G8" s="5">
        <v>46078</v>
      </c>
      <c r="H8" s="5">
        <f t="shared" si="1"/>
        <v>46078</v>
      </c>
      <c r="I8" s="32">
        <v>90</v>
      </c>
      <c r="J8" s="6" t="s">
        <v>15</v>
      </c>
      <c r="K8" s="63">
        <f t="shared" si="2"/>
        <v>18</v>
      </c>
      <c r="L8" s="6" t="s">
        <v>6</v>
      </c>
      <c r="M8" s="24"/>
      <c r="N8" s="24">
        <v>314</v>
      </c>
    </row>
    <row r="9" spans="1:15" ht="18.75" customHeight="1">
      <c r="A9" s="11">
        <v>6</v>
      </c>
      <c r="B9" s="2"/>
      <c r="C9" s="3"/>
      <c r="D9" s="69"/>
      <c r="E9" s="3"/>
      <c r="F9" s="4" t="str">
        <f t="shared" si="0"/>
        <v/>
      </c>
      <c r="G9" s="5"/>
      <c r="H9" s="5" t="str">
        <f t="shared" si="1"/>
        <v/>
      </c>
      <c r="I9" s="32"/>
      <c r="J9" s="6" t="s">
        <v>15</v>
      </c>
      <c r="K9" s="30" t="str">
        <f t="shared" si="2"/>
        <v/>
      </c>
      <c r="L9" s="6" t="s">
        <v>6</v>
      </c>
      <c r="M9" s="24"/>
      <c r="N9" s="24"/>
    </row>
    <row r="10" spans="1:15" ht="18.75" customHeight="1">
      <c r="A10" s="11">
        <v>7</v>
      </c>
      <c r="B10" s="2"/>
      <c r="C10" s="3"/>
      <c r="D10" s="69"/>
      <c r="E10" s="3"/>
      <c r="F10" s="4" t="str">
        <f t="shared" si="0"/>
        <v/>
      </c>
      <c r="G10" s="5"/>
      <c r="H10" s="5" t="str">
        <f t="shared" si="1"/>
        <v/>
      </c>
      <c r="I10" s="32"/>
      <c r="J10" s="6" t="s">
        <v>15</v>
      </c>
      <c r="K10" s="30" t="str">
        <f t="shared" si="2"/>
        <v/>
      </c>
      <c r="L10" s="6" t="s">
        <v>6</v>
      </c>
      <c r="M10" s="24"/>
      <c r="N10" s="24"/>
    </row>
    <row r="11" spans="1:15" ht="18.75" customHeight="1">
      <c r="A11" s="11">
        <v>8</v>
      </c>
      <c r="B11" s="2"/>
      <c r="C11" s="3"/>
      <c r="D11" s="69"/>
      <c r="E11" s="3"/>
      <c r="F11" s="4" t="str">
        <f t="shared" si="0"/>
        <v/>
      </c>
      <c r="G11" s="5"/>
      <c r="H11" s="5" t="str">
        <f t="shared" si="1"/>
        <v/>
      </c>
      <c r="I11" s="38"/>
      <c r="J11" s="8" t="s">
        <v>15</v>
      </c>
      <c r="K11" s="30" t="str">
        <f t="shared" si="2"/>
        <v/>
      </c>
      <c r="L11" s="9" t="s">
        <v>6</v>
      </c>
      <c r="M11" s="24"/>
      <c r="N11" s="24"/>
    </row>
    <row r="12" spans="1:15" ht="18.75" customHeight="1">
      <c r="A12" s="11">
        <v>9</v>
      </c>
      <c r="B12" s="2"/>
      <c r="C12" s="3"/>
      <c r="D12" s="69"/>
      <c r="E12" s="3"/>
      <c r="F12" s="4" t="str">
        <f t="shared" si="0"/>
        <v/>
      </c>
      <c r="G12" s="5"/>
      <c r="H12" s="5" t="str">
        <f t="shared" si="1"/>
        <v/>
      </c>
      <c r="I12" s="32"/>
      <c r="J12" s="6" t="s">
        <v>15</v>
      </c>
      <c r="K12" s="30" t="str">
        <f t="shared" si="2"/>
        <v/>
      </c>
      <c r="L12" s="6" t="s">
        <v>6</v>
      </c>
      <c r="M12" s="24"/>
      <c r="N12" s="24"/>
    </row>
    <row r="13" spans="1:15" ht="18.75" customHeight="1">
      <c r="A13" s="11">
        <v>10</v>
      </c>
      <c r="B13" s="2"/>
      <c r="C13" s="3"/>
      <c r="D13" s="69"/>
      <c r="E13" s="3"/>
      <c r="F13" s="4" t="str">
        <f t="shared" si="0"/>
        <v/>
      </c>
      <c r="G13" s="5"/>
      <c r="H13" s="5" t="str">
        <f t="shared" si="1"/>
        <v/>
      </c>
      <c r="I13" s="38"/>
      <c r="J13" s="8" t="s">
        <v>15</v>
      </c>
      <c r="K13" s="30" t="str">
        <f t="shared" si="2"/>
        <v/>
      </c>
      <c r="L13" s="9" t="s">
        <v>6</v>
      </c>
      <c r="M13" s="24"/>
      <c r="N13" s="24"/>
    </row>
    <row r="14" spans="1:15" ht="18.75" customHeight="1">
      <c r="A14" s="11">
        <v>11</v>
      </c>
      <c r="B14" s="2"/>
      <c r="C14" s="3"/>
      <c r="D14" s="69"/>
      <c r="E14" s="3"/>
      <c r="F14" s="4" t="str">
        <f t="shared" si="0"/>
        <v/>
      </c>
      <c r="G14" s="5"/>
      <c r="H14" s="5" t="str">
        <f t="shared" si="1"/>
        <v/>
      </c>
      <c r="I14" s="32"/>
      <c r="J14" s="6" t="s">
        <v>15</v>
      </c>
      <c r="K14" s="30" t="str">
        <f t="shared" si="2"/>
        <v/>
      </c>
      <c r="L14" s="6" t="s">
        <v>6</v>
      </c>
      <c r="M14" s="24"/>
      <c r="N14" s="24"/>
      <c r="O14" s="56"/>
    </row>
    <row r="15" spans="1:15" ht="18.75" customHeight="1">
      <c r="A15" s="11">
        <v>12</v>
      </c>
      <c r="B15" s="2"/>
      <c r="C15" s="3"/>
      <c r="D15" s="69"/>
      <c r="E15" s="3"/>
      <c r="F15" s="4" t="str">
        <f t="shared" si="0"/>
        <v/>
      </c>
      <c r="G15" s="5"/>
      <c r="H15" s="5" t="str">
        <f t="shared" si="1"/>
        <v/>
      </c>
      <c r="I15" s="39"/>
      <c r="J15" s="8" t="s">
        <v>15</v>
      </c>
      <c r="K15" s="30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9"/>
      <c r="E16" s="3"/>
      <c r="F16" s="4" t="str">
        <f t="shared" si="0"/>
        <v/>
      </c>
      <c r="G16" s="5"/>
      <c r="H16" s="5" t="str">
        <f t="shared" si="1"/>
        <v/>
      </c>
      <c r="I16" s="32"/>
      <c r="J16" s="6" t="s">
        <v>15</v>
      </c>
      <c r="K16" s="30" t="str">
        <f t="shared" si="2"/>
        <v/>
      </c>
      <c r="L16" s="6" t="s">
        <v>6</v>
      </c>
      <c r="M16" s="24"/>
      <c r="N16" s="24"/>
    </row>
    <row r="17" spans="1:15" ht="18.75" customHeight="1">
      <c r="A17" s="11">
        <v>14</v>
      </c>
      <c r="B17" s="2"/>
      <c r="C17" s="3"/>
      <c r="D17" s="69"/>
      <c r="E17" s="3"/>
      <c r="F17" s="4" t="str">
        <f t="shared" si="0"/>
        <v/>
      </c>
      <c r="G17" s="5"/>
      <c r="H17" s="5" t="str">
        <f t="shared" si="1"/>
        <v/>
      </c>
      <c r="I17" s="32"/>
      <c r="J17" s="6" t="s">
        <v>15</v>
      </c>
      <c r="K17" s="30" t="str">
        <f t="shared" si="2"/>
        <v/>
      </c>
      <c r="L17" s="6" t="s">
        <v>6</v>
      </c>
      <c r="M17" s="24"/>
      <c r="N17" s="24"/>
    </row>
    <row r="18" spans="1:15" ht="18.75" customHeight="1">
      <c r="A18" s="11">
        <v>15</v>
      </c>
      <c r="B18" s="2"/>
      <c r="C18" s="3"/>
      <c r="D18" s="69"/>
      <c r="E18" s="3"/>
      <c r="F18" s="4" t="str">
        <f t="shared" si="0"/>
        <v/>
      </c>
      <c r="G18" s="5"/>
      <c r="H18" s="5" t="str">
        <f t="shared" si="1"/>
        <v/>
      </c>
      <c r="I18" s="38"/>
      <c r="J18" s="6" t="s">
        <v>15</v>
      </c>
      <c r="K18" s="30" t="str">
        <f t="shared" si="2"/>
        <v/>
      </c>
      <c r="L18" s="9" t="s">
        <v>6</v>
      </c>
      <c r="M18" s="24"/>
      <c r="N18" s="24"/>
    </row>
    <row r="19" spans="1:15" ht="18.75" customHeight="1">
      <c r="A19" s="11">
        <v>16</v>
      </c>
      <c r="B19" s="2"/>
      <c r="C19" s="3"/>
      <c r="D19" s="69"/>
      <c r="E19" s="3"/>
      <c r="F19" s="4" t="str">
        <f t="shared" si="0"/>
        <v/>
      </c>
      <c r="G19" s="5"/>
      <c r="H19" s="5" t="str">
        <f t="shared" si="1"/>
        <v/>
      </c>
      <c r="I19" s="32"/>
      <c r="J19" s="6" t="s">
        <v>15</v>
      </c>
      <c r="K19" s="30" t="str">
        <f t="shared" si="2"/>
        <v/>
      </c>
      <c r="L19" s="6" t="s">
        <v>6</v>
      </c>
      <c r="M19" s="24"/>
      <c r="N19" s="24"/>
    </row>
    <row r="20" spans="1:15" ht="18.75" customHeight="1">
      <c r="A20" s="11">
        <v>17</v>
      </c>
      <c r="B20" s="2"/>
      <c r="C20" s="3"/>
      <c r="D20" s="69"/>
      <c r="E20" s="7"/>
      <c r="F20" s="4" t="str">
        <f t="shared" si="0"/>
        <v/>
      </c>
      <c r="G20" s="5"/>
      <c r="H20" s="5" t="str">
        <f t="shared" si="1"/>
        <v/>
      </c>
      <c r="I20" s="39"/>
      <c r="J20" s="8" t="s">
        <v>15</v>
      </c>
      <c r="K20" s="30" t="str">
        <f t="shared" si="2"/>
        <v/>
      </c>
      <c r="L20" s="6" t="s">
        <v>6</v>
      </c>
      <c r="M20" s="24"/>
      <c r="N20" s="31"/>
    </row>
    <row r="21" spans="1:15" ht="18.75" customHeight="1">
      <c r="A21" s="11">
        <v>18</v>
      </c>
      <c r="B21" s="2"/>
      <c r="C21" s="3"/>
      <c r="D21" s="69"/>
      <c r="E21" s="3"/>
      <c r="F21" s="4" t="str">
        <f t="shared" si="0"/>
        <v/>
      </c>
      <c r="G21" s="5"/>
      <c r="H21" s="5" t="str">
        <f t="shared" si="1"/>
        <v/>
      </c>
      <c r="I21" s="32"/>
      <c r="J21" s="6" t="s">
        <v>15</v>
      </c>
      <c r="K21" s="30" t="str">
        <f t="shared" si="2"/>
        <v/>
      </c>
      <c r="L21" s="6" t="s">
        <v>6</v>
      </c>
      <c r="M21" s="24"/>
      <c r="N21" s="24"/>
    </row>
    <row r="22" spans="1:15" ht="18.75" customHeight="1">
      <c r="A22" s="11">
        <v>19</v>
      </c>
      <c r="B22" s="2"/>
      <c r="C22" s="3"/>
      <c r="D22" s="69"/>
      <c r="E22" s="3"/>
      <c r="F22" s="4" t="str">
        <f t="shared" si="0"/>
        <v/>
      </c>
      <c r="G22" s="5"/>
      <c r="H22" s="5" t="str">
        <f t="shared" si="1"/>
        <v/>
      </c>
      <c r="I22" s="32"/>
      <c r="J22" s="6" t="s">
        <v>15</v>
      </c>
      <c r="K22" s="30" t="str">
        <f t="shared" si="2"/>
        <v/>
      </c>
      <c r="L22" s="6" t="s">
        <v>6</v>
      </c>
      <c r="M22" s="24"/>
      <c r="N22" s="24"/>
    </row>
    <row r="23" spans="1:15" ht="18.75" customHeight="1">
      <c r="A23" s="11">
        <v>20</v>
      </c>
      <c r="B23" s="2"/>
      <c r="C23" s="3"/>
      <c r="D23" s="69"/>
      <c r="E23" s="3"/>
      <c r="F23" s="4" t="str">
        <f t="shared" si="0"/>
        <v/>
      </c>
      <c r="G23" s="5"/>
      <c r="H23" s="5" t="str">
        <f t="shared" si="1"/>
        <v/>
      </c>
      <c r="I23" s="32"/>
      <c r="J23" s="6" t="s">
        <v>11</v>
      </c>
      <c r="K23" s="30" t="str">
        <f t="shared" si="2"/>
        <v/>
      </c>
      <c r="L23" s="6" t="s">
        <v>6</v>
      </c>
      <c r="M23" s="24"/>
      <c r="N23" s="24"/>
    </row>
    <row r="24" spans="1:15" ht="18.75" customHeight="1">
      <c r="A24" s="11">
        <v>21</v>
      </c>
      <c r="B24" s="2"/>
      <c r="C24" s="3"/>
      <c r="D24" s="69"/>
      <c r="E24" s="3"/>
      <c r="F24" s="4" t="str">
        <f t="shared" si="0"/>
        <v/>
      </c>
      <c r="G24" s="5"/>
      <c r="H24" s="5" t="str">
        <f t="shared" si="1"/>
        <v/>
      </c>
      <c r="I24" s="32"/>
      <c r="J24" s="8" t="s">
        <v>11</v>
      </c>
      <c r="K24" s="30" t="str">
        <f t="shared" si="2"/>
        <v/>
      </c>
      <c r="L24" s="6" t="s">
        <v>6</v>
      </c>
      <c r="M24" s="24"/>
      <c r="N24" s="24"/>
    </row>
    <row r="25" spans="1:15" ht="18.75" customHeight="1">
      <c r="A25" s="11">
        <v>22</v>
      </c>
      <c r="B25" s="2"/>
      <c r="C25" s="3"/>
      <c r="D25" s="69"/>
      <c r="E25" s="3"/>
      <c r="F25" s="4" t="str">
        <f t="shared" si="0"/>
        <v/>
      </c>
      <c r="G25" s="5"/>
      <c r="H25" s="5" t="str">
        <f t="shared" si="1"/>
        <v/>
      </c>
      <c r="I25" s="38"/>
      <c r="J25" s="6" t="s">
        <v>11</v>
      </c>
      <c r="K25" s="30" t="str">
        <f t="shared" si="2"/>
        <v/>
      </c>
      <c r="L25" s="6" t="s">
        <v>6</v>
      </c>
      <c r="M25" s="24"/>
      <c r="N25" s="24"/>
    </row>
    <row r="26" spans="1:15" ht="18.75" customHeight="1">
      <c r="A26" s="11">
        <v>23</v>
      </c>
      <c r="B26" s="2"/>
      <c r="C26" s="3"/>
      <c r="D26" s="69"/>
      <c r="E26" s="3"/>
      <c r="F26" s="4" t="str">
        <f t="shared" si="0"/>
        <v/>
      </c>
      <c r="G26" s="5"/>
      <c r="H26" s="5" t="str">
        <f t="shared" si="1"/>
        <v/>
      </c>
      <c r="I26" s="38"/>
      <c r="J26" s="6" t="s">
        <v>15</v>
      </c>
      <c r="K26" s="30" t="str">
        <f t="shared" si="2"/>
        <v/>
      </c>
      <c r="L26" s="6" t="s">
        <v>6</v>
      </c>
      <c r="M26" s="24"/>
      <c r="N26" s="24"/>
    </row>
    <row r="27" spans="1:15" ht="18.75" customHeight="1">
      <c r="A27" s="11">
        <v>24</v>
      </c>
      <c r="B27" s="2"/>
      <c r="C27" s="3"/>
      <c r="D27" s="69"/>
      <c r="E27" s="3"/>
      <c r="F27" s="4" t="str">
        <f t="shared" si="0"/>
        <v/>
      </c>
      <c r="G27" s="5"/>
      <c r="H27" s="5" t="str">
        <f t="shared" si="1"/>
        <v/>
      </c>
      <c r="I27" s="32"/>
      <c r="J27" s="8" t="s">
        <v>15</v>
      </c>
      <c r="K27" s="30" t="str">
        <f t="shared" si="2"/>
        <v/>
      </c>
      <c r="L27" s="6" t="s">
        <v>6</v>
      </c>
      <c r="M27" s="24"/>
      <c r="N27" s="24"/>
      <c r="O27" s="56"/>
    </row>
    <row r="28" spans="1:15" ht="18.75" customHeight="1">
      <c r="A28" s="11">
        <v>25</v>
      </c>
      <c r="B28" s="2"/>
      <c r="C28" s="3"/>
      <c r="D28" s="69"/>
      <c r="E28" s="3"/>
      <c r="F28" s="4" t="str">
        <f t="shared" si="0"/>
        <v/>
      </c>
      <c r="G28" s="5"/>
      <c r="H28" s="5" t="str">
        <f t="shared" si="1"/>
        <v/>
      </c>
      <c r="I28" s="32"/>
      <c r="J28" s="6" t="s">
        <v>15</v>
      </c>
      <c r="K28" s="30" t="str">
        <f t="shared" si="2"/>
        <v/>
      </c>
      <c r="L28" s="6" t="s">
        <v>6</v>
      </c>
      <c r="M28" s="24"/>
      <c r="N28" s="24"/>
    </row>
    <row r="29" spans="1:15" ht="18.75" customHeight="1">
      <c r="A29" s="11">
        <v>26</v>
      </c>
      <c r="B29" s="2"/>
      <c r="C29" s="3"/>
      <c r="D29" s="69"/>
      <c r="E29" s="3"/>
      <c r="F29" s="4" t="str">
        <f t="shared" si="0"/>
        <v/>
      </c>
      <c r="G29" s="5"/>
      <c r="H29" s="5" t="str">
        <f t="shared" si="1"/>
        <v/>
      </c>
      <c r="I29" s="32"/>
      <c r="J29" s="6" t="s">
        <v>15</v>
      </c>
      <c r="K29" s="30" t="str">
        <f t="shared" si="2"/>
        <v/>
      </c>
      <c r="L29" s="6" t="s">
        <v>6</v>
      </c>
      <c r="M29" s="24"/>
      <c r="N29" s="24"/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490</v>
      </c>
      <c r="J44" s="8" t="s">
        <v>15</v>
      </c>
      <c r="K44" s="44">
        <f>SUM(K4:K43)</f>
        <v>98</v>
      </c>
      <c r="L44" s="8" t="s">
        <v>6</v>
      </c>
      <c r="M44" s="45">
        <f>SUM(K44)-N44</f>
        <v>0</v>
      </c>
      <c r="N44" s="61">
        <f>SUMIF(M4:M42,"",K4:K43)</f>
        <v>98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490</v>
      </c>
      <c r="J88" s="8" t="s">
        <v>15</v>
      </c>
      <c r="K88" s="44">
        <f>SUM(K48:K87)+K44</f>
        <v>98</v>
      </c>
      <c r="L88" s="8" t="s">
        <v>6</v>
      </c>
      <c r="M88" s="45"/>
      <c r="N88" s="45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1BF276AB-4E14-4057-8263-BDDB83748EC3}"/>
    <dataValidation imeMode="disabled" allowBlank="1" showInputMessage="1" sqref="G41:G44 G85:G88" xr:uid="{488E487E-CE93-4FB6-81C3-6DEAA17CC23A}"/>
    <dataValidation type="list" imeMode="on" allowBlank="1" showInputMessage="1" showErrorMessage="1" sqref="B4:C44 B48:C88" xr:uid="{15159572-339C-4EA5-85BA-39BCB0C3B195}">
      <formula1>"水産系燃え殻,医療系燃え殻"</formula1>
    </dataValidation>
    <dataValidation type="list" imeMode="on" allowBlank="1" showInputMessage="1" prompt="なければ直接入力" sqref="D4:D44 D48:D88" xr:uid="{BA4F92DC-1024-4C11-814A-2073EE38C9B4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C13E-051F-4699-8ED0-2AB5010B93EC}">
  <sheetPr>
    <tabColor rgb="FFFFFF00"/>
  </sheetPr>
  <dimension ref="A1:O88"/>
  <sheetViews>
    <sheetView tabSelected="1" workbookViewId="0">
      <selection activeCell="I15" sqref="I15"/>
    </sheetView>
  </sheetViews>
  <sheetFormatPr defaultRowHeight="13.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6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>
      <c r="B1" s="78" t="s">
        <v>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ht="21" customHeight="1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27" customHeight="1">
      <c r="A3" s="11"/>
      <c r="B3" s="26" t="s">
        <v>1</v>
      </c>
      <c r="C3" s="80" t="s">
        <v>2</v>
      </c>
      <c r="D3" s="81"/>
      <c r="E3" s="82" t="s">
        <v>3</v>
      </c>
      <c r="F3" s="83"/>
      <c r="G3" s="22" t="s">
        <v>4</v>
      </c>
      <c r="H3" s="22" t="s">
        <v>7</v>
      </c>
      <c r="I3" s="84" t="s">
        <v>8</v>
      </c>
      <c r="J3" s="85"/>
      <c r="K3" s="84" t="s">
        <v>5</v>
      </c>
      <c r="L3" s="84"/>
      <c r="M3" s="27" t="s">
        <v>10</v>
      </c>
      <c r="N3" s="28" t="s">
        <v>18</v>
      </c>
    </row>
    <row r="4" spans="1:15" ht="18.75" customHeight="1">
      <c r="A4" s="11">
        <v>1</v>
      </c>
      <c r="B4" s="2" t="s">
        <v>27</v>
      </c>
      <c r="C4" s="3"/>
      <c r="D4" s="77" t="s">
        <v>28</v>
      </c>
      <c r="E4" s="3">
        <v>2602209208</v>
      </c>
      <c r="F4" s="4">
        <f t="shared" ref="F4:F41" si="0">IF(E4="","",E4-INT(E4/7)*7)</f>
        <v>4</v>
      </c>
      <c r="G4" s="5">
        <v>46091</v>
      </c>
      <c r="H4" s="5">
        <f t="shared" ref="H4:H41" si="1">IF(G4="","",G4)</f>
        <v>46091</v>
      </c>
      <c r="I4" s="29">
        <v>210</v>
      </c>
      <c r="J4" s="6" t="s">
        <v>15</v>
      </c>
      <c r="K4" s="63">
        <f t="shared" ref="K4:K41" si="2">IF(I4&gt;0,I4*0.2,"")</f>
        <v>42</v>
      </c>
      <c r="L4" s="6" t="s">
        <v>6</v>
      </c>
      <c r="M4" s="24"/>
      <c r="N4" s="31">
        <v>319</v>
      </c>
    </row>
    <row r="5" spans="1:15" ht="18.75" customHeight="1">
      <c r="A5" s="11">
        <v>2</v>
      </c>
      <c r="B5" s="2" t="s">
        <v>27</v>
      </c>
      <c r="C5" s="3"/>
      <c r="D5" s="69" t="s">
        <v>46</v>
      </c>
      <c r="E5" s="7">
        <v>2103165436</v>
      </c>
      <c r="F5" s="4">
        <f t="shared" si="0"/>
        <v>1</v>
      </c>
      <c r="G5" s="5">
        <v>46091</v>
      </c>
      <c r="H5" s="5">
        <f t="shared" si="1"/>
        <v>46091</v>
      </c>
      <c r="I5" s="32">
        <v>30</v>
      </c>
      <c r="J5" s="33" t="s">
        <v>15</v>
      </c>
      <c r="K5" s="73">
        <f t="shared" si="2"/>
        <v>6</v>
      </c>
      <c r="L5" s="6" t="s">
        <v>6</v>
      </c>
      <c r="M5" s="24"/>
      <c r="N5" s="24">
        <v>320</v>
      </c>
    </row>
    <row r="6" spans="1:15" ht="18.75" customHeight="1">
      <c r="A6" s="11">
        <v>3</v>
      </c>
      <c r="B6" s="2" t="s">
        <v>29</v>
      </c>
      <c r="C6" s="3"/>
      <c r="D6" s="69" t="s">
        <v>30</v>
      </c>
      <c r="E6" s="3">
        <v>2175817568</v>
      </c>
      <c r="F6" s="4">
        <f t="shared" si="0"/>
        <v>1</v>
      </c>
      <c r="G6" s="5">
        <v>46100</v>
      </c>
      <c r="H6" s="5">
        <f t="shared" si="1"/>
        <v>46100</v>
      </c>
      <c r="I6" s="35">
        <v>230</v>
      </c>
      <c r="J6" s="8" t="s">
        <v>15</v>
      </c>
      <c r="K6" s="71">
        <f t="shared" si="2"/>
        <v>46</v>
      </c>
      <c r="L6" s="9" t="s">
        <v>6</v>
      </c>
      <c r="M6" s="37"/>
      <c r="N6" s="24">
        <v>326</v>
      </c>
    </row>
    <row r="7" spans="1:15" ht="18.75" customHeight="1">
      <c r="A7" s="11">
        <v>4</v>
      </c>
      <c r="B7" s="2" t="s">
        <v>29</v>
      </c>
      <c r="C7" s="3"/>
      <c r="D7" s="69" t="s">
        <v>30</v>
      </c>
      <c r="E7" s="3">
        <v>2175817536</v>
      </c>
      <c r="F7" s="4">
        <f t="shared" si="0"/>
        <v>4</v>
      </c>
      <c r="G7" s="5">
        <v>46104</v>
      </c>
      <c r="H7" s="5">
        <f t="shared" si="1"/>
        <v>46104</v>
      </c>
      <c r="I7" s="32">
        <v>360</v>
      </c>
      <c r="J7" s="6" t="s">
        <v>15</v>
      </c>
      <c r="K7" s="63">
        <f t="shared" si="2"/>
        <v>72</v>
      </c>
      <c r="L7" s="6" t="s">
        <v>6</v>
      </c>
      <c r="M7" s="24"/>
      <c r="N7" s="24">
        <v>327</v>
      </c>
    </row>
    <row r="8" spans="1:15" ht="18.75" customHeight="1">
      <c r="A8" s="11">
        <v>5</v>
      </c>
      <c r="B8" s="2" t="s">
        <v>29</v>
      </c>
      <c r="C8" s="3"/>
      <c r="D8" s="69" t="s">
        <v>30</v>
      </c>
      <c r="E8" s="3">
        <v>2175817574</v>
      </c>
      <c r="F8" s="4">
        <f t="shared" si="0"/>
        <v>0</v>
      </c>
      <c r="G8" s="5">
        <v>46105</v>
      </c>
      <c r="H8" s="5">
        <f t="shared" si="1"/>
        <v>46105</v>
      </c>
      <c r="I8" s="32">
        <v>310</v>
      </c>
      <c r="J8" s="6" t="s">
        <v>15</v>
      </c>
      <c r="K8" s="63">
        <f t="shared" si="2"/>
        <v>62</v>
      </c>
      <c r="L8" s="6" t="s">
        <v>6</v>
      </c>
      <c r="M8" s="24"/>
      <c r="N8" s="24">
        <v>329</v>
      </c>
    </row>
    <row r="9" spans="1:15" ht="18.75" customHeight="1">
      <c r="A9" s="11">
        <v>6</v>
      </c>
      <c r="B9" s="2" t="s">
        <v>27</v>
      </c>
      <c r="C9" s="3"/>
      <c r="D9" s="77" t="s">
        <v>28</v>
      </c>
      <c r="E9" s="3">
        <v>2602209207</v>
      </c>
      <c r="F9" s="4">
        <f t="shared" si="0"/>
        <v>3</v>
      </c>
      <c r="G9" s="5">
        <v>46105</v>
      </c>
      <c r="H9" s="5">
        <f t="shared" si="1"/>
        <v>46105</v>
      </c>
      <c r="I9" s="32">
        <v>170</v>
      </c>
      <c r="J9" s="6" t="s">
        <v>15</v>
      </c>
      <c r="K9" s="63">
        <f t="shared" si="2"/>
        <v>34</v>
      </c>
      <c r="L9" s="6" t="s">
        <v>6</v>
      </c>
      <c r="M9" s="24"/>
      <c r="N9" s="24">
        <v>330</v>
      </c>
    </row>
    <row r="10" spans="1:15" ht="18.75" customHeight="1">
      <c r="A10" s="11">
        <v>7</v>
      </c>
      <c r="B10" s="2" t="s">
        <v>29</v>
      </c>
      <c r="C10" s="3"/>
      <c r="D10" s="69" t="s">
        <v>30</v>
      </c>
      <c r="E10" s="3">
        <v>2175817546</v>
      </c>
      <c r="F10" s="4">
        <f t="shared" si="0"/>
        <v>0</v>
      </c>
      <c r="G10" s="5">
        <v>46107</v>
      </c>
      <c r="H10" s="5">
        <f t="shared" si="1"/>
        <v>46107</v>
      </c>
      <c r="I10" s="32">
        <v>250</v>
      </c>
      <c r="J10" s="6" t="s">
        <v>15</v>
      </c>
      <c r="K10" s="63">
        <f t="shared" si="2"/>
        <v>50</v>
      </c>
      <c r="L10" s="6" t="s">
        <v>6</v>
      </c>
      <c r="M10" s="24"/>
      <c r="N10" s="24">
        <v>332</v>
      </c>
    </row>
    <row r="11" spans="1:15" ht="18.75" customHeight="1">
      <c r="A11" s="11">
        <v>8</v>
      </c>
      <c r="B11" s="2" t="s">
        <v>29</v>
      </c>
      <c r="C11" s="3"/>
      <c r="D11" s="69" t="s">
        <v>30</v>
      </c>
      <c r="E11" s="3">
        <v>2175817537</v>
      </c>
      <c r="F11" s="4">
        <f t="shared" si="0"/>
        <v>5</v>
      </c>
      <c r="G11" s="5">
        <v>46111</v>
      </c>
      <c r="H11" s="5">
        <f t="shared" si="1"/>
        <v>46111</v>
      </c>
      <c r="I11" s="38">
        <v>460</v>
      </c>
      <c r="J11" s="8" t="s">
        <v>15</v>
      </c>
      <c r="K11" s="63">
        <f t="shared" si="2"/>
        <v>92</v>
      </c>
      <c r="L11" s="9" t="s">
        <v>6</v>
      </c>
      <c r="M11" s="24"/>
      <c r="N11" s="24">
        <v>334</v>
      </c>
    </row>
    <row r="12" spans="1:15" ht="18.75" customHeight="1">
      <c r="A12" s="11">
        <v>9</v>
      </c>
      <c r="B12" s="2" t="s">
        <v>27</v>
      </c>
      <c r="C12" s="3"/>
      <c r="D12" s="77" t="s">
        <v>28</v>
      </c>
      <c r="E12" s="3">
        <v>2602209206</v>
      </c>
      <c r="F12" s="4">
        <f t="shared" si="0"/>
        <v>2</v>
      </c>
      <c r="G12" s="5">
        <v>46112</v>
      </c>
      <c r="H12" s="5">
        <f t="shared" si="1"/>
        <v>46112</v>
      </c>
      <c r="I12" s="32">
        <v>70</v>
      </c>
      <c r="J12" s="6" t="s">
        <v>15</v>
      </c>
      <c r="K12" s="63">
        <f t="shared" si="2"/>
        <v>14</v>
      </c>
      <c r="L12" s="6" t="s">
        <v>6</v>
      </c>
      <c r="M12" s="24"/>
      <c r="N12" s="24">
        <v>336</v>
      </c>
    </row>
    <row r="13" spans="1:15" ht="18.75" customHeight="1">
      <c r="A13" s="11">
        <v>10</v>
      </c>
      <c r="B13" s="2" t="s">
        <v>29</v>
      </c>
      <c r="C13" s="3"/>
      <c r="D13" s="69" t="s">
        <v>30</v>
      </c>
      <c r="E13" s="3">
        <v>2175817534</v>
      </c>
      <c r="F13" s="4">
        <f t="shared" si="0"/>
        <v>2</v>
      </c>
      <c r="G13" s="5">
        <v>46112</v>
      </c>
      <c r="H13" s="5">
        <f t="shared" si="1"/>
        <v>46112</v>
      </c>
      <c r="I13" s="38">
        <v>230</v>
      </c>
      <c r="J13" s="8" t="s">
        <v>15</v>
      </c>
      <c r="K13" s="63">
        <f t="shared" si="2"/>
        <v>46</v>
      </c>
      <c r="L13" s="9" t="s">
        <v>6</v>
      </c>
      <c r="M13" s="24"/>
      <c r="N13" s="24">
        <v>337</v>
      </c>
    </row>
    <row r="14" spans="1:15" ht="18.75" customHeight="1">
      <c r="A14" s="11">
        <v>11</v>
      </c>
      <c r="B14" s="2"/>
      <c r="C14" s="3"/>
      <c r="D14" s="69"/>
      <c r="E14" s="3"/>
      <c r="F14" s="4" t="str">
        <f t="shared" si="0"/>
        <v/>
      </c>
      <c r="G14" s="5"/>
      <c r="H14" s="5" t="str">
        <f t="shared" si="1"/>
        <v/>
      </c>
      <c r="I14" s="32"/>
      <c r="J14" s="6" t="s">
        <v>15</v>
      </c>
      <c r="K14" s="30" t="str">
        <f t="shared" si="2"/>
        <v/>
      </c>
      <c r="L14" s="6" t="s">
        <v>6</v>
      </c>
      <c r="M14" s="24"/>
      <c r="N14" s="24"/>
      <c r="O14" s="56"/>
    </row>
    <row r="15" spans="1:15" ht="18.75" customHeight="1">
      <c r="A15" s="11">
        <v>12</v>
      </c>
      <c r="B15" s="2"/>
      <c r="C15" s="3"/>
      <c r="D15" s="69"/>
      <c r="E15" s="3"/>
      <c r="F15" s="4" t="str">
        <f t="shared" si="0"/>
        <v/>
      </c>
      <c r="G15" s="5"/>
      <c r="H15" s="5" t="str">
        <f t="shared" si="1"/>
        <v/>
      </c>
      <c r="I15" s="39"/>
      <c r="J15" s="8" t="s">
        <v>15</v>
      </c>
      <c r="K15" s="30" t="str">
        <f t="shared" si="2"/>
        <v/>
      </c>
      <c r="L15" s="6" t="s">
        <v>6</v>
      </c>
      <c r="M15" s="24"/>
      <c r="N15" s="24"/>
    </row>
    <row r="16" spans="1:15" ht="18.75" customHeight="1">
      <c r="A16" s="11">
        <v>13</v>
      </c>
      <c r="B16" s="2"/>
      <c r="C16" s="3"/>
      <c r="D16" s="69"/>
      <c r="E16" s="3"/>
      <c r="F16" s="4" t="str">
        <f t="shared" si="0"/>
        <v/>
      </c>
      <c r="G16" s="5"/>
      <c r="H16" s="5" t="str">
        <f t="shared" si="1"/>
        <v/>
      </c>
      <c r="I16" s="32"/>
      <c r="J16" s="6" t="s">
        <v>15</v>
      </c>
      <c r="K16" s="30" t="str">
        <f t="shared" si="2"/>
        <v/>
      </c>
      <c r="L16" s="6" t="s">
        <v>6</v>
      </c>
      <c r="M16" s="24"/>
      <c r="N16" s="24"/>
    </row>
    <row r="17" spans="1:15" ht="18.75" customHeight="1">
      <c r="A17" s="11">
        <v>14</v>
      </c>
      <c r="B17" s="2"/>
      <c r="C17" s="3"/>
      <c r="D17" s="69"/>
      <c r="E17" s="3"/>
      <c r="F17" s="4" t="str">
        <f t="shared" si="0"/>
        <v/>
      </c>
      <c r="G17" s="5"/>
      <c r="H17" s="5" t="str">
        <f t="shared" si="1"/>
        <v/>
      </c>
      <c r="I17" s="32"/>
      <c r="J17" s="6" t="s">
        <v>15</v>
      </c>
      <c r="K17" s="30" t="str">
        <f t="shared" si="2"/>
        <v/>
      </c>
      <c r="L17" s="6" t="s">
        <v>6</v>
      </c>
      <c r="M17" s="24"/>
      <c r="N17" s="24"/>
    </row>
    <row r="18" spans="1:15" ht="18.75" customHeight="1">
      <c r="A18" s="11">
        <v>15</v>
      </c>
      <c r="B18" s="2"/>
      <c r="C18" s="3"/>
      <c r="D18" s="69"/>
      <c r="E18" s="3"/>
      <c r="F18" s="4" t="str">
        <f t="shared" si="0"/>
        <v/>
      </c>
      <c r="G18" s="5"/>
      <c r="H18" s="5" t="str">
        <f t="shared" si="1"/>
        <v/>
      </c>
      <c r="I18" s="38"/>
      <c r="J18" s="6" t="s">
        <v>15</v>
      </c>
      <c r="K18" s="30" t="str">
        <f t="shared" si="2"/>
        <v/>
      </c>
      <c r="L18" s="9" t="s">
        <v>6</v>
      </c>
      <c r="M18" s="24"/>
      <c r="N18" s="24"/>
    </row>
    <row r="19" spans="1:15" ht="18.75" customHeight="1">
      <c r="A19" s="11">
        <v>16</v>
      </c>
      <c r="B19" s="2"/>
      <c r="C19" s="3"/>
      <c r="D19" s="69"/>
      <c r="E19" s="3"/>
      <c r="F19" s="4" t="str">
        <f t="shared" si="0"/>
        <v/>
      </c>
      <c r="G19" s="5"/>
      <c r="H19" s="5" t="str">
        <f t="shared" si="1"/>
        <v/>
      </c>
      <c r="I19" s="32"/>
      <c r="J19" s="6" t="s">
        <v>15</v>
      </c>
      <c r="K19" s="30" t="str">
        <f t="shared" si="2"/>
        <v/>
      </c>
      <c r="L19" s="6" t="s">
        <v>6</v>
      </c>
      <c r="M19" s="24"/>
      <c r="N19" s="24"/>
    </row>
    <row r="20" spans="1:15" ht="18.75" customHeight="1">
      <c r="A20" s="11">
        <v>17</v>
      </c>
      <c r="B20" s="2"/>
      <c r="C20" s="3"/>
      <c r="D20" s="69"/>
      <c r="E20" s="7"/>
      <c r="F20" s="4" t="str">
        <f t="shared" si="0"/>
        <v/>
      </c>
      <c r="G20" s="5"/>
      <c r="H20" s="5" t="str">
        <f t="shared" si="1"/>
        <v/>
      </c>
      <c r="I20" s="39"/>
      <c r="J20" s="8" t="s">
        <v>15</v>
      </c>
      <c r="K20" s="30" t="str">
        <f t="shared" si="2"/>
        <v/>
      </c>
      <c r="L20" s="6" t="s">
        <v>6</v>
      </c>
      <c r="M20" s="24"/>
      <c r="N20" s="31"/>
    </row>
    <row r="21" spans="1:15" ht="18.75" customHeight="1">
      <c r="A21" s="11">
        <v>18</v>
      </c>
      <c r="B21" s="2"/>
      <c r="C21" s="3"/>
      <c r="D21" s="69"/>
      <c r="E21" s="3"/>
      <c r="F21" s="4" t="str">
        <f t="shared" si="0"/>
        <v/>
      </c>
      <c r="G21" s="5"/>
      <c r="H21" s="5" t="str">
        <f t="shared" si="1"/>
        <v/>
      </c>
      <c r="I21" s="32"/>
      <c r="J21" s="6" t="s">
        <v>15</v>
      </c>
      <c r="K21" s="30" t="str">
        <f t="shared" si="2"/>
        <v/>
      </c>
      <c r="L21" s="6" t="s">
        <v>6</v>
      </c>
      <c r="M21" s="24"/>
      <c r="N21" s="24"/>
    </row>
    <row r="22" spans="1:15" ht="18.75" customHeight="1">
      <c r="A22" s="11">
        <v>19</v>
      </c>
      <c r="B22" s="2"/>
      <c r="C22" s="3"/>
      <c r="D22" s="69"/>
      <c r="E22" s="3"/>
      <c r="F22" s="4" t="str">
        <f t="shared" si="0"/>
        <v/>
      </c>
      <c r="G22" s="5"/>
      <c r="H22" s="5" t="str">
        <f t="shared" si="1"/>
        <v/>
      </c>
      <c r="I22" s="32"/>
      <c r="J22" s="6" t="s">
        <v>15</v>
      </c>
      <c r="K22" s="30" t="str">
        <f t="shared" si="2"/>
        <v/>
      </c>
      <c r="L22" s="6" t="s">
        <v>6</v>
      </c>
      <c r="M22" s="24"/>
      <c r="N22" s="24"/>
    </row>
    <row r="23" spans="1:15" ht="18.75" customHeight="1">
      <c r="A23" s="11">
        <v>20</v>
      </c>
      <c r="B23" s="2"/>
      <c r="C23" s="3"/>
      <c r="D23" s="69"/>
      <c r="E23" s="3"/>
      <c r="F23" s="4" t="str">
        <f t="shared" si="0"/>
        <v/>
      </c>
      <c r="G23" s="5"/>
      <c r="H23" s="5" t="str">
        <f t="shared" si="1"/>
        <v/>
      </c>
      <c r="I23" s="32"/>
      <c r="J23" s="6" t="s">
        <v>11</v>
      </c>
      <c r="K23" s="30" t="str">
        <f t="shared" si="2"/>
        <v/>
      </c>
      <c r="L23" s="6" t="s">
        <v>6</v>
      </c>
      <c r="M23" s="24"/>
      <c r="N23" s="24"/>
    </row>
    <row r="24" spans="1:15" ht="18.75" customHeight="1">
      <c r="A24" s="11">
        <v>21</v>
      </c>
      <c r="B24" s="2"/>
      <c r="C24" s="3"/>
      <c r="D24" s="69"/>
      <c r="E24" s="3"/>
      <c r="F24" s="4" t="str">
        <f t="shared" si="0"/>
        <v/>
      </c>
      <c r="G24" s="5"/>
      <c r="H24" s="5" t="str">
        <f t="shared" si="1"/>
        <v/>
      </c>
      <c r="I24" s="32"/>
      <c r="J24" s="8" t="s">
        <v>11</v>
      </c>
      <c r="K24" s="30" t="str">
        <f t="shared" si="2"/>
        <v/>
      </c>
      <c r="L24" s="6" t="s">
        <v>6</v>
      </c>
      <c r="M24" s="24"/>
      <c r="N24" s="24"/>
    </row>
    <row r="25" spans="1:15" ht="18.75" customHeight="1">
      <c r="A25" s="11">
        <v>22</v>
      </c>
      <c r="B25" s="2"/>
      <c r="C25" s="3"/>
      <c r="D25" s="69"/>
      <c r="E25" s="3"/>
      <c r="F25" s="4" t="str">
        <f t="shared" si="0"/>
        <v/>
      </c>
      <c r="G25" s="5"/>
      <c r="H25" s="5" t="str">
        <f t="shared" si="1"/>
        <v/>
      </c>
      <c r="I25" s="38"/>
      <c r="J25" s="6" t="s">
        <v>11</v>
      </c>
      <c r="K25" s="30" t="str">
        <f t="shared" si="2"/>
        <v/>
      </c>
      <c r="L25" s="6" t="s">
        <v>6</v>
      </c>
      <c r="M25" s="24"/>
      <c r="N25" s="24"/>
    </row>
    <row r="26" spans="1:15" ht="18.75" customHeight="1">
      <c r="A26" s="11">
        <v>23</v>
      </c>
      <c r="B26" s="2"/>
      <c r="C26" s="3"/>
      <c r="D26" s="69"/>
      <c r="E26" s="3"/>
      <c r="F26" s="4" t="str">
        <f t="shared" si="0"/>
        <v/>
      </c>
      <c r="G26" s="5"/>
      <c r="H26" s="5" t="str">
        <f t="shared" si="1"/>
        <v/>
      </c>
      <c r="I26" s="38"/>
      <c r="J26" s="6" t="s">
        <v>15</v>
      </c>
      <c r="K26" s="30" t="str">
        <f t="shared" si="2"/>
        <v/>
      </c>
      <c r="L26" s="6" t="s">
        <v>6</v>
      </c>
      <c r="M26" s="24"/>
      <c r="N26" s="24"/>
    </row>
    <row r="27" spans="1:15" ht="18.75" customHeight="1">
      <c r="A27" s="11">
        <v>24</v>
      </c>
      <c r="B27" s="2"/>
      <c r="C27" s="3"/>
      <c r="D27" s="69"/>
      <c r="E27" s="3"/>
      <c r="F27" s="4" t="str">
        <f t="shared" si="0"/>
        <v/>
      </c>
      <c r="G27" s="5"/>
      <c r="H27" s="5" t="str">
        <f t="shared" si="1"/>
        <v/>
      </c>
      <c r="I27" s="32"/>
      <c r="J27" s="8" t="s">
        <v>15</v>
      </c>
      <c r="K27" s="30" t="str">
        <f t="shared" si="2"/>
        <v/>
      </c>
      <c r="L27" s="6" t="s">
        <v>6</v>
      </c>
      <c r="M27" s="24"/>
      <c r="N27" s="24"/>
      <c r="O27" s="56"/>
    </row>
    <row r="28" spans="1:15" ht="18.75" customHeight="1">
      <c r="A28" s="11">
        <v>25</v>
      </c>
      <c r="B28" s="2"/>
      <c r="C28" s="3"/>
      <c r="D28" s="69"/>
      <c r="E28" s="3"/>
      <c r="F28" s="4" t="str">
        <f t="shared" si="0"/>
        <v/>
      </c>
      <c r="G28" s="5"/>
      <c r="H28" s="5" t="str">
        <f t="shared" si="1"/>
        <v/>
      </c>
      <c r="I28" s="32"/>
      <c r="J28" s="6" t="s">
        <v>15</v>
      </c>
      <c r="K28" s="30" t="str">
        <f t="shared" si="2"/>
        <v/>
      </c>
      <c r="L28" s="6" t="s">
        <v>6</v>
      </c>
      <c r="M28" s="24"/>
      <c r="N28" s="24"/>
    </row>
    <row r="29" spans="1:15" ht="18.75" customHeight="1">
      <c r="A29" s="11">
        <v>26</v>
      </c>
      <c r="B29" s="2"/>
      <c r="C29" s="3"/>
      <c r="D29" s="69"/>
      <c r="E29" s="3"/>
      <c r="F29" s="4" t="str">
        <f t="shared" si="0"/>
        <v/>
      </c>
      <c r="G29" s="5"/>
      <c r="H29" s="5" t="str">
        <f t="shared" si="1"/>
        <v/>
      </c>
      <c r="I29" s="32"/>
      <c r="J29" s="6" t="s">
        <v>15</v>
      </c>
      <c r="K29" s="30" t="str">
        <f t="shared" si="2"/>
        <v/>
      </c>
      <c r="L29" s="6" t="s">
        <v>6</v>
      </c>
      <c r="M29" s="24"/>
      <c r="N29" s="24"/>
    </row>
    <row r="30" spans="1:15" ht="18.75" customHeight="1">
      <c r="A30" s="11">
        <v>27</v>
      </c>
      <c r="B30" s="2"/>
      <c r="C30" s="3"/>
      <c r="D30" s="69"/>
      <c r="E30" s="3"/>
      <c r="F30" s="4" t="str">
        <f t="shared" si="0"/>
        <v/>
      </c>
      <c r="G30" s="5"/>
      <c r="H30" s="5" t="str">
        <f t="shared" si="1"/>
        <v/>
      </c>
      <c r="I30" s="32"/>
      <c r="J30" s="8" t="s">
        <v>15</v>
      </c>
      <c r="K30" s="30" t="str">
        <f t="shared" si="2"/>
        <v/>
      </c>
      <c r="L30" s="6" t="s">
        <v>6</v>
      </c>
      <c r="M30" s="24"/>
      <c r="N30" s="24"/>
    </row>
    <row r="31" spans="1:15" ht="18.75" customHeight="1">
      <c r="A31" s="11">
        <v>28</v>
      </c>
      <c r="B31" s="2"/>
      <c r="C31" s="3"/>
      <c r="D31" s="69"/>
      <c r="E31" s="7"/>
      <c r="F31" s="4" t="str">
        <f t="shared" si="0"/>
        <v/>
      </c>
      <c r="G31" s="5"/>
      <c r="H31" s="5" t="str">
        <f t="shared" si="1"/>
        <v/>
      </c>
      <c r="I31" s="38"/>
      <c r="J31" s="6" t="s">
        <v>15</v>
      </c>
      <c r="K31" s="30" t="str">
        <f t="shared" si="2"/>
        <v/>
      </c>
      <c r="L31" s="6" t="s">
        <v>6</v>
      </c>
      <c r="M31" s="24"/>
      <c r="N31" s="24"/>
    </row>
    <row r="32" spans="1:15" ht="18.75" customHeight="1">
      <c r="A32" s="11">
        <v>29</v>
      </c>
      <c r="B32" s="2"/>
      <c r="C32" s="3"/>
      <c r="D32" s="69"/>
      <c r="E32" s="3"/>
      <c r="F32" s="4" t="str">
        <f t="shared" si="0"/>
        <v/>
      </c>
      <c r="G32" s="5"/>
      <c r="H32" s="5" t="str">
        <f t="shared" si="1"/>
        <v/>
      </c>
      <c r="I32" s="32"/>
      <c r="J32" s="6" t="s">
        <v>15</v>
      </c>
      <c r="K32" s="30" t="str">
        <f t="shared" si="2"/>
        <v/>
      </c>
      <c r="L32" s="6" t="s">
        <v>6</v>
      </c>
      <c r="M32" s="24"/>
      <c r="N32" s="24"/>
    </row>
    <row r="33" spans="1:15" ht="18.75" customHeight="1">
      <c r="A33" s="11">
        <v>30</v>
      </c>
      <c r="B33" s="2"/>
      <c r="C33" s="3"/>
      <c r="D33" s="69"/>
      <c r="E33" s="3"/>
      <c r="F33" s="4" t="str">
        <f t="shared" si="0"/>
        <v/>
      </c>
      <c r="G33" s="5"/>
      <c r="H33" s="5" t="str">
        <f t="shared" si="1"/>
        <v/>
      </c>
      <c r="I33" s="32"/>
      <c r="J33" s="6" t="s">
        <v>15</v>
      </c>
      <c r="K33" s="30" t="str">
        <f t="shared" si="2"/>
        <v/>
      </c>
      <c r="L33" s="6" t="s">
        <v>6</v>
      </c>
      <c r="M33" s="24"/>
      <c r="N33" s="24"/>
    </row>
    <row r="34" spans="1:15" ht="18.75" customHeight="1">
      <c r="A34" s="11">
        <v>31</v>
      </c>
      <c r="B34" s="2"/>
      <c r="C34" s="3"/>
      <c r="D34" s="69"/>
      <c r="E34" s="3"/>
      <c r="F34" s="4" t="str">
        <f t="shared" si="0"/>
        <v/>
      </c>
      <c r="G34" s="5"/>
      <c r="H34" s="5" t="str">
        <f t="shared" si="1"/>
        <v/>
      </c>
      <c r="I34" s="39"/>
      <c r="J34" s="6" t="s">
        <v>15</v>
      </c>
      <c r="K34" s="30" t="str">
        <f t="shared" si="2"/>
        <v/>
      </c>
      <c r="L34" s="6" t="s">
        <v>6</v>
      </c>
      <c r="M34" s="24"/>
      <c r="N34" s="24"/>
      <c r="O34" s="56"/>
    </row>
    <row r="35" spans="1:15" ht="18.75" customHeight="1">
      <c r="A35" s="11">
        <v>32</v>
      </c>
      <c r="B35" s="2"/>
      <c r="C35" s="3"/>
      <c r="D35" s="69"/>
      <c r="E35" s="7"/>
      <c r="F35" s="4" t="str">
        <f t="shared" si="0"/>
        <v/>
      </c>
      <c r="G35" s="5"/>
      <c r="H35" s="5" t="str">
        <f t="shared" si="1"/>
        <v/>
      </c>
      <c r="I35" s="32"/>
      <c r="J35" s="6" t="s">
        <v>15</v>
      </c>
      <c r="K35" s="30" t="str">
        <f t="shared" si="2"/>
        <v/>
      </c>
      <c r="L35" s="6" t="s">
        <v>6</v>
      </c>
      <c r="M35" s="24"/>
      <c r="N35" s="24"/>
    </row>
    <row r="36" spans="1:15" ht="18.75" customHeight="1">
      <c r="A36" s="11">
        <v>33</v>
      </c>
      <c r="B36" s="2"/>
      <c r="C36" s="3"/>
      <c r="D36" s="69"/>
      <c r="E36" s="3"/>
      <c r="F36" s="4" t="str">
        <f t="shared" si="0"/>
        <v/>
      </c>
      <c r="G36" s="5"/>
      <c r="H36" s="5" t="str">
        <f t="shared" si="1"/>
        <v/>
      </c>
      <c r="I36" s="40"/>
      <c r="J36" s="6" t="s">
        <v>15</v>
      </c>
      <c r="K36" s="30" t="str">
        <f t="shared" si="2"/>
        <v/>
      </c>
      <c r="L36" s="6" t="s">
        <v>6</v>
      </c>
      <c r="M36" s="24"/>
      <c r="N36" s="24"/>
    </row>
    <row r="37" spans="1:15" ht="18.75" customHeight="1">
      <c r="A37" s="11">
        <v>34</v>
      </c>
      <c r="B37" s="2"/>
      <c r="C37" s="3"/>
      <c r="D37" s="69"/>
      <c r="E37" s="3"/>
      <c r="F37" s="4" t="str">
        <f t="shared" si="0"/>
        <v/>
      </c>
      <c r="G37" s="5"/>
      <c r="H37" s="5" t="str">
        <f t="shared" si="1"/>
        <v/>
      </c>
      <c r="I37" s="32"/>
      <c r="J37" s="6" t="s">
        <v>15</v>
      </c>
      <c r="K37" s="30" t="str">
        <f t="shared" si="2"/>
        <v/>
      </c>
      <c r="L37" s="6" t="s">
        <v>6</v>
      </c>
      <c r="M37" s="24"/>
      <c r="N37" s="24"/>
    </row>
    <row r="38" spans="1:15" ht="18.75" customHeight="1">
      <c r="A38" s="11">
        <v>35</v>
      </c>
      <c r="B38" s="2"/>
      <c r="C38" s="3"/>
      <c r="D38" s="69"/>
      <c r="E38" s="7"/>
      <c r="F38" s="4" t="str">
        <f t="shared" si="0"/>
        <v/>
      </c>
      <c r="G38" s="5"/>
      <c r="H38" s="5" t="str">
        <f t="shared" si="1"/>
        <v/>
      </c>
      <c r="I38" s="39"/>
      <c r="J38" s="6" t="s">
        <v>15</v>
      </c>
      <c r="K38" s="30" t="str">
        <f t="shared" si="2"/>
        <v/>
      </c>
      <c r="L38" s="6" t="s">
        <v>6</v>
      </c>
      <c r="M38" s="24"/>
      <c r="N38" s="24"/>
    </row>
    <row r="39" spans="1:15" ht="18.75" customHeight="1">
      <c r="A39" s="11">
        <v>36</v>
      </c>
      <c r="B39" s="2"/>
      <c r="C39" s="3"/>
      <c r="D39" s="69"/>
      <c r="E39" s="3"/>
      <c r="F39" s="4" t="str">
        <f t="shared" si="0"/>
        <v/>
      </c>
      <c r="G39" s="5"/>
      <c r="H39" s="5" t="str">
        <f t="shared" si="1"/>
        <v/>
      </c>
      <c r="I39" s="32"/>
      <c r="J39" s="6" t="s">
        <v>15</v>
      </c>
      <c r="K39" s="30" t="str">
        <f t="shared" si="2"/>
        <v/>
      </c>
      <c r="L39" s="6" t="s">
        <v>6</v>
      </c>
      <c r="M39" s="24"/>
      <c r="N39" s="24"/>
    </row>
    <row r="40" spans="1:15" ht="18.75" customHeight="1">
      <c r="A40" s="11">
        <v>37</v>
      </c>
      <c r="B40" s="2"/>
      <c r="C40" s="3"/>
      <c r="D40" s="69"/>
      <c r="E40" s="3"/>
      <c r="F40" s="4" t="str">
        <f t="shared" si="0"/>
        <v/>
      </c>
      <c r="G40" s="5"/>
      <c r="H40" s="5" t="str">
        <f t="shared" si="1"/>
        <v/>
      </c>
      <c r="I40" s="32"/>
      <c r="J40" s="6" t="s">
        <v>15</v>
      </c>
      <c r="K40" s="30" t="str">
        <f t="shared" si="2"/>
        <v/>
      </c>
      <c r="L40" s="6" t="s">
        <v>6</v>
      </c>
      <c r="M40" s="24"/>
      <c r="N40" s="24"/>
    </row>
    <row r="41" spans="1:15" ht="18.75" customHeight="1">
      <c r="A41" s="11">
        <v>38</v>
      </c>
      <c r="B41" s="2"/>
      <c r="C41" s="3"/>
      <c r="D41" s="69"/>
      <c r="E41" s="3"/>
      <c r="F41" s="4" t="str">
        <f t="shared" si="0"/>
        <v/>
      </c>
      <c r="G41" s="5"/>
      <c r="H41" s="5" t="str">
        <f t="shared" si="1"/>
        <v/>
      </c>
      <c r="I41" s="32"/>
      <c r="J41" s="6" t="s">
        <v>15</v>
      </c>
      <c r="K41" s="34" t="str">
        <f t="shared" si="2"/>
        <v/>
      </c>
      <c r="L41" s="6" t="s">
        <v>6</v>
      </c>
      <c r="M41" s="24"/>
      <c r="N41" s="24"/>
    </row>
    <row r="42" spans="1:15" ht="18.75" customHeight="1">
      <c r="A42" s="11">
        <v>39</v>
      </c>
      <c r="B42" s="2"/>
      <c r="C42" s="3"/>
      <c r="D42" s="69"/>
      <c r="E42" s="3"/>
      <c r="F42" s="4"/>
      <c r="G42" s="5"/>
      <c r="H42" s="5"/>
      <c r="I42" s="32"/>
      <c r="J42" s="6" t="s">
        <v>15</v>
      </c>
      <c r="K42" s="34"/>
      <c r="L42" s="6" t="s">
        <v>6</v>
      </c>
      <c r="M42" s="24"/>
      <c r="N42" s="24"/>
    </row>
    <row r="43" spans="1:15" ht="18.75" customHeight="1" thickBot="1">
      <c r="A43" s="47"/>
      <c r="B43" s="48"/>
      <c r="C43" s="49"/>
      <c r="D43" s="70"/>
      <c r="E43" s="49"/>
      <c r="F43" s="50"/>
      <c r="G43" s="51"/>
      <c r="H43" s="51"/>
      <c r="I43" s="52"/>
      <c r="J43" s="53"/>
      <c r="K43" s="54"/>
      <c r="L43" s="53"/>
      <c r="M43" s="62" t="s">
        <v>21</v>
      </c>
      <c r="N43" s="62" t="s">
        <v>22</v>
      </c>
    </row>
    <row r="44" spans="1:15" ht="18.75" customHeight="1" thickTop="1">
      <c r="B44" s="41"/>
      <c r="C44" s="41"/>
      <c r="D44" s="42"/>
      <c r="E44" s="41"/>
      <c r="F44" s="41" t="str">
        <f>IF(E44="","",E44-INT(E44/7)*7)</f>
        <v/>
      </c>
      <c r="G44" s="43"/>
      <c r="H44" s="43" t="str">
        <f>IF(G44="","",G44)</f>
        <v/>
      </c>
      <c r="I44" s="57">
        <f>SUM(I4:I43)</f>
        <v>2320</v>
      </c>
      <c r="J44" s="8" t="s">
        <v>15</v>
      </c>
      <c r="K44" s="44">
        <f>SUM(K4:K43)</f>
        <v>464</v>
      </c>
      <c r="L44" s="8" t="s">
        <v>6</v>
      </c>
      <c r="M44" s="45">
        <f>SUM(K44)-N44</f>
        <v>0</v>
      </c>
      <c r="N44" s="61">
        <f>SUMIF(M4:M42,"",K4:K43)</f>
        <v>464</v>
      </c>
    </row>
    <row r="45" spans="1:15" ht="20.25" customHeight="1">
      <c r="B45" s="78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5" ht="21" customHeight="1">
      <c r="B46" s="79" t="s">
        <v>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5" ht="27" customHeight="1">
      <c r="A47" s="11"/>
      <c r="B47" s="26" t="s">
        <v>1</v>
      </c>
      <c r="C47" s="80" t="s">
        <v>2</v>
      </c>
      <c r="D47" s="81"/>
      <c r="E47" s="82" t="s">
        <v>3</v>
      </c>
      <c r="F47" s="83"/>
      <c r="G47" s="22" t="s">
        <v>4</v>
      </c>
      <c r="H47" s="22" t="s">
        <v>7</v>
      </c>
      <c r="I47" s="84" t="s">
        <v>8</v>
      </c>
      <c r="J47" s="85"/>
      <c r="K47" s="84" t="s">
        <v>5</v>
      </c>
      <c r="L47" s="84"/>
      <c r="M47" s="27" t="s">
        <v>10</v>
      </c>
      <c r="N47" s="28" t="s">
        <v>18</v>
      </c>
    </row>
    <row r="48" spans="1:15" ht="18.75" customHeight="1">
      <c r="A48" s="11">
        <v>41</v>
      </c>
      <c r="B48" s="2"/>
      <c r="C48" s="3"/>
      <c r="D48" s="69"/>
      <c r="E48" s="3"/>
      <c r="F48" s="4" t="str">
        <f t="shared" ref="F48:F85" si="3">IF(E48="","",E48-INT(E48/7)*7)</f>
        <v/>
      </c>
      <c r="G48" s="5"/>
      <c r="H48" s="5" t="str">
        <f t="shared" ref="H48:H85" si="4">IF(G48="","",G48)</f>
        <v/>
      </c>
      <c r="I48" s="29"/>
      <c r="J48" s="6" t="s">
        <v>15</v>
      </c>
      <c r="K48" s="30" t="str">
        <f t="shared" ref="K48:K85" si="5">IF(I48&gt;0,I48*0.2,"")</f>
        <v/>
      </c>
      <c r="L48" s="6" t="s">
        <v>6</v>
      </c>
      <c r="M48" s="24"/>
      <c r="N48" s="31"/>
    </row>
    <row r="49" spans="1:14" ht="18.75" customHeight="1">
      <c r="A49" s="11">
        <v>42</v>
      </c>
      <c r="B49" s="2"/>
      <c r="C49" s="3"/>
      <c r="D49" s="69"/>
      <c r="E49" s="7"/>
      <c r="F49" s="4" t="str">
        <f t="shared" si="3"/>
        <v/>
      </c>
      <c r="G49" s="5"/>
      <c r="H49" s="5" t="str">
        <f t="shared" si="4"/>
        <v/>
      </c>
      <c r="I49" s="32"/>
      <c r="J49" s="33" t="s">
        <v>15</v>
      </c>
      <c r="K49" s="34" t="str">
        <f t="shared" si="5"/>
        <v/>
      </c>
      <c r="L49" s="6" t="s">
        <v>6</v>
      </c>
      <c r="M49" s="24"/>
      <c r="N49" s="24"/>
    </row>
    <row r="50" spans="1:14" ht="18.75" customHeight="1">
      <c r="A50" s="11">
        <v>43</v>
      </c>
      <c r="B50" s="2"/>
      <c r="C50" s="3"/>
      <c r="D50" s="69"/>
      <c r="E50" s="3"/>
      <c r="F50" s="4" t="str">
        <f t="shared" si="3"/>
        <v/>
      </c>
      <c r="G50" s="5"/>
      <c r="H50" s="5" t="str">
        <f t="shared" si="4"/>
        <v/>
      </c>
      <c r="I50" s="35"/>
      <c r="J50" s="8" t="s">
        <v>15</v>
      </c>
      <c r="K50" s="36" t="str">
        <f t="shared" si="5"/>
        <v/>
      </c>
      <c r="L50" s="9" t="s">
        <v>6</v>
      </c>
      <c r="M50" s="37"/>
      <c r="N50" s="24"/>
    </row>
    <row r="51" spans="1:14" ht="18.75" customHeight="1">
      <c r="A51" s="11">
        <v>44</v>
      </c>
      <c r="B51" s="2"/>
      <c r="C51" s="3"/>
      <c r="D51" s="69"/>
      <c r="E51" s="3"/>
      <c r="F51" s="4" t="str">
        <f t="shared" si="3"/>
        <v/>
      </c>
      <c r="G51" s="5"/>
      <c r="H51" s="5" t="str">
        <f t="shared" si="4"/>
        <v/>
      </c>
      <c r="I51" s="32"/>
      <c r="J51" s="6" t="s">
        <v>15</v>
      </c>
      <c r="K51" s="30" t="str">
        <f t="shared" si="5"/>
        <v/>
      </c>
      <c r="L51" s="6" t="s">
        <v>6</v>
      </c>
      <c r="M51" s="24"/>
      <c r="N51" s="24"/>
    </row>
    <row r="52" spans="1:14" ht="18.75" customHeight="1">
      <c r="A52" s="11">
        <v>45</v>
      </c>
      <c r="B52" s="2"/>
      <c r="C52" s="3"/>
      <c r="D52" s="69"/>
      <c r="E52" s="3"/>
      <c r="F52" s="4" t="str">
        <f t="shared" si="3"/>
        <v/>
      </c>
      <c r="G52" s="5"/>
      <c r="H52" s="5" t="str">
        <f t="shared" si="4"/>
        <v/>
      </c>
      <c r="I52" s="32"/>
      <c r="J52" s="6" t="s">
        <v>15</v>
      </c>
      <c r="K52" s="30" t="str">
        <f t="shared" si="5"/>
        <v/>
      </c>
      <c r="L52" s="6" t="s">
        <v>6</v>
      </c>
      <c r="M52" s="24"/>
      <c r="N52" s="24"/>
    </row>
    <row r="53" spans="1:14" ht="18.75" customHeight="1">
      <c r="A53" s="11">
        <v>46</v>
      </c>
      <c r="B53" s="2"/>
      <c r="C53" s="3"/>
      <c r="D53" s="69"/>
      <c r="E53" s="3"/>
      <c r="F53" s="4" t="str">
        <f t="shared" si="3"/>
        <v/>
      </c>
      <c r="G53" s="5"/>
      <c r="H53" s="5" t="str">
        <f t="shared" si="4"/>
        <v/>
      </c>
      <c r="I53" s="32"/>
      <c r="J53" s="6" t="s">
        <v>15</v>
      </c>
      <c r="K53" s="30" t="str">
        <f t="shared" si="5"/>
        <v/>
      </c>
      <c r="L53" s="6" t="s">
        <v>6</v>
      </c>
      <c r="M53" s="24"/>
      <c r="N53" s="24"/>
    </row>
    <row r="54" spans="1:14" ht="18.75" customHeight="1">
      <c r="A54" s="11">
        <v>47</v>
      </c>
      <c r="B54" s="2"/>
      <c r="C54" s="3"/>
      <c r="D54" s="69"/>
      <c r="E54" s="3"/>
      <c r="F54" s="4" t="str">
        <f t="shared" si="3"/>
        <v/>
      </c>
      <c r="G54" s="5"/>
      <c r="H54" s="5" t="str">
        <f t="shared" si="4"/>
        <v/>
      </c>
      <c r="I54" s="32"/>
      <c r="J54" s="6" t="s">
        <v>15</v>
      </c>
      <c r="K54" s="30" t="str">
        <f t="shared" si="5"/>
        <v/>
      </c>
      <c r="L54" s="6" t="s">
        <v>6</v>
      </c>
      <c r="M54" s="24"/>
      <c r="N54" s="24"/>
    </row>
    <row r="55" spans="1:14" ht="18.75" customHeight="1">
      <c r="A55" s="11">
        <v>48</v>
      </c>
      <c r="B55" s="2"/>
      <c r="C55" s="3"/>
      <c r="D55" s="69"/>
      <c r="E55" s="3"/>
      <c r="F55" s="4" t="str">
        <f t="shared" si="3"/>
        <v/>
      </c>
      <c r="G55" s="5"/>
      <c r="H55" s="5" t="str">
        <f t="shared" si="4"/>
        <v/>
      </c>
      <c r="I55" s="38"/>
      <c r="J55" s="8" t="s">
        <v>15</v>
      </c>
      <c r="K55" s="30" t="str">
        <f t="shared" si="5"/>
        <v/>
      </c>
      <c r="L55" s="9" t="s">
        <v>6</v>
      </c>
      <c r="M55" s="24"/>
      <c r="N55" s="24"/>
    </row>
    <row r="56" spans="1:14" ht="18.75" customHeight="1">
      <c r="A56" s="11">
        <v>49</v>
      </c>
      <c r="B56" s="2"/>
      <c r="C56" s="3"/>
      <c r="D56" s="69"/>
      <c r="E56" s="3"/>
      <c r="F56" s="4" t="str">
        <f t="shared" si="3"/>
        <v/>
      </c>
      <c r="G56" s="5"/>
      <c r="H56" s="5" t="str">
        <f t="shared" si="4"/>
        <v/>
      </c>
      <c r="I56" s="32"/>
      <c r="J56" s="6" t="s">
        <v>15</v>
      </c>
      <c r="K56" s="30" t="str">
        <f t="shared" si="5"/>
        <v/>
      </c>
      <c r="L56" s="6" t="s">
        <v>6</v>
      </c>
      <c r="M56" s="24"/>
      <c r="N56" s="24"/>
    </row>
    <row r="57" spans="1:14" ht="18.75" customHeight="1">
      <c r="A57" s="11">
        <v>50</v>
      </c>
      <c r="B57" s="2"/>
      <c r="C57" s="3"/>
      <c r="D57" s="69"/>
      <c r="E57" s="3"/>
      <c r="F57" s="4" t="str">
        <f t="shared" si="3"/>
        <v/>
      </c>
      <c r="G57" s="5"/>
      <c r="H57" s="5" t="str">
        <f t="shared" si="4"/>
        <v/>
      </c>
      <c r="I57" s="38"/>
      <c r="J57" s="8" t="s">
        <v>15</v>
      </c>
      <c r="K57" s="30" t="str">
        <f t="shared" si="5"/>
        <v/>
      </c>
      <c r="L57" s="9" t="s">
        <v>6</v>
      </c>
      <c r="M57" s="24"/>
      <c r="N57" s="24"/>
    </row>
    <row r="58" spans="1:14" ht="18.75" customHeight="1">
      <c r="A58" s="11">
        <v>51</v>
      </c>
      <c r="B58" s="2"/>
      <c r="C58" s="3"/>
      <c r="D58" s="69"/>
      <c r="E58" s="3"/>
      <c r="F58" s="4" t="str">
        <f t="shared" si="3"/>
        <v/>
      </c>
      <c r="G58" s="5"/>
      <c r="H58" s="5" t="str">
        <f t="shared" si="4"/>
        <v/>
      </c>
      <c r="I58" s="32"/>
      <c r="J58" s="6" t="s">
        <v>15</v>
      </c>
      <c r="K58" s="30" t="str">
        <f t="shared" si="5"/>
        <v/>
      </c>
      <c r="L58" s="6" t="s">
        <v>6</v>
      </c>
      <c r="M58" s="24"/>
      <c r="N58" s="24"/>
    </row>
    <row r="59" spans="1:14" ht="18.75" customHeight="1">
      <c r="A59" s="11">
        <v>52</v>
      </c>
      <c r="B59" s="2"/>
      <c r="C59" s="3"/>
      <c r="D59" s="69"/>
      <c r="E59" s="3"/>
      <c r="F59" s="4" t="str">
        <f t="shared" si="3"/>
        <v/>
      </c>
      <c r="G59" s="5"/>
      <c r="H59" s="5" t="str">
        <f t="shared" si="4"/>
        <v/>
      </c>
      <c r="I59" s="39"/>
      <c r="J59" s="8" t="s">
        <v>15</v>
      </c>
      <c r="K59" s="30" t="str">
        <f t="shared" si="5"/>
        <v/>
      </c>
      <c r="L59" s="6" t="s">
        <v>6</v>
      </c>
      <c r="M59" s="24"/>
      <c r="N59" s="24"/>
    </row>
    <row r="60" spans="1:14" ht="18.75" customHeight="1">
      <c r="A60" s="11">
        <v>53</v>
      </c>
      <c r="B60" s="2"/>
      <c r="C60" s="3"/>
      <c r="D60" s="69"/>
      <c r="E60" s="3"/>
      <c r="F60" s="4" t="str">
        <f t="shared" si="3"/>
        <v/>
      </c>
      <c r="G60" s="5"/>
      <c r="H60" s="5" t="str">
        <f t="shared" si="4"/>
        <v/>
      </c>
      <c r="I60" s="32"/>
      <c r="J60" s="6" t="s">
        <v>15</v>
      </c>
      <c r="K60" s="30" t="str">
        <f t="shared" si="5"/>
        <v/>
      </c>
      <c r="L60" s="6" t="s">
        <v>6</v>
      </c>
      <c r="M60" s="24"/>
      <c r="N60" s="24"/>
    </row>
    <row r="61" spans="1:14" ht="18.75" customHeight="1">
      <c r="A61" s="11">
        <v>54</v>
      </c>
      <c r="B61" s="2"/>
      <c r="C61" s="3"/>
      <c r="D61" s="69"/>
      <c r="E61" s="3"/>
      <c r="F61" s="4" t="str">
        <f t="shared" si="3"/>
        <v/>
      </c>
      <c r="G61" s="5"/>
      <c r="H61" s="5" t="str">
        <f t="shared" si="4"/>
        <v/>
      </c>
      <c r="I61" s="32"/>
      <c r="J61" s="6" t="s">
        <v>15</v>
      </c>
      <c r="K61" s="30" t="str">
        <f t="shared" si="5"/>
        <v/>
      </c>
      <c r="L61" s="6" t="s">
        <v>6</v>
      </c>
      <c r="M61" s="24"/>
      <c r="N61" s="24"/>
    </row>
    <row r="62" spans="1:14" ht="18.75" customHeight="1">
      <c r="A62" s="11">
        <v>55</v>
      </c>
      <c r="B62" s="2"/>
      <c r="C62" s="3"/>
      <c r="D62" s="69"/>
      <c r="E62" s="3"/>
      <c r="F62" s="4" t="str">
        <f t="shared" si="3"/>
        <v/>
      </c>
      <c r="G62" s="5"/>
      <c r="H62" s="5" t="str">
        <f t="shared" si="4"/>
        <v/>
      </c>
      <c r="I62" s="38"/>
      <c r="J62" s="6" t="s">
        <v>15</v>
      </c>
      <c r="K62" s="30" t="str">
        <f t="shared" si="5"/>
        <v/>
      </c>
      <c r="L62" s="9" t="s">
        <v>6</v>
      </c>
      <c r="M62" s="24"/>
      <c r="N62" s="24"/>
    </row>
    <row r="63" spans="1:14" ht="18.75" customHeight="1">
      <c r="A63" s="11">
        <v>56</v>
      </c>
      <c r="B63" s="2"/>
      <c r="C63" s="3"/>
      <c r="D63" s="69"/>
      <c r="E63" s="3"/>
      <c r="F63" s="4" t="str">
        <f t="shared" si="3"/>
        <v/>
      </c>
      <c r="G63" s="5"/>
      <c r="H63" s="5" t="str">
        <f t="shared" si="4"/>
        <v/>
      </c>
      <c r="I63" s="32"/>
      <c r="J63" s="6" t="s">
        <v>15</v>
      </c>
      <c r="K63" s="30" t="str">
        <f t="shared" si="5"/>
        <v/>
      </c>
      <c r="L63" s="6" t="s">
        <v>6</v>
      </c>
      <c r="M63" s="24"/>
      <c r="N63" s="24"/>
    </row>
    <row r="64" spans="1:14" ht="18.75" customHeight="1">
      <c r="A64" s="11">
        <v>57</v>
      </c>
      <c r="B64" s="2"/>
      <c r="C64" s="3"/>
      <c r="D64" s="69"/>
      <c r="E64" s="7"/>
      <c r="F64" s="4" t="str">
        <f t="shared" si="3"/>
        <v/>
      </c>
      <c r="G64" s="5"/>
      <c r="H64" s="5" t="str">
        <f t="shared" si="4"/>
        <v/>
      </c>
      <c r="I64" s="39"/>
      <c r="J64" s="8" t="s">
        <v>15</v>
      </c>
      <c r="K64" s="30" t="str">
        <f t="shared" si="5"/>
        <v/>
      </c>
      <c r="L64" s="6" t="s">
        <v>6</v>
      </c>
      <c r="M64" s="24"/>
      <c r="N64" s="31"/>
    </row>
    <row r="65" spans="1:14" ht="18.75" customHeight="1">
      <c r="A65" s="11">
        <v>58</v>
      </c>
      <c r="B65" s="2"/>
      <c r="C65" s="3"/>
      <c r="D65" s="69"/>
      <c r="E65" s="3"/>
      <c r="F65" s="4" t="str">
        <f t="shared" si="3"/>
        <v/>
      </c>
      <c r="G65" s="5"/>
      <c r="H65" s="5" t="str">
        <f t="shared" si="4"/>
        <v/>
      </c>
      <c r="I65" s="32"/>
      <c r="J65" s="6" t="s">
        <v>15</v>
      </c>
      <c r="K65" s="30" t="str">
        <f t="shared" si="5"/>
        <v/>
      </c>
      <c r="L65" s="6" t="s">
        <v>6</v>
      </c>
      <c r="M65" s="24"/>
      <c r="N65" s="24"/>
    </row>
    <row r="66" spans="1:14" ht="18.75" customHeight="1">
      <c r="A66" s="11">
        <v>59</v>
      </c>
      <c r="B66" s="2"/>
      <c r="C66" s="3"/>
      <c r="D66" s="69"/>
      <c r="E66" s="3"/>
      <c r="F66" s="4" t="str">
        <f t="shared" si="3"/>
        <v/>
      </c>
      <c r="G66" s="5"/>
      <c r="H66" s="5" t="str">
        <f t="shared" si="4"/>
        <v/>
      </c>
      <c r="I66" s="32"/>
      <c r="J66" s="6" t="s">
        <v>15</v>
      </c>
      <c r="K66" s="30" t="str">
        <f t="shared" si="5"/>
        <v/>
      </c>
      <c r="L66" s="6" t="s">
        <v>6</v>
      </c>
      <c r="M66" s="24"/>
      <c r="N66" s="24"/>
    </row>
    <row r="67" spans="1:14" ht="18.75" customHeight="1">
      <c r="A67" s="11">
        <v>60</v>
      </c>
      <c r="B67" s="2"/>
      <c r="C67" s="3"/>
      <c r="D67" s="69"/>
      <c r="E67" s="3"/>
      <c r="F67" s="4" t="str">
        <f t="shared" si="3"/>
        <v/>
      </c>
      <c r="G67" s="5"/>
      <c r="H67" s="5" t="str">
        <f t="shared" si="4"/>
        <v/>
      </c>
      <c r="I67" s="32"/>
      <c r="J67" s="6" t="s">
        <v>11</v>
      </c>
      <c r="K67" s="30" t="str">
        <f t="shared" si="5"/>
        <v/>
      </c>
      <c r="L67" s="6" t="s">
        <v>6</v>
      </c>
      <c r="M67" s="24"/>
      <c r="N67" s="24"/>
    </row>
    <row r="68" spans="1:14" ht="18.75" customHeight="1">
      <c r="A68" s="11">
        <v>61</v>
      </c>
      <c r="B68" s="2"/>
      <c r="C68" s="3"/>
      <c r="D68" s="69"/>
      <c r="E68" s="3"/>
      <c r="F68" s="4" t="str">
        <f t="shared" si="3"/>
        <v/>
      </c>
      <c r="G68" s="5"/>
      <c r="H68" s="5" t="str">
        <f t="shared" si="4"/>
        <v/>
      </c>
      <c r="I68" s="32"/>
      <c r="J68" s="8" t="s">
        <v>11</v>
      </c>
      <c r="K68" s="30" t="str">
        <f t="shared" si="5"/>
        <v/>
      </c>
      <c r="L68" s="6" t="s">
        <v>6</v>
      </c>
      <c r="M68" s="24"/>
      <c r="N68" s="24"/>
    </row>
    <row r="69" spans="1:14" ht="18.75" customHeight="1">
      <c r="A69" s="11">
        <v>62</v>
      </c>
      <c r="B69" s="2"/>
      <c r="C69" s="3"/>
      <c r="D69" s="69"/>
      <c r="E69" s="3"/>
      <c r="F69" s="4" t="str">
        <f t="shared" si="3"/>
        <v/>
      </c>
      <c r="G69" s="5"/>
      <c r="H69" s="5" t="str">
        <f t="shared" si="4"/>
        <v/>
      </c>
      <c r="I69" s="38"/>
      <c r="J69" s="6" t="s">
        <v>11</v>
      </c>
      <c r="K69" s="30" t="str">
        <f t="shared" si="5"/>
        <v/>
      </c>
      <c r="L69" s="6" t="s">
        <v>6</v>
      </c>
      <c r="M69" s="24"/>
      <c r="N69" s="24"/>
    </row>
    <row r="70" spans="1:14" ht="18.75" customHeight="1">
      <c r="A70" s="11">
        <v>63</v>
      </c>
      <c r="B70" s="2"/>
      <c r="C70" s="3"/>
      <c r="D70" s="69"/>
      <c r="E70" s="3"/>
      <c r="F70" s="4" t="str">
        <f t="shared" si="3"/>
        <v/>
      </c>
      <c r="G70" s="5"/>
      <c r="H70" s="5" t="str">
        <f t="shared" si="4"/>
        <v/>
      </c>
      <c r="I70" s="38"/>
      <c r="J70" s="6" t="s">
        <v>15</v>
      </c>
      <c r="K70" s="30" t="str">
        <f t="shared" si="5"/>
        <v/>
      </c>
      <c r="L70" s="6" t="s">
        <v>6</v>
      </c>
      <c r="M70" s="24"/>
      <c r="N70" s="24"/>
    </row>
    <row r="71" spans="1:14" ht="18.75" customHeight="1">
      <c r="A71" s="11">
        <v>64</v>
      </c>
      <c r="B71" s="2"/>
      <c r="C71" s="3"/>
      <c r="D71" s="69"/>
      <c r="E71" s="3"/>
      <c r="F71" s="4" t="str">
        <f t="shared" si="3"/>
        <v/>
      </c>
      <c r="G71" s="5"/>
      <c r="H71" s="5" t="str">
        <f t="shared" si="4"/>
        <v/>
      </c>
      <c r="I71" s="32"/>
      <c r="J71" s="8" t="s">
        <v>15</v>
      </c>
      <c r="K71" s="30" t="str">
        <f t="shared" si="5"/>
        <v/>
      </c>
      <c r="L71" s="6" t="s">
        <v>6</v>
      </c>
      <c r="M71" s="24"/>
      <c r="N71" s="24"/>
    </row>
    <row r="72" spans="1:14" ht="18.75" customHeight="1">
      <c r="A72" s="11">
        <v>65</v>
      </c>
      <c r="B72" s="2"/>
      <c r="C72" s="3"/>
      <c r="D72" s="69"/>
      <c r="E72" s="3"/>
      <c r="F72" s="4" t="str">
        <f t="shared" si="3"/>
        <v/>
      </c>
      <c r="G72" s="5"/>
      <c r="H72" s="5" t="str">
        <f t="shared" si="4"/>
        <v/>
      </c>
      <c r="I72" s="32"/>
      <c r="J72" s="6" t="s">
        <v>15</v>
      </c>
      <c r="K72" s="30" t="str">
        <f t="shared" si="5"/>
        <v/>
      </c>
      <c r="L72" s="6" t="s">
        <v>6</v>
      </c>
      <c r="M72" s="24"/>
      <c r="N72" s="24"/>
    </row>
    <row r="73" spans="1:14" ht="18.75" customHeight="1">
      <c r="A73" s="11">
        <v>66</v>
      </c>
      <c r="B73" s="2"/>
      <c r="C73" s="3"/>
      <c r="D73" s="69"/>
      <c r="E73" s="3"/>
      <c r="F73" s="4" t="str">
        <f t="shared" si="3"/>
        <v/>
      </c>
      <c r="G73" s="5"/>
      <c r="H73" s="5" t="str">
        <f t="shared" si="4"/>
        <v/>
      </c>
      <c r="I73" s="32"/>
      <c r="J73" s="6" t="s">
        <v>15</v>
      </c>
      <c r="K73" s="30" t="str">
        <f t="shared" si="5"/>
        <v/>
      </c>
      <c r="L73" s="6" t="s">
        <v>6</v>
      </c>
      <c r="M73" s="24"/>
      <c r="N73" s="24"/>
    </row>
    <row r="74" spans="1:14" ht="18.75" customHeight="1">
      <c r="A74" s="11">
        <v>67</v>
      </c>
      <c r="B74" s="2"/>
      <c r="C74" s="3"/>
      <c r="D74" s="69"/>
      <c r="E74" s="3"/>
      <c r="F74" s="4" t="str">
        <f t="shared" si="3"/>
        <v/>
      </c>
      <c r="G74" s="5"/>
      <c r="H74" s="5" t="str">
        <f t="shared" si="4"/>
        <v/>
      </c>
      <c r="I74" s="32"/>
      <c r="J74" s="8" t="s">
        <v>15</v>
      </c>
      <c r="K74" s="30" t="str">
        <f t="shared" si="5"/>
        <v/>
      </c>
      <c r="L74" s="6" t="s">
        <v>6</v>
      </c>
      <c r="M74" s="24"/>
      <c r="N74" s="24"/>
    </row>
    <row r="75" spans="1:14" ht="18.75" customHeight="1">
      <c r="A75" s="11">
        <v>68</v>
      </c>
      <c r="B75" s="2"/>
      <c r="C75" s="3"/>
      <c r="D75" s="69"/>
      <c r="E75" s="7"/>
      <c r="F75" s="4" t="str">
        <f t="shared" si="3"/>
        <v/>
      </c>
      <c r="G75" s="5"/>
      <c r="H75" s="5" t="str">
        <f t="shared" si="4"/>
        <v/>
      </c>
      <c r="I75" s="38"/>
      <c r="J75" s="6" t="s">
        <v>15</v>
      </c>
      <c r="K75" s="30" t="str">
        <f t="shared" si="5"/>
        <v/>
      </c>
      <c r="L75" s="6" t="s">
        <v>6</v>
      </c>
      <c r="M75" s="24"/>
      <c r="N75" s="24"/>
    </row>
    <row r="76" spans="1:14" ht="18.75" customHeight="1">
      <c r="A76" s="11">
        <v>69</v>
      </c>
      <c r="B76" s="2"/>
      <c r="C76" s="3"/>
      <c r="D76" s="69"/>
      <c r="E76" s="3"/>
      <c r="F76" s="4" t="str">
        <f t="shared" si="3"/>
        <v/>
      </c>
      <c r="G76" s="5"/>
      <c r="H76" s="5" t="str">
        <f t="shared" si="4"/>
        <v/>
      </c>
      <c r="I76" s="32"/>
      <c r="J76" s="6" t="s">
        <v>15</v>
      </c>
      <c r="K76" s="30" t="str">
        <f t="shared" si="5"/>
        <v/>
      </c>
      <c r="L76" s="6" t="s">
        <v>6</v>
      </c>
      <c r="M76" s="24"/>
      <c r="N76" s="24"/>
    </row>
    <row r="77" spans="1:14" ht="18.75" customHeight="1">
      <c r="A77" s="11">
        <v>70</v>
      </c>
      <c r="B77" s="2"/>
      <c r="C77" s="3"/>
      <c r="D77" s="69"/>
      <c r="E77" s="3"/>
      <c r="F77" s="4" t="str">
        <f t="shared" si="3"/>
        <v/>
      </c>
      <c r="G77" s="5"/>
      <c r="H77" s="5" t="str">
        <f t="shared" si="4"/>
        <v/>
      </c>
      <c r="I77" s="32"/>
      <c r="J77" s="6" t="s">
        <v>15</v>
      </c>
      <c r="K77" s="30" t="str">
        <f t="shared" si="5"/>
        <v/>
      </c>
      <c r="L77" s="6" t="s">
        <v>6</v>
      </c>
      <c r="M77" s="24"/>
      <c r="N77" s="24"/>
    </row>
    <row r="78" spans="1:14" ht="18.75" customHeight="1">
      <c r="A78" s="11">
        <v>71</v>
      </c>
      <c r="B78" s="2"/>
      <c r="C78" s="3"/>
      <c r="D78" s="69"/>
      <c r="E78" s="3"/>
      <c r="F78" s="4" t="str">
        <f t="shared" si="3"/>
        <v/>
      </c>
      <c r="G78" s="5"/>
      <c r="H78" s="5" t="str">
        <f t="shared" si="4"/>
        <v/>
      </c>
      <c r="I78" s="39"/>
      <c r="J78" s="6" t="s">
        <v>15</v>
      </c>
      <c r="K78" s="30" t="str">
        <f t="shared" si="5"/>
        <v/>
      </c>
      <c r="L78" s="6" t="s">
        <v>6</v>
      </c>
      <c r="M78" s="24"/>
      <c r="N78" s="24"/>
    </row>
    <row r="79" spans="1:14" ht="18.75" customHeight="1">
      <c r="A79" s="11">
        <v>72</v>
      </c>
      <c r="B79" s="2"/>
      <c r="C79" s="3"/>
      <c r="D79" s="69"/>
      <c r="E79" s="7"/>
      <c r="F79" s="4" t="str">
        <f t="shared" si="3"/>
        <v/>
      </c>
      <c r="G79" s="5"/>
      <c r="H79" s="5" t="str">
        <f t="shared" si="4"/>
        <v/>
      </c>
      <c r="I79" s="32"/>
      <c r="J79" s="6" t="s">
        <v>15</v>
      </c>
      <c r="K79" s="30" t="str">
        <f t="shared" si="5"/>
        <v/>
      </c>
      <c r="L79" s="6" t="s">
        <v>6</v>
      </c>
      <c r="M79" s="24"/>
      <c r="N79" s="24"/>
    </row>
    <row r="80" spans="1:14" ht="18.75" customHeight="1">
      <c r="A80" s="11">
        <v>73</v>
      </c>
      <c r="B80" s="2"/>
      <c r="C80" s="3"/>
      <c r="D80" s="69"/>
      <c r="E80" s="3"/>
      <c r="F80" s="4" t="str">
        <f t="shared" si="3"/>
        <v/>
      </c>
      <c r="G80" s="5"/>
      <c r="H80" s="5" t="str">
        <f t="shared" si="4"/>
        <v/>
      </c>
      <c r="I80" s="40"/>
      <c r="J80" s="6" t="s">
        <v>15</v>
      </c>
      <c r="K80" s="30" t="str">
        <f t="shared" si="5"/>
        <v/>
      </c>
      <c r="L80" s="6" t="s">
        <v>6</v>
      </c>
      <c r="M80" s="24"/>
      <c r="N80" s="24"/>
    </row>
    <row r="81" spans="1:14" ht="18.75" customHeight="1">
      <c r="A81" s="11">
        <v>74</v>
      </c>
      <c r="B81" s="2"/>
      <c r="C81" s="3"/>
      <c r="D81" s="69"/>
      <c r="E81" s="3"/>
      <c r="F81" s="4" t="str">
        <f t="shared" si="3"/>
        <v/>
      </c>
      <c r="G81" s="5"/>
      <c r="H81" s="5" t="str">
        <f t="shared" si="4"/>
        <v/>
      </c>
      <c r="I81" s="32"/>
      <c r="J81" s="6" t="s">
        <v>15</v>
      </c>
      <c r="K81" s="30" t="str">
        <f t="shared" si="5"/>
        <v/>
      </c>
      <c r="L81" s="6" t="s">
        <v>6</v>
      </c>
      <c r="M81" s="24"/>
      <c r="N81" s="24"/>
    </row>
    <row r="82" spans="1:14" ht="18.75" customHeight="1">
      <c r="A82" s="11">
        <v>75</v>
      </c>
      <c r="B82" s="2"/>
      <c r="C82" s="3"/>
      <c r="D82" s="69"/>
      <c r="E82" s="7"/>
      <c r="F82" s="4" t="str">
        <f t="shared" si="3"/>
        <v/>
      </c>
      <c r="G82" s="5"/>
      <c r="H82" s="5" t="str">
        <f t="shared" si="4"/>
        <v/>
      </c>
      <c r="I82" s="39"/>
      <c r="J82" s="6" t="s">
        <v>15</v>
      </c>
      <c r="K82" s="30" t="str">
        <f t="shared" si="5"/>
        <v/>
      </c>
      <c r="L82" s="6" t="s">
        <v>6</v>
      </c>
      <c r="M82" s="24"/>
      <c r="N82" s="24"/>
    </row>
    <row r="83" spans="1:14" ht="18.75" customHeight="1">
      <c r="A83" s="11">
        <v>76</v>
      </c>
      <c r="B83" s="2"/>
      <c r="C83" s="3"/>
      <c r="D83" s="69"/>
      <c r="E83" s="3"/>
      <c r="F83" s="4" t="str">
        <f t="shared" si="3"/>
        <v/>
      </c>
      <c r="G83" s="5"/>
      <c r="H83" s="5" t="str">
        <f t="shared" si="4"/>
        <v/>
      </c>
      <c r="I83" s="32"/>
      <c r="J83" s="6" t="s">
        <v>15</v>
      </c>
      <c r="K83" s="30" t="str">
        <f t="shared" si="5"/>
        <v/>
      </c>
      <c r="L83" s="6" t="s">
        <v>6</v>
      </c>
      <c r="M83" s="24"/>
      <c r="N83" s="24"/>
    </row>
    <row r="84" spans="1:14" ht="18.75" customHeight="1">
      <c r="A84" s="11">
        <v>77</v>
      </c>
      <c r="B84" s="2"/>
      <c r="C84" s="3"/>
      <c r="D84" s="69"/>
      <c r="E84" s="3"/>
      <c r="F84" s="4" t="str">
        <f t="shared" si="3"/>
        <v/>
      </c>
      <c r="G84" s="5"/>
      <c r="H84" s="5" t="str">
        <f t="shared" si="4"/>
        <v/>
      </c>
      <c r="I84" s="32"/>
      <c r="J84" s="6" t="s">
        <v>15</v>
      </c>
      <c r="K84" s="30" t="str">
        <f t="shared" si="5"/>
        <v/>
      </c>
      <c r="L84" s="6" t="s">
        <v>6</v>
      </c>
      <c r="M84" s="24"/>
      <c r="N84" s="24"/>
    </row>
    <row r="85" spans="1:14" ht="18.75" customHeight="1">
      <c r="A85" s="11">
        <v>78</v>
      </c>
      <c r="B85" s="2"/>
      <c r="C85" s="3"/>
      <c r="D85" s="69"/>
      <c r="E85" s="3"/>
      <c r="F85" s="4" t="str">
        <f t="shared" si="3"/>
        <v/>
      </c>
      <c r="G85" s="5"/>
      <c r="H85" s="5" t="str">
        <f t="shared" si="4"/>
        <v/>
      </c>
      <c r="I85" s="32"/>
      <c r="J85" s="6" t="s">
        <v>15</v>
      </c>
      <c r="K85" s="34" t="str">
        <f t="shared" si="5"/>
        <v/>
      </c>
      <c r="L85" s="6" t="s">
        <v>6</v>
      </c>
      <c r="M85" s="24"/>
      <c r="N85" s="24"/>
    </row>
    <row r="86" spans="1:14" ht="18.75" customHeight="1">
      <c r="A86" s="11">
        <v>79</v>
      </c>
      <c r="B86" s="2"/>
      <c r="C86" s="3"/>
      <c r="D86" s="69"/>
      <c r="E86" s="3"/>
      <c r="F86" s="4"/>
      <c r="G86" s="5"/>
      <c r="H86" s="5"/>
      <c r="I86" s="32"/>
      <c r="J86" s="6" t="s">
        <v>15</v>
      </c>
      <c r="K86" s="34"/>
      <c r="L86" s="6" t="s">
        <v>6</v>
      </c>
      <c r="M86" s="24"/>
      <c r="N86" s="24"/>
    </row>
    <row r="87" spans="1:14" ht="18.75" customHeight="1">
      <c r="A87" s="11">
        <v>80</v>
      </c>
      <c r="B87" s="2"/>
      <c r="C87" s="3"/>
      <c r="D87" s="21"/>
      <c r="E87" s="3"/>
      <c r="F87" s="4" t="str">
        <f t="shared" ref="F87:F88" si="6">IF(E87="","",E87-INT(E87/7)*7)</f>
        <v/>
      </c>
      <c r="G87" s="5"/>
      <c r="H87" s="5" t="str">
        <f t="shared" ref="H87:H88" si="7">IF(G87="","",G87)</f>
        <v/>
      </c>
      <c r="I87" s="32"/>
      <c r="J87" s="6" t="s">
        <v>15</v>
      </c>
      <c r="K87" s="34" t="str">
        <f>IF(I87&gt;0,I87*0.2,"")</f>
        <v/>
      </c>
      <c r="L87" s="6" t="s">
        <v>6</v>
      </c>
      <c r="M87" s="24"/>
      <c r="N87" s="24"/>
    </row>
    <row r="88" spans="1:14" ht="18.75" customHeight="1">
      <c r="B88" s="41"/>
      <c r="C88" s="41"/>
      <c r="D88" s="42"/>
      <c r="E88" s="41"/>
      <c r="F88" s="41" t="str">
        <f t="shared" si="6"/>
        <v/>
      </c>
      <c r="G88" s="43"/>
      <c r="H88" s="43" t="str">
        <f t="shared" si="7"/>
        <v/>
      </c>
      <c r="I88" s="57">
        <f>SUM(I48:I87)+I44</f>
        <v>2320</v>
      </c>
      <c r="J88" s="8" t="s">
        <v>15</v>
      </c>
      <c r="K88" s="44">
        <f>SUM(K48:K87)+K44</f>
        <v>464</v>
      </c>
      <c r="L88" s="8" t="s">
        <v>6</v>
      </c>
      <c r="M88" s="45"/>
      <c r="N88" s="45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4">
    <dataValidation imeMode="disabled" allowBlank="1" showInputMessage="1" showErrorMessage="1" sqref="G4:G40 N21:N42 H4:M42 H43:L44 N5:N19 E48:E88 N65:N88 H48:M88 M44:N44 E4:E44 G48:G84 N49:N63" xr:uid="{DF60CA37-5D80-4835-94C7-9A1B30EF30A2}"/>
    <dataValidation imeMode="disabled" allowBlank="1" showInputMessage="1" sqref="G41:G44 G85:G88" xr:uid="{BA1A8AAE-43B1-438F-8FE9-87B0340B7449}"/>
    <dataValidation type="list" imeMode="on" allowBlank="1" showInputMessage="1" showErrorMessage="1" sqref="B4:C44 B48:C88" xr:uid="{F38BB88D-B590-4DE4-9F22-C2A9A8A27A12}">
      <formula1>"水産系燃え殻,医療系燃え殻"</formula1>
    </dataValidation>
    <dataValidation type="list" imeMode="on" allowBlank="1" showInputMessage="1" prompt="なければ直接入力" sqref="D4:D44 D48:D88" xr:uid="{A24E284E-4B3F-48FD-AA92-2BAFCA74DD3C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39370078740157483" bottom="0.39370078740157483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汚泥04</vt:lpstr>
      <vt:lpstr>汚泥05</vt:lpstr>
      <vt:lpstr>汚泥06</vt:lpstr>
      <vt:lpstr>汚泥07</vt:lpstr>
      <vt:lpstr>汚泥08</vt:lpstr>
      <vt:lpstr>汚泥09</vt:lpstr>
      <vt:lpstr>汚泥10</vt:lpstr>
      <vt:lpstr>汚泥11</vt:lpstr>
      <vt:lpstr>汚泥12</vt:lpstr>
      <vt:lpstr>汚泥01</vt:lpstr>
      <vt:lpstr>汚泥02</vt:lpstr>
      <vt:lpstr>産廃04</vt:lpstr>
      <vt:lpstr>汚泥03</vt:lpstr>
      <vt:lpstr>産廃05</vt:lpstr>
      <vt:lpstr>産廃06</vt:lpstr>
      <vt:lpstr>産廃07</vt:lpstr>
      <vt:lpstr>産廃08</vt:lpstr>
      <vt:lpstr>産廃09</vt:lpstr>
      <vt:lpstr>産廃10</vt:lpstr>
      <vt:lpstr>産廃11</vt:lpstr>
      <vt:lpstr>産廃12</vt:lpstr>
      <vt:lpstr>産廃01</vt:lpstr>
      <vt:lpstr>産廃02</vt:lpstr>
      <vt:lpstr>産廃03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"ごみ焼却場" &lt;inciner@sweet.ocn.ne.jp&gt;</dc:creator>
  <cp:lastModifiedBy>焼却場</cp:lastModifiedBy>
  <cp:lastPrinted>2026-03-31T05:07:46Z</cp:lastPrinted>
  <dcterms:created xsi:type="dcterms:W3CDTF">2006-05-29T02:28:27Z</dcterms:created>
  <dcterms:modified xsi:type="dcterms:W3CDTF">2026-03-31T05:11:42Z</dcterms:modified>
</cp:coreProperties>
</file>