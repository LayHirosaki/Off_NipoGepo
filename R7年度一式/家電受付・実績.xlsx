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kyaku\Documents\R7年度一式\"/>
    </mc:Choice>
  </mc:AlternateContent>
  <xr:revisionPtr revIDLastSave="0" documentId="13_ncr:1_{EE4E13BA-23B5-439C-8FE5-41E0F64DBF83}" xr6:coauthVersionLast="47" xr6:coauthVersionMax="47" xr10:uidLastSave="{00000000-0000-0000-0000-000000000000}"/>
  <bookViews>
    <workbookView xWindow="-120" yWindow="-120" windowWidth="29040" windowHeight="15720" activeTab="5" xr2:uid="{105E507F-5BD0-4DD9-8452-0EB257D62227}"/>
  </bookViews>
  <sheets>
    <sheet name="発送済Ａ" sheetId="5" r:id="rId1"/>
    <sheet name="発送済Ｂ" sheetId="9" r:id="rId2"/>
    <sheet name="発送済A控え" sheetId="3" r:id="rId3"/>
    <sheet name="発送済Ｂ控え" sheetId="4" r:id="rId4"/>
    <sheet name="発送前A" sheetId="12" r:id="rId5"/>
    <sheet name="発送前Ｂ" sheetId="13" r:id="rId6"/>
    <sheet name="実績表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3" l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69" i="13"/>
  <c r="H68" i="13"/>
  <c r="H67" i="13"/>
  <c r="H66" i="13"/>
  <c r="H41" i="12"/>
  <c r="H25" i="12"/>
  <c r="H248" i="5" l="1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65" i="13"/>
  <c r="H64" i="13"/>
  <c r="H63" i="13"/>
  <c r="H62" i="13"/>
  <c r="H17" i="12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61" i="13"/>
  <c r="H60" i="13"/>
  <c r="H52" i="9" l="1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59" i="13"/>
  <c r="H58" i="13"/>
  <c r="H48" i="12"/>
  <c r="H47" i="12"/>
  <c r="H46" i="12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27" i="12"/>
  <c r="H26" i="12"/>
  <c r="H24" i="12"/>
  <c r="H23" i="12"/>
  <c r="H22" i="12"/>
  <c r="H21" i="12"/>
  <c r="H20" i="12"/>
  <c r="H19" i="12"/>
  <c r="H18" i="12"/>
  <c r="H16" i="12"/>
  <c r="H15" i="12"/>
  <c r="H14" i="12"/>
  <c r="H13" i="12"/>
  <c r="H12" i="12"/>
  <c r="H11" i="12"/>
  <c r="H10" i="12"/>
  <c r="F15" i="8"/>
  <c r="H57" i="13"/>
  <c r="H56" i="13"/>
  <c r="H55" i="13"/>
  <c r="H54" i="13"/>
  <c r="H92" i="12"/>
  <c r="H91" i="12"/>
  <c r="H90" i="12"/>
  <c r="H89" i="12"/>
  <c r="H88" i="12"/>
  <c r="H87" i="12"/>
  <c r="H86" i="12"/>
  <c r="H85" i="12"/>
  <c r="H84" i="12"/>
  <c r="H83" i="12"/>
  <c r="H53" i="13"/>
  <c r="H82" i="12"/>
  <c r="H52" i="13"/>
  <c r="H51" i="13"/>
  <c r="H81" i="12"/>
  <c r="H50" i="13"/>
  <c r="H49" i="13"/>
  <c r="H48" i="13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40" i="12"/>
  <c r="H42" i="12"/>
  <c r="H43" i="12"/>
  <c r="H44" i="12"/>
  <c r="H45" i="12"/>
  <c r="N16" i="8"/>
  <c r="D5" i="8"/>
  <c r="G5" i="8"/>
  <c r="J5" i="8"/>
  <c r="M5" i="8"/>
  <c r="P5" i="8"/>
  <c r="B6" i="8"/>
  <c r="C6" i="8"/>
  <c r="E6" i="8"/>
  <c r="F6" i="8"/>
  <c r="H6" i="8"/>
  <c r="I6" i="8"/>
  <c r="K6" i="8"/>
  <c r="L6" i="8"/>
  <c r="N6" i="8"/>
  <c r="O6" i="8"/>
  <c r="B7" i="8"/>
  <c r="C7" i="8"/>
  <c r="E7" i="8"/>
  <c r="F7" i="8"/>
  <c r="H7" i="8"/>
  <c r="I7" i="8"/>
  <c r="K7" i="8"/>
  <c r="L7" i="8"/>
  <c r="N7" i="8"/>
  <c r="O7" i="8"/>
  <c r="D14" i="8"/>
  <c r="G14" i="8"/>
  <c r="J14" i="8"/>
  <c r="M14" i="8"/>
  <c r="P14" i="8"/>
  <c r="B15" i="8"/>
  <c r="C15" i="8"/>
  <c r="E15" i="8"/>
  <c r="H15" i="8"/>
  <c r="I15" i="8"/>
  <c r="K15" i="8"/>
  <c r="L15" i="8"/>
  <c r="N15" i="8"/>
  <c r="O15" i="8"/>
  <c r="B16" i="8"/>
  <c r="C16" i="8"/>
  <c r="E16" i="8"/>
  <c r="F16" i="8"/>
  <c r="H16" i="8"/>
  <c r="I16" i="8"/>
  <c r="K16" i="8"/>
  <c r="L16" i="8"/>
  <c r="O16" i="8"/>
  <c r="F3" i="3"/>
  <c r="F4" i="3"/>
  <c r="F5" i="3"/>
  <c r="F6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F3" i="4"/>
  <c r="F4" i="4"/>
  <c r="F5" i="4"/>
  <c r="F6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F3" i="12"/>
  <c r="F4" i="12"/>
  <c r="F5" i="12"/>
  <c r="F6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F3" i="13"/>
  <c r="F4" i="13"/>
  <c r="F5" i="13"/>
  <c r="F6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Q5" i="8"/>
  <c r="Q14" i="8"/>
  <c r="L9" i="8" l="1"/>
  <c r="I9" i="8"/>
  <c r="O9" i="8"/>
  <c r="F7" i="3"/>
  <c r="F8" i="8"/>
  <c r="C8" i="8"/>
  <c r="G7" i="8"/>
  <c r="O23" i="8"/>
  <c r="C9" i="8"/>
  <c r="C22" i="8"/>
  <c r="I8" i="8"/>
  <c r="O8" i="8"/>
  <c r="P6" i="8"/>
  <c r="L8" i="8"/>
  <c r="L23" i="8"/>
  <c r="F7" i="4"/>
  <c r="H8" i="8"/>
  <c r="F7" i="13"/>
  <c r="I17" i="8"/>
  <c r="O17" i="8"/>
  <c r="F17" i="8"/>
  <c r="N17" i="8"/>
  <c r="E17" i="8"/>
  <c r="B17" i="8"/>
  <c r="K17" i="8"/>
  <c r="F7" i="12"/>
  <c r="N23" i="8"/>
  <c r="D15" i="8"/>
  <c r="O22" i="8"/>
  <c r="J16" i="8"/>
  <c r="P16" i="8"/>
  <c r="D16" i="8"/>
  <c r="C23" i="8"/>
  <c r="L17" i="8"/>
  <c r="F22" i="8"/>
  <c r="M16" i="8"/>
  <c r="J15" i="8"/>
  <c r="C17" i="8"/>
  <c r="I23" i="8"/>
  <c r="G16" i="8"/>
  <c r="F23" i="8"/>
  <c r="I22" i="8"/>
  <c r="F9" i="8"/>
  <c r="K23" i="8"/>
  <c r="G15" i="8"/>
  <c r="K22" i="8"/>
  <c r="P15" i="8"/>
  <c r="H17" i="8"/>
  <c r="H23" i="8"/>
  <c r="L22" i="8"/>
  <c r="M15" i="8"/>
  <c r="E8" i="8"/>
  <c r="D7" i="8"/>
  <c r="B8" i="8"/>
  <c r="P7" i="8"/>
  <c r="N22" i="8"/>
  <c r="E23" i="8"/>
  <c r="M7" i="8"/>
  <c r="H22" i="8"/>
  <c r="H9" i="8"/>
  <c r="M6" i="8"/>
  <c r="K8" i="8"/>
  <c r="D6" i="8"/>
  <c r="E22" i="8"/>
  <c r="G6" i="8"/>
  <c r="B22" i="8"/>
  <c r="B23" i="8"/>
  <c r="J6" i="8"/>
  <c r="B9" i="8"/>
  <c r="E9" i="8"/>
  <c r="K9" i="8"/>
  <c r="N9" i="8"/>
  <c r="J7" i="8"/>
  <c r="N8" i="8"/>
  <c r="P23" i="8" l="1"/>
  <c r="O24" i="8"/>
  <c r="L24" i="8"/>
  <c r="C24" i="8"/>
  <c r="M23" i="8"/>
  <c r="P9" i="8"/>
  <c r="J23" i="8"/>
  <c r="D23" i="8"/>
  <c r="Q16" i="8"/>
  <c r="P17" i="8"/>
  <c r="F24" i="8"/>
  <c r="J17" i="8"/>
  <c r="D17" i="8"/>
  <c r="G17" i="8"/>
  <c r="M22" i="8"/>
  <c r="G23" i="8"/>
  <c r="I24" i="8"/>
  <c r="M17" i="8"/>
  <c r="Q15" i="8"/>
  <c r="K24" i="8"/>
  <c r="Q7" i="8"/>
  <c r="H24" i="8"/>
  <c r="J22" i="8"/>
  <c r="G9" i="8"/>
  <c r="G8" i="8"/>
  <c r="E24" i="8"/>
  <c r="G22" i="8"/>
  <c r="D8" i="8"/>
  <c r="Q6" i="8"/>
  <c r="D9" i="8"/>
  <c r="P22" i="8"/>
  <c r="N24" i="8"/>
  <c r="M9" i="8"/>
  <c r="M8" i="8"/>
  <c r="J8" i="8"/>
  <c r="J9" i="8"/>
  <c r="P8" i="8"/>
  <c r="D22" i="8"/>
  <c r="B24" i="8"/>
  <c r="P24" i="8" l="1"/>
  <c r="M24" i="8"/>
  <c r="J24" i="8"/>
  <c r="Q23" i="8"/>
  <c r="Q17" i="8"/>
  <c r="G24" i="8"/>
  <c r="Q9" i="8"/>
  <c r="Q8" i="8"/>
  <c r="Q22" i="8"/>
  <c r="D24" i="8"/>
  <c r="Q24" i="8" l="1"/>
</calcChain>
</file>

<file path=xl/sharedStrings.xml><?xml version="1.0" encoding="utf-8"?>
<sst xmlns="http://schemas.openxmlformats.org/spreadsheetml/2006/main" count="1811" uniqueCount="150">
  <si>
    <t>管理票番号</t>
    <rPh sb="0" eb="2">
      <t>カンリ</t>
    </rPh>
    <rPh sb="2" eb="3">
      <t>ヒョウ</t>
    </rPh>
    <rPh sb="3" eb="5">
      <t>バンゴウ</t>
    </rPh>
    <phoneticPr fontId="1"/>
  </si>
  <si>
    <t>番号</t>
    <rPh sb="0" eb="2">
      <t>バンゴウ</t>
    </rPh>
    <phoneticPr fontId="1"/>
  </si>
  <si>
    <t>製造業者</t>
    <rPh sb="0" eb="3">
      <t>セイゾウギョウ</t>
    </rPh>
    <rPh sb="3" eb="4">
      <t>シャ</t>
    </rPh>
    <phoneticPr fontId="1"/>
  </si>
  <si>
    <t>品目</t>
    <rPh sb="0" eb="2">
      <t>ヒンモク</t>
    </rPh>
    <phoneticPr fontId="1"/>
  </si>
  <si>
    <t>交付日</t>
    <rPh sb="0" eb="2">
      <t>コウフ</t>
    </rPh>
    <rPh sb="2" eb="3">
      <t>ビ</t>
    </rPh>
    <phoneticPr fontId="1"/>
  </si>
  <si>
    <t>日付</t>
    <rPh sb="0" eb="1">
      <t>ヒ</t>
    </rPh>
    <rPh sb="1" eb="2">
      <t>ヅケ</t>
    </rPh>
    <phoneticPr fontId="1"/>
  </si>
  <si>
    <t>排 出 者</t>
    <rPh sb="0" eb="1">
      <t>ハイ</t>
    </rPh>
    <rPh sb="2" eb="3">
      <t>デ</t>
    </rPh>
    <rPh sb="4" eb="5">
      <t>シャ</t>
    </rPh>
    <phoneticPr fontId="1"/>
  </si>
  <si>
    <t>冷蔵・冷凍庫</t>
    <rPh sb="0" eb="2">
      <t>レイゾウ</t>
    </rPh>
    <rPh sb="3" eb="6">
      <t>レイトウコ</t>
    </rPh>
    <phoneticPr fontId="1"/>
  </si>
  <si>
    <t>洗濯・乾燥機</t>
    <rPh sb="0" eb="2">
      <t>センタク</t>
    </rPh>
    <rPh sb="3" eb="6">
      <t>カンソウキ</t>
    </rPh>
    <phoneticPr fontId="1"/>
  </si>
  <si>
    <t>テレビ(薄型含)</t>
    <rPh sb="4" eb="6">
      <t>ウスガタ</t>
    </rPh>
    <rPh sb="6" eb="7">
      <t>フク</t>
    </rPh>
    <phoneticPr fontId="1"/>
  </si>
  <si>
    <t>内　訳</t>
    <rPh sb="0" eb="1">
      <t>ウチ</t>
    </rPh>
    <rPh sb="2" eb="3">
      <t>ヤク</t>
    </rPh>
    <phoneticPr fontId="1"/>
  </si>
  <si>
    <t>発送前</t>
    <rPh sb="0" eb="2">
      <t>ハッソウ</t>
    </rPh>
    <rPh sb="2" eb="3">
      <t>マエ</t>
    </rPh>
    <phoneticPr fontId="1"/>
  </si>
  <si>
    <t>計</t>
    <rPh sb="0" eb="1">
      <t>ケイ</t>
    </rPh>
    <phoneticPr fontId="1"/>
  </si>
  <si>
    <t>合　　　計</t>
    <rPh sb="0" eb="1">
      <t>ゴウ</t>
    </rPh>
    <rPh sb="4" eb="5">
      <t>ケイ</t>
    </rPh>
    <phoneticPr fontId="1"/>
  </si>
  <si>
    <t>品　　目</t>
    <rPh sb="0" eb="1">
      <t>シナ</t>
    </rPh>
    <rPh sb="3" eb="4">
      <t>メ</t>
    </rPh>
    <phoneticPr fontId="1"/>
  </si>
  <si>
    <t>確認</t>
    <rPh sb="0" eb="2">
      <t>カクニン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</si>
  <si>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</si>
  <si>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</si>
  <si>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エ ア コ ン</t>
    <phoneticPr fontId="1"/>
  </si>
  <si>
    <t>個数</t>
    <rPh sb="0" eb="2">
      <t>コスウ</t>
    </rPh>
    <phoneticPr fontId="1"/>
  </si>
  <si>
    <t>利尻町</t>
    <rPh sb="0" eb="3">
      <t>リシリチョウ</t>
    </rPh>
    <phoneticPr fontId="1"/>
  </si>
  <si>
    <t>冷蔵・冷凍庫</t>
    <rPh sb="0" eb="2">
      <t>レイゾウ</t>
    </rPh>
    <rPh sb="3" eb="4">
      <t>レイ</t>
    </rPh>
    <rPh sb="4" eb="5">
      <t>トウ</t>
    </rPh>
    <rPh sb="5" eb="6">
      <t>コ</t>
    </rPh>
    <phoneticPr fontId="1"/>
  </si>
  <si>
    <t>合計</t>
    <rPh sb="0" eb="2">
      <t>ゴウケイ</t>
    </rPh>
    <phoneticPr fontId="1"/>
  </si>
  <si>
    <t>薄型テレビ</t>
    <rPh sb="0" eb="2">
      <t>ウスガタ</t>
    </rPh>
    <phoneticPr fontId="1"/>
  </si>
  <si>
    <t>富士町</t>
    <rPh sb="0" eb="3">
      <t>フジチョウ</t>
    </rPh>
    <phoneticPr fontId="1"/>
  </si>
  <si>
    <t>エアコン</t>
    <phoneticPr fontId="1"/>
  </si>
  <si>
    <t>テレビ</t>
    <phoneticPr fontId="1"/>
  </si>
  <si>
    <t>Ａ</t>
    <phoneticPr fontId="1"/>
  </si>
  <si>
    <t>Ｂ</t>
    <phoneticPr fontId="1"/>
  </si>
  <si>
    <t>Ａ</t>
    <phoneticPr fontId="1"/>
  </si>
  <si>
    <t>Ｂ</t>
    <phoneticPr fontId="1"/>
  </si>
  <si>
    <t>エアコン</t>
    <phoneticPr fontId="1"/>
  </si>
  <si>
    <t>テレビ</t>
    <phoneticPr fontId="1"/>
  </si>
  <si>
    <t>受付計</t>
    <rPh sb="0" eb="2">
      <t>ウケツケ</t>
    </rPh>
    <rPh sb="2" eb="3">
      <t>ケイ</t>
    </rPh>
    <phoneticPr fontId="1"/>
  </si>
  <si>
    <t>発送済</t>
    <rPh sb="0" eb="2">
      <t>ハッソウ</t>
    </rPh>
    <rPh sb="2" eb="3">
      <t>ズ</t>
    </rPh>
    <phoneticPr fontId="1"/>
  </si>
  <si>
    <t>総　計</t>
    <rPh sb="0" eb="1">
      <t>フサ</t>
    </rPh>
    <rPh sb="2" eb="3">
      <t>ケイ</t>
    </rPh>
    <phoneticPr fontId="1"/>
  </si>
  <si>
    <t>ｸﾞﾙｰﾌﾟ</t>
    <phoneticPr fontId="1"/>
  </si>
  <si>
    <t>品　目</t>
    <rPh sb="0" eb="1">
      <t>シナ</t>
    </rPh>
    <rPh sb="2" eb="3">
      <t>メ</t>
    </rPh>
    <phoneticPr fontId="1"/>
  </si>
  <si>
    <t>　</t>
    <phoneticPr fontId="1"/>
  </si>
  <si>
    <t>備考</t>
    <rPh sb="0" eb="2">
      <t>ビコウ</t>
    </rPh>
    <phoneticPr fontId="1"/>
  </si>
  <si>
    <t>エ ア コ ン</t>
    <phoneticPr fontId="1"/>
  </si>
  <si>
    <t>両町全体</t>
    <rPh sb="0" eb="2">
      <t>リョウチョウ</t>
    </rPh>
    <rPh sb="2" eb="4">
      <t>ゼンタイ</t>
    </rPh>
    <phoneticPr fontId="1"/>
  </si>
  <si>
    <t>　　</t>
    <phoneticPr fontId="1"/>
  </si>
  <si>
    <t>　</t>
    <phoneticPr fontId="1"/>
  </si>
  <si>
    <t>○</t>
    <phoneticPr fontId="1"/>
  </si>
  <si>
    <t>前年度残</t>
    <rPh sb="0" eb="1">
      <t>ゼン</t>
    </rPh>
    <rPh sb="1" eb="3">
      <t>ネンド</t>
    </rPh>
    <rPh sb="3" eb="4">
      <t>ザン</t>
    </rPh>
    <phoneticPr fontId="1"/>
  </si>
  <si>
    <t>本年度全体</t>
    <rPh sb="0" eb="3">
      <t>ホンネンド</t>
    </rPh>
    <rPh sb="3" eb="5">
      <t>ゼンタイ</t>
    </rPh>
    <phoneticPr fontId="1"/>
  </si>
  <si>
    <t>令和7年度　家電リサイクル実績表</t>
    <rPh sb="0" eb="2">
      <t>レイワ</t>
    </rPh>
    <rPh sb="3" eb="5">
      <t>ネンド</t>
    </rPh>
    <rPh sb="6" eb="8">
      <t>カデン</t>
    </rPh>
    <rPh sb="13" eb="15">
      <t>ジッセキ</t>
    </rPh>
    <rPh sb="15" eb="16">
      <t>ヒョウ</t>
    </rPh>
    <phoneticPr fontId="1"/>
  </si>
  <si>
    <t>令和7年度家電リサイクル一覧表　　（Ａグループ）</t>
    <rPh sb="0" eb="2">
      <t>レイワ</t>
    </rPh>
    <rPh sb="3" eb="5">
      <t>ネンド</t>
    </rPh>
    <rPh sb="5" eb="7">
      <t>カデン</t>
    </rPh>
    <rPh sb="12" eb="14">
      <t>イチラン</t>
    </rPh>
    <rPh sb="14" eb="15">
      <t>ヒョウ</t>
    </rPh>
    <phoneticPr fontId="1"/>
  </si>
  <si>
    <t>令和7年度家電リサイクル一覧表　（Ａグループ）　　※発送済み</t>
    <rPh sb="3" eb="4">
      <t>ネン</t>
    </rPh>
    <rPh sb="4" eb="5">
      <t>ド</t>
    </rPh>
    <rPh sb="5" eb="7">
      <t>カデン</t>
    </rPh>
    <rPh sb="12" eb="14">
      <t>イチラン</t>
    </rPh>
    <rPh sb="14" eb="15">
      <t>ヒョウ</t>
    </rPh>
    <rPh sb="26" eb="28">
      <t>ハッソウ</t>
    </rPh>
    <rPh sb="28" eb="29">
      <t>ズ</t>
    </rPh>
    <phoneticPr fontId="1"/>
  </si>
  <si>
    <t>令和7年度家電リサイクル一覧表　（Ｂグループ）　　※発送済み</t>
    <rPh sb="3" eb="4">
      <t>ネン</t>
    </rPh>
    <rPh sb="4" eb="5">
      <t>ド</t>
    </rPh>
    <rPh sb="5" eb="7">
      <t>カデン</t>
    </rPh>
    <rPh sb="12" eb="14">
      <t>イチラン</t>
    </rPh>
    <rPh sb="14" eb="15">
      <t>ヒョウ</t>
    </rPh>
    <rPh sb="26" eb="28">
      <t>ハッソウ</t>
    </rPh>
    <rPh sb="28" eb="29">
      <t>ズ</t>
    </rPh>
    <phoneticPr fontId="1"/>
  </si>
  <si>
    <t>令和7年度家電リサイクル一覧表　　（Ａグループ）</t>
    <rPh sb="3" eb="4">
      <t>ネン</t>
    </rPh>
    <rPh sb="4" eb="5">
      <t>ド</t>
    </rPh>
    <rPh sb="5" eb="7">
      <t>カデン</t>
    </rPh>
    <rPh sb="12" eb="14">
      <t>イチラン</t>
    </rPh>
    <rPh sb="14" eb="15">
      <t>ヒョウ</t>
    </rPh>
    <phoneticPr fontId="1"/>
  </si>
  <si>
    <t>令和7年度家電リサイクル一覧表　　（Ｂグループ）</t>
    <rPh sb="3" eb="4">
      <t>ネン</t>
    </rPh>
    <rPh sb="4" eb="5">
      <t>ド</t>
    </rPh>
    <rPh sb="5" eb="7">
      <t>カデン</t>
    </rPh>
    <rPh sb="12" eb="14">
      <t>イチラン</t>
    </rPh>
    <rPh sb="14" eb="15">
      <t>ヒョウ</t>
    </rPh>
    <phoneticPr fontId="1"/>
  </si>
  <si>
    <t>㈲カワムラ電器</t>
  </si>
  <si>
    <t>✓</t>
    <phoneticPr fontId="1"/>
  </si>
  <si>
    <t>前年度残</t>
    <rPh sb="0" eb="3">
      <t>ゼンネンド</t>
    </rPh>
    <rPh sb="3" eb="4">
      <t>ザン</t>
    </rPh>
    <phoneticPr fontId="1"/>
  </si>
  <si>
    <t>電器のオオミ</t>
  </si>
  <si>
    <t>ベスト電器</t>
  </si>
  <si>
    <t>佐藤史人</t>
    <rPh sb="0" eb="4">
      <t>サトウフミヒト</t>
    </rPh>
    <phoneticPr fontId="1"/>
  </si>
  <si>
    <t>越智きくえ</t>
    <rPh sb="0" eb="2">
      <t>オチ</t>
    </rPh>
    <phoneticPr fontId="1"/>
  </si>
  <si>
    <t>利尻電業</t>
    <rPh sb="0" eb="4">
      <t>リシリデンギョウ</t>
    </rPh>
    <phoneticPr fontId="1"/>
  </si>
  <si>
    <t>太田真衣</t>
    <rPh sb="0" eb="2">
      <t>オオタ</t>
    </rPh>
    <rPh sb="2" eb="3">
      <t>シン</t>
    </rPh>
    <rPh sb="3" eb="4">
      <t>イ</t>
    </rPh>
    <phoneticPr fontId="1"/>
  </si>
  <si>
    <t>ベスト電器</t>
    <rPh sb="3" eb="5">
      <t>デンキ</t>
    </rPh>
    <phoneticPr fontId="1"/>
  </si>
  <si>
    <t>小玉めぐみ</t>
    <rPh sb="0" eb="2">
      <t>コタマ</t>
    </rPh>
    <phoneticPr fontId="1"/>
  </si>
  <si>
    <t>山上留理子</t>
    <rPh sb="0" eb="2">
      <t>ヤマガミ</t>
    </rPh>
    <rPh sb="2" eb="5">
      <t>ルリコ</t>
    </rPh>
    <phoneticPr fontId="1"/>
  </si>
  <si>
    <t>佐藤龍之介</t>
    <rPh sb="0" eb="2">
      <t>サトウ</t>
    </rPh>
    <rPh sb="2" eb="5">
      <t>リュウノスケ</t>
    </rPh>
    <phoneticPr fontId="1"/>
  </si>
  <si>
    <t>藤原光太</t>
    <rPh sb="0" eb="2">
      <t>フジワラ</t>
    </rPh>
    <rPh sb="2" eb="4">
      <t>コウタ</t>
    </rPh>
    <phoneticPr fontId="1"/>
  </si>
  <si>
    <t>利尻礼文消防事務組合消防本部</t>
    <rPh sb="0" eb="4">
      <t>リシリレブン</t>
    </rPh>
    <rPh sb="4" eb="10">
      <t>ショウボウジムクミアイ</t>
    </rPh>
    <rPh sb="10" eb="14">
      <t>ショウボウホンブ</t>
    </rPh>
    <phoneticPr fontId="1"/>
  </si>
  <si>
    <t>でんきのカトウ</t>
  </si>
  <si>
    <t>岡田　寛</t>
    <rPh sb="0" eb="2">
      <t>オカダ</t>
    </rPh>
    <rPh sb="3" eb="4">
      <t>ヒロシ</t>
    </rPh>
    <phoneticPr fontId="1"/>
  </si>
  <si>
    <t>㈱吉安組（近江秀輝）</t>
    <rPh sb="0" eb="4">
      <t>カブヨシヤスクミ</t>
    </rPh>
    <rPh sb="5" eb="9">
      <t>オウミヒデキ</t>
    </rPh>
    <phoneticPr fontId="1"/>
  </si>
  <si>
    <t>利尻町観光協会</t>
    <rPh sb="0" eb="3">
      <t>リシリチョウ</t>
    </rPh>
    <rPh sb="3" eb="7">
      <t>カンコウキョウカイ</t>
    </rPh>
    <phoneticPr fontId="1"/>
  </si>
  <si>
    <t>印刷</t>
    <rPh sb="0" eb="2">
      <t>インサツ</t>
    </rPh>
    <phoneticPr fontId="1"/>
  </si>
  <si>
    <t>4/18発送</t>
    <rPh sb="4" eb="6">
      <t>ハッソウ</t>
    </rPh>
    <phoneticPr fontId="1"/>
  </si>
  <si>
    <t>洒井　税</t>
    <rPh sb="0" eb="2">
      <t>サカイ</t>
    </rPh>
    <rPh sb="3" eb="4">
      <t>チカラ</t>
    </rPh>
    <phoneticPr fontId="1"/>
  </si>
  <si>
    <t>牧野隆史</t>
    <rPh sb="0" eb="2">
      <t>マキノ</t>
    </rPh>
    <rPh sb="2" eb="4">
      <t>タカフミ</t>
    </rPh>
    <phoneticPr fontId="1"/>
  </si>
  <si>
    <t>牧野隆史</t>
    <rPh sb="0" eb="4">
      <t>マキノタカフミ</t>
    </rPh>
    <phoneticPr fontId="1"/>
  </si>
  <si>
    <t>細野　賢</t>
    <rPh sb="0" eb="2">
      <t>ホソノ</t>
    </rPh>
    <rPh sb="3" eb="4">
      <t>ケン</t>
    </rPh>
    <phoneticPr fontId="1"/>
  </si>
  <si>
    <t>石上泰孝</t>
    <rPh sb="0" eb="2">
      <t>イシガミ</t>
    </rPh>
    <rPh sb="2" eb="4">
      <t>ヤスタカ</t>
    </rPh>
    <phoneticPr fontId="1"/>
  </si>
  <si>
    <t>藤代純希</t>
    <rPh sb="0" eb="2">
      <t>フジシロ</t>
    </rPh>
    <rPh sb="2" eb="4">
      <t>ジュンキ</t>
    </rPh>
    <phoneticPr fontId="1"/>
  </si>
  <si>
    <t>㈲ヤマツ津田商店</t>
  </si>
  <si>
    <t>谷　美智子</t>
    <rPh sb="0" eb="1">
      <t>タニ</t>
    </rPh>
    <rPh sb="2" eb="5">
      <t>ミチコ</t>
    </rPh>
    <phoneticPr fontId="1"/>
  </si>
  <si>
    <t>一戸恭冶</t>
    <rPh sb="0" eb="4">
      <t>イチノヘキョウジ</t>
    </rPh>
    <phoneticPr fontId="1"/>
  </si>
  <si>
    <t>伊藤正希</t>
    <rPh sb="0" eb="4">
      <t>イトウマサキ</t>
    </rPh>
    <phoneticPr fontId="1"/>
  </si>
  <si>
    <t>小野静子</t>
    <rPh sb="0" eb="2">
      <t>オノ</t>
    </rPh>
    <rPh sb="2" eb="4">
      <t>シズコ</t>
    </rPh>
    <phoneticPr fontId="1"/>
  </si>
  <si>
    <t>小野静子</t>
    <rPh sb="0" eb="4">
      <t>オノシズコ</t>
    </rPh>
    <phoneticPr fontId="1"/>
  </si>
  <si>
    <t>二瓶卓哉</t>
    <rPh sb="0" eb="2">
      <t>ニヘイ</t>
    </rPh>
    <rPh sb="2" eb="4">
      <t>タクヤ</t>
    </rPh>
    <phoneticPr fontId="1"/>
  </si>
  <si>
    <t>田中良和</t>
    <rPh sb="0" eb="4">
      <t>タナカヨシカズ</t>
    </rPh>
    <phoneticPr fontId="1"/>
  </si>
  <si>
    <t>工藤淳平</t>
    <rPh sb="0" eb="4">
      <t>クドウジュンペイ</t>
    </rPh>
    <phoneticPr fontId="1"/>
  </si>
  <si>
    <t>利尻電業株式会社</t>
    <rPh sb="0" eb="4">
      <t>リシリデンギョウ</t>
    </rPh>
    <rPh sb="4" eb="8">
      <t>カブシキガイシャ</t>
    </rPh>
    <phoneticPr fontId="1"/>
  </si>
  <si>
    <t>今野英尋</t>
    <rPh sb="0" eb="4">
      <t>コンノヒデヒロ</t>
    </rPh>
    <phoneticPr fontId="1"/>
  </si>
  <si>
    <t>工藤明美</t>
    <rPh sb="0" eb="2">
      <t>クドウ</t>
    </rPh>
    <rPh sb="2" eb="4">
      <t>アケミ</t>
    </rPh>
    <phoneticPr fontId="1"/>
  </si>
  <si>
    <t>北谷内英實</t>
    <rPh sb="0" eb="3">
      <t>キタヤウチ</t>
    </rPh>
    <rPh sb="3" eb="5">
      <t>ヒデヒロ</t>
    </rPh>
    <phoneticPr fontId="1"/>
  </si>
  <si>
    <t>入井浩文</t>
    <rPh sb="0" eb="3">
      <t>イリイヒロ</t>
    </rPh>
    <rPh sb="3" eb="4">
      <t>フミ</t>
    </rPh>
    <phoneticPr fontId="1"/>
  </si>
  <si>
    <t>柴田　諭</t>
    <rPh sb="0" eb="2">
      <t>シバタ</t>
    </rPh>
    <rPh sb="3" eb="4">
      <t>サトシ</t>
    </rPh>
    <phoneticPr fontId="1"/>
  </si>
  <si>
    <t>7/23発送</t>
    <rPh sb="4" eb="6">
      <t>ハッソウ</t>
    </rPh>
    <phoneticPr fontId="1"/>
  </si>
  <si>
    <t>柴田昭夫</t>
    <rPh sb="0" eb="4">
      <t>シバタアキオ</t>
    </rPh>
    <phoneticPr fontId="1"/>
  </si>
  <si>
    <t>えびな水産</t>
    <rPh sb="3" eb="5">
      <t>スイサン</t>
    </rPh>
    <phoneticPr fontId="1"/>
  </si>
  <si>
    <t>柏谷愛一</t>
    <rPh sb="0" eb="2">
      <t>カシワヤ</t>
    </rPh>
    <rPh sb="2" eb="4">
      <t>アイイチ</t>
    </rPh>
    <phoneticPr fontId="1"/>
  </si>
  <si>
    <t>菊池順一</t>
    <rPh sb="0" eb="2">
      <t>キクチ</t>
    </rPh>
    <rPh sb="2" eb="4">
      <t>ジュンイチ</t>
    </rPh>
    <phoneticPr fontId="1"/>
  </si>
  <si>
    <t>兼田雪枝</t>
    <rPh sb="0" eb="2">
      <t>カネタ</t>
    </rPh>
    <rPh sb="2" eb="4">
      <t>ユキエダ</t>
    </rPh>
    <phoneticPr fontId="1"/>
  </si>
  <si>
    <t>ハマナス観光株式会社</t>
    <rPh sb="4" eb="6">
      <t>カンコウ</t>
    </rPh>
    <rPh sb="6" eb="10">
      <t>カブシキガイシャ</t>
    </rPh>
    <phoneticPr fontId="1"/>
  </si>
  <si>
    <t>雨森幹夫</t>
    <rPh sb="0" eb="2">
      <t>アマモリ</t>
    </rPh>
    <rPh sb="2" eb="4">
      <t>ミキオ</t>
    </rPh>
    <phoneticPr fontId="1"/>
  </si>
  <si>
    <t>安達義彦</t>
    <rPh sb="0" eb="4">
      <t>アダチヨシヒコ</t>
    </rPh>
    <phoneticPr fontId="1"/>
  </si>
  <si>
    <t>　ベスト電器</t>
    <phoneticPr fontId="1"/>
  </si>
  <si>
    <t>尾形仁将</t>
    <rPh sb="0" eb="4">
      <t>オガタヒトシマサシ</t>
    </rPh>
    <phoneticPr fontId="1"/>
  </si>
  <si>
    <t>滝沢　誠</t>
    <rPh sb="0" eb="2">
      <t>タキザワ</t>
    </rPh>
    <rPh sb="3" eb="4">
      <t>マコト</t>
    </rPh>
    <phoneticPr fontId="1"/>
  </si>
  <si>
    <t>荒関正則</t>
    <rPh sb="0" eb="4">
      <t>アラセキマサノリ</t>
    </rPh>
    <phoneticPr fontId="1"/>
  </si>
  <si>
    <t>落合道博</t>
    <rPh sb="0" eb="2">
      <t>オチアイ</t>
    </rPh>
    <rPh sb="2" eb="4">
      <t>ミチヒロ</t>
    </rPh>
    <phoneticPr fontId="1"/>
  </si>
  <si>
    <t>10/3発送</t>
    <rPh sb="4" eb="6">
      <t>ハッソウ</t>
    </rPh>
    <phoneticPr fontId="1"/>
  </si>
  <si>
    <t>澤谷真粧美</t>
    <rPh sb="0" eb="2">
      <t>サワヤ</t>
    </rPh>
    <rPh sb="2" eb="3">
      <t>マ</t>
    </rPh>
    <rPh sb="3" eb="4">
      <t>ショウ</t>
    </rPh>
    <rPh sb="4" eb="5">
      <t>ミ</t>
    </rPh>
    <phoneticPr fontId="1"/>
  </si>
  <si>
    <t>岩木久恵</t>
    <rPh sb="0" eb="2">
      <t>イワキ</t>
    </rPh>
    <rPh sb="2" eb="4">
      <t>ヒサエ</t>
    </rPh>
    <phoneticPr fontId="1"/>
  </si>
  <si>
    <t>岩木久恵</t>
    <rPh sb="0" eb="4">
      <t>イワキヒサエ</t>
    </rPh>
    <phoneticPr fontId="1"/>
  </si>
  <si>
    <t>岡本敦子</t>
    <rPh sb="0" eb="2">
      <t>オカモト</t>
    </rPh>
    <rPh sb="2" eb="4">
      <t>アツコ</t>
    </rPh>
    <phoneticPr fontId="1"/>
  </si>
  <si>
    <t>八講　徹</t>
    <rPh sb="0" eb="2">
      <t>ハッコウ</t>
    </rPh>
    <rPh sb="3" eb="4">
      <t>トオル</t>
    </rPh>
    <phoneticPr fontId="1"/>
  </si>
  <si>
    <t>住吉美咲</t>
    <rPh sb="0" eb="2">
      <t>スミヨシ</t>
    </rPh>
    <rPh sb="2" eb="4">
      <t>ミサキ</t>
    </rPh>
    <phoneticPr fontId="1"/>
  </si>
  <si>
    <t>秋元雄司</t>
    <rPh sb="0" eb="2">
      <t>アキモト</t>
    </rPh>
    <rPh sb="2" eb="4">
      <t>ユウジ</t>
    </rPh>
    <phoneticPr fontId="1"/>
  </si>
  <si>
    <t>新谷寿可夫</t>
    <rPh sb="0" eb="2">
      <t>シンヤ</t>
    </rPh>
    <rPh sb="2" eb="3">
      <t>コトブキ</t>
    </rPh>
    <rPh sb="3" eb="4">
      <t>カ</t>
    </rPh>
    <rPh sb="4" eb="5">
      <t>フ</t>
    </rPh>
    <phoneticPr fontId="1"/>
  </si>
  <si>
    <t>菊池順一</t>
    <rPh sb="0" eb="4">
      <t>キクチジュンイチ</t>
    </rPh>
    <phoneticPr fontId="1"/>
  </si>
  <si>
    <t>○</t>
  </si>
  <si>
    <t>吉田利継</t>
    <rPh sb="0" eb="4">
      <t>ヨシダトシツグ</t>
    </rPh>
    <phoneticPr fontId="1"/>
  </si>
  <si>
    <t>福士水産(株)</t>
    <rPh sb="0" eb="4">
      <t>フクシスイサン</t>
    </rPh>
    <rPh sb="4" eb="7">
      <t>カブシキガイシャ</t>
    </rPh>
    <phoneticPr fontId="1"/>
  </si>
  <si>
    <t>竹島武美</t>
    <rPh sb="0" eb="4">
      <t>タケシマタケヨシ</t>
    </rPh>
    <phoneticPr fontId="1"/>
  </si>
  <si>
    <t>民宿なごり荘</t>
    <rPh sb="0" eb="2">
      <t>ミンシュク</t>
    </rPh>
    <rPh sb="5" eb="6">
      <t>ソウ</t>
    </rPh>
    <phoneticPr fontId="1"/>
  </si>
  <si>
    <t>山下幸人</t>
    <rPh sb="0" eb="2">
      <t>ヤマシタ</t>
    </rPh>
    <rPh sb="2" eb="4">
      <t>ユキト</t>
    </rPh>
    <phoneticPr fontId="1"/>
  </si>
  <si>
    <t>相馬　直</t>
    <rPh sb="0" eb="2">
      <t>ソウマ</t>
    </rPh>
    <rPh sb="3" eb="4">
      <t>ナオ</t>
    </rPh>
    <phoneticPr fontId="1"/>
  </si>
  <si>
    <t>中畑順一</t>
    <rPh sb="0" eb="4">
      <t>ナカハタジュンイチ</t>
    </rPh>
    <phoneticPr fontId="1"/>
  </si>
  <si>
    <t>正部川　寛</t>
    <rPh sb="0" eb="1">
      <t>タダシ</t>
    </rPh>
    <rPh sb="1" eb="3">
      <t>ブカワ</t>
    </rPh>
    <rPh sb="4" eb="5">
      <t>ヒロシ</t>
    </rPh>
    <phoneticPr fontId="1"/>
  </si>
  <si>
    <t>澤　秀治</t>
    <rPh sb="0" eb="1">
      <t>サワ</t>
    </rPh>
    <rPh sb="2" eb="4">
      <t>ヒデハル</t>
    </rPh>
    <phoneticPr fontId="1"/>
  </si>
  <si>
    <t>安達政行</t>
    <rPh sb="0" eb="3">
      <t>アダチマサ</t>
    </rPh>
    <rPh sb="3" eb="4">
      <t>ユキ</t>
    </rPh>
    <phoneticPr fontId="1"/>
  </si>
  <si>
    <t>✓</t>
  </si>
  <si>
    <t>中田悠介</t>
    <rPh sb="0" eb="2">
      <t>ナカタ</t>
    </rPh>
    <rPh sb="2" eb="4">
      <t>ユウスケ</t>
    </rPh>
    <phoneticPr fontId="1"/>
  </si>
  <si>
    <t>本江卓司</t>
    <rPh sb="0" eb="2">
      <t>ホンゴウ</t>
    </rPh>
    <rPh sb="2" eb="3">
      <t>タク</t>
    </rPh>
    <rPh sb="3" eb="4">
      <t>シ</t>
    </rPh>
    <phoneticPr fontId="1"/>
  </si>
  <si>
    <t>12/22発送</t>
    <rPh sb="5" eb="7">
      <t>ハッソウ</t>
    </rPh>
    <phoneticPr fontId="1"/>
  </si>
  <si>
    <t>ハマナス観光(株)</t>
    <rPh sb="4" eb="6">
      <t>カンコウ</t>
    </rPh>
    <rPh sb="6" eb="9">
      <t>カブシキガイシャ</t>
    </rPh>
    <phoneticPr fontId="1"/>
  </si>
  <si>
    <t>三上憂人</t>
    <rPh sb="0" eb="2">
      <t>ミカミ</t>
    </rPh>
    <rPh sb="2" eb="3">
      <t>ウレ</t>
    </rPh>
    <rPh sb="3" eb="4">
      <t>ヒト</t>
    </rPh>
    <phoneticPr fontId="1"/>
  </si>
  <si>
    <t>柴田　剛</t>
    <rPh sb="0" eb="2">
      <t>シバタ</t>
    </rPh>
    <rPh sb="3" eb="4">
      <t>ツヨシ</t>
    </rPh>
    <phoneticPr fontId="1"/>
  </si>
  <si>
    <t>杉田洋介</t>
    <rPh sb="0" eb="4">
      <t>スギタヨウスケ</t>
    </rPh>
    <phoneticPr fontId="1"/>
  </si>
  <si>
    <t>(株)吉安組</t>
    <rPh sb="0" eb="3">
      <t>カブシキガイシャ</t>
    </rPh>
    <rPh sb="3" eb="6">
      <t>ヨシヤスクミ</t>
    </rPh>
    <phoneticPr fontId="1"/>
  </si>
  <si>
    <t>工藤　博</t>
    <rPh sb="0" eb="2">
      <t>クドウ</t>
    </rPh>
    <rPh sb="3" eb="4">
      <t>ヒロシ</t>
    </rPh>
    <phoneticPr fontId="1"/>
  </si>
  <si>
    <t>澤　利弘</t>
    <rPh sb="0" eb="1">
      <t>サワ</t>
    </rPh>
    <rPh sb="2" eb="4">
      <t>トシヒロ</t>
    </rPh>
    <phoneticPr fontId="1"/>
  </si>
  <si>
    <t>橋本一男</t>
    <rPh sb="0" eb="2">
      <t>ハシモト</t>
    </rPh>
    <rPh sb="2" eb="4">
      <t>カズオ</t>
    </rPh>
    <phoneticPr fontId="1"/>
  </si>
  <si>
    <t>汲川志保</t>
    <rPh sb="0" eb="4">
      <t>クミカワシホ</t>
    </rPh>
    <phoneticPr fontId="1"/>
  </si>
  <si>
    <t>小坂勝哉</t>
    <rPh sb="0" eb="2">
      <t>コサカ</t>
    </rPh>
    <rPh sb="2" eb="4">
      <t>カツヤ</t>
    </rPh>
    <phoneticPr fontId="1"/>
  </si>
  <si>
    <t>3/24発送</t>
    <rPh sb="4" eb="6">
      <t>ハッソウ</t>
    </rPh>
    <phoneticPr fontId="1"/>
  </si>
  <si>
    <t>　野中亮佑</t>
    <rPh sb="1" eb="3">
      <t>ノナカ</t>
    </rPh>
    <rPh sb="3" eb="4">
      <t>リョウ</t>
    </rPh>
    <rPh sb="4" eb="5">
      <t>スケ</t>
    </rPh>
    <phoneticPr fontId="1"/>
  </si>
  <si>
    <t>佐藤正利</t>
    <rPh sb="0" eb="4">
      <t>サトウマサトシ</t>
    </rPh>
    <phoneticPr fontId="1"/>
  </si>
  <si>
    <t>佐々木端枝</t>
    <rPh sb="0" eb="3">
      <t>ササキ</t>
    </rPh>
    <rPh sb="3" eb="4">
      <t>ハシ</t>
    </rPh>
    <rPh sb="4" eb="5">
      <t>エ</t>
    </rPh>
    <phoneticPr fontId="1"/>
  </si>
  <si>
    <t>今井一穂</t>
    <rPh sb="0" eb="2">
      <t>イマイ</t>
    </rPh>
    <rPh sb="2" eb="4">
      <t>カズホ</t>
    </rPh>
    <phoneticPr fontId="1"/>
  </si>
  <si>
    <t>小野和治</t>
    <rPh sb="0" eb="2">
      <t>オノ</t>
    </rPh>
    <rPh sb="2" eb="4">
      <t>カズハル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</si>
</sst>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\.d"/>
    <numFmt numFmtId="177" formatCode="####0000"/>
    <numFmt numFmtId="178" formatCode="########00000000"/>
    <numFmt numFmtId="179" formatCode="m/d"/>
    <numFmt numFmtId="180" formatCode="yy/mm/dd"/>
    <numFmt numFmtId="181" formatCode="0;[Red]0"/>
  </numFmts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4"/>
      <name val="Wingdings"/>
      <charset val="2"/>
    </font>
    <font>
      <sz val="12"/>
      <name val="Wingdings"/>
      <charset val="2"/>
    </font>
    <font>
      <sz val="12"/>
      <name val="ＭＳ Ｐゴシック"/>
      <family val="3"/>
      <charset val="128"/>
    </font>
    <font>
      <sz val="9"/>
      <name val="ＭＳ ゴシック"/>
      <family val="3"/>
      <charset val="128"/>
    </font>
    <font>
      <sz val="18"/>
      <name val="HGS創英角ｺﾞｼｯｸUB"/>
      <family val="3"/>
      <charset val="128"/>
    </font>
    <font>
      <sz val="16"/>
      <color indexed="30"/>
      <name val="HGS創英角ｺﾞｼｯｸUB"/>
      <family val="3"/>
      <charset val="128"/>
    </font>
    <font>
      <sz val="18"/>
      <color indexed="30"/>
      <name val="HGS創英角ｺﾞｼｯｸUB"/>
      <family val="3"/>
      <charset val="128"/>
    </font>
    <font>
      <sz val="16"/>
      <name val="HGS創英角ｺﾞｼｯｸUB"/>
      <family val="3"/>
      <charset val="128"/>
    </font>
    <font>
      <sz val="18"/>
      <color indexed="10"/>
      <name val="HGS創英角ｺﾞｼｯｸUB"/>
      <family val="3"/>
      <charset val="128"/>
    </font>
    <font>
      <sz val="18"/>
      <color rgb="FFFF0000"/>
      <name val="HGS創英角ｺﾞｼｯｸUB"/>
      <family val="3"/>
      <charset val="128"/>
    </font>
    <font>
      <sz val="14"/>
      <color rgb="FFFF0000"/>
      <name val="HGS創英角ｺﾞｼｯｸUB"/>
      <family val="3"/>
      <charset val="128"/>
    </font>
    <font>
      <b/>
      <sz val="14"/>
      <color rgb="FFFF0000"/>
      <name val="ＭＳ ゴシック"/>
      <family val="3"/>
      <charset val="128"/>
    </font>
    <font>
      <b/>
      <sz val="12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left" vertical="center" indent="1" shrinkToFit="1"/>
    </xf>
    <xf numFmtId="181" fontId="2" fillId="0" borderId="0" xfId="0" applyNumberFormat="1" applyFont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6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1" shrinkToFit="1"/>
    </xf>
    <xf numFmtId="0" fontId="3" fillId="0" borderId="10" xfId="0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Border="1"/>
    <xf numFmtId="0" fontId="8" fillId="0" borderId="0" xfId="0" applyFont="1"/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 shrinkToFit="1"/>
    </xf>
    <xf numFmtId="177" fontId="3" fillId="0" borderId="14" xfId="0" applyNumberFormat="1" applyFont="1" applyBorder="1" applyAlignment="1">
      <alignment horizontal="center" vertical="center"/>
    </xf>
    <xf numFmtId="178" fontId="3" fillId="0" borderId="1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0" fontId="3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45DA-0EC1-4895-A303-27E3662F8ED3}">
  <sheetPr>
    <tabColor rgb="FFFFC000"/>
  </sheetPr>
  <dimension ref="A1:O993"/>
  <sheetViews>
    <sheetView zoomScaleNormal="100" workbookViewId="0">
      <pane ySplit="2" topLeftCell="A230" activePane="bottomLeft" state="frozen"/>
      <selection pane="bottomLeft" activeCell="L241" sqref="L241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4" customWidth="1"/>
    <col min="12" max="12" width="7.5" style="4" customWidth="1"/>
    <col min="13" max="13" width="10.5" style="4" bestFit="1" customWidth="1"/>
    <col min="14" max="16384" width="9" style="4"/>
  </cols>
  <sheetData>
    <row r="1" spans="1:14" ht="25.5" customHeight="1">
      <c r="A1" s="75" t="s">
        <v>49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4" s="6" customFormat="1" ht="21" customHeight="1">
      <c r="A2" s="5" t="s">
        <v>1</v>
      </c>
      <c r="B2" s="5" t="s">
        <v>5</v>
      </c>
      <c r="C2" s="5" t="s">
        <v>16</v>
      </c>
      <c r="D2" s="5" t="s">
        <v>17</v>
      </c>
      <c r="E2" s="5" t="s">
        <v>6</v>
      </c>
      <c r="F2" s="74" t="s">
        <v>0</v>
      </c>
      <c r="G2" s="74"/>
      <c r="H2" s="74"/>
      <c r="I2" s="5" t="s">
        <v>2</v>
      </c>
      <c r="J2" s="5" t="s">
        <v>3</v>
      </c>
      <c r="K2" s="15" t="s">
        <v>4</v>
      </c>
      <c r="L2" s="5" t="s">
        <v>15</v>
      </c>
      <c r="M2" s="5" t="s">
        <v>39</v>
      </c>
    </row>
    <row r="3" spans="1:14" ht="21" customHeight="1">
      <c r="A3" s="10">
        <v>1</v>
      </c>
      <c r="B3" s="16">
        <v>45651</v>
      </c>
      <c r="C3" s="2"/>
      <c r="D3" s="2" t="s">
        <v>44</v>
      </c>
      <c r="E3" s="53" t="s">
        <v>53</v>
      </c>
      <c r="F3" s="18">
        <v>1123</v>
      </c>
      <c r="G3" s="19">
        <v>10330463</v>
      </c>
      <c r="H3" s="20">
        <f t="shared" ref="H3:H66" si="0">IF(G3="","",(F3*100000000+G3)-7*INT((F3*100000000+G3)/7))</f>
        <v>2</v>
      </c>
      <c r="I3" s="20">
        <v>101</v>
      </c>
      <c r="J3" s="10">
        <v>40</v>
      </c>
      <c r="K3" s="21">
        <v>45651</v>
      </c>
      <c r="L3" s="29" t="s">
        <v>54</v>
      </c>
      <c r="M3" s="54" t="s">
        <v>55</v>
      </c>
    </row>
    <row r="4" spans="1:14" ht="21" customHeight="1">
      <c r="A4" s="10">
        <v>2</v>
      </c>
      <c r="B4" s="16">
        <v>45652</v>
      </c>
      <c r="C4" s="2"/>
      <c r="D4" s="2" t="s">
        <v>44</v>
      </c>
      <c r="E4" s="53" t="s">
        <v>56</v>
      </c>
      <c r="F4" s="18">
        <v>1122</v>
      </c>
      <c r="G4" s="19">
        <v>9591281</v>
      </c>
      <c r="H4" s="20">
        <f t="shared" si="0"/>
        <v>4</v>
      </c>
      <c r="I4" s="20">
        <v>100</v>
      </c>
      <c r="J4" s="10">
        <v>40</v>
      </c>
      <c r="K4" s="21">
        <v>45652</v>
      </c>
      <c r="L4" s="29" t="s">
        <v>54</v>
      </c>
      <c r="M4" s="54" t="s">
        <v>55</v>
      </c>
    </row>
    <row r="5" spans="1:14" ht="21" customHeight="1">
      <c r="A5" s="10">
        <v>3</v>
      </c>
      <c r="B5" s="16">
        <v>45654</v>
      </c>
      <c r="C5" s="2"/>
      <c r="D5" s="2" t="s">
        <v>44</v>
      </c>
      <c r="E5" s="53" t="s">
        <v>57</v>
      </c>
      <c r="F5" s="23">
        <v>1123</v>
      </c>
      <c r="G5" s="24">
        <v>10092331</v>
      </c>
      <c r="H5" s="20">
        <f t="shared" si="0"/>
        <v>3</v>
      </c>
      <c r="I5" s="20">
        <v>100</v>
      </c>
      <c r="J5" s="10">
        <v>40</v>
      </c>
      <c r="K5" s="21">
        <v>45652</v>
      </c>
      <c r="L5" s="29" t="s">
        <v>54</v>
      </c>
      <c r="M5" s="54" t="s">
        <v>55</v>
      </c>
      <c r="N5" s="12"/>
    </row>
    <row r="6" spans="1:14" ht="21" customHeight="1">
      <c r="A6" s="10">
        <v>4</v>
      </c>
      <c r="B6" s="16">
        <v>45654</v>
      </c>
      <c r="C6" s="2"/>
      <c r="D6" s="2" t="s">
        <v>44</v>
      </c>
      <c r="E6" s="53" t="s">
        <v>57</v>
      </c>
      <c r="F6" s="23">
        <v>1123</v>
      </c>
      <c r="G6" s="24">
        <v>10092334</v>
      </c>
      <c r="H6" s="20">
        <f t="shared" si="0"/>
        <v>6</v>
      </c>
      <c r="I6" s="20">
        <v>100</v>
      </c>
      <c r="J6" s="10">
        <v>40</v>
      </c>
      <c r="K6" s="21">
        <v>45651</v>
      </c>
      <c r="L6" s="29" t="s">
        <v>54</v>
      </c>
      <c r="M6" s="54" t="s">
        <v>55</v>
      </c>
    </row>
    <row r="7" spans="1:14" ht="21" customHeight="1">
      <c r="A7" s="10">
        <v>5</v>
      </c>
      <c r="B7" s="16">
        <v>45654</v>
      </c>
      <c r="C7" s="2"/>
      <c r="D7" s="2" t="s">
        <v>44</v>
      </c>
      <c r="E7" s="53" t="s">
        <v>57</v>
      </c>
      <c r="F7" s="18">
        <v>1123</v>
      </c>
      <c r="G7" s="19">
        <v>10092333</v>
      </c>
      <c r="H7" s="20">
        <f t="shared" si="0"/>
        <v>5</v>
      </c>
      <c r="I7" s="20">
        <v>110</v>
      </c>
      <c r="J7" s="10">
        <v>32</v>
      </c>
      <c r="K7" s="21">
        <v>45651</v>
      </c>
      <c r="L7" s="29" t="s">
        <v>54</v>
      </c>
      <c r="M7" s="54" t="s">
        <v>55</v>
      </c>
    </row>
    <row r="8" spans="1:14" ht="21" customHeight="1">
      <c r="A8" s="10">
        <v>6</v>
      </c>
      <c r="B8" s="16">
        <v>45654</v>
      </c>
      <c r="C8" s="2"/>
      <c r="D8" s="2" t="s">
        <v>44</v>
      </c>
      <c r="E8" s="53" t="s">
        <v>57</v>
      </c>
      <c r="F8" s="18">
        <v>1123</v>
      </c>
      <c r="G8" s="24">
        <v>10092336</v>
      </c>
      <c r="H8" s="20">
        <f t="shared" si="0"/>
        <v>1</v>
      </c>
      <c r="I8" s="20">
        <v>185</v>
      </c>
      <c r="J8" s="10">
        <v>10</v>
      </c>
      <c r="K8" s="21">
        <v>45651</v>
      </c>
      <c r="L8" s="29" t="s">
        <v>54</v>
      </c>
      <c r="M8" s="54" t="s">
        <v>55</v>
      </c>
    </row>
    <row r="9" spans="1:14" ht="21" customHeight="1">
      <c r="A9" s="10">
        <v>7</v>
      </c>
      <c r="B9" s="16">
        <v>45654</v>
      </c>
      <c r="C9" s="2"/>
      <c r="D9" s="2" t="s">
        <v>44</v>
      </c>
      <c r="E9" s="53" t="s">
        <v>57</v>
      </c>
      <c r="F9" s="18">
        <v>1123</v>
      </c>
      <c r="G9" s="19">
        <v>10092335</v>
      </c>
      <c r="H9" s="20">
        <f t="shared" si="0"/>
        <v>0</v>
      </c>
      <c r="I9" s="20">
        <v>185</v>
      </c>
      <c r="J9" s="10">
        <v>10</v>
      </c>
      <c r="K9" s="21">
        <v>45651</v>
      </c>
      <c r="L9" s="29" t="s">
        <v>54</v>
      </c>
      <c r="M9" s="54" t="s">
        <v>55</v>
      </c>
    </row>
    <row r="10" spans="1:14" ht="21" customHeight="1">
      <c r="A10" s="10">
        <v>8</v>
      </c>
      <c r="B10" s="16">
        <v>45654</v>
      </c>
      <c r="C10" s="1"/>
      <c r="D10" s="2" t="s">
        <v>44</v>
      </c>
      <c r="E10" s="53" t="s">
        <v>56</v>
      </c>
      <c r="F10" s="18">
        <v>1122</v>
      </c>
      <c r="G10" s="19">
        <v>9591255</v>
      </c>
      <c r="H10" s="20">
        <f t="shared" si="0"/>
        <v>6</v>
      </c>
      <c r="I10" s="20">
        <v>100</v>
      </c>
      <c r="J10" s="10">
        <v>32</v>
      </c>
      <c r="K10" s="21">
        <v>45654</v>
      </c>
      <c r="L10" s="29" t="s">
        <v>54</v>
      </c>
      <c r="M10" s="54" t="s">
        <v>55</v>
      </c>
    </row>
    <row r="11" spans="1:14" ht="21" customHeight="1">
      <c r="A11" s="10">
        <v>9</v>
      </c>
      <c r="B11" s="16">
        <v>45668</v>
      </c>
      <c r="C11" s="2"/>
      <c r="D11" s="2" t="s">
        <v>44</v>
      </c>
      <c r="E11" s="53" t="s">
        <v>58</v>
      </c>
      <c r="F11" s="18">
        <v>23</v>
      </c>
      <c r="G11" s="19">
        <v>40247666</v>
      </c>
      <c r="H11" s="20">
        <f t="shared" si="0"/>
        <v>1</v>
      </c>
      <c r="I11" s="20">
        <v>114</v>
      </c>
      <c r="J11" s="10">
        <v>22</v>
      </c>
      <c r="K11" s="21">
        <v>45668</v>
      </c>
      <c r="L11" s="29" t="s">
        <v>54</v>
      </c>
      <c r="M11" s="54" t="s">
        <v>55</v>
      </c>
    </row>
    <row r="12" spans="1:14" ht="21" customHeight="1">
      <c r="A12" s="10">
        <v>10</v>
      </c>
      <c r="B12" s="16">
        <v>45671</v>
      </c>
      <c r="C12" s="2"/>
      <c r="D12" s="2" t="s">
        <v>44</v>
      </c>
      <c r="E12" s="53" t="s">
        <v>57</v>
      </c>
      <c r="F12" s="18">
        <v>1123</v>
      </c>
      <c r="G12" s="19">
        <v>10092338</v>
      </c>
      <c r="H12" s="20">
        <f t="shared" si="0"/>
        <v>3</v>
      </c>
      <c r="I12" s="20">
        <v>100</v>
      </c>
      <c r="J12" s="10">
        <v>32</v>
      </c>
      <c r="K12" s="21">
        <v>45671</v>
      </c>
      <c r="L12" s="29" t="s">
        <v>54</v>
      </c>
      <c r="M12" s="54" t="s">
        <v>55</v>
      </c>
    </row>
    <row r="13" spans="1:14" ht="21" customHeight="1">
      <c r="A13" s="10">
        <v>11</v>
      </c>
      <c r="B13" s="16">
        <v>45689</v>
      </c>
      <c r="C13" s="2" t="s">
        <v>44</v>
      </c>
      <c r="D13" s="2"/>
      <c r="E13" s="53" t="s">
        <v>59</v>
      </c>
      <c r="F13" s="18">
        <v>24</v>
      </c>
      <c r="G13" s="19">
        <v>20613493</v>
      </c>
      <c r="H13" s="20">
        <f t="shared" si="0"/>
        <v>4</v>
      </c>
      <c r="I13" s="20">
        <v>114</v>
      </c>
      <c r="J13" s="10">
        <v>22</v>
      </c>
      <c r="K13" s="21">
        <v>45689</v>
      </c>
      <c r="L13" s="29" t="s">
        <v>54</v>
      </c>
      <c r="M13" s="54" t="s">
        <v>55</v>
      </c>
    </row>
    <row r="14" spans="1:14" ht="21" customHeight="1">
      <c r="A14" s="10">
        <v>12</v>
      </c>
      <c r="B14" s="16">
        <v>45734</v>
      </c>
      <c r="C14" s="2"/>
      <c r="D14" s="2" t="s">
        <v>44</v>
      </c>
      <c r="E14" s="53" t="s">
        <v>57</v>
      </c>
      <c r="F14" s="18">
        <v>1123</v>
      </c>
      <c r="G14" s="19">
        <v>10092342</v>
      </c>
      <c r="H14" s="20">
        <f t="shared" si="0"/>
        <v>0</v>
      </c>
      <c r="I14" s="20">
        <v>110</v>
      </c>
      <c r="J14" s="10">
        <v>32</v>
      </c>
      <c r="K14" s="21">
        <v>45734</v>
      </c>
      <c r="L14" s="29" t="s">
        <v>54</v>
      </c>
      <c r="M14" s="54" t="s">
        <v>55</v>
      </c>
    </row>
    <row r="15" spans="1:14" ht="21" customHeight="1">
      <c r="A15" s="10">
        <v>13</v>
      </c>
      <c r="B15" s="16">
        <v>45740</v>
      </c>
      <c r="C15" s="16"/>
      <c r="D15" s="2" t="s">
        <v>44</v>
      </c>
      <c r="E15" s="53" t="s">
        <v>57</v>
      </c>
      <c r="F15" s="18">
        <v>1123</v>
      </c>
      <c r="G15" s="19">
        <v>10092552</v>
      </c>
      <c r="H15" s="20">
        <f t="shared" si="0"/>
        <v>0</v>
      </c>
      <c r="I15" s="20">
        <v>100</v>
      </c>
      <c r="J15" s="10">
        <v>32</v>
      </c>
      <c r="K15" s="21">
        <v>45740</v>
      </c>
      <c r="L15" s="29" t="s">
        <v>54</v>
      </c>
      <c r="M15" s="54" t="s">
        <v>55</v>
      </c>
    </row>
    <row r="16" spans="1:14" ht="21" customHeight="1">
      <c r="A16" s="10">
        <v>14</v>
      </c>
      <c r="B16" s="16">
        <v>45740</v>
      </c>
      <c r="C16" s="16"/>
      <c r="D16" s="2" t="s">
        <v>44</v>
      </c>
      <c r="E16" s="53" t="s">
        <v>57</v>
      </c>
      <c r="F16" s="18">
        <v>1123</v>
      </c>
      <c r="G16" s="19">
        <v>10092550</v>
      </c>
      <c r="H16" s="20">
        <f t="shared" si="0"/>
        <v>5</v>
      </c>
      <c r="I16" s="20">
        <v>110</v>
      </c>
      <c r="J16" s="10">
        <v>40</v>
      </c>
      <c r="K16" s="21">
        <v>45740</v>
      </c>
      <c r="L16" s="29" t="s">
        <v>54</v>
      </c>
      <c r="M16" s="54" t="s">
        <v>55</v>
      </c>
    </row>
    <row r="17" spans="1:13" ht="21" customHeight="1">
      <c r="A17" s="10">
        <v>15</v>
      </c>
      <c r="B17" s="16">
        <v>45741</v>
      </c>
      <c r="C17" s="16"/>
      <c r="D17" s="2" t="s">
        <v>44</v>
      </c>
      <c r="E17" s="53" t="s">
        <v>57</v>
      </c>
      <c r="F17" s="18">
        <v>1123</v>
      </c>
      <c r="G17" s="19">
        <v>10092349</v>
      </c>
      <c r="H17" s="20">
        <f t="shared" si="0"/>
        <v>0</v>
      </c>
      <c r="I17" s="20">
        <v>100</v>
      </c>
      <c r="J17" s="10">
        <v>32</v>
      </c>
      <c r="K17" s="21">
        <v>45741</v>
      </c>
      <c r="L17" s="29" t="s">
        <v>54</v>
      </c>
      <c r="M17" s="54" t="s">
        <v>55</v>
      </c>
    </row>
    <row r="18" spans="1:13" ht="21" customHeight="1">
      <c r="A18" s="10">
        <v>16</v>
      </c>
      <c r="B18" s="16">
        <v>45742</v>
      </c>
      <c r="C18" s="2" t="s">
        <v>44</v>
      </c>
      <c r="D18" s="2"/>
      <c r="E18" s="53" t="s">
        <v>60</v>
      </c>
      <c r="F18" s="18">
        <v>23</v>
      </c>
      <c r="G18" s="19">
        <v>20028430</v>
      </c>
      <c r="H18" s="20">
        <f t="shared" si="0"/>
        <v>6</v>
      </c>
      <c r="I18" s="20">
        <v>100</v>
      </c>
      <c r="J18" s="10">
        <v>22</v>
      </c>
      <c r="K18" s="21">
        <v>45742</v>
      </c>
      <c r="L18" s="29" t="s">
        <v>54</v>
      </c>
      <c r="M18" s="54" t="s">
        <v>55</v>
      </c>
    </row>
    <row r="19" spans="1:13" ht="21" customHeight="1">
      <c r="A19" s="10">
        <v>17</v>
      </c>
      <c r="B19" s="16">
        <v>45742</v>
      </c>
      <c r="C19" s="2" t="s">
        <v>44</v>
      </c>
      <c r="D19" s="2"/>
      <c r="E19" s="53" t="s">
        <v>60</v>
      </c>
      <c r="F19" s="18">
        <v>24</v>
      </c>
      <c r="G19" s="19">
        <v>20613495</v>
      </c>
      <c r="H19" s="20">
        <f t="shared" si="0"/>
        <v>6</v>
      </c>
      <c r="I19" s="20">
        <v>114</v>
      </c>
      <c r="J19" s="10">
        <v>22</v>
      </c>
      <c r="K19" s="21">
        <v>45742</v>
      </c>
      <c r="L19" s="29" t="s">
        <v>54</v>
      </c>
      <c r="M19" s="54" t="s">
        <v>55</v>
      </c>
    </row>
    <row r="20" spans="1:13" ht="21" customHeight="1">
      <c r="A20" s="10">
        <v>18</v>
      </c>
      <c r="B20" s="16">
        <v>45742</v>
      </c>
      <c r="C20" s="2" t="s">
        <v>44</v>
      </c>
      <c r="D20" s="2"/>
      <c r="E20" s="53" t="s">
        <v>60</v>
      </c>
      <c r="F20" s="18">
        <v>23</v>
      </c>
      <c r="G20" s="19">
        <v>20028429</v>
      </c>
      <c r="H20" s="20">
        <f t="shared" si="0"/>
        <v>5</v>
      </c>
      <c r="I20" s="20">
        <v>114</v>
      </c>
      <c r="J20" s="10">
        <v>22</v>
      </c>
      <c r="K20" s="21">
        <v>45742</v>
      </c>
      <c r="L20" s="29" t="s">
        <v>54</v>
      </c>
      <c r="M20" s="54" t="s">
        <v>55</v>
      </c>
    </row>
    <row r="21" spans="1:13" ht="21" customHeight="1">
      <c r="A21" s="10">
        <v>19</v>
      </c>
      <c r="B21" s="16">
        <v>45749</v>
      </c>
      <c r="C21" s="16"/>
      <c r="D21" s="2" t="s">
        <v>44</v>
      </c>
      <c r="E21" s="7" t="s">
        <v>68</v>
      </c>
      <c r="F21" s="18">
        <v>1121</v>
      </c>
      <c r="G21" s="19">
        <v>9097203</v>
      </c>
      <c r="H21" s="20">
        <f t="shared" si="0"/>
        <v>5</v>
      </c>
      <c r="I21" s="20">
        <v>100</v>
      </c>
      <c r="J21" s="10">
        <v>32</v>
      </c>
      <c r="K21" s="21">
        <v>45749</v>
      </c>
      <c r="L21" s="29" t="s">
        <v>54</v>
      </c>
      <c r="M21" s="29"/>
    </row>
    <row r="22" spans="1:13" ht="21" customHeight="1">
      <c r="A22" s="10">
        <v>20</v>
      </c>
      <c r="B22" s="16">
        <v>45749</v>
      </c>
      <c r="C22" s="16"/>
      <c r="D22" s="2" t="s">
        <v>44</v>
      </c>
      <c r="E22" s="7" t="s">
        <v>68</v>
      </c>
      <c r="F22" s="18">
        <v>1121</v>
      </c>
      <c r="G22" s="19">
        <v>9097163</v>
      </c>
      <c r="H22" s="20">
        <f t="shared" si="0"/>
        <v>0</v>
      </c>
      <c r="I22" s="20">
        <v>100</v>
      </c>
      <c r="J22" s="10">
        <v>32</v>
      </c>
      <c r="K22" s="21">
        <v>45749</v>
      </c>
      <c r="L22" s="29" t="s">
        <v>54</v>
      </c>
      <c r="M22" s="29"/>
    </row>
    <row r="23" spans="1:13" ht="21" customHeight="1">
      <c r="A23" s="10">
        <v>21</v>
      </c>
      <c r="B23" s="16">
        <v>45749</v>
      </c>
      <c r="C23" s="16"/>
      <c r="D23" s="2" t="s">
        <v>44</v>
      </c>
      <c r="E23" s="7" t="s">
        <v>68</v>
      </c>
      <c r="F23" s="18">
        <v>1121</v>
      </c>
      <c r="G23" s="19">
        <v>9097206</v>
      </c>
      <c r="H23" s="20">
        <f t="shared" si="0"/>
        <v>1</v>
      </c>
      <c r="I23" s="20">
        <v>101</v>
      </c>
      <c r="J23" s="10">
        <v>40</v>
      </c>
      <c r="K23" s="21">
        <v>45749</v>
      </c>
      <c r="L23" s="29" t="s">
        <v>54</v>
      </c>
      <c r="M23" s="29"/>
    </row>
    <row r="24" spans="1:13" ht="21" customHeight="1">
      <c r="A24" s="10">
        <v>22</v>
      </c>
      <c r="B24" s="16">
        <v>45749</v>
      </c>
      <c r="C24" s="16"/>
      <c r="D24" s="2" t="s">
        <v>44</v>
      </c>
      <c r="E24" s="7" t="s">
        <v>68</v>
      </c>
      <c r="F24" s="18">
        <v>1121</v>
      </c>
      <c r="G24" s="19">
        <v>9097204</v>
      </c>
      <c r="H24" s="20">
        <f t="shared" si="0"/>
        <v>6</v>
      </c>
      <c r="I24" s="20">
        <v>100</v>
      </c>
      <c r="J24" s="10">
        <v>52</v>
      </c>
      <c r="K24" s="21">
        <v>45749</v>
      </c>
      <c r="L24" s="29" t="s">
        <v>54</v>
      </c>
      <c r="M24" s="29"/>
    </row>
    <row r="25" spans="1:13" ht="21" customHeight="1">
      <c r="A25" s="10">
        <v>23</v>
      </c>
      <c r="B25" s="16">
        <v>45749</v>
      </c>
      <c r="C25" s="16"/>
      <c r="D25" s="2" t="s">
        <v>44</v>
      </c>
      <c r="E25" s="7" t="s">
        <v>68</v>
      </c>
      <c r="F25" s="18">
        <v>1121</v>
      </c>
      <c r="G25" s="19">
        <v>9097209</v>
      </c>
      <c r="H25" s="20">
        <f t="shared" si="0"/>
        <v>4</v>
      </c>
      <c r="I25" s="20">
        <v>100</v>
      </c>
      <c r="J25" s="10">
        <v>52</v>
      </c>
      <c r="K25" s="21">
        <v>45749</v>
      </c>
      <c r="L25" s="29" t="s">
        <v>54</v>
      </c>
      <c r="M25" s="29"/>
    </row>
    <row r="26" spans="1:13" ht="21" customHeight="1">
      <c r="A26" s="10">
        <v>24</v>
      </c>
      <c r="B26" s="16">
        <v>45749</v>
      </c>
      <c r="C26" s="16"/>
      <c r="D26" s="2" t="s">
        <v>44</v>
      </c>
      <c r="E26" s="7" t="s">
        <v>68</v>
      </c>
      <c r="F26" s="18">
        <v>1121</v>
      </c>
      <c r="G26" s="19">
        <v>9097208</v>
      </c>
      <c r="H26" s="20">
        <f t="shared" si="0"/>
        <v>3</v>
      </c>
      <c r="I26" s="20">
        <v>100</v>
      </c>
      <c r="J26" s="10">
        <v>52</v>
      </c>
      <c r="K26" s="21">
        <v>45749</v>
      </c>
      <c r="L26" s="29" t="s">
        <v>54</v>
      </c>
      <c r="M26" s="29"/>
    </row>
    <row r="27" spans="1:13" ht="21" customHeight="1">
      <c r="A27" s="10">
        <v>25</v>
      </c>
      <c r="B27" s="16">
        <v>45749</v>
      </c>
      <c r="C27" s="16"/>
      <c r="D27" s="2" t="s">
        <v>44</v>
      </c>
      <c r="E27" s="7" t="s">
        <v>68</v>
      </c>
      <c r="F27" s="18">
        <v>1121</v>
      </c>
      <c r="G27" s="19">
        <v>9097207</v>
      </c>
      <c r="H27" s="20">
        <f t="shared" si="0"/>
        <v>2</v>
      </c>
      <c r="I27" s="20">
        <v>100</v>
      </c>
      <c r="J27" s="10">
        <v>32</v>
      </c>
      <c r="K27" s="21">
        <v>45749</v>
      </c>
      <c r="L27" s="29" t="s">
        <v>54</v>
      </c>
      <c r="M27" s="29"/>
    </row>
    <row r="28" spans="1:13" ht="21" customHeight="1">
      <c r="A28" s="10">
        <v>26</v>
      </c>
      <c r="B28" s="16">
        <v>45750</v>
      </c>
      <c r="C28" s="16"/>
      <c r="D28" s="2" t="s">
        <v>44</v>
      </c>
      <c r="E28" s="7" t="s">
        <v>69</v>
      </c>
      <c r="F28" s="18">
        <v>24</v>
      </c>
      <c r="G28" s="19">
        <v>20361153</v>
      </c>
      <c r="H28" s="20">
        <f t="shared" si="0"/>
        <v>0</v>
      </c>
      <c r="I28" s="20">
        <v>100</v>
      </c>
      <c r="J28" s="10">
        <v>52</v>
      </c>
      <c r="K28" s="21">
        <v>45750</v>
      </c>
      <c r="L28" s="29" t="s">
        <v>54</v>
      </c>
      <c r="M28" s="29"/>
    </row>
    <row r="29" spans="1:13" ht="21" customHeight="1">
      <c r="A29" s="10">
        <v>27</v>
      </c>
      <c r="B29" s="16">
        <v>45756</v>
      </c>
      <c r="C29" s="16"/>
      <c r="D29" s="2" t="s">
        <v>44</v>
      </c>
      <c r="E29" s="7" t="s">
        <v>57</v>
      </c>
      <c r="F29" s="18">
        <v>1123</v>
      </c>
      <c r="G29" s="19">
        <v>10092557</v>
      </c>
      <c r="H29" s="20">
        <f t="shared" si="0"/>
        <v>5</v>
      </c>
      <c r="I29" s="20">
        <v>100</v>
      </c>
      <c r="J29" s="10">
        <v>40</v>
      </c>
      <c r="K29" s="21">
        <v>45756</v>
      </c>
      <c r="L29" s="29" t="s">
        <v>54</v>
      </c>
      <c r="M29" s="29"/>
    </row>
    <row r="30" spans="1:13" ht="21" customHeight="1">
      <c r="A30" s="10">
        <v>28</v>
      </c>
      <c r="B30" s="16">
        <v>45756</v>
      </c>
      <c r="C30" s="16"/>
      <c r="D30" s="2" t="s">
        <v>44</v>
      </c>
      <c r="E30" s="7" t="s">
        <v>57</v>
      </c>
      <c r="F30" s="18">
        <v>1123</v>
      </c>
      <c r="G30" s="19">
        <v>10092555</v>
      </c>
      <c r="H30" s="20">
        <f t="shared" si="0"/>
        <v>3</v>
      </c>
      <c r="I30" s="20">
        <v>101</v>
      </c>
      <c r="J30" s="10">
        <v>40</v>
      </c>
      <c r="K30" s="21">
        <v>45756</v>
      </c>
      <c r="L30" s="29" t="s">
        <v>54</v>
      </c>
      <c r="M30" s="29"/>
    </row>
    <row r="31" spans="1:13" ht="21" customHeight="1">
      <c r="A31" s="10">
        <v>29</v>
      </c>
      <c r="B31" s="16">
        <v>45756</v>
      </c>
      <c r="C31" s="16"/>
      <c r="D31" s="2" t="s">
        <v>44</v>
      </c>
      <c r="E31" s="7" t="s">
        <v>57</v>
      </c>
      <c r="F31" s="18">
        <v>1123</v>
      </c>
      <c r="G31" s="19">
        <v>10092556</v>
      </c>
      <c r="H31" s="20">
        <f t="shared" si="0"/>
        <v>4</v>
      </c>
      <c r="I31" s="20">
        <v>110</v>
      </c>
      <c r="J31" s="10">
        <v>40</v>
      </c>
      <c r="K31" s="21">
        <v>45756</v>
      </c>
      <c r="L31" s="29" t="s">
        <v>54</v>
      </c>
      <c r="M31" s="29"/>
    </row>
    <row r="32" spans="1:13" ht="21" customHeight="1">
      <c r="A32" s="10">
        <v>30</v>
      </c>
      <c r="B32" s="16">
        <v>45761</v>
      </c>
      <c r="C32" s="16"/>
      <c r="D32" s="2" t="s">
        <v>44</v>
      </c>
      <c r="E32" s="7" t="s">
        <v>57</v>
      </c>
      <c r="F32" s="18">
        <v>1123</v>
      </c>
      <c r="G32" s="19">
        <v>10092561</v>
      </c>
      <c r="H32" s="20">
        <f t="shared" si="0"/>
        <v>2</v>
      </c>
      <c r="I32" s="20">
        <v>100</v>
      </c>
      <c r="J32" s="10">
        <v>32</v>
      </c>
      <c r="K32" s="21">
        <v>45756</v>
      </c>
      <c r="L32" s="29" t="s">
        <v>54</v>
      </c>
      <c r="M32" s="29"/>
    </row>
    <row r="33" spans="1:13" ht="21" customHeight="1">
      <c r="A33" s="10">
        <v>31</v>
      </c>
      <c r="B33" s="16">
        <v>45761</v>
      </c>
      <c r="C33" s="16"/>
      <c r="D33" s="2" t="s">
        <v>44</v>
      </c>
      <c r="E33" s="7" t="s">
        <v>57</v>
      </c>
      <c r="F33" s="18">
        <v>1123</v>
      </c>
      <c r="G33" s="19">
        <v>10092564</v>
      </c>
      <c r="H33" s="20">
        <f t="shared" si="0"/>
        <v>5</v>
      </c>
      <c r="I33" s="20">
        <v>100</v>
      </c>
      <c r="J33" s="10">
        <v>52</v>
      </c>
      <c r="K33" s="21">
        <v>45759</v>
      </c>
      <c r="L33" s="29" t="s">
        <v>54</v>
      </c>
      <c r="M33" s="29"/>
    </row>
    <row r="34" spans="1:13" ht="21" customHeight="1">
      <c r="A34" s="10">
        <v>32</v>
      </c>
      <c r="B34" s="16">
        <v>45761</v>
      </c>
      <c r="C34" s="16"/>
      <c r="D34" s="2" t="s">
        <v>44</v>
      </c>
      <c r="E34" s="7" t="s">
        <v>57</v>
      </c>
      <c r="F34" s="18">
        <v>1123</v>
      </c>
      <c r="G34" s="19">
        <v>10092562</v>
      </c>
      <c r="H34" s="20">
        <f t="shared" si="0"/>
        <v>3</v>
      </c>
      <c r="I34" s="20">
        <v>100</v>
      </c>
      <c r="J34" s="10">
        <v>40</v>
      </c>
      <c r="K34" s="21">
        <v>45756</v>
      </c>
      <c r="L34" s="29" t="s">
        <v>54</v>
      </c>
      <c r="M34" s="29"/>
    </row>
    <row r="35" spans="1:13" ht="21" customHeight="1">
      <c r="A35" s="10">
        <v>33</v>
      </c>
      <c r="B35" s="16">
        <v>45761</v>
      </c>
      <c r="C35" s="16"/>
      <c r="D35" s="2" t="s">
        <v>44</v>
      </c>
      <c r="E35" s="7" t="s">
        <v>57</v>
      </c>
      <c r="F35" s="18">
        <v>1123</v>
      </c>
      <c r="G35" s="19">
        <v>10092563</v>
      </c>
      <c r="H35" s="20">
        <f t="shared" si="0"/>
        <v>4</v>
      </c>
      <c r="I35" s="20">
        <v>100</v>
      </c>
      <c r="J35" s="10">
        <v>40</v>
      </c>
      <c r="K35" s="21">
        <v>45759</v>
      </c>
      <c r="L35" s="29" t="s">
        <v>54</v>
      </c>
      <c r="M35" s="29"/>
    </row>
    <row r="36" spans="1:13" ht="21" customHeight="1">
      <c r="A36" s="10">
        <v>34</v>
      </c>
      <c r="B36" s="16">
        <v>45761</v>
      </c>
      <c r="C36" s="16"/>
      <c r="D36" s="2" t="s">
        <v>44</v>
      </c>
      <c r="E36" s="7" t="s">
        <v>57</v>
      </c>
      <c r="F36" s="18">
        <v>1123</v>
      </c>
      <c r="G36" s="19">
        <v>10092565</v>
      </c>
      <c r="H36" s="20">
        <f t="shared" si="0"/>
        <v>6</v>
      </c>
      <c r="I36" s="20">
        <v>100</v>
      </c>
      <c r="J36" s="10">
        <v>52</v>
      </c>
      <c r="K36" s="21">
        <v>45759</v>
      </c>
      <c r="L36" s="29" t="s">
        <v>54</v>
      </c>
      <c r="M36" s="29"/>
    </row>
    <row r="37" spans="1:13" ht="21" customHeight="1">
      <c r="A37" s="10">
        <v>35</v>
      </c>
      <c r="B37" s="16">
        <v>45762</v>
      </c>
      <c r="C37" s="2" t="s">
        <v>44</v>
      </c>
      <c r="D37" s="16"/>
      <c r="E37" s="7" t="s">
        <v>70</v>
      </c>
      <c r="F37" s="18">
        <v>24</v>
      </c>
      <c r="G37" s="19">
        <v>20491101</v>
      </c>
      <c r="H37" s="20">
        <f t="shared" si="0"/>
        <v>0</v>
      </c>
      <c r="I37" s="20">
        <v>110</v>
      </c>
      <c r="J37" s="10">
        <v>40</v>
      </c>
      <c r="K37" s="21">
        <v>45762</v>
      </c>
      <c r="L37" s="29" t="s">
        <v>54</v>
      </c>
      <c r="M37" s="29"/>
    </row>
    <row r="38" spans="1:13" ht="21" customHeight="1">
      <c r="A38" s="10">
        <v>36</v>
      </c>
      <c r="B38" s="16">
        <v>45762</v>
      </c>
      <c r="C38" s="2" t="s">
        <v>44</v>
      </c>
      <c r="D38" s="16"/>
      <c r="E38" s="7" t="s">
        <v>70</v>
      </c>
      <c r="F38" s="18">
        <v>24</v>
      </c>
      <c r="G38" s="19">
        <v>20613490</v>
      </c>
      <c r="H38" s="20">
        <f t="shared" si="0"/>
        <v>1</v>
      </c>
      <c r="I38" s="20">
        <v>100</v>
      </c>
      <c r="J38" s="10">
        <v>32</v>
      </c>
      <c r="K38" s="21">
        <v>45762</v>
      </c>
      <c r="L38" s="29" t="s">
        <v>54</v>
      </c>
      <c r="M38" s="29"/>
    </row>
    <row r="39" spans="1:13" ht="21" customHeight="1">
      <c r="A39" s="10">
        <v>37</v>
      </c>
      <c r="B39" s="16">
        <v>45764</v>
      </c>
      <c r="C39" s="16"/>
      <c r="D39" s="2" t="s">
        <v>44</v>
      </c>
      <c r="E39" s="7" t="s">
        <v>57</v>
      </c>
      <c r="F39" s="18">
        <v>1123</v>
      </c>
      <c r="G39" s="19">
        <v>10092567</v>
      </c>
      <c r="H39" s="20">
        <f t="shared" si="0"/>
        <v>1</v>
      </c>
      <c r="I39" s="20">
        <v>110</v>
      </c>
      <c r="J39" s="10">
        <v>32</v>
      </c>
      <c r="K39" s="21">
        <v>45762</v>
      </c>
      <c r="L39" s="29" t="s">
        <v>54</v>
      </c>
      <c r="M39" s="29"/>
    </row>
    <row r="40" spans="1:13" ht="21" customHeight="1">
      <c r="A40" s="10">
        <v>38</v>
      </c>
      <c r="B40" s="16">
        <v>45764</v>
      </c>
      <c r="C40" s="16"/>
      <c r="D40" s="2" t="s">
        <v>44</v>
      </c>
      <c r="E40" s="7" t="s">
        <v>57</v>
      </c>
      <c r="F40" s="18">
        <v>1123</v>
      </c>
      <c r="G40" s="19">
        <v>10092570</v>
      </c>
      <c r="H40" s="20">
        <f t="shared" si="0"/>
        <v>4</v>
      </c>
      <c r="I40" s="20">
        <v>101</v>
      </c>
      <c r="J40" s="10">
        <v>40</v>
      </c>
      <c r="K40" s="21">
        <v>45762</v>
      </c>
      <c r="L40" s="29" t="s">
        <v>54</v>
      </c>
      <c r="M40" s="29"/>
    </row>
    <row r="41" spans="1:13" ht="21" customHeight="1">
      <c r="A41" s="10">
        <v>39</v>
      </c>
      <c r="B41" s="16">
        <v>45764</v>
      </c>
      <c r="C41" s="16"/>
      <c r="D41" s="2" t="s">
        <v>44</v>
      </c>
      <c r="E41" s="7" t="s">
        <v>57</v>
      </c>
      <c r="F41" s="18">
        <v>1123</v>
      </c>
      <c r="G41" s="19">
        <v>10092569</v>
      </c>
      <c r="H41" s="20">
        <f t="shared" si="0"/>
        <v>3</v>
      </c>
      <c r="I41" s="20">
        <v>100</v>
      </c>
      <c r="J41" s="10">
        <v>40</v>
      </c>
      <c r="K41" s="21">
        <v>45763</v>
      </c>
      <c r="L41" s="29" t="s">
        <v>54</v>
      </c>
      <c r="M41" s="29"/>
    </row>
    <row r="42" spans="1:13" ht="21" customHeight="1">
      <c r="A42" s="10">
        <v>40</v>
      </c>
      <c r="B42" s="16">
        <v>45765</v>
      </c>
      <c r="C42" s="16"/>
      <c r="D42" s="2" t="s">
        <v>44</v>
      </c>
      <c r="E42" s="7" t="s">
        <v>57</v>
      </c>
      <c r="F42" s="18">
        <v>1123</v>
      </c>
      <c r="G42" s="19">
        <v>10092571</v>
      </c>
      <c r="H42" s="20">
        <f t="shared" si="0"/>
        <v>5</v>
      </c>
      <c r="I42" s="20">
        <v>100</v>
      </c>
      <c r="J42" s="10">
        <v>40</v>
      </c>
      <c r="K42" s="21">
        <v>45764</v>
      </c>
      <c r="L42" s="29" t="s">
        <v>54</v>
      </c>
      <c r="M42" s="29"/>
    </row>
    <row r="43" spans="1:13" ht="21" customHeight="1" thickBot="1">
      <c r="A43" s="57">
        <v>41</v>
      </c>
      <c r="B43" s="58">
        <v>45765</v>
      </c>
      <c r="C43" s="58"/>
      <c r="D43" s="59" t="s">
        <v>44</v>
      </c>
      <c r="E43" s="60" t="s">
        <v>57</v>
      </c>
      <c r="F43" s="61">
        <v>1123</v>
      </c>
      <c r="G43" s="62">
        <v>10092572</v>
      </c>
      <c r="H43" s="63">
        <f t="shared" si="0"/>
        <v>6</v>
      </c>
      <c r="I43" s="63">
        <v>101</v>
      </c>
      <c r="J43" s="57">
        <v>32</v>
      </c>
      <c r="K43" s="64">
        <v>45764</v>
      </c>
      <c r="L43" s="65" t="s">
        <v>54</v>
      </c>
      <c r="M43" s="67" t="s">
        <v>73</v>
      </c>
    </row>
    <row r="44" spans="1:13" ht="21" customHeight="1">
      <c r="A44" s="30">
        <v>42</v>
      </c>
      <c r="B44" s="16">
        <v>45771</v>
      </c>
      <c r="C44" s="1" t="s">
        <v>44</v>
      </c>
      <c r="D44" s="2"/>
      <c r="E44" s="53" t="s">
        <v>74</v>
      </c>
      <c r="F44" s="18">
        <v>24</v>
      </c>
      <c r="G44" s="19">
        <v>20491103</v>
      </c>
      <c r="H44" s="20">
        <f t="shared" si="0"/>
        <v>2</v>
      </c>
      <c r="I44" s="20">
        <v>100</v>
      </c>
      <c r="J44" s="10">
        <v>40</v>
      </c>
      <c r="K44" s="21">
        <v>45771</v>
      </c>
      <c r="L44" s="29" t="s">
        <v>54</v>
      </c>
      <c r="M44" s="54"/>
    </row>
    <row r="45" spans="1:13" ht="21" customHeight="1">
      <c r="A45" s="10">
        <v>43</v>
      </c>
      <c r="B45" s="16">
        <v>45771</v>
      </c>
      <c r="C45" s="2"/>
      <c r="D45" s="2" t="s">
        <v>44</v>
      </c>
      <c r="E45" s="53" t="s">
        <v>75</v>
      </c>
      <c r="F45" s="18">
        <v>22</v>
      </c>
      <c r="G45" s="19">
        <v>30483111</v>
      </c>
      <c r="H45" s="20">
        <f t="shared" si="0"/>
        <v>3</v>
      </c>
      <c r="I45" s="20">
        <v>110</v>
      </c>
      <c r="J45" s="10">
        <v>40</v>
      </c>
      <c r="K45" s="21">
        <v>45771</v>
      </c>
      <c r="L45" s="29" t="s">
        <v>54</v>
      </c>
      <c r="M45" s="54"/>
    </row>
    <row r="46" spans="1:13" ht="21" customHeight="1">
      <c r="A46" s="10">
        <v>44</v>
      </c>
      <c r="B46" s="16">
        <v>45772</v>
      </c>
      <c r="C46" s="2"/>
      <c r="D46" s="68" t="s">
        <v>44</v>
      </c>
      <c r="E46" s="53" t="s">
        <v>56</v>
      </c>
      <c r="F46" s="23">
        <v>1122</v>
      </c>
      <c r="G46" s="24">
        <v>9591282</v>
      </c>
      <c r="H46" s="20">
        <f t="shared" si="0"/>
        <v>5</v>
      </c>
      <c r="I46" s="20">
        <v>100</v>
      </c>
      <c r="J46" s="10">
        <v>40</v>
      </c>
      <c r="K46" s="21">
        <v>45772</v>
      </c>
      <c r="L46" s="29" t="s">
        <v>54</v>
      </c>
      <c r="M46" s="54"/>
    </row>
    <row r="47" spans="1:13" ht="21" customHeight="1">
      <c r="A47" s="10">
        <v>45</v>
      </c>
      <c r="B47" s="16">
        <v>45773</v>
      </c>
      <c r="C47" s="2"/>
      <c r="D47" s="2" t="s">
        <v>44</v>
      </c>
      <c r="E47" s="53" t="s">
        <v>57</v>
      </c>
      <c r="F47" s="23">
        <v>1123</v>
      </c>
      <c r="G47" s="24">
        <v>10092350</v>
      </c>
      <c r="H47" s="20">
        <f t="shared" si="0"/>
        <v>1</v>
      </c>
      <c r="I47" s="20">
        <v>100</v>
      </c>
      <c r="J47" s="10">
        <v>40</v>
      </c>
      <c r="K47" s="21">
        <v>45771</v>
      </c>
      <c r="L47" s="29" t="s">
        <v>54</v>
      </c>
      <c r="M47" s="54"/>
    </row>
    <row r="48" spans="1:13" ht="21" customHeight="1">
      <c r="A48" s="10">
        <v>46</v>
      </c>
      <c r="B48" s="16">
        <v>45773</v>
      </c>
      <c r="C48" s="2"/>
      <c r="D48" s="2" t="s">
        <v>44</v>
      </c>
      <c r="E48" s="53" t="s">
        <v>57</v>
      </c>
      <c r="F48" s="18">
        <v>1123</v>
      </c>
      <c r="G48" s="19">
        <v>10092354</v>
      </c>
      <c r="H48" s="20">
        <f t="shared" si="0"/>
        <v>5</v>
      </c>
      <c r="I48" s="20">
        <v>101</v>
      </c>
      <c r="J48" s="10">
        <v>31</v>
      </c>
      <c r="K48" s="21">
        <v>45771</v>
      </c>
      <c r="L48" s="29" t="s">
        <v>54</v>
      </c>
      <c r="M48" s="54"/>
    </row>
    <row r="49" spans="1:13" ht="21" customHeight="1">
      <c r="A49" s="10">
        <v>47</v>
      </c>
      <c r="B49" s="16">
        <v>45773</v>
      </c>
      <c r="C49" s="2"/>
      <c r="D49" s="2" t="s">
        <v>44</v>
      </c>
      <c r="E49" s="53" t="s">
        <v>57</v>
      </c>
      <c r="F49" s="18">
        <v>1123</v>
      </c>
      <c r="G49" s="24">
        <v>10092352</v>
      </c>
      <c r="H49" s="20">
        <f t="shared" si="0"/>
        <v>3</v>
      </c>
      <c r="I49" s="20">
        <v>100</v>
      </c>
      <c r="J49" s="10">
        <v>32</v>
      </c>
      <c r="K49" s="21">
        <v>45771</v>
      </c>
      <c r="L49" s="29" t="s">
        <v>54</v>
      </c>
      <c r="M49" s="54"/>
    </row>
    <row r="50" spans="1:13" ht="21" customHeight="1">
      <c r="A50" s="10">
        <v>48</v>
      </c>
      <c r="B50" s="16">
        <v>45773</v>
      </c>
      <c r="C50" s="2"/>
      <c r="D50" s="2" t="s">
        <v>44</v>
      </c>
      <c r="E50" s="53" t="s">
        <v>57</v>
      </c>
      <c r="F50" s="18">
        <v>1123</v>
      </c>
      <c r="G50" s="19">
        <v>10092353</v>
      </c>
      <c r="H50" s="20">
        <f t="shared" si="0"/>
        <v>4</v>
      </c>
      <c r="I50" s="20">
        <v>100</v>
      </c>
      <c r="J50" s="10">
        <v>32</v>
      </c>
      <c r="K50" s="21">
        <v>45771</v>
      </c>
      <c r="L50" s="29" t="s">
        <v>54</v>
      </c>
      <c r="M50" s="54"/>
    </row>
    <row r="51" spans="1:13" ht="21" customHeight="1">
      <c r="A51" s="10">
        <v>49</v>
      </c>
      <c r="B51" s="16">
        <v>45773</v>
      </c>
      <c r="C51" s="1"/>
      <c r="D51" s="2" t="s">
        <v>44</v>
      </c>
      <c r="E51" s="53" t="s">
        <v>77</v>
      </c>
      <c r="F51" s="18">
        <v>23</v>
      </c>
      <c r="G51" s="19">
        <v>40247673</v>
      </c>
      <c r="H51" s="20">
        <f t="shared" si="0"/>
        <v>1</v>
      </c>
      <c r="I51" s="20">
        <v>101</v>
      </c>
      <c r="J51" s="10">
        <v>32</v>
      </c>
      <c r="K51" s="21">
        <v>45773</v>
      </c>
      <c r="L51" s="29" t="s">
        <v>54</v>
      </c>
      <c r="M51" s="54"/>
    </row>
    <row r="52" spans="1:13" ht="21" customHeight="1">
      <c r="A52" s="10">
        <v>50</v>
      </c>
      <c r="B52" s="16">
        <v>45777</v>
      </c>
      <c r="C52" s="2" t="s">
        <v>44</v>
      </c>
      <c r="D52" s="2"/>
      <c r="E52" s="53" t="s">
        <v>79</v>
      </c>
      <c r="F52" s="18">
        <v>21</v>
      </c>
      <c r="G52" s="19">
        <v>11172675</v>
      </c>
      <c r="H52" s="20">
        <f t="shared" si="0"/>
        <v>3</v>
      </c>
      <c r="I52" s="20">
        <v>180</v>
      </c>
      <c r="J52" s="10">
        <v>40</v>
      </c>
      <c r="K52" s="21">
        <v>45777</v>
      </c>
      <c r="L52" s="29" t="s">
        <v>54</v>
      </c>
      <c r="M52" s="54"/>
    </row>
    <row r="53" spans="1:13" ht="21" customHeight="1">
      <c r="A53" s="10">
        <v>51</v>
      </c>
      <c r="B53" s="16">
        <v>45778</v>
      </c>
      <c r="C53" s="2" t="s">
        <v>44</v>
      </c>
      <c r="D53" s="2"/>
      <c r="E53" s="53" t="s">
        <v>80</v>
      </c>
      <c r="F53" s="18">
        <v>24</v>
      </c>
      <c r="G53" s="19">
        <v>10467884</v>
      </c>
      <c r="H53" s="20">
        <f t="shared" si="0"/>
        <v>6</v>
      </c>
      <c r="I53" s="20">
        <v>101</v>
      </c>
      <c r="J53" s="10">
        <v>40</v>
      </c>
      <c r="K53" s="21">
        <v>45778</v>
      </c>
      <c r="L53" s="29" t="s">
        <v>54</v>
      </c>
      <c r="M53" s="54"/>
    </row>
    <row r="54" spans="1:13" ht="21" customHeight="1">
      <c r="A54" s="10">
        <v>52</v>
      </c>
      <c r="B54" s="16">
        <v>45778</v>
      </c>
      <c r="C54" s="2" t="s">
        <v>44</v>
      </c>
      <c r="D54" s="2"/>
      <c r="E54" s="53" t="s">
        <v>80</v>
      </c>
      <c r="F54" s="18">
        <v>24</v>
      </c>
      <c r="G54" s="19">
        <v>10467885</v>
      </c>
      <c r="H54" s="20">
        <f t="shared" si="0"/>
        <v>0</v>
      </c>
      <c r="I54" s="20">
        <v>101</v>
      </c>
      <c r="J54" s="10">
        <v>22</v>
      </c>
      <c r="K54" s="21">
        <v>45778</v>
      </c>
      <c r="L54" s="29" t="s">
        <v>54</v>
      </c>
      <c r="M54" s="54"/>
    </row>
    <row r="55" spans="1:13" ht="21" customHeight="1">
      <c r="A55" s="10">
        <v>53</v>
      </c>
      <c r="B55" s="16">
        <v>45784</v>
      </c>
      <c r="C55" s="2"/>
      <c r="D55" s="2" t="s">
        <v>44</v>
      </c>
      <c r="E55" s="53" t="s">
        <v>82</v>
      </c>
      <c r="F55" s="18">
        <v>23</v>
      </c>
      <c r="G55" s="19">
        <v>40247675</v>
      </c>
      <c r="H55" s="20">
        <f t="shared" si="0"/>
        <v>3</v>
      </c>
      <c r="I55" s="20">
        <v>100</v>
      </c>
      <c r="J55" s="10">
        <v>21</v>
      </c>
      <c r="K55" s="21">
        <v>45784</v>
      </c>
      <c r="L55" s="29" t="s">
        <v>54</v>
      </c>
      <c r="M55" s="54"/>
    </row>
    <row r="56" spans="1:13" ht="21" customHeight="1">
      <c r="A56" s="10">
        <v>54</v>
      </c>
      <c r="B56" s="16">
        <v>45790</v>
      </c>
      <c r="C56" s="16"/>
      <c r="D56" s="2" t="s">
        <v>44</v>
      </c>
      <c r="E56" s="53" t="s">
        <v>57</v>
      </c>
      <c r="F56" s="18">
        <v>1123</v>
      </c>
      <c r="G56" s="19">
        <v>10092358</v>
      </c>
      <c r="H56" s="20">
        <f t="shared" si="0"/>
        <v>2</v>
      </c>
      <c r="I56" s="20">
        <v>100</v>
      </c>
      <c r="J56" s="10">
        <v>40</v>
      </c>
      <c r="K56" s="21">
        <v>45786</v>
      </c>
      <c r="L56" s="29" t="s">
        <v>54</v>
      </c>
      <c r="M56" s="54"/>
    </row>
    <row r="57" spans="1:13" ht="21" customHeight="1">
      <c r="A57" s="10">
        <v>55</v>
      </c>
      <c r="B57" s="16">
        <v>45790</v>
      </c>
      <c r="C57" s="16"/>
      <c r="D57" s="2" t="s">
        <v>44</v>
      </c>
      <c r="E57" s="53" t="s">
        <v>57</v>
      </c>
      <c r="F57" s="18">
        <v>1123</v>
      </c>
      <c r="G57" s="19">
        <v>10092360</v>
      </c>
      <c r="H57" s="20">
        <f t="shared" si="0"/>
        <v>4</v>
      </c>
      <c r="I57" s="20">
        <v>110</v>
      </c>
      <c r="J57" s="10">
        <v>32</v>
      </c>
      <c r="K57" s="21">
        <v>45787</v>
      </c>
      <c r="L57" s="29" t="s">
        <v>54</v>
      </c>
      <c r="M57" s="54"/>
    </row>
    <row r="58" spans="1:13" ht="21" customHeight="1">
      <c r="A58" s="10">
        <v>56</v>
      </c>
      <c r="B58" s="16">
        <v>45790</v>
      </c>
      <c r="C58" s="16"/>
      <c r="D58" s="2" t="s">
        <v>44</v>
      </c>
      <c r="E58" s="53" t="s">
        <v>57</v>
      </c>
      <c r="F58" s="18">
        <v>1123</v>
      </c>
      <c r="G58" s="19">
        <v>10092356</v>
      </c>
      <c r="H58" s="20">
        <f t="shared" si="0"/>
        <v>0</v>
      </c>
      <c r="I58" s="20">
        <v>101</v>
      </c>
      <c r="J58" s="10">
        <v>31</v>
      </c>
      <c r="K58" s="21">
        <v>45772</v>
      </c>
      <c r="L58" s="29" t="s">
        <v>54</v>
      </c>
      <c r="M58" s="54"/>
    </row>
    <row r="59" spans="1:13" ht="21" customHeight="1">
      <c r="A59" s="10">
        <v>57</v>
      </c>
      <c r="B59" s="16">
        <v>45790</v>
      </c>
      <c r="C59" s="16"/>
      <c r="D59" s="2" t="s">
        <v>44</v>
      </c>
      <c r="E59" s="53" t="s">
        <v>57</v>
      </c>
      <c r="F59" s="18">
        <v>1123</v>
      </c>
      <c r="G59" s="19">
        <v>10092355</v>
      </c>
      <c r="H59" s="20">
        <f t="shared" si="0"/>
        <v>6</v>
      </c>
      <c r="I59" s="20">
        <v>100</v>
      </c>
      <c r="J59" s="10">
        <v>21</v>
      </c>
      <c r="K59" s="21">
        <v>45772</v>
      </c>
      <c r="L59" s="29" t="s">
        <v>54</v>
      </c>
      <c r="M59" s="54"/>
    </row>
    <row r="60" spans="1:13" ht="21" customHeight="1">
      <c r="A60" s="10">
        <v>58</v>
      </c>
      <c r="B60" s="16">
        <v>45790</v>
      </c>
      <c r="C60" s="16"/>
      <c r="D60" s="2" t="s">
        <v>44</v>
      </c>
      <c r="E60" s="53" t="s">
        <v>57</v>
      </c>
      <c r="F60" s="18">
        <v>1123</v>
      </c>
      <c r="G60" s="19">
        <v>10092357</v>
      </c>
      <c r="H60" s="20">
        <f t="shared" si="0"/>
        <v>1</v>
      </c>
      <c r="I60" s="20">
        <v>101</v>
      </c>
      <c r="J60" s="10">
        <v>40</v>
      </c>
      <c r="K60" s="21">
        <v>45776</v>
      </c>
      <c r="L60" s="29" t="s">
        <v>54</v>
      </c>
      <c r="M60" s="54"/>
    </row>
    <row r="61" spans="1:13" ht="21" customHeight="1">
      <c r="A61" s="10">
        <v>59</v>
      </c>
      <c r="B61" s="16">
        <v>45793</v>
      </c>
      <c r="C61" s="2"/>
      <c r="D61" s="2" t="s">
        <v>44</v>
      </c>
      <c r="E61" s="53" t="s">
        <v>86</v>
      </c>
      <c r="F61" s="18">
        <v>23</v>
      </c>
      <c r="G61" s="19">
        <v>40247674</v>
      </c>
      <c r="H61" s="20">
        <f t="shared" si="0"/>
        <v>2</v>
      </c>
      <c r="I61" s="20">
        <v>100</v>
      </c>
      <c r="J61" s="10">
        <v>32</v>
      </c>
      <c r="K61" s="21">
        <v>45793</v>
      </c>
      <c r="L61" s="29" t="s">
        <v>54</v>
      </c>
      <c r="M61" s="54"/>
    </row>
    <row r="62" spans="1:13" ht="21" customHeight="1">
      <c r="A62" s="10">
        <v>60</v>
      </c>
      <c r="B62" s="16">
        <v>45793</v>
      </c>
      <c r="C62" s="2" t="s">
        <v>44</v>
      </c>
      <c r="D62" s="2"/>
      <c r="E62" s="53" t="s">
        <v>87</v>
      </c>
      <c r="F62" s="18">
        <v>24</v>
      </c>
      <c r="G62" s="19">
        <v>20491104</v>
      </c>
      <c r="H62" s="20">
        <f t="shared" si="0"/>
        <v>3</v>
      </c>
      <c r="I62" s="20">
        <v>114</v>
      </c>
      <c r="J62" s="10">
        <v>52</v>
      </c>
      <c r="K62" s="21">
        <v>45793</v>
      </c>
      <c r="L62" s="29" t="s">
        <v>54</v>
      </c>
      <c r="M62" s="29"/>
    </row>
    <row r="63" spans="1:13" ht="21" customHeight="1">
      <c r="A63" s="10">
        <v>61</v>
      </c>
      <c r="B63" s="16">
        <v>45798</v>
      </c>
      <c r="C63" s="2"/>
      <c r="D63" s="2" t="s">
        <v>44</v>
      </c>
      <c r="E63" s="53" t="s">
        <v>57</v>
      </c>
      <c r="F63" s="18">
        <v>1123</v>
      </c>
      <c r="G63" s="19">
        <v>10092369</v>
      </c>
      <c r="H63" s="20">
        <f t="shared" si="0"/>
        <v>6</v>
      </c>
      <c r="I63" s="20">
        <v>100</v>
      </c>
      <c r="J63" s="10">
        <v>32</v>
      </c>
      <c r="K63" s="21">
        <v>45797</v>
      </c>
      <c r="L63" s="29" t="s">
        <v>54</v>
      </c>
      <c r="M63" s="29"/>
    </row>
    <row r="64" spans="1:13" ht="21" customHeight="1">
      <c r="A64" s="10">
        <v>62</v>
      </c>
      <c r="B64" s="16">
        <v>45798</v>
      </c>
      <c r="C64" s="2"/>
      <c r="D64" s="68" t="s">
        <v>44</v>
      </c>
      <c r="E64" s="53" t="s">
        <v>57</v>
      </c>
      <c r="F64" s="18">
        <v>1123</v>
      </c>
      <c r="G64" s="19">
        <v>10092367</v>
      </c>
      <c r="H64" s="20">
        <f t="shared" si="0"/>
        <v>4</v>
      </c>
      <c r="I64" s="20">
        <v>110</v>
      </c>
      <c r="J64" s="10">
        <v>31</v>
      </c>
      <c r="K64" s="21">
        <v>45797</v>
      </c>
      <c r="L64" s="29" t="s">
        <v>54</v>
      </c>
      <c r="M64" s="29"/>
    </row>
    <row r="65" spans="1:14" ht="21" customHeight="1">
      <c r="A65" s="10">
        <v>63</v>
      </c>
      <c r="B65" s="16">
        <v>45798</v>
      </c>
      <c r="C65" s="2"/>
      <c r="D65" s="2" t="s">
        <v>44</v>
      </c>
      <c r="E65" s="53" t="s">
        <v>57</v>
      </c>
      <c r="F65" s="18">
        <v>1123</v>
      </c>
      <c r="G65" s="19">
        <v>10092368</v>
      </c>
      <c r="H65" s="20">
        <f t="shared" si="0"/>
        <v>5</v>
      </c>
      <c r="I65" s="20">
        <v>110</v>
      </c>
      <c r="J65" s="10">
        <v>31</v>
      </c>
      <c r="K65" s="21">
        <v>45797</v>
      </c>
      <c r="L65" s="29" t="s">
        <v>54</v>
      </c>
      <c r="M65" s="29"/>
    </row>
    <row r="66" spans="1:14" ht="21" customHeight="1">
      <c r="A66" s="10">
        <v>64</v>
      </c>
      <c r="B66" s="16">
        <v>45798</v>
      </c>
      <c r="C66" s="2"/>
      <c r="D66" s="2" t="s">
        <v>44</v>
      </c>
      <c r="E66" s="53" t="s">
        <v>57</v>
      </c>
      <c r="F66" s="18">
        <v>1123</v>
      </c>
      <c r="G66" s="19">
        <v>10092370</v>
      </c>
      <c r="H66" s="20">
        <f t="shared" si="0"/>
        <v>0</v>
      </c>
      <c r="I66" s="20">
        <v>100</v>
      </c>
      <c r="J66" s="10">
        <v>40</v>
      </c>
      <c r="K66" s="21">
        <v>45797</v>
      </c>
      <c r="L66" s="29" t="s">
        <v>54</v>
      </c>
      <c r="M66" s="29"/>
    </row>
    <row r="67" spans="1:14" ht="21" customHeight="1">
      <c r="A67" s="10">
        <v>65</v>
      </c>
      <c r="B67" s="16">
        <v>45798</v>
      </c>
      <c r="C67" s="2"/>
      <c r="D67" s="2" t="s">
        <v>44</v>
      </c>
      <c r="E67" s="53" t="s">
        <v>57</v>
      </c>
      <c r="F67" s="18">
        <v>1123</v>
      </c>
      <c r="G67" s="19">
        <v>10092372</v>
      </c>
      <c r="H67" s="20">
        <f t="shared" ref="H67:H130" si="1">IF(G67="","",(F67*100000000+G67)-7*INT((F67*100000000+G67)/7))</f>
        <v>2</v>
      </c>
      <c r="I67" s="20">
        <v>199</v>
      </c>
      <c r="J67" s="10">
        <v>40</v>
      </c>
      <c r="K67" s="21">
        <v>45797</v>
      </c>
      <c r="L67" s="29" t="s">
        <v>54</v>
      </c>
      <c r="M67" s="29"/>
    </row>
    <row r="68" spans="1:14" ht="21" customHeight="1">
      <c r="A68" s="10">
        <v>66</v>
      </c>
      <c r="B68" s="16">
        <v>45814</v>
      </c>
      <c r="C68" s="16"/>
      <c r="D68" s="68" t="s">
        <v>44</v>
      </c>
      <c r="E68" s="7" t="s">
        <v>57</v>
      </c>
      <c r="F68" s="18">
        <v>1123</v>
      </c>
      <c r="G68" s="19">
        <v>10092376</v>
      </c>
      <c r="H68" s="20">
        <f t="shared" si="1"/>
        <v>6</v>
      </c>
      <c r="I68" s="20">
        <v>100</v>
      </c>
      <c r="J68" s="10">
        <v>40</v>
      </c>
      <c r="K68" s="21">
        <v>45810</v>
      </c>
      <c r="L68" s="29" t="s">
        <v>54</v>
      </c>
      <c r="M68" s="29"/>
    </row>
    <row r="69" spans="1:14" ht="21" customHeight="1">
      <c r="A69" s="10">
        <v>67</v>
      </c>
      <c r="B69" s="16">
        <v>45814</v>
      </c>
      <c r="C69" s="16"/>
      <c r="D69" s="2" t="s">
        <v>44</v>
      </c>
      <c r="E69" s="7" t="s">
        <v>57</v>
      </c>
      <c r="F69" s="18">
        <v>1123</v>
      </c>
      <c r="G69" s="19">
        <v>10092375</v>
      </c>
      <c r="H69" s="20">
        <f t="shared" si="1"/>
        <v>5</v>
      </c>
      <c r="I69" s="20">
        <v>110</v>
      </c>
      <c r="J69" s="10">
        <v>40</v>
      </c>
      <c r="K69" s="21">
        <v>45810</v>
      </c>
      <c r="L69" s="29" t="s">
        <v>54</v>
      </c>
      <c r="M69" s="29"/>
    </row>
    <row r="70" spans="1:14" ht="21" customHeight="1">
      <c r="A70" s="10">
        <v>68</v>
      </c>
      <c r="B70" s="16">
        <v>45814</v>
      </c>
      <c r="C70" s="16"/>
      <c r="D70" s="2" t="s">
        <v>44</v>
      </c>
      <c r="E70" s="7" t="s">
        <v>57</v>
      </c>
      <c r="F70" s="18">
        <v>1123</v>
      </c>
      <c r="G70" s="19">
        <v>10092378</v>
      </c>
      <c r="H70" s="20">
        <f t="shared" si="1"/>
        <v>1</v>
      </c>
      <c r="I70" s="20">
        <v>101</v>
      </c>
      <c r="J70" s="10">
        <v>32</v>
      </c>
      <c r="K70" s="21">
        <v>45814</v>
      </c>
      <c r="L70" s="29" t="s">
        <v>54</v>
      </c>
      <c r="M70" s="29"/>
    </row>
    <row r="71" spans="1:14" ht="21" customHeight="1">
      <c r="A71" s="10">
        <v>69</v>
      </c>
      <c r="B71" s="16">
        <v>45814</v>
      </c>
      <c r="C71" s="16"/>
      <c r="D71" s="2" t="s">
        <v>44</v>
      </c>
      <c r="E71" s="7" t="s">
        <v>57</v>
      </c>
      <c r="F71" s="18">
        <v>1123</v>
      </c>
      <c r="G71" s="19">
        <v>10092377</v>
      </c>
      <c r="H71" s="20">
        <f t="shared" si="1"/>
        <v>0</v>
      </c>
      <c r="I71" s="20">
        <v>101</v>
      </c>
      <c r="J71" s="10">
        <v>31</v>
      </c>
      <c r="K71" s="21">
        <v>45810</v>
      </c>
      <c r="L71" s="29" t="s">
        <v>54</v>
      </c>
      <c r="M71" s="29"/>
    </row>
    <row r="72" spans="1:14" ht="21" customHeight="1">
      <c r="A72" s="10">
        <v>70</v>
      </c>
      <c r="B72" s="16">
        <v>45818</v>
      </c>
      <c r="C72" s="16"/>
      <c r="D72" s="2" t="s">
        <v>44</v>
      </c>
      <c r="E72" s="7" t="s">
        <v>57</v>
      </c>
      <c r="F72" s="18">
        <v>1123</v>
      </c>
      <c r="G72" s="19">
        <v>10092383</v>
      </c>
      <c r="H72" s="20">
        <f t="shared" si="1"/>
        <v>6</v>
      </c>
      <c r="I72" s="20">
        <v>100</v>
      </c>
      <c r="J72" s="10">
        <v>40</v>
      </c>
      <c r="K72" s="21">
        <v>45818</v>
      </c>
      <c r="L72" s="29" t="s">
        <v>54</v>
      </c>
      <c r="M72" s="29"/>
    </row>
    <row r="73" spans="1:14" ht="21" customHeight="1">
      <c r="A73" s="10">
        <v>71</v>
      </c>
      <c r="B73" s="16">
        <v>45818</v>
      </c>
      <c r="C73" s="16"/>
      <c r="D73" s="2" t="s">
        <v>44</v>
      </c>
      <c r="E73" s="7" t="s">
        <v>57</v>
      </c>
      <c r="F73" s="18">
        <v>1123</v>
      </c>
      <c r="G73" s="19">
        <v>10092382</v>
      </c>
      <c r="H73" s="20">
        <f t="shared" si="1"/>
        <v>5</v>
      </c>
      <c r="I73" s="20">
        <v>101</v>
      </c>
      <c r="J73" s="10">
        <v>32</v>
      </c>
      <c r="K73" s="21">
        <v>45818</v>
      </c>
      <c r="L73" s="29" t="s">
        <v>54</v>
      </c>
      <c r="M73" s="29"/>
    </row>
    <row r="74" spans="1:14" ht="21" customHeight="1">
      <c r="A74" s="10">
        <v>72</v>
      </c>
      <c r="B74" s="16">
        <v>45822</v>
      </c>
      <c r="C74" s="16"/>
      <c r="D74" s="2" t="s">
        <v>44</v>
      </c>
      <c r="E74" s="53" t="s">
        <v>90</v>
      </c>
      <c r="F74" s="18">
        <v>23</v>
      </c>
      <c r="G74" s="19">
        <v>40247628</v>
      </c>
      <c r="H74" s="20">
        <f t="shared" si="1"/>
        <v>5</v>
      </c>
      <c r="I74" s="20">
        <v>100</v>
      </c>
      <c r="J74" s="10">
        <v>32</v>
      </c>
      <c r="K74" s="21">
        <v>45822</v>
      </c>
      <c r="L74" s="29" t="s">
        <v>54</v>
      </c>
      <c r="M74" s="29"/>
    </row>
    <row r="75" spans="1:14" ht="21" customHeight="1">
      <c r="A75" s="10">
        <v>73</v>
      </c>
      <c r="B75" s="16">
        <v>45824</v>
      </c>
      <c r="C75" s="16"/>
      <c r="D75" s="68" t="s">
        <v>44</v>
      </c>
      <c r="E75" s="7" t="s">
        <v>57</v>
      </c>
      <c r="F75" s="18">
        <v>1123</v>
      </c>
      <c r="G75" s="19">
        <v>10092386</v>
      </c>
      <c r="H75" s="20">
        <f t="shared" si="1"/>
        <v>2</v>
      </c>
      <c r="I75" s="20">
        <v>101</v>
      </c>
      <c r="J75" s="10">
        <v>32</v>
      </c>
      <c r="K75" s="21">
        <v>45824</v>
      </c>
      <c r="L75" s="29" t="s">
        <v>54</v>
      </c>
      <c r="M75" s="29"/>
    </row>
    <row r="76" spans="1:14" ht="21" customHeight="1">
      <c r="A76" s="10">
        <v>74</v>
      </c>
      <c r="B76" s="16">
        <v>45824</v>
      </c>
      <c r="C76" s="16"/>
      <c r="D76" s="2" t="s">
        <v>44</v>
      </c>
      <c r="E76" s="7" t="s">
        <v>57</v>
      </c>
      <c r="F76" s="18">
        <v>1123</v>
      </c>
      <c r="G76" s="19">
        <v>10092385</v>
      </c>
      <c r="H76" s="20">
        <f t="shared" si="1"/>
        <v>1</v>
      </c>
      <c r="I76" s="20">
        <v>100</v>
      </c>
      <c r="J76" s="10">
        <v>32</v>
      </c>
      <c r="K76" s="21">
        <v>45824</v>
      </c>
      <c r="L76" s="29" t="s">
        <v>54</v>
      </c>
      <c r="M76" s="29"/>
    </row>
    <row r="77" spans="1:14" ht="21" customHeight="1">
      <c r="A77" s="10">
        <v>75</v>
      </c>
      <c r="B77" s="16">
        <v>45824</v>
      </c>
      <c r="C77" s="16"/>
      <c r="D77" s="2" t="s">
        <v>44</v>
      </c>
      <c r="E77" s="7" t="s">
        <v>57</v>
      </c>
      <c r="F77" s="18">
        <v>1123</v>
      </c>
      <c r="G77" s="19">
        <v>10092388</v>
      </c>
      <c r="H77" s="20">
        <f t="shared" si="1"/>
        <v>4</v>
      </c>
      <c r="I77" s="20">
        <v>130</v>
      </c>
      <c r="J77" s="10">
        <v>22</v>
      </c>
      <c r="K77" s="21">
        <v>45824</v>
      </c>
      <c r="L77" s="29" t="s">
        <v>54</v>
      </c>
      <c r="M77" s="29"/>
    </row>
    <row r="78" spans="1:14" ht="21" customHeight="1">
      <c r="A78" s="10">
        <v>76</v>
      </c>
      <c r="B78" s="16">
        <v>45824</v>
      </c>
      <c r="C78" s="2"/>
      <c r="D78" s="2" t="s">
        <v>44</v>
      </c>
      <c r="E78" s="53" t="s">
        <v>68</v>
      </c>
      <c r="F78" s="18">
        <v>1125</v>
      </c>
      <c r="G78" s="19">
        <v>186674</v>
      </c>
      <c r="H78" s="20">
        <f t="shared" si="1"/>
        <v>1</v>
      </c>
      <c r="I78" s="20">
        <v>100</v>
      </c>
      <c r="J78" s="10">
        <v>52</v>
      </c>
      <c r="K78" s="21">
        <v>45824</v>
      </c>
      <c r="L78" s="29" t="s">
        <v>54</v>
      </c>
      <c r="M78" s="29"/>
    </row>
    <row r="79" spans="1:14" ht="21" customHeight="1">
      <c r="A79" s="10">
        <v>77</v>
      </c>
      <c r="B79" s="16">
        <v>45824</v>
      </c>
      <c r="C79" s="2"/>
      <c r="D79" s="68" t="s">
        <v>44</v>
      </c>
      <c r="E79" s="53" t="s">
        <v>68</v>
      </c>
      <c r="F79" s="18">
        <v>1125</v>
      </c>
      <c r="G79" s="19">
        <v>186671</v>
      </c>
      <c r="H79" s="20">
        <f t="shared" si="1"/>
        <v>5</v>
      </c>
      <c r="I79" s="20">
        <v>100</v>
      </c>
      <c r="J79" s="10">
        <v>52</v>
      </c>
      <c r="K79" s="21">
        <v>45824</v>
      </c>
      <c r="L79" s="29" t="s">
        <v>54</v>
      </c>
      <c r="M79" s="29"/>
      <c r="N79" s="12"/>
    </row>
    <row r="80" spans="1:14" ht="21" customHeight="1">
      <c r="A80" s="10">
        <v>78</v>
      </c>
      <c r="B80" s="16">
        <v>45824</v>
      </c>
      <c r="C80" s="16"/>
      <c r="D80" s="2" t="s">
        <v>44</v>
      </c>
      <c r="E80" s="53" t="s">
        <v>68</v>
      </c>
      <c r="F80" s="18">
        <v>1125</v>
      </c>
      <c r="G80" s="19">
        <v>186675</v>
      </c>
      <c r="H80" s="20">
        <f t="shared" si="1"/>
        <v>2</v>
      </c>
      <c r="I80" s="20">
        <v>100</v>
      </c>
      <c r="J80" s="10">
        <v>52</v>
      </c>
      <c r="K80" s="21">
        <v>45824</v>
      </c>
      <c r="L80" s="29" t="s">
        <v>54</v>
      </c>
      <c r="M80" s="29"/>
    </row>
    <row r="81" spans="1:14" ht="21" customHeight="1">
      <c r="A81" s="10">
        <v>79</v>
      </c>
      <c r="B81" s="16">
        <v>45824</v>
      </c>
      <c r="C81" s="16"/>
      <c r="D81" s="2" t="s">
        <v>44</v>
      </c>
      <c r="E81" s="53" t="s">
        <v>68</v>
      </c>
      <c r="F81" s="18">
        <v>1125</v>
      </c>
      <c r="G81" s="19">
        <v>186673</v>
      </c>
      <c r="H81" s="20">
        <f t="shared" si="1"/>
        <v>0</v>
      </c>
      <c r="I81" s="20">
        <v>100</v>
      </c>
      <c r="J81" s="10">
        <v>40</v>
      </c>
      <c r="K81" s="21">
        <v>45824</v>
      </c>
      <c r="L81" s="29" t="s">
        <v>54</v>
      </c>
      <c r="M81" s="29"/>
    </row>
    <row r="82" spans="1:14" ht="21" customHeight="1">
      <c r="A82" s="10">
        <v>80</v>
      </c>
      <c r="B82" s="16">
        <v>45825</v>
      </c>
      <c r="C82" s="16"/>
      <c r="D82" s="2" t="s">
        <v>44</v>
      </c>
      <c r="E82" s="7" t="s">
        <v>92</v>
      </c>
      <c r="F82" s="18">
        <v>23</v>
      </c>
      <c r="G82" s="19">
        <v>40247631</v>
      </c>
      <c r="H82" s="20">
        <f t="shared" si="1"/>
        <v>1</v>
      </c>
      <c r="I82" s="20">
        <v>100</v>
      </c>
      <c r="J82" s="10">
        <v>40</v>
      </c>
      <c r="K82" s="21">
        <v>45825</v>
      </c>
      <c r="L82" s="29" t="s">
        <v>54</v>
      </c>
      <c r="M82" s="29"/>
    </row>
    <row r="83" spans="1:14" ht="21" customHeight="1">
      <c r="A83" s="10">
        <v>81</v>
      </c>
      <c r="B83" s="16">
        <v>45828</v>
      </c>
      <c r="C83" s="16"/>
      <c r="D83" s="2" t="s">
        <v>44</v>
      </c>
      <c r="E83" s="7" t="s">
        <v>57</v>
      </c>
      <c r="F83" s="18">
        <v>1125</v>
      </c>
      <c r="G83" s="19">
        <v>3445040</v>
      </c>
      <c r="H83" s="20">
        <f t="shared" si="1"/>
        <v>0</v>
      </c>
      <c r="I83" s="20">
        <v>100</v>
      </c>
      <c r="J83" s="10">
        <v>40</v>
      </c>
      <c r="K83" s="21">
        <v>45828</v>
      </c>
      <c r="L83" s="29" t="s">
        <v>54</v>
      </c>
      <c r="M83" s="29"/>
      <c r="N83" s="12"/>
    </row>
    <row r="84" spans="1:14" ht="21" customHeight="1">
      <c r="A84" s="10">
        <v>82</v>
      </c>
      <c r="B84" s="16">
        <v>45828</v>
      </c>
      <c r="C84" s="16"/>
      <c r="D84" s="68" t="s">
        <v>44</v>
      </c>
      <c r="E84" s="7" t="s">
        <v>57</v>
      </c>
      <c r="F84" s="18">
        <v>1125</v>
      </c>
      <c r="G84" s="19">
        <v>3445042</v>
      </c>
      <c r="H84" s="20">
        <f t="shared" si="1"/>
        <v>2</v>
      </c>
      <c r="I84" s="20">
        <v>100</v>
      </c>
      <c r="J84" s="10">
        <v>32</v>
      </c>
      <c r="K84" s="21">
        <v>45828</v>
      </c>
      <c r="L84" s="29" t="s">
        <v>54</v>
      </c>
      <c r="M84" s="29"/>
    </row>
    <row r="85" spans="1:14" ht="21" customHeight="1">
      <c r="A85" s="10">
        <v>83</v>
      </c>
      <c r="B85" s="16">
        <v>45828</v>
      </c>
      <c r="C85" s="16"/>
      <c r="D85" s="2" t="s">
        <v>44</v>
      </c>
      <c r="E85" s="7" t="s">
        <v>57</v>
      </c>
      <c r="F85" s="18">
        <v>1125</v>
      </c>
      <c r="G85" s="19">
        <v>3445038</v>
      </c>
      <c r="H85" s="20">
        <f t="shared" si="1"/>
        <v>5</v>
      </c>
      <c r="I85" s="20">
        <v>100</v>
      </c>
      <c r="J85" s="10">
        <v>21</v>
      </c>
      <c r="K85" s="21">
        <v>45828</v>
      </c>
      <c r="L85" s="29" t="s">
        <v>54</v>
      </c>
      <c r="M85" s="29"/>
    </row>
    <row r="86" spans="1:14" ht="21" customHeight="1">
      <c r="A86" s="10">
        <v>84</v>
      </c>
      <c r="B86" s="16">
        <v>45828</v>
      </c>
      <c r="C86" s="16"/>
      <c r="D86" s="2" t="s">
        <v>44</v>
      </c>
      <c r="E86" s="7" t="s">
        <v>57</v>
      </c>
      <c r="F86" s="18">
        <v>1125</v>
      </c>
      <c r="G86" s="19">
        <v>3445034</v>
      </c>
      <c r="H86" s="20">
        <f t="shared" si="1"/>
        <v>1</v>
      </c>
      <c r="I86" s="20">
        <v>100</v>
      </c>
      <c r="J86" s="10">
        <v>21</v>
      </c>
      <c r="K86" s="21">
        <v>45828</v>
      </c>
      <c r="L86" s="29" t="s">
        <v>54</v>
      </c>
      <c r="M86" s="29"/>
    </row>
    <row r="87" spans="1:14" ht="21" customHeight="1">
      <c r="A87" s="10">
        <v>85</v>
      </c>
      <c r="B87" s="16">
        <v>45828</v>
      </c>
      <c r="C87" s="16"/>
      <c r="D87" s="2" t="s">
        <v>44</v>
      </c>
      <c r="E87" s="7" t="s">
        <v>57</v>
      </c>
      <c r="F87" s="18">
        <v>1125</v>
      </c>
      <c r="G87" s="19">
        <v>3445032</v>
      </c>
      <c r="H87" s="20">
        <f t="shared" si="1"/>
        <v>6</v>
      </c>
      <c r="I87" s="20">
        <v>101</v>
      </c>
      <c r="J87" s="10">
        <v>21</v>
      </c>
      <c r="K87" s="21">
        <v>45828</v>
      </c>
      <c r="L87" s="29" t="s">
        <v>54</v>
      </c>
      <c r="M87" s="29"/>
    </row>
    <row r="88" spans="1:14" ht="21" customHeight="1">
      <c r="A88" s="10">
        <v>86</v>
      </c>
      <c r="B88" s="16">
        <v>45828</v>
      </c>
      <c r="C88" s="16"/>
      <c r="D88" s="2" t="s">
        <v>44</v>
      </c>
      <c r="E88" s="7" t="s">
        <v>57</v>
      </c>
      <c r="F88" s="18">
        <v>1125</v>
      </c>
      <c r="G88" s="19">
        <v>3445033</v>
      </c>
      <c r="H88" s="20">
        <f t="shared" si="1"/>
        <v>0</v>
      </c>
      <c r="I88" s="20">
        <v>101</v>
      </c>
      <c r="J88" s="10">
        <v>21</v>
      </c>
      <c r="K88" s="21">
        <v>45828</v>
      </c>
      <c r="L88" s="29" t="s">
        <v>54</v>
      </c>
      <c r="M88" s="29"/>
    </row>
    <row r="89" spans="1:14" ht="21" customHeight="1">
      <c r="A89" s="10">
        <v>87</v>
      </c>
      <c r="B89" s="16">
        <v>45828</v>
      </c>
      <c r="C89" s="16"/>
      <c r="D89" s="2" t="s">
        <v>44</v>
      </c>
      <c r="E89" s="7" t="s">
        <v>57</v>
      </c>
      <c r="F89" s="18">
        <v>1125</v>
      </c>
      <c r="G89" s="19">
        <v>3445037</v>
      </c>
      <c r="H89" s="20">
        <f t="shared" si="1"/>
        <v>4</v>
      </c>
      <c r="I89" s="20">
        <v>101</v>
      </c>
      <c r="J89" s="10">
        <v>21</v>
      </c>
      <c r="K89" s="21">
        <v>45828</v>
      </c>
      <c r="L89" s="29" t="s">
        <v>54</v>
      </c>
      <c r="M89" s="29"/>
    </row>
    <row r="90" spans="1:14" ht="21" customHeight="1">
      <c r="A90" s="10">
        <v>88</v>
      </c>
      <c r="B90" s="16">
        <v>45828</v>
      </c>
      <c r="C90" s="16"/>
      <c r="D90" s="1" t="s">
        <v>44</v>
      </c>
      <c r="E90" s="7" t="s">
        <v>57</v>
      </c>
      <c r="F90" s="18">
        <v>1125</v>
      </c>
      <c r="G90" s="19">
        <v>3445030</v>
      </c>
      <c r="H90" s="20">
        <f t="shared" si="1"/>
        <v>4</v>
      </c>
      <c r="I90" s="20">
        <v>101</v>
      </c>
      <c r="J90" s="10">
        <v>21</v>
      </c>
      <c r="K90" s="21">
        <v>45828</v>
      </c>
      <c r="L90" s="29" t="s">
        <v>54</v>
      </c>
      <c r="M90" s="29"/>
    </row>
    <row r="91" spans="1:14" ht="21" customHeight="1">
      <c r="A91" s="10">
        <v>89</v>
      </c>
      <c r="B91" s="16">
        <v>45855</v>
      </c>
      <c r="C91" s="1" t="s">
        <v>44</v>
      </c>
      <c r="D91" s="16"/>
      <c r="E91" s="7" t="s">
        <v>94</v>
      </c>
      <c r="F91" s="18">
        <v>24</v>
      </c>
      <c r="G91" s="19">
        <v>20491105</v>
      </c>
      <c r="H91" s="20">
        <f t="shared" si="1"/>
        <v>4</v>
      </c>
      <c r="I91" s="20">
        <v>100</v>
      </c>
      <c r="J91" s="10">
        <v>52</v>
      </c>
      <c r="K91" s="21">
        <v>45855</v>
      </c>
      <c r="L91" s="29" t="s">
        <v>54</v>
      </c>
      <c r="M91" s="29"/>
    </row>
    <row r="92" spans="1:14" ht="21" customHeight="1">
      <c r="A92" s="10">
        <v>90</v>
      </c>
      <c r="B92" s="16">
        <v>45860</v>
      </c>
      <c r="C92" s="16"/>
      <c r="D92" s="2" t="s">
        <v>44</v>
      </c>
      <c r="E92" s="7" t="s">
        <v>57</v>
      </c>
      <c r="F92" s="18">
        <v>1125</v>
      </c>
      <c r="G92" s="19">
        <v>3445058</v>
      </c>
      <c r="H92" s="20">
        <f t="shared" si="1"/>
        <v>4</v>
      </c>
      <c r="I92" s="20">
        <v>100</v>
      </c>
      <c r="J92" s="10">
        <v>52</v>
      </c>
      <c r="K92" s="21">
        <v>45860</v>
      </c>
      <c r="L92" s="29" t="s">
        <v>54</v>
      </c>
      <c r="M92" s="29"/>
    </row>
    <row r="93" spans="1:14" ht="21" customHeight="1">
      <c r="A93" s="10">
        <v>91</v>
      </c>
      <c r="B93" s="16">
        <v>45860</v>
      </c>
      <c r="C93" s="16"/>
      <c r="D93" s="2" t="s">
        <v>44</v>
      </c>
      <c r="E93" s="7" t="s">
        <v>57</v>
      </c>
      <c r="F93" s="18">
        <v>1125</v>
      </c>
      <c r="G93" s="19">
        <v>3445044</v>
      </c>
      <c r="H93" s="20">
        <f t="shared" si="1"/>
        <v>4</v>
      </c>
      <c r="I93" s="20">
        <v>100</v>
      </c>
      <c r="J93" s="10">
        <v>32</v>
      </c>
      <c r="K93" s="21">
        <v>45860</v>
      </c>
      <c r="L93" s="29" t="s">
        <v>54</v>
      </c>
      <c r="M93" s="29"/>
    </row>
    <row r="94" spans="1:14" ht="21" customHeight="1">
      <c r="A94" s="10">
        <v>92</v>
      </c>
      <c r="B94" s="16">
        <v>45860</v>
      </c>
      <c r="C94" s="16"/>
      <c r="D94" s="2" t="s">
        <v>44</v>
      </c>
      <c r="E94" s="7" t="s">
        <v>57</v>
      </c>
      <c r="F94" s="18">
        <v>1125</v>
      </c>
      <c r="G94" s="19">
        <v>3445045</v>
      </c>
      <c r="H94" s="20">
        <f t="shared" si="1"/>
        <v>5</v>
      </c>
      <c r="I94" s="20">
        <v>110</v>
      </c>
      <c r="J94" s="10">
        <v>32</v>
      </c>
      <c r="K94" s="21">
        <v>45860</v>
      </c>
      <c r="L94" s="29" t="s">
        <v>54</v>
      </c>
      <c r="M94" s="29"/>
    </row>
    <row r="95" spans="1:14" ht="21" customHeight="1">
      <c r="A95" s="10">
        <v>93</v>
      </c>
      <c r="B95" s="16">
        <v>45860</v>
      </c>
      <c r="C95" s="16"/>
      <c r="D95" s="2" t="s">
        <v>44</v>
      </c>
      <c r="E95" s="7" t="s">
        <v>57</v>
      </c>
      <c r="F95" s="18">
        <v>1125</v>
      </c>
      <c r="G95" s="19">
        <v>3445047</v>
      </c>
      <c r="H95" s="20">
        <f t="shared" si="1"/>
        <v>0</v>
      </c>
      <c r="I95" s="20">
        <v>110</v>
      </c>
      <c r="J95" s="10">
        <v>40</v>
      </c>
      <c r="K95" s="21">
        <v>45860</v>
      </c>
      <c r="L95" s="29" t="s">
        <v>54</v>
      </c>
      <c r="M95" s="29"/>
    </row>
    <row r="96" spans="1:14" ht="21" customHeight="1" thickBot="1">
      <c r="A96" s="57">
        <v>94</v>
      </c>
      <c r="B96" s="58">
        <v>45860</v>
      </c>
      <c r="C96" s="58"/>
      <c r="D96" s="59" t="s">
        <v>44</v>
      </c>
      <c r="E96" s="60" t="s">
        <v>57</v>
      </c>
      <c r="F96" s="61">
        <v>1123</v>
      </c>
      <c r="G96" s="62">
        <v>10092363</v>
      </c>
      <c r="H96" s="63">
        <f t="shared" si="1"/>
        <v>0</v>
      </c>
      <c r="I96" s="63">
        <v>101</v>
      </c>
      <c r="J96" s="57">
        <v>40</v>
      </c>
      <c r="K96" s="64">
        <v>45787</v>
      </c>
      <c r="L96" s="65" t="s">
        <v>54</v>
      </c>
      <c r="M96" s="67" t="s">
        <v>95</v>
      </c>
    </row>
    <row r="97" spans="1:13" ht="21" customHeight="1">
      <c r="A97" s="30">
        <v>95</v>
      </c>
      <c r="B97" s="16">
        <v>45866</v>
      </c>
      <c r="C97" s="1" t="s">
        <v>44</v>
      </c>
      <c r="D97" s="2"/>
      <c r="E97" s="53" t="s">
        <v>96</v>
      </c>
      <c r="F97" s="18">
        <v>21</v>
      </c>
      <c r="G97" s="19">
        <v>11172626</v>
      </c>
      <c r="H97" s="20">
        <f t="shared" si="1"/>
        <v>3</v>
      </c>
      <c r="I97" s="20">
        <v>110</v>
      </c>
      <c r="J97" s="10">
        <v>40</v>
      </c>
      <c r="K97" s="21">
        <v>45866</v>
      </c>
      <c r="L97" s="29" t="s">
        <v>54</v>
      </c>
      <c r="M97" s="54"/>
    </row>
    <row r="98" spans="1:13" ht="21" customHeight="1">
      <c r="A98" s="10">
        <v>96</v>
      </c>
      <c r="B98" s="16">
        <v>45870</v>
      </c>
      <c r="C98" s="2" t="s">
        <v>44</v>
      </c>
      <c r="D98" s="2"/>
      <c r="E98" s="53" t="s">
        <v>97</v>
      </c>
      <c r="F98" s="18">
        <v>24</v>
      </c>
      <c r="G98" s="19">
        <v>20491124</v>
      </c>
      <c r="H98" s="20">
        <f t="shared" si="1"/>
        <v>2</v>
      </c>
      <c r="I98" s="20">
        <v>101</v>
      </c>
      <c r="J98" s="10">
        <v>21</v>
      </c>
      <c r="K98" s="21">
        <v>45870</v>
      </c>
      <c r="L98" s="29" t="s">
        <v>54</v>
      </c>
      <c r="M98" s="54"/>
    </row>
    <row r="99" spans="1:13" ht="21" customHeight="1">
      <c r="A99" s="10">
        <v>97</v>
      </c>
      <c r="B99" s="16">
        <v>45870</v>
      </c>
      <c r="C99" s="2" t="s">
        <v>44</v>
      </c>
      <c r="D99" s="2"/>
      <c r="E99" s="53" t="s">
        <v>97</v>
      </c>
      <c r="F99" s="23">
        <v>24</v>
      </c>
      <c r="G99" s="24">
        <v>20491125</v>
      </c>
      <c r="H99" s="20">
        <f t="shared" si="1"/>
        <v>3</v>
      </c>
      <c r="I99" s="20">
        <v>100</v>
      </c>
      <c r="J99" s="10">
        <v>40</v>
      </c>
      <c r="K99" s="21">
        <v>581</v>
      </c>
      <c r="L99" s="29" t="s">
        <v>54</v>
      </c>
      <c r="M99" s="54"/>
    </row>
    <row r="100" spans="1:13" ht="21" customHeight="1">
      <c r="A100" s="10">
        <v>98</v>
      </c>
      <c r="B100" s="16">
        <v>45873</v>
      </c>
      <c r="C100" s="2" t="s">
        <v>44</v>
      </c>
      <c r="D100" s="2"/>
      <c r="E100" s="53" t="s">
        <v>80</v>
      </c>
      <c r="F100" s="23">
        <v>24</v>
      </c>
      <c r="G100" s="24">
        <v>10467892</v>
      </c>
      <c r="H100" s="20">
        <f t="shared" si="1"/>
        <v>0</v>
      </c>
      <c r="I100" s="20">
        <v>110</v>
      </c>
      <c r="J100" s="10">
        <v>10</v>
      </c>
      <c r="K100" s="21">
        <v>45873</v>
      </c>
      <c r="L100" s="29" t="s">
        <v>54</v>
      </c>
      <c r="M100" s="54"/>
    </row>
    <row r="101" spans="1:13" ht="21" customHeight="1">
      <c r="A101" s="10">
        <v>99</v>
      </c>
      <c r="B101" s="16">
        <v>45873</v>
      </c>
      <c r="C101" s="2" t="s">
        <v>44</v>
      </c>
      <c r="D101" s="2"/>
      <c r="E101" s="53" t="s">
        <v>80</v>
      </c>
      <c r="F101" s="18">
        <v>24</v>
      </c>
      <c r="G101" s="19">
        <v>10467897</v>
      </c>
      <c r="H101" s="20">
        <f t="shared" si="1"/>
        <v>5</v>
      </c>
      <c r="I101" s="20">
        <v>100</v>
      </c>
      <c r="J101" s="10">
        <v>32</v>
      </c>
      <c r="K101" s="21">
        <v>45873</v>
      </c>
      <c r="L101" s="29" t="s">
        <v>54</v>
      </c>
      <c r="M101" s="54"/>
    </row>
    <row r="102" spans="1:13" ht="21" customHeight="1">
      <c r="A102" s="10">
        <v>100</v>
      </c>
      <c r="B102" s="16">
        <v>45873</v>
      </c>
      <c r="C102" s="2" t="s">
        <v>44</v>
      </c>
      <c r="D102" s="2"/>
      <c r="E102" s="53" t="s">
        <v>80</v>
      </c>
      <c r="F102" s="18">
        <v>24</v>
      </c>
      <c r="G102" s="24">
        <v>10467894</v>
      </c>
      <c r="H102" s="20">
        <f t="shared" si="1"/>
        <v>2</v>
      </c>
      <c r="I102" s="20">
        <v>100</v>
      </c>
      <c r="J102" s="10">
        <v>40</v>
      </c>
      <c r="K102" s="21">
        <v>45873</v>
      </c>
      <c r="L102" s="29" t="s">
        <v>54</v>
      </c>
      <c r="M102" s="54"/>
    </row>
    <row r="103" spans="1:13" ht="21" customHeight="1">
      <c r="A103" s="10">
        <v>101</v>
      </c>
      <c r="B103" s="16">
        <v>45873</v>
      </c>
      <c r="C103" s="2" t="s">
        <v>44</v>
      </c>
      <c r="D103" s="2"/>
      <c r="E103" s="53" t="s">
        <v>80</v>
      </c>
      <c r="F103" s="18">
        <v>24</v>
      </c>
      <c r="G103" s="19">
        <v>10467881</v>
      </c>
      <c r="H103" s="20">
        <f t="shared" si="1"/>
        <v>3</v>
      </c>
      <c r="I103" s="20">
        <v>100</v>
      </c>
      <c r="J103" s="10">
        <v>32</v>
      </c>
      <c r="K103" s="21">
        <v>45873</v>
      </c>
      <c r="L103" s="29" t="s">
        <v>54</v>
      </c>
      <c r="M103" s="54"/>
    </row>
    <row r="104" spans="1:13" ht="21" customHeight="1">
      <c r="A104" s="10">
        <v>102</v>
      </c>
      <c r="B104" s="16">
        <v>45873</v>
      </c>
      <c r="C104" s="2" t="s">
        <v>44</v>
      </c>
      <c r="D104" s="2"/>
      <c r="E104" s="53" t="s">
        <v>80</v>
      </c>
      <c r="F104" s="18">
        <v>24</v>
      </c>
      <c r="G104" s="19">
        <v>10467891</v>
      </c>
      <c r="H104" s="20">
        <f t="shared" si="1"/>
        <v>6</v>
      </c>
      <c r="I104" s="20">
        <v>110</v>
      </c>
      <c r="J104" s="10">
        <v>10</v>
      </c>
      <c r="K104" s="21">
        <v>45873</v>
      </c>
      <c r="L104" s="29" t="s">
        <v>54</v>
      </c>
      <c r="M104" s="54"/>
    </row>
    <row r="105" spans="1:13" ht="21" customHeight="1">
      <c r="A105" s="10">
        <v>103</v>
      </c>
      <c r="B105" s="16">
        <v>45873</v>
      </c>
      <c r="C105" s="2" t="s">
        <v>44</v>
      </c>
      <c r="D105" s="2"/>
      <c r="E105" s="53" t="s">
        <v>80</v>
      </c>
      <c r="F105" s="18">
        <v>24</v>
      </c>
      <c r="G105" s="19">
        <v>10467899</v>
      </c>
      <c r="H105" s="20">
        <f t="shared" si="1"/>
        <v>0</v>
      </c>
      <c r="I105" s="20">
        <v>100</v>
      </c>
      <c r="J105" s="10">
        <v>10</v>
      </c>
      <c r="K105" s="21">
        <v>45873</v>
      </c>
      <c r="L105" s="29" t="s">
        <v>54</v>
      </c>
      <c r="M105" s="54"/>
    </row>
    <row r="106" spans="1:13" ht="21" customHeight="1">
      <c r="A106" s="10">
        <v>104</v>
      </c>
      <c r="B106" s="16">
        <v>45873</v>
      </c>
      <c r="C106" s="2" t="s">
        <v>44</v>
      </c>
      <c r="D106" s="2"/>
      <c r="E106" s="53" t="s">
        <v>80</v>
      </c>
      <c r="F106" s="18">
        <v>24</v>
      </c>
      <c r="G106" s="19">
        <v>10467882</v>
      </c>
      <c r="H106" s="20">
        <f t="shared" si="1"/>
        <v>4</v>
      </c>
      <c r="I106" s="20">
        <v>110</v>
      </c>
      <c r="J106" s="10">
        <v>40</v>
      </c>
      <c r="K106" s="21">
        <v>45873</v>
      </c>
      <c r="L106" s="29" t="s">
        <v>54</v>
      </c>
      <c r="M106" s="54"/>
    </row>
    <row r="107" spans="1:13" ht="21" customHeight="1">
      <c r="A107" s="10">
        <v>105</v>
      </c>
      <c r="B107" s="16">
        <v>45874</v>
      </c>
      <c r="C107" s="2"/>
      <c r="D107" s="2" t="s">
        <v>44</v>
      </c>
      <c r="E107" s="53" t="s">
        <v>98</v>
      </c>
      <c r="F107" s="18">
        <v>24</v>
      </c>
      <c r="G107" s="19">
        <v>20361155</v>
      </c>
      <c r="H107" s="20">
        <f t="shared" si="1"/>
        <v>2</v>
      </c>
      <c r="I107" s="20">
        <v>100</v>
      </c>
      <c r="J107" s="10">
        <v>52</v>
      </c>
      <c r="K107" s="21">
        <v>45874</v>
      </c>
      <c r="L107" s="29" t="s">
        <v>54</v>
      </c>
      <c r="M107" s="54"/>
    </row>
    <row r="108" spans="1:13" ht="21" customHeight="1">
      <c r="A108" s="10">
        <v>106</v>
      </c>
      <c r="B108" s="16">
        <v>45875</v>
      </c>
      <c r="C108" s="2"/>
      <c r="D108" s="2" t="s">
        <v>44</v>
      </c>
      <c r="E108" s="53" t="s">
        <v>56</v>
      </c>
      <c r="F108" s="18">
        <v>1122</v>
      </c>
      <c r="G108" s="19">
        <v>9591287</v>
      </c>
      <c r="H108" s="20">
        <f t="shared" si="1"/>
        <v>3</v>
      </c>
      <c r="I108" s="20">
        <v>100</v>
      </c>
      <c r="J108" s="10">
        <v>32</v>
      </c>
      <c r="K108" s="21">
        <v>45875</v>
      </c>
      <c r="L108" s="29" t="s">
        <v>54</v>
      </c>
      <c r="M108" s="54"/>
    </row>
    <row r="109" spans="1:13" ht="21" customHeight="1">
      <c r="A109" s="10">
        <v>107</v>
      </c>
      <c r="B109" s="16">
        <v>45884</v>
      </c>
      <c r="C109" s="16"/>
      <c r="D109" s="2" t="s">
        <v>44</v>
      </c>
      <c r="E109" s="53" t="s">
        <v>57</v>
      </c>
      <c r="F109" s="18">
        <v>1125</v>
      </c>
      <c r="G109" s="19">
        <v>3445061</v>
      </c>
      <c r="H109" s="20">
        <f t="shared" si="1"/>
        <v>0</v>
      </c>
      <c r="I109" s="20">
        <v>100</v>
      </c>
      <c r="J109" s="10">
        <v>52</v>
      </c>
      <c r="K109" s="21">
        <v>45863</v>
      </c>
      <c r="L109" s="29" t="s">
        <v>54</v>
      </c>
      <c r="M109" s="54"/>
    </row>
    <row r="110" spans="1:13" ht="21" customHeight="1">
      <c r="A110" s="10">
        <v>108</v>
      </c>
      <c r="B110" s="16">
        <v>45884</v>
      </c>
      <c r="C110" s="16"/>
      <c r="D110" s="2" t="s">
        <v>44</v>
      </c>
      <c r="E110" s="53" t="s">
        <v>57</v>
      </c>
      <c r="F110" s="18">
        <v>1125</v>
      </c>
      <c r="G110" s="19">
        <v>3445079</v>
      </c>
      <c r="H110" s="20">
        <f t="shared" si="1"/>
        <v>4</v>
      </c>
      <c r="I110" s="20">
        <v>114</v>
      </c>
      <c r="J110" s="10">
        <v>52</v>
      </c>
      <c r="K110" s="21">
        <v>45882</v>
      </c>
      <c r="L110" s="29" t="s">
        <v>54</v>
      </c>
      <c r="M110" s="54"/>
    </row>
    <row r="111" spans="1:13" ht="21" customHeight="1">
      <c r="A111" s="10">
        <v>109</v>
      </c>
      <c r="B111" s="16">
        <v>45884</v>
      </c>
      <c r="C111" s="16"/>
      <c r="D111" s="2" t="s">
        <v>44</v>
      </c>
      <c r="E111" s="53" t="s">
        <v>57</v>
      </c>
      <c r="F111" s="18">
        <v>1125</v>
      </c>
      <c r="G111" s="19">
        <v>3445084</v>
      </c>
      <c r="H111" s="20">
        <f t="shared" si="1"/>
        <v>2</v>
      </c>
      <c r="I111" s="20">
        <v>110</v>
      </c>
      <c r="J111" s="10">
        <v>32</v>
      </c>
      <c r="K111" s="21">
        <v>45870</v>
      </c>
      <c r="L111" s="29" t="s">
        <v>54</v>
      </c>
      <c r="M111" s="54"/>
    </row>
    <row r="112" spans="1:13" ht="21" customHeight="1">
      <c r="A112" s="10">
        <v>110</v>
      </c>
      <c r="B112" s="16">
        <v>45884</v>
      </c>
      <c r="C112" s="16"/>
      <c r="D112" s="2" t="s">
        <v>44</v>
      </c>
      <c r="E112" s="53" t="s">
        <v>57</v>
      </c>
      <c r="F112" s="18">
        <v>1125</v>
      </c>
      <c r="G112" s="19">
        <v>3445087</v>
      </c>
      <c r="H112" s="20">
        <f t="shared" si="1"/>
        <v>5</v>
      </c>
      <c r="I112" s="20">
        <v>100</v>
      </c>
      <c r="J112" s="10">
        <v>40</v>
      </c>
      <c r="K112" s="21">
        <v>45870</v>
      </c>
      <c r="L112" s="29" t="s">
        <v>54</v>
      </c>
      <c r="M112" s="54"/>
    </row>
    <row r="113" spans="1:13" ht="21" customHeight="1">
      <c r="A113" s="10">
        <v>111</v>
      </c>
      <c r="B113" s="16">
        <v>45884</v>
      </c>
      <c r="C113" s="16"/>
      <c r="D113" s="2" t="s">
        <v>44</v>
      </c>
      <c r="E113" s="53" t="s">
        <v>57</v>
      </c>
      <c r="F113" s="18">
        <v>1125</v>
      </c>
      <c r="G113" s="19">
        <v>3445085</v>
      </c>
      <c r="H113" s="20">
        <f t="shared" si="1"/>
        <v>3</v>
      </c>
      <c r="I113" s="20">
        <v>101</v>
      </c>
      <c r="J113" s="10">
        <v>31</v>
      </c>
      <c r="K113" s="21">
        <v>45870</v>
      </c>
      <c r="L113" s="29" t="s">
        <v>54</v>
      </c>
      <c r="M113" s="54"/>
    </row>
    <row r="114" spans="1:13" ht="21" customHeight="1">
      <c r="A114" s="10">
        <v>112</v>
      </c>
      <c r="B114" s="16">
        <v>45884</v>
      </c>
      <c r="C114" s="16"/>
      <c r="D114" s="2" t="s">
        <v>44</v>
      </c>
      <c r="E114" s="53" t="s">
        <v>57</v>
      </c>
      <c r="F114" s="18">
        <v>1125</v>
      </c>
      <c r="G114" s="19">
        <v>3445064</v>
      </c>
      <c r="H114" s="20">
        <f t="shared" si="1"/>
        <v>3</v>
      </c>
      <c r="I114" s="20">
        <v>110</v>
      </c>
      <c r="J114" s="10">
        <v>52</v>
      </c>
      <c r="K114" s="21">
        <v>45875</v>
      </c>
      <c r="L114" s="29" t="s">
        <v>54</v>
      </c>
      <c r="M114" s="54"/>
    </row>
    <row r="115" spans="1:13" ht="21" customHeight="1">
      <c r="A115" s="10">
        <v>113</v>
      </c>
      <c r="B115" s="16">
        <v>45884</v>
      </c>
      <c r="C115" s="16"/>
      <c r="D115" s="2" t="s">
        <v>44</v>
      </c>
      <c r="E115" s="53" t="s">
        <v>57</v>
      </c>
      <c r="F115" s="18">
        <v>1125</v>
      </c>
      <c r="G115" s="19">
        <v>3445069</v>
      </c>
      <c r="H115" s="20">
        <f t="shared" si="1"/>
        <v>1</v>
      </c>
      <c r="I115" s="20">
        <v>101</v>
      </c>
      <c r="J115" s="10">
        <v>40</v>
      </c>
      <c r="K115" s="21">
        <v>45870</v>
      </c>
      <c r="L115" s="29" t="s">
        <v>54</v>
      </c>
      <c r="M115" s="29"/>
    </row>
    <row r="116" spans="1:13" ht="21" customHeight="1">
      <c r="A116" s="10">
        <v>114</v>
      </c>
      <c r="B116" s="16">
        <v>45884</v>
      </c>
      <c r="C116" s="16"/>
      <c r="D116" s="2" t="s">
        <v>44</v>
      </c>
      <c r="E116" s="53" t="s">
        <v>57</v>
      </c>
      <c r="F116" s="18">
        <v>1125</v>
      </c>
      <c r="G116" s="19">
        <v>3445048</v>
      </c>
      <c r="H116" s="20">
        <f t="shared" si="1"/>
        <v>1</v>
      </c>
      <c r="I116" s="20">
        <v>101</v>
      </c>
      <c r="J116" s="10">
        <v>40</v>
      </c>
      <c r="K116" s="21">
        <v>45860</v>
      </c>
      <c r="L116" s="29" t="s">
        <v>54</v>
      </c>
      <c r="M116" s="29"/>
    </row>
    <row r="117" spans="1:13" ht="21" customHeight="1">
      <c r="A117" s="10">
        <v>115</v>
      </c>
      <c r="B117" s="16">
        <v>45884</v>
      </c>
      <c r="C117" s="16"/>
      <c r="D117" s="2" t="s">
        <v>44</v>
      </c>
      <c r="E117" s="53" t="s">
        <v>57</v>
      </c>
      <c r="F117" s="18">
        <v>1125</v>
      </c>
      <c r="G117" s="19">
        <v>3445052</v>
      </c>
      <c r="H117" s="20">
        <f t="shared" si="1"/>
        <v>5</v>
      </c>
      <c r="I117" s="20">
        <v>110</v>
      </c>
      <c r="J117" s="10">
        <v>40</v>
      </c>
      <c r="K117" s="21">
        <v>45860</v>
      </c>
      <c r="L117" s="29" t="s">
        <v>54</v>
      </c>
      <c r="M117" s="29"/>
    </row>
    <row r="118" spans="1:13" ht="21" customHeight="1">
      <c r="A118" s="10">
        <v>116</v>
      </c>
      <c r="B118" s="16">
        <v>45884</v>
      </c>
      <c r="C118" s="16"/>
      <c r="D118" s="2" t="s">
        <v>44</v>
      </c>
      <c r="E118" s="53" t="s">
        <v>57</v>
      </c>
      <c r="F118" s="18">
        <v>1125</v>
      </c>
      <c r="G118" s="19">
        <v>3445068</v>
      </c>
      <c r="H118" s="20">
        <f t="shared" si="1"/>
        <v>0</v>
      </c>
      <c r="I118" s="20">
        <v>110</v>
      </c>
      <c r="J118" s="10">
        <v>40</v>
      </c>
      <c r="K118" s="21">
        <v>45879</v>
      </c>
      <c r="L118" s="29" t="s">
        <v>54</v>
      </c>
      <c r="M118" s="29"/>
    </row>
    <row r="119" spans="1:13" ht="21" customHeight="1">
      <c r="A119" s="10">
        <v>117</v>
      </c>
      <c r="B119" s="16">
        <v>45884</v>
      </c>
      <c r="C119" s="16"/>
      <c r="D119" s="2" t="s">
        <v>44</v>
      </c>
      <c r="E119" s="53" t="s">
        <v>57</v>
      </c>
      <c r="F119" s="18">
        <v>1125</v>
      </c>
      <c r="G119" s="19">
        <v>3445049</v>
      </c>
      <c r="H119" s="20">
        <f t="shared" si="1"/>
        <v>2</v>
      </c>
      <c r="I119" s="20">
        <v>100</v>
      </c>
      <c r="J119" s="10">
        <v>40</v>
      </c>
      <c r="K119" s="21">
        <v>45860</v>
      </c>
      <c r="L119" s="29" t="s">
        <v>54</v>
      </c>
      <c r="M119" s="29"/>
    </row>
    <row r="120" spans="1:13" ht="21" customHeight="1">
      <c r="A120" s="10">
        <v>118</v>
      </c>
      <c r="B120" s="16">
        <v>45884</v>
      </c>
      <c r="C120" s="16"/>
      <c r="D120" s="2" t="s">
        <v>44</v>
      </c>
      <c r="E120" s="53" t="s">
        <v>57</v>
      </c>
      <c r="F120" s="18">
        <v>1125</v>
      </c>
      <c r="G120" s="19">
        <v>3445065</v>
      </c>
      <c r="H120" s="20">
        <f t="shared" si="1"/>
        <v>4</v>
      </c>
      <c r="I120" s="20">
        <v>101</v>
      </c>
      <c r="J120" s="10">
        <v>32</v>
      </c>
      <c r="K120" s="21">
        <v>45883</v>
      </c>
      <c r="L120" s="29" t="s">
        <v>54</v>
      </c>
      <c r="M120" s="29"/>
    </row>
    <row r="121" spans="1:13" ht="21" customHeight="1">
      <c r="A121" s="10">
        <v>119</v>
      </c>
      <c r="B121" s="16">
        <v>45884</v>
      </c>
      <c r="C121" s="16"/>
      <c r="D121" s="2" t="s">
        <v>44</v>
      </c>
      <c r="E121" s="53" t="s">
        <v>57</v>
      </c>
      <c r="F121" s="18">
        <v>1125</v>
      </c>
      <c r="G121" s="19">
        <v>3445070</v>
      </c>
      <c r="H121" s="20">
        <f t="shared" si="1"/>
        <v>2</v>
      </c>
      <c r="I121" s="20">
        <v>100</v>
      </c>
      <c r="J121" s="10">
        <v>32</v>
      </c>
      <c r="K121" s="21">
        <v>45881</v>
      </c>
      <c r="L121" s="29" t="s">
        <v>54</v>
      </c>
      <c r="M121" s="29"/>
    </row>
    <row r="122" spans="1:13" ht="21" customHeight="1">
      <c r="A122" s="10">
        <v>120</v>
      </c>
      <c r="B122" s="16">
        <v>45884</v>
      </c>
      <c r="C122" s="16"/>
      <c r="D122" s="2" t="s">
        <v>44</v>
      </c>
      <c r="E122" s="53" t="s">
        <v>57</v>
      </c>
      <c r="F122" s="18">
        <v>1125</v>
      </c>
      <c r="G122" s="19">
        <v>3445072</v>
      </c>
      <c r="H122" s="20">
        <f t="shared" si="1"/>
        <v>4</v>
      </c>
      <c r="I122" s="20">
        <v>185</v>
      </c>
      <c r="J122" s="10">
        <v>10</v>
      </c>
      <c r="K122" s="21">
        <v>45872</v>
      </c>
      <c r="L122" s="29" t="s">
        <v>54</v>
      </c>
      <c r="M122" s="29"/>
    </row>
    <row r="123" spans="1:13" ht="21" customHeight="1">
      <c r="A123" s="10">
        <v>121</v>
      </c>
      <c r="B123" s="16">
        <v>45884</v>
      </c>
      <c r="C123" s="16"/>
      <c r="D123" s="2" t="s">
        <v>44</v>
      </c>
      <c r="E123" s="53" t="s">
        <v>57</v>
      </c>
      <c r="F123" s="18">
        <v>1125</v>
      </c>
      <c r="G123" s="19">
        <v>3445073</v>
      </c>
      <c r="H123" s="20">
        <f t="shared" si="1"/>
        <v>5</v>
      </c>
      <c r="I123" s="20">
        <v>120</v>
      </c>
      <c r="J123" s="10">
        <v>10</v>
      </c>
      <c r="K123" s="21">
        <v>45870</v>
      </c>
      <c r="L123" s="29" t="s">
        <v>54</v>
      </c>
      <c r="M123" s="29"/>
    </row>
    <row r="124" spans="1:13" ht="21" customHeight="1">
      <c r="A124" s="10">
        <v>122</v>
      </c>
      <c r="B124" s="16">
        <v>45884</v>
      </c>
      <c r="C124" s="16"/>
      <c r="D124" s="2" t="s">
        <v>44</v>
      </c>
      <c r="E124" s="53" t="s">
        <v>57</v>
      </c>
      <c r="F124" s="18">
        <v>1125</v>
      </c>
      <c r="G124" s="19">
        <v>3445074</v>
      </c>
      <c r="H124" s="20">
        <f t="shared" si="1"/>
        <v>6</v>
      </c>
      <c r="I124" s="20">
        <v>100</v>
      </c>
      <c r="J124" s="10">
        <v>52</v>
      </c>
      <c r="K124" s="21">
        <v>45883</v>
      </c>
      <c r="L124" s="29" t="s">
        <v>54</v>
      </c>
      <c r="M124" s="29"/>
    </row>
    <row r="125" spans="1:13" ht="21" customHeight="1">
      <c r="A125" s="10">
        <v>123</v>
      </c>
      <c r="B125" s="16">
        <v>45884</v>
      </c>
      <c r="C125" s="16"/>
      <c r="D125" s="2" t="s">
        <v>44</v>
      </c>
      <c r="E125" s="53" t="s">
        <v>57</v>
      </c>
      <c r="F125" s="18">
        <v>1125</v>
      </c>
      <c r="G125" s="19">
        <v>3445062</v>
      </c>
      <c r="H125" s="20">
        <f t="shared" si="1"/>
        <v>1</v>
      </c>
      <c r="I125" s="20">
        <v>100</v>
      </c>
      <c r="J125" s="10">
        <v>32</v>
      </c>
      <c r="K125" s="21">
        <v>45863</v>
      </c>
      <c r="L125" s="29" t="s">
        <v>54</v>
      </c>
      <c r="M125" s="29"/>
    </row>
    <row r="126" spans="1:13" ht="21" customHeight="1">
      <c r="A126" s="10">
        <v>124</v>
      </c>
      <c r="B126" s="16">
        <v>45884</v>
      </c>
      <c r="C126" s="16"/>
      <c r="D126" s="2" t="s">
        <v>44</v>
      </c>
      <c r="E126" s="53" t="s">
        <v>57</v>
      </c>
      <c r="F126" s="18">
        <v>1125</v>
      </c>
      <c r="G126" s="19">
        <v>3445081</v>
      </c>
      <c r="H126" s="20">
        <f t="shared" si="1"/>
        <v>6</v>
      </c>
      <c r="I126" s="20">
        <v>100</v>
      </c>
      <c r="J126" s="10">
        <v>32</v>
      </c>
      <c r="K126" s="21">
        <v>45870</v>
      </c>
      <c r="L126" s="29" t="s">
        <v>54</v>
      </c>
      <c r="M126" s="29"/>
    </row>
    <row r="127" spans="1:13" ht="21" customHeight="1">
      <c r="A127" s="10">
        <v>125</v>
      </c>
      <c r="B127" s="16">
        <v>45884</v>
      </c>
      <c r="C127" s="16"/>
      <c r="D127" s="2" t="s">
        <v>44</v>
      </c>
      <c r="E127" s="7" t="s">
        <v>57</v>
      </c>
      <c r="F127" s="18">
        <v>1125</v>
      </c>
      <c r="G127" s="19">
        <v>3445080</v>
      </c>
      <c r="H127" s="20">
        <f t="shared" si="1"/>
        <v>5</v>
      </c>
      <c r="I127" s="20">
        <v>110</v>
      </c>
      <c r="J127" s="10">
        <v>32</v>
      </c>
      <c r="K127" s="21">
        <v>45881</v>
      </c>
      <c r="L127" s="29" t="s">
        <v>54</v>
      </c>
      <c r="M127" s="29"/>
    </row>
    <row r="128" spans="1:13" ht="21" customHeight="1">
      <c r="A128" s="10">
        <v>126</v>
      </c>
      <c r="B128" s="16">
        <v>45894</v>
      </c>
      <c r="C128" s="16"/>
      <c r="D128" s="2" t="s">
        <v>44</v>
      </c>
      <c r="E128" s="7" t="s">
        <v>68</v>
      </c>
      <c r="F128" s="18">
        <v>1125</v>
      </c>
      <c r="G128" s="19">
        <v>186690</v>
      </c>
      <c r="H128" s="20">
        <f t="shared" si="1"/>
        <v>3</v>
      </c>
      <c r="I128" s="20">
        <v>100</v>
      </c>
      <c r="J128" s="10">
        <v>32</v>
      </c>
      <c r="K128" s="21">
        <v>45894</v>
      </c>
      <c r="L128" s="29" t="s">
        <v>54</v>
      </c>
      <c r="M128" s="29"/>
    </row>
    <row r="129" spans="1:13" ht="21" customHeight="1">
      <c r="A129" s="10">
        <v>127</v>
      </c>
      <c r="B129" s="16">
        <v>45894</v>
      </c>
      <c r="C129" s="16"/>
      <c r="D129" s="2" t="s">
        <v>44</v>
      </c>
      <c r="E129" s="7" t="s">
        <v>68</v>
      </c>
      <c r="F129" s="18">
        <v>1125</v>
      </c>
      <c r="G129" s="19">
        <v>186678</v>
      </c>
      <c r="H129" s="20">
        <f t="shared" si="1"/>
        <v>5</v>
      </c>
      <c r="I129" s="20">
        <v>101</v>
      </c>
      <c r="J129" s="10">
        <v>32</v>
      </c>
      <c r="K129" s="21">
        <v>45894</v>
      </c>
      <c r="L129" s="29" t="s">
        <v>54</v>
      </c>
      <c r="M129" s="29"/>
    </row>
    <row r="130" spans="1:13" ht="21" customHeight="1">
      <c r="A130" s="10">
        <v>128</v>
      </c>
      <c r="B130" s="16">
        <v>45904</v>
      </c>
      <c r="C130" s="16"/>
      <c r="D130" s="2" t="s">
        <v>44</v>
      </c>
      <c r="E130" s="7" t="s">
        <v>68</v>
      </c>
      <c r="F130" s="18">
        <v>1125</v>
      </c>
      <c r="G130" s="19">
        <v>186691</v>
      </c>
      <c r="H130" s="20">
        <f t="shared" si="1"/>
        <v>4</v>
      </c>
      <c r="I130" s="20">
        <v>100</v>
      </c>
      <c r="J130" s="10">
        <v>32</v>
      </c>
      <c r="K130" s="21">
        <v>45904</v>
      </c>
      <c r="L130" s="29" t="s">
        <v>54</v>
      </c>
      <c r="M130" s="29"/>
    </row>
    <row r="131" spans="1:13" ht="21" customHeight="1">
      <c r="A131" s="10">
        <v>129</v>
      </c>
      <c r="B131" s="16">
        <v>45904</v>
      </c>
      <c r="C131" s="2"/>
      <c r="D131" s="2" t="s">
        <v>44</v>
      </c>
      <c r="E131" s="53" t="s">
        <v>68</v>
      </c>
      <c r="F131" s="18">
        <v>1125</v>
      </c>
      <c r="G131" s="19">
        <v>186692</v>
      </c>
      <c r="H131" s="20">
        <f t="shared" ref="H131:H194" si="2">IF(G131="","",(F131*100000000+G131)-7*INT((F131*100000000+G131)/7))</f>
        <v>5</v>
      </c>
      <c r="I131" s="20">
        <v>100</v>
      </c>
      <c r="J131" s="10">
        <v>31</v>
      </c>
      <c r="K131" s="21">
        <v>45904</v>
      </c>
      <c r="L131" s="29" t="s">
        <v>54</v>
      </c>
      <c r="M131" s="29"/>
    </row>
    <row r="132" spans="1:13" ht="21" customHeight="1">
      <c r="A132" s="10">
        <v>130</v>
      </c>
      <c r="B132" s="16">
        <v>45905</v>
      </c>
      <c r="C132" s="2"/>
      <c r="D132" s="2" t="s">
        <v>44</v>
      </c>
      <c r="E132" s="53" t="s">
        <v>104</v>
      </c>
      <c r="F132" s="18">
        <v>1125</v>
      </c>
      <c r="G132" s="19">
        <v>3445099</v>
      </c>
      <c r="H132" s="20">
        <f t="shared" si="2"/>
        <v>3</v>
      </c>
      <c r="I132" s="20">
        <v>110</v>
      </c>
      <c r="J132" s="10">
        <v>32</v>
      </c>
      <c r="K132" s="21">
        <v>45905</v>
      </c>
      <c r="L132" s="29" t="s">
        <v>54</v>
      </c>
      <c r="M132" s="29"/>
    </row>
    <row r="133" spans="1:13" ht="21" customHeight="1">
      <c r="A133" s="10">
        <v>131</v>
      </c>
      <c r="B133" s="16">
        <v>45905</v>
      </c>
      <c r="C133" s="16"/>
      <c r="D133" s="2" t="s">
        <v>44</v>
      </c>
      <c r="E133" s="7" t="s">
        <v>57</v>
      </c>
      <c r="F133" s="18">
        <v>1125</v>
      </c>
      <c r="G133" s="19">
        <v>3445101</v>
      </c>
      <c r="H133" s="20">
        <f t="shared" si="2"/>
        <v>5</v>
      </c>
      <c r="I133" s="20">
        <v>100</v>
      </c>
      <c r="J133" s="10">
        <v>52</v>
      </c>
      <c r="K133" s="21">
        <v>45905</v>
      </c>
      <c r="L133" s="29" t="s">
        <v>54</v>
      </c>
      <c r="M133" s="29"/>
    </row>
    <row r="134" spans="1:13" ht="21" customHeight="1">
      <c r="A134" s="10">
        <v>132</v>
      </c>
      <c r="B134" s="16">
        <v>45905</v>
      </c>
      <c r="C134" s="16"/>
      <c r="D134" s="2" t="s">
        <v>44</v>
      </c>
      <c r="E134" s="7" t="s">
        <v>57</v>
      </c>
      <c r="F134" s="18">
        <v>1125</v>
      </c>
      <c r="G134" s="19">
        <v>3445098</v>
      </c>
      <c r="H134" s="20">
        <f t="shared" si="2"/>
        <v>2</v>
      </c>
      <c r="I134" s="20">
        <v>101</v>
      </c>
      <c r="J134" s="10">
        <v>31</v>
      </c>
      <c r="K134" s="21">
        <v>45905</v>
      </c>
      <c r="L134" s="29" t="s">
        <v>54</v>
      </c>
      <c r="M134" s="29"/>
    </row>
    <row r="135" spans="1:13" ht="21" customHeight="1">
      <c r="A135" s="10">
        <v>133</v>
      </c>
      <c r="B135" s="16">
        <v>45905</v>
      </c>
      <c r="C135" s="16"/>
      <c r="D135" s="2" t="s">
        <v>44</v>
      </c>
      <c r="E135" s="7" t="s">
        <v>57</v>
      </c>
      <c r="F135" s="18">
        <v>1125</v>
      </c>
      <c r="G135" s="19">
        <v>3445090</v>
      </c>
      <c r="H135" s="20">
        <f t="shared" si="2"/>
        <v>1</v>
      </c>
      <c r="I135" s="20">
        <v>100</v>
      </c>
      <c r="J135" s="10">
        <v>40</v>
      </c>
      <c r="K135" s="21">
        <v>45905</v>
      </c>
      <c r="L135" s="29" t="s">
        <v>54</v>
      </c>
      <c r="M135" s="29"/>
    </row>
    <row r="136" spans="1:13" ht="21" customHeight="1">
      <c r="A136" s="10">
        <v>134</v>
      </c>
      <c r="B136" s="16">
        <v>45905</v>
      </c>
      <c r="C136" s="16"/>
      <c r="D136" s="2" t="s">
        <v>44</v>
      </c>
      <c r="E136" s="7" t="s">
        <v>57</v>
      </c>
      <c r="F136" s="18">
        <v>1125</v>
      </c>
      <c r="G136" s="19">
        <v>3445089</v>
      </c>
      <c r="H136" s="20">
        <f t="shared" si="2"/>
        <v>0</v>
      </c>
      <c r="I136" s="20">
        <v>101</v>
      </c>
      <c r="J136" s="10">
        <v>40</v>
      </c>
      <c r="K136" s="21">
        <v>45905</v>
      </c>
      <c r="L136" s="29" t="s">
        <v>54</v>
      </c>
      <c r="M136" s="29"/>
    </row>
    <row r="137" spans="1:13" ht="21" customHeight="1">
      <c r="A137" s="10">
        <v>135</v>
      </c>
      <c r="B137" s="16">
        <v>45905</v>
      </c>
      <c r="C137" s="16"/>
      <c r="D137" s="2" t="s">
        <v>44</v>
      </c>
      <c r="E137" s="7" t="s">
        <v>57</v>
      </c>
      <c r="F137" s="18">
        <v>1125</v>
      </c>
      <c r="G137" s="19">
        <v>3445091</v>
      </c>
      <c r="H137" s="20">
        <f t="shared" si="2"/>
        <v>2</v>
      </c>
      <c r="I137" s="20">
        <v>100</v>
      </c>
      <c r="J137" s="10">
        <v>40</v>
      </c>
      <c r="K137" s="21">
        <v>45905</v>
      </c>
      <c r="L137" s="29" t="s">
        <v>54</v>
      </c>
      <c r="M137" s="29"/>
    </row>
    <row r="138" spans="1:13" ht="21" customHeight="1">
      <c r="A138" s="10">
        <v>136</v>
      </c>
      <c r="B138" s="16">
        <v>45908</v>
      </c>
      <c r="C138" s="16"/>
      <c r="D138" s="2" t="s">
        <v>44</v>
      </c>
      <c r="E138" s="7" t="s">
        <v>57</v>
      </c>
      <c r="F138" s="18">
        <v>1125</v>
      </c>
      <c r="G138" s="19">
        <v>3445093</v>
      </c>
      <c r="H138" s="20">
        <f t="shared" si="2"/>
        <v>4</v>
      </c>
      <c r="I138" s="20">
        <v>110</v>
      </c>
      <c r="J138" s="10">
        <v>32</v>
      </c>
      <c r="K138" s="21">
        <v>45905</v>
      </c>
      <c r="L138" s="29" t="s">
        <v>54</v>
      </c>
      <c r="M138" s="29"/>
    </row>
    <row r="139" spans="1:13" ht="21" customHeight="1">
      <c r="A139" s="10">
        <v>137</v>
      </c>
      <c r="B139" s="16">
        <v>45908</v>
      </c>
      <c r="C139" s="16"/>
      <c r="D139" s="2" t="s">
        <v>44</v>
      </c>
      <c r="E139" s="7" t="s">
        <v>57</v>
      </c>
      <c r="F139" s="18">
        <v>1125</v>
      </c>
      <c r="G139" s="19">
        <v>3445088</v>
      </c>
      <c r="H139" s="20">
        <f t="shared" si="2"/>
        <v>6</v>
      </c>
      <c r="I139" s="20">
        <v>185</v>
      </c>
      <c r="J139" s="10">
        <v>10</v>
      </c>
      <c r="K139" s="21">
        <v>45905</v>
      </c>
      <c r="L139" s="29" t="s">
        <v>54</v>
      </c>
      <c r="M139" s="29"/>
    </row>
    <row r="140" spans="1:13" ht="21" customHeight="1">
      <c r="A140" s="10">
        <v>138</v>
      </c>
      <c r="B140" s="16">
        <v>45908</v>
      </c>
      <c r="C140" s="16"/>
      <c r="D140" s="2" t="s">
        <v>44</v>
      </c>
      <c r="E140" s="7" t="s">
        <v>57</v>
      </c>
      <c r="F140" s="18">
        <v>1125</v>
      </c>
      <c r="G140" s="19">
        <v>3445103</v>
      </c>
      <c r="H140" s="20">
        <f t="shared" si="2"/>
        <v>0</v>
      </c>
      <c r="I140" s="20">
        <v>100</v>
      </c>
      <c r="J140" s="10">
        <v>32</v>
      </c>
      <c r="K140" s="21">
        <v>45908</v>
      </c>
      <c r="L140" s="29" t="s">
        <v>54</v>
      </c>
      <c r="M140" s="29"/>
    </row>
    <row r="141" spans="1:13" ht="21" customHeight="1">
      <c r="A141" s="10">
        <v>139</v>
      </c>
      <c r="B141" s="16">
        <v>45908</v>
      </c>
      <c r="C141" s="16"/>
      <c r="D141" s="2" t="s">
        <v>44</v>
      </c>
      <c r="E141" s="7" t="s">
        <v>57</v>
      </c>
      <c r="F141" s="18">
        <v>1125</v>
      </c>
      <c r="G141" s="19">
        <v>3445107</v>
      </c>
      <c r="H141" s="20">
        <f t="shared" si="2"/>
        <v>4</v>
      </c>
      <c r="I141" s="20">
        <v>101</v>
      </c>
      <c r="J141" s="10">
        <v>21</v>
      </c>
      <c r="K141" s="21">
        <v>45908</v>
      </c>
      <c r="L141" s="29" t="s">
        <v>54</v>
      </c>
      <c r="M141" s="29"/>
    </row>
    <row r="142" spans="1:13" ht="21" customHeight="1">
      <c r="A142" s="10">
        <v>140</v>
      </c>
      <c r="B142" s="16">
        <v>45908</v>
      </c>
      <c r="C142" s="16"/>
      <c r="D142" s="2" t="s">
        <v>44</v>
      </c>
      <c r="E142" s="7" t="s">
        <v>57</v>
      </c>
      <c r="F142" s="18">
        <v>1125</v>
      </c>
      <c r="G142" s="19">
        <v>3445104</v>
      </c>
      <c r="H142" s="20">
        <f t="shared" si="2"/>
        <v>1</v>
      </c>
      <c r="I142" s="20">
        <v>110</v>
      </c>
      <c r="J142" s="10">
        <v>31</v>
      </c>
      <c r="K142" s="21">
        <v>45908</v>
      </c>
      <c r="L142" s="29" t="s">
        <v>54</v>
      </c>
      <c r="M142" s="29"/>
    </row>
    <row r="143" spans="1:13" ht="21" customHeight="1">
      <c r="A143" s="10">
        <v>141</v>
      </c>
      <c r="B143" s="16">
        <v>45909</v>
      </c>
      <c r="C143" s="16"/>
      <c r="D143" s="2" t="s">
        <v>44</v>
      </c>
      <c r="E143" s="7" t="s">
        <v>57</v>
      </c>
      <c r="F143" s="18">
        <v>1125</v>
      </c>
      <c r="G143" s="19">
        <v>3445111</v>
      </c>
      <c r="H143" s="20">
        <f t="shared" si="2"/>
        <v>1</v>
      </c>
      <c r="I143" s="20">
        <v>100</v>
      </c>
      <c r="J143" s="10">
        <v>52</v>
      </c>
      <c r="K143" s="21">
        <v>45909</v>
      </c>
      <c r="L143" s="29" t="s">
        <v>54</v>
      </c>
      <c r="M143" s="29"/>
    </row>
    <row r="144" spans="1:13" ht="21" customHeight="1">
      <c r="A144" s="10">
        <v>142</v>
      </c>
      <c r="B144" s="16">
        <v>45909</v>
      </c>
      <c r="C144" s="1"/>
      <c r="D144" s="2" t="s">
        <v>44</v>
      </c>
      <c r="E144" s="7" t="s">
        <v>57</v>
      </c>
      <c r="F144" s="18">
        <v>1125</v>
      </c>
      <c r="G144" s="19">
        <v>3445116</v>
      </c>
      <c r="H144" s="20">
        <f t="shared" si="2"/>
        <v>6</v>
      </c>
      <c r="I144" s="20">
        <v>100</v>
      </c>
      <c r="J144" s="10">
        <v>32</v>
      </c>
      <c r="K144" s="21">
        <v>45909</v>
      </c>
      <c r="L144" s="29" t="s">
        <v>54</v>
      </c>
      <c r="M144" s="29"/>
    </row>
    <row r="145" spans="1:14" ht="21" customHeight="1">
      <c r="A145" s="10">
        <v>143</v>
      </c>
      <c r="B145" s="16">
        <v>45912</v>
      </c>
      <c r="C145" s="2"/>
      <c r="D145" s="2" t="s">
        <v>44</v>
      </c>
      <c r="E145" s="7" t="s">
        <v>105</v>
      </c>
      <c r="F145" s="18">
        <v>23</v>
      </c>
      <c r="G145" s="19">
        <v>40247634</v>
      </c>
      <c r="H145" s="20">
        <f t="shared" si="2"/>
        <v>4</v>
      </c>
      <c r="I145" s="20">
        <v>110</v>
      </c>
      <c r="J145" s="10">
        <v>31</v>
      </c>
      <c r="K145" s="21">
        <v>45912</v>
      </c>
      <c r="L145" s="29" t="s">
        <v>54</v>
      </c>
      <c r="M145" s="29"/>
    </row>
    <row r="146" spans="1:14" ht="21" customHeight="1">
      <c r="A146" s="10">
        <v>144</v>
      </c>
      <c r="B146" s="16">
        <v>45916</v>
      </c>
      <c r="C146" s="16"/>
      <c r="D146" s="2" t="s">
        <v>44</v>
      </c>
      <c r="E146" s="7" t="s">
        <v>68</v>
      </c>
      <c r="F146" s="18">
        <v>1125</v>
      </c>
      <c r="G146" s="19">
        <v>186681</v>
      </c>
      <c r="H146" s="20">
        <f t="shared" si="2"/>
        <v>1</v>
      </c>
      <c r="I146" s="20">
        <v>100</v>
      </c>
      <c r="J146" s="10">
        <v>52</v>
      </c>
      <c r="K146" s="21">
        <v>45916</v>
      </c>
      <c r="L146" s="29" t="s">
        <v>54</v>
      </c>
      <c r="M146" s="29"/>
    </row>
    <row r="147" spans="1:14" ht="21" customHeight="1">
      <c r="A147" s="10">
        <v>145</v>
      </c>
      <c r="B147" s="16">
        <v>45920</v>
      </c>
      <c r="C147" s="2" t="s">
        <v>44</v>
      </c>
      <c r="D147" s="2"/>
      <c r="E147" s="53" t="s">
        <v>106</v>
      </c>
      <c r="F147" s="18">
        <v>24</v>
      </c>
      <c r="G147" s="19">
        <v>20491117</v>
      </c>
      <c r="H147" s="20">
        <f t="shared" si="2"/>
        <v>2</v>
      </c>
      <c r="I147" s="20">
        <v>100</v>
      </c>
      <c r="J147" s="10">
        <v>52</v>
      </c>
      <c r="K147" s="21">
        <v>45920</v>
      </c>
      <c r="L147" s="29" t="s">
        <v>54</v>
      </c>
      <c r="M147" s="29"/>
    </row>
    <row r="148" spans="1:14" ht="21" customHeight="1">
      <c r="A148" s="10">
        <v>146</v>
      </c>
      <c r="B148" s="16">
        <v>45926</v>
      </c>
      <c r="C148" s="16"/>
      <c r="D148" s="2" t="s">
        <v>44</v>
      </c>
      <c r="E148" s="7" t="s">
        <v>57</v>
      </c>
      <c r="F148" s="18">
        <v>1125</v>
      </c>
      <c r="G148" s="19">
        <v>3445115</v>
      </c>
      <c r="H148" s="20">
        <f t="shared" si="2"/>
        <v>5</v>
      </c>
      <c r="I148" s="20">
        <v>100</v>
      </c>
      <c r="J148" s="10">
        <v>32</v>
      </c>
      <c r="K148" s="21">
        <v>45925</v>
      </c>
      <c r="L148" s="29" t="s">
        <v>54</v>
      </c>
      <c r="M148" s="29"/>
    </row>
    <row r="149" spans="1:14" ht="21" customHeight="1">
      <c r="A149" s="10">
        <v>147</v>
      </c>
      <c r="B149" s="16">
        <v>45926</v>
      </c>
      <c r="C149" s="16"/>
      <c r="D149" s="2" t="s">
        <v>44</v>
      </c>
      <c r="E149" s="7" t="s">
        <v>57</v>
      </c>
      <c r="F149" s="18">
        <v>1125</v>
      </c>
      <c r="G149" s="19">
        <v>3445122</v>
      </c>
      <c r="H149" s="20">
        <f t="shared" si="2"/>
        <v>5</v>
      </c>
      <c r="I149" s="20">
        <v>101</v>
      </c>
      <c r="J149" s="10">
        <v>22</v>
      </c>
      <c r="K149" s="21">
        <v>45926</v>
      </c>
      <c r="L149" s="29" t="s">
        <v>54</v>
      </c>
      <c r="M149" s="29"/>
    </row>
    <row r="150" spans="1:14" ht="21" customHeight="1">
      <c r="A150" s="10">
        <v>148</v>
      </c>
      <c r="B150" s="16">
        <v>45926</v>
      </c>
      <c r="C150" s="16"/>
      <c r="D150" s="2" t="s">
        <v>44</v>
      </c>
      <c r="E150" s="7" t="s">
        <v>57</v>
      </c>
      <c r="F150" s="18">
        <v>1125</v>
      </c>
      <c r="G150" s="19">
        <v>3445120</v>
      </c>
      <c r="H150" s="20">
        <f t="shared" si="2"/>
        <v>3</v>
      </c>
      <c r="I150" s="20">
        <v>110</v>
      </c>
      <c r="J150" s="10">
        <v>40</v>
      </c>
      <c r="K150" s="21">
        <v>45926</v>
      </c>
      <c r="L150" s="29" t="s">
        <v>54</v>
      </c>
      <c r="M150" s="29"/>
    </row>
    <row r="151" spans="1:14" ht="21" customHeight="1">
      <c r="A151" s="10">
        <v>149</v>
      </c>
      <c r="B151" s="16">
        <v>45931</v>
      </c>
      <c r="C151" s="16"/>
      <c r="D151" s="2" t="s">
        <v>44</v>
      </c>
      <c r="E151" s="53" t="s">
        <v>107</v>
      </c>
      <c r="F151" s="18">
        <v>23</v>
      </c>
      <c r="G151" s="19">
        <v>40247640</v>
      </c>
      <c r="H151" s="20">
        <f t="shared" si="2"/>
        <v>3</v>
      </c>
      <c r="I151" s="20">
        <v>100</v>
      </c>
      <c r="J151" s="10">
        <v>22</v>
      </c>
      <c r="K151" s="21">
        <v>45931</v>
      </c>
      <c r="L151" s="29" t="s">
        <v>54</v>
      </c>
      <c r="M151" s="29"/>
    </row>
    <row r="152" spans="1:14" ht="21" customHeight="1" thickBot="1">
      <c r="A152" s="57">
        <v>150</v>
      </c>
      <c r="B152" s="58">
        <v>45931</v>
      </c>
      <c r="C152" s="58"/>
      <c r="D152" s="66" t="s">
        <v>44</v>
      </c>
      <c r="E152" s="69" t="s">
        <v>107</v>
      </c>
      <c r="F152" s="61">
        <v>23</v>
      </c>
      <c r="G152" s="62">
        <v>40247642</v>
      </c>
      <c r="H152" s="63">
        <f t="shared" si="2"/>
        <v>5</v>
      </c>
      <c r="I152" s="63">
        <v>101</v>
      </c>
      <c r="J152" s="57">
        <v>32</v>
      </c>
      <c r="K152" s="64">
        <v>45931</v>
      </c>
      <c r="L152" s="65" t="s">
        <v>54</v>
      </c>
      <c r="M152" s="67" t="s">
        <v>109</v>
      </c>
      <c r="N152" s="12"/>
    </row>
    <row r="153" spans="1:14" ht="21" customHeight="1">
      <c r="A153" s="30">
        <v>151</v>
      </c>
      <c r="B153" s="16">
        <v>45936</v>
      </c>
      <c r="C153" s="2"/>
      <c r="D153" s="2" t="s">
        <v>44</v>
      </c>
      <c r="E153" s="53" t="s">
        <v>111</v>
      </c>
      <c r="F153" s="18">
        <v>22</v>
      </c>
      <c r="G153" s="19">
        <v>30483122</v>
      </c>
      <c r="H153" s="20">
        <f t="shared" si="2"/>
        <v>0</v>
      </c>
      <c r="I153" s="20">
        <v>100</v>
      </c>
      <c r="J153" s="10">
        <v>40</v>
      </c>
      <c r="K153" s="21">
        <v>45936</v>
      </c>
      <c r="L153" s="29" t="s">
        <v>54</v>
      </c>
      <c r="M153" s="54"/>
    </row>
    <row r="154" spans="1:14" ht="21" customHeight="1">
      <c r="A154" s="10">
        <v>152</v>
      </c>
      <c r="B154" s="16">
        <v>45936</v>
      </c>
      <c r="C154" s="68"/>
      <c r="D154" s="2" t="s">
        <v>44</v>
      </c>
      <c r="E154" s="53" t="s">
        <v>113</v>
      </c>
      <c r="F154" s="18">
        <v>22</v>
      </c>
      <c r="G154" s="19">
        <v>30483123</v>
      </c>
      <c r="H154" s="20">
        <f t="shared" si="2"/>
        <v>1</v>
      </c>
      <c r="I154" s="20">
        <v>114</v>
      </c>
      <c r="J154" s="10">
        <v>52</v>
      </c>
      <c r="K154" s="21">
        <v>45936</v>
      </c>
      <c r="L154" s="29" t="s">
        <v>54</v>
      </c>
      <c r="M154" s="54"/>
    </row>
    <row r="155" spans="1:14" ht="21" customHeight="1">
      <c r="A155" s="10">
        <v>153</v>
      </c>
      <c r="B155" s="16">
        <v>45936</v>
      </c>
      <c r="C155" s="1"/>
      <c r="D155" s="2" t="s">
        <v>44</v>
      </c>
      <c r="E155" s="53" t="s">
        <v>113</v>
      </c>
      <c r="F155" s="23">
        <v>22</v>
      </c>
      <c r="G155" s="24">
        <v>30483121</v>
      </c>
      <c r="H155" s="20">
        <f t="shared" si="2"/>
        <v>6</v>
      </c>
      <c r="I155" s="20">
        <v>114</v>
      </c>
      <c r="J155" s="10">
        <v>52</v>
      </c>
      <c r="K155" s="21">
        <v>45936</v>
      </c>
      <c r="L155" s="29" t="s">
        <v>54</v>
      </c>
      <c r="M155" s="54"/>
    </row>
    <row r="156" spans="1:14" ht="21" customHeight="1">
      <c r="A156" s="10">
        <v>154</v>
      </c>
      <c r="B156" s="16">
        <v>45936</v>
      </c>
      <c r="C156" s="2"/>
      <c r="D156" s="2" t="s">
        <v>44</v>
      </c>
      <c r="E156" s="53" t="s">
        <v>68</v>
      </c>
      <c r="F156" s="23">
        <v>1125</v>
      </c>
      <c r="G156" s="24">
        <v>186683</v>
      </c>
      <c r="H156" s="20">
        <f t="shared" si="2"/>
        <v>3</v>
      </c>
      <c r="I156" s="20">
        <v>114</v>
      </c>
      <c r="J156" s="10">
        <v>52</v>
      </c>
      <c r="K156" s="21">
        <v>45936</v>
      </c>
      <c r="L156" s="29" t="s">
        <v>54</v>
      </c>
      <c r="M156" s="54"/>
    </row>
    <row r="157" spans="1:14" ht="21" customHeight="1">
      <c r="A157" s="10">
        <v>155</v>
      </c>
      <c r="B157" s="16">
        <v>45940</v>
      </c>
      <c r="C157" s="2"/>
      <c r="D157" s="2" t="s">
        <v>44</v>
      </c>
      <c r="E157" s="53" t="s">
        <v>57</v>
      </c>
      <c r="F157" s="18">
        <v>1125</v>
      </c>
      <c r="G157" s="19">
        <v>3445134</v>
      </c>
      <c r="H157" s="20">
        <f t="shared" si="2"/>
        <v>3</v>
      </c>
      <c r="I157" s="20">
        <v>101</v>
      </c>
      <c r="J157" s="10">
        <v>32</v>
      </c>
      <c r="K157" s="21">
        <v>45940</v>
      </c>
      <c r="L157" s="29" t="s">
        <v>54</v>
      </c>
      <c r="M157" s="54"/>
    </row>
    <row r="158" spans="1:14" ht="21" customHeight="1">
      <c r="A158" s="10">
        <v>156</v>
      </c>
      <c r="B158" s="16">
        <v>45940</v>
      </c>
      <c r="C158" s="2"/>
      <c r="D158" s="2" t="s">
        <v>44</v>
      </c>
      <c r="E158" s="53" t="s">
        <v>57</v>
      </c>
      <c r="F158" s="18">
        <v>1125</v>
      </c>
      <c r="G158" s="24">
        <v>3445137</v>
      </c>
      <c r="H158" s="20">
        <f t="shared" si="2"/>
        <v>6</v>
      </c>
      <c r="I158" s="20">
        <v>100</v>
      </c>
      <c r="J158" s="10">
        <v>32</v>
      </c>
      <c r="K158" s="21">
        <v>45938</v>
      </c>
      <c r="L158" s="29" t="s">
        <v>54</v>
      </c>
      <c r="M158" s="54"/>
    </row>
    <row r="159" spans="1:14" ht="21" customHeight="1">
      <c r="A159" s="10">
        <v>157</v>
      </c>
      <c r="B159" s="16">
        <v>45940</v>
      </c>
      <c r="C159" s="2"/>
      <c r="D159" s="2" t="s">
        <v>44</v>
      </c>
      <c r="E159" s="53" t="s">
        <v>57</v>
      </c>
      <c r="F159" s="18">
        <v>1125</v>
      </c>
      <c r="G159" s="19">
        <v>3445129</v>
      </c>
      <c r="H159" s="20">
        <f t="shared" si="2"/>
        <v>5</v>
      </c>
      <c r="I159" s="20">
        <v>100</v>
      </c>
      <c r="J159" s="10">
        <v>31</v>
      </c>
      <c r="K159" s="21">
        <v>45938</v>
      </c>
      <c r="L159" s="29" t="s">
        <v>54</v>
      </c>
      <c r="M159" s="54"/>
    </row>
    <row r="160" spans="1:14" ht="21" customHeight="1">
      <c r="A160" s="10">
        <v>158</v>
      </c>
      <c r="B160" s="16">
        <v>45940</v>
      </c>
      <c r="C160" s="2"/>
      <c r="D160" s="2" t="s">
        <v>44</v>
      </c>
      <c r="E160" s="53" t="s">
        <v>57</v>
      </c>
      <c r="F160" s="18">
        <v>1125</v>
      </c>
      <c r="G160" s="19">
        <v>3445123</v>
      </c>
      <c r="H160" s="20">
        <f t="shared" si="2"/>
        <v>6</v>
      </c>
      <c r="I160" s="20">
        <v>100</v>
      </c>
      <c r="J160" s="10">
        <v>40</v>
      </c>
      <c r="K160" s="21">
        <v>45938</v>
      </c>
      <c r="L160" s="29" t="s">
        <v>54</v>
      </c>
      <c r="M160" s="54"/>
    </row>
    <row r="161" spans="1:13" ht="21" customHeight="1">
      <c r="A161" s="10">
        <v>159</v>
      </c>
      <c r="B161" s="16">
        <v>45940</v>
      </c>
      <c r="C161" s="2"/>
      <c r="D161" s="2" t="s">
        <v>44</v>
      </c>
      <c r="E161" s="53" t="s">
        <v>57</v>
      </c>
      <c r="F161" s="18">
        <v>1125</v>
      </c>
      <c r="G161" s="19">
        <v>3445124</v>
      </c>
      <c r="H161" s="20">
        <f t="shared" si="2"/>
        <v>0</v>
      </c>
      <c r="I161" s="20">
        <v>100</v>
      </c>
      <c r="J161" s="10">
        <v>40</v>
      </c>
      <c r="K161" s="21">
        <v>45938</v>
      </c>
      <c r="L161" s="29" t="s">
        <v>54</v>
      </c>
      <c r="M161" s="54"/>
    </row>
    <row r="162" spans="1:13" ht="21" customHeight="1">
      <c r="A162" s="10">
        <v>160</v>
      </c>
      <c r="B162" s="16">
        <v>45944</v>
      </c>
      <c r="C162" s="2"/>
      <c r="D162" s="2" t="s">
        <v>44</v>
      </c>
      <c r="E162" s="53" t="s">
        <v>56</v>
      </c>
      <c r="F162" s="18">
        <v>1122</v>
      </c>
      <c r="G162" s="19">
        <v>9591283</v>
      </c>
      <c r="H162" s="20">
        <f t="shared" si="2"/>
        <v>6</v>
      </c>
      <c r="I162" s="20">
        <v>100</v>
      </c>
      <c r="J162" s="10">
        <v>32</v>
      </c>
      <c r="K162" s="21">
        <v>45944</v>
      </c>
      <c r="L162" s="29" t="s">
        <v>54</v>
      </c>
      <c r="M162" s="54"/>
    </row>
    <row r="163" spans="1:13" ht="21" customHeight="1">
      <c r="A163" s="10">
        <v>161</v>
      </c>
      <c r="B163" s="16">
        <v>45947</v>
      </c>
      <c r="C163" s="2"/>
      <c r="D163" s="2" t="s">
        <v>44</v>
      </c>
      <c r="E163" s="53" t="s">
        <v>56</v>
      </c>
      <c r="F163" s="18">
        <v>1122</v>
      </c>
      <c r="G163" s="19">
        <v>9591292</v>
      </c>
      <c r="H163" s="20">
        <f t="shared" si="2"/>
        <v>1</v>
      </c>
      <c r="I163" s="20">
        <v>101</v>
      </c>
      <c r="J163" s="10">
        <v>32</v>
      </c>
      <c r="K163" s="21">
        <v>45947</v>
      </c>
      <c r="L163" s="29" t="s">
        <v>54</v>
      </c>
      <c r="M163" s="54"/>
    </row>
    <row r="164" spans="1:13" ht="21" customHeight="1">
      <c r="A164" s="10">
        <v>162</v>
      </c>
      <c r="B164" s="16">
        <v>45947</v>
      </c>
      <c r="C164" s="2" t="s">
        <v>44</v>
      </c>
      <c r="D164" s="2"/>
      <c r="E164" s="53" t="s">
        <v>87</v>
      </c>
      <c r="F164" s="18">
        <v>24</v>
      </c>
      <c r="G164" s="19">
        <v>20491120</v>
      </c>
      <c r="H164" s="20">
        <f t="shared" si="2"/>
        <v>5</v>
      </c>
      <c r="I164" s="20">
        <v>100</v>
      </c>
      <c r="J164" s="10">
        <v>40</v>
      </c>
      <c r="K164" s="21">
        <v>45947</v>
      </c>
      <c r="L164" s="29" t="s">
        <v>54</v>
      </c>
      <c r="M164" s="54"/>
    </row>
    <row r="165" spans="1:13" ht="21" customHeight="1">
      <c r="A165" s="10">
        <v>163</v>
      </c>
      <c r="B165" s="16">
        <v>45950</v>
      </c>
      <c r="C165" s="2" t="s">
        <v>44</v>
      </c>
      <c r="D165" s="2"/>
      <c r="E165" s="53" t="s">
        <v>118</v>
      </c>
      <c r="F165" s="18">
        <v>24</v>
      </c>
      <c r="G165" s="19">
        <v>20491121</v>
      </c>
      <c r="H165" s="20">
        <f t="shared" si="2"/>
        <v>6</v>
      </c>
      <c r="I165" s="20">
        <v>100</v>
      </c>
      <c r="J165" s="10">
        <v>32</v>
      </c>
      <c r="K165" s="21">
        <v>45950</v>
      </c>
      <c r="L165" s="29" t="s">
        <v>54</v>
      </c>
      <c r="M165" s="54"/>
    </row>
    <row r="166" spans="1:13" ht="21" customHeight="1">
      <c r="A166" s="10">
        <v>164</v>
      </c>
      <c r="B166" s="16">
        <v>45951</v>
      </c>
      <c r="C166" s="16"/>
      <c r="D166" s="2" t="s">
        <v>119</v>
      </c>
      <c r="E166" s="53" t="s">
        <v>53</v>
      </c>
      <c r="F166" s="18">
        <v>1123</v>
      </c>
      <c r="G166" s="19">
        <v>10330466</v>
      </c>
      <c r="H166" s="20">
        <f t="shared" si="2"/>
        <v>5</v>
      </c>
      <c r="I166" s="20">
        <v>100</v>
      </c>
      <c r="J166" s="10">
        <v>40</v>
      </c>
      <c r="K166" s="21">
        <v>45951</v>
      </c>
      <c r="L166" s="29" t="s">
        <v>54</v>
      </c>
      <c r="M166" s="54"/>
    </row>
    <row r="167" spans="1:13" ht="21" customHeight="1">
      <c r="A167" s="10">
        <v>165</v>
      </c>
      <c r="B167" s="16">
        <v>45951</v>
      </c>
      <c r="C167" s="16"/>
      <c r="D167" s="2" t="s">
        <v>119</v>
      </c>
      <c r="E167" s="53" t="s">
        <v>53</v>
      </c>
      <c r="F167" s="18">
        <v>1123</v>
      </c>
      <c r="G167" s="19">
        <v>10330467</v>
      </c>
      <c r="H167" s="20">
        <f t="shared" si="2"/>
        <v>6</v>
      </c>
      <c r="I167" s="20">
        <v>100</v>
      </c>
      <c r="J167" s="10">
        <v>40</v>
      </c>
      <c r="K167" s="21">
        <v>45951</v>
      </c>
      <c r="L167" s="29" t="s">
        <v>54</v>
      </c>
      <c r="M167" s="54"/>
    </row>
    <row r="168" spans="1:13" ht="21" customHeight="1">
      <c r="A168" s="10">
        <v>166</v>
      </c>
      <c r="B168" s="16">
        <v>45957</v>
      </c>
      <c r="C168" s="16"/>
      <c r="D168" s="2" t="s">
        <v>119</v>
      </c>
      <c r="E168" s="53" t="s">
        <v>57</v>
      </c>
      <c r="F168" s="18">
        <v>1125</v>
      </c>
      <c r="G168" s="19">
        <v>3445141</v>
      </c>
      <c r="H168" s="20">
        <f t="shared" si="2"/>
        <v>3</v>
      </c>
      <c r="I168" s="20">
        <v>101</v>
      </c>
      <c r="J168" s="10">
        <v>32</v>
      </c>
      <c r="K168" s="21">
        <v>45957</v>
      </c>
      <c r="L168" s="29" t="s">
        <v>54</v>
      </c>
      <c r="M168" s="54"/>
    </row>
    <row r="169" spans="1:13" ht="21" customHeight="1">
      <c r="A169" s="10">
        <v>167</v>
      </c>
      <c r="B169" s="16">
        <v>45957</v>
      </c>
      <c r="C169" s="16"/>
      <c r="D169" s="2" t="s">
        <v>119</v>
      </c>
      <c r="E169" s="53" t="s">
        <v>57</v>
      </c>
      <c r="F169" s="18">
        <v>1125</v>
      </c>
      <c r="G169" s="19">
        <v>3445138</v>
      </c>
      <c r="H169" s="20">
        <f t="shared" si="2"/>
        <v>0</v>
      </c>
      <c r="I169" s="20">
        <v>100</v>
      </c>
      <c r="J169" s="10">
        <v>32</v>
      </c>
      <c r="K169" s="21">
        <v>45957</v>
      </c>
      <c r="L169" s="29" t="s">
        <v>54</v>
      </c>
      <c r="M169" s="54"/>
    </row>
    <row r="170" spans="1:13" ht="21" customHeight="1">
      <c r="A170" s="10">
        <v>168</v>
      </c>
      <c r="B170" s="16">
        <v>45957</v>
      </c>
      <c r="C170" s="16"/>
      <c r="D170" s="2" t="s">
        <v>119</v>
      </c>
      <c r="E170" s="53" t="s">
        <v>57</v>
      </c>
      <c r="F170" s="18">
        <v>1125</v>
      </c>
      <c r="G170" s="19">
        <v>3445140</v>
      </c>
      <c r="H170" s="20">
        <f t="shared" si="2"/>
        <v>2</v>
      </c>
      <c r="I170" s="20">
        <v>100</v>
      </c>
      <c r="J170" s="10">
        <v>40</v>
      </c>
      <c r="K170" s="21">
        <v>45957</v>
      </c>
      <c r="L170" s="29" t="s">
        <v>54</v>
      </c>
      <c r="M170" s="54"/>
    </row>
    <row r="171" spans="1:13" ht="21" customHeight="1">
      <c r="A171" s="10">
        <v>169</v>
      </c>
      <c r="B171" s="16">
        <v>45957</v>
      </c>
      <c r="C171" s="16"/>
      <c r="D171" s="2" t="s">
        <v>119</v>
      </c>
      <c r="E171" s="53" t="s">
        <v>57</v>
      </c>
      <c r="F171" s="18">
        <v>1125</v>
      </c>
      <c r="G171" s="19">
        <v>3445139</v>
      </c>
      <c r="H171" s="20">
        <f t="shared" si="2"/>
        <v>1</v>
      </c>
      <c r="I171" s="20">
        <v>110</v>
      </c>
      <c r="J171" s="10">
        <v>40</v>
      </c>
      <c r="K171" s="21">
        <v>45957</v>
      </c>
      <c r="L171" s="29" t="s">
        <v>54</v>
      </c>
      <c r="M171" s="29"/>
    </row>
    <row r="172" spans="1:13" ht="21" customHeight="1">
      <c r="A172" s="10">
        <v>170</v>
      </c>
      <c r="B172" s="16">
        <v>45959</v>
      </c>
      <c r="C172" s="16"/>
      <c r="D172" s="2" t="s">
        <v>119</v>
      </c>
      <c r="E172" s="53" t="s">
        <v>57</v>
      </c>
      <c r="F172" s="18">
        <v>1125</v>
      </c>
      <c r="G172" s="19">
        <v>3445145</v>
      </c>
      <c r="H172" s="20">
        <f t="shared" si="2"/>
        <v>0</v>
      </c>
      <c r="I172" s="20">
        <v>100</v>
      </c>
      <c r="J172" s="10">
        <v>40</v>
      </c>
      <c r="K172" s="21">
        <v>45957</v>
      </c>
      <c r="L172" s="29" t="s">
        <v>54</v>
      </c>
      <c r="M172" s="29"/>
    </row>
    <row r="173" spans="1:13" ht="21" customHeight="1">
      <c r="A173" s="10">
        <v>171</v>
      </c>
      <c r="B173" s="16">
        <v>45967</v>
      </c>
      <c r="C173" s="2" t="s">
        <v>119</v>
      </c>
      <c r="D173" s="2"/>
      <c r="E173" s="53" t="s">
        <v>123</v>
      </c>
      <c r="F173" s="18">
        <v>24</v>
      </c>
      <c r="G173" s="19">
        <v>20613475</v>
      </c>
      <c r="H173" s="20">
        <f t="shared" si="2"/>
        <v>0</v>
      </c>
      <c r="I173" s="20">
        <v>110</v>
      </c>
      <c r="J173" s="10">
        <v>40</v>
      </c>
      <c r="K173" s="21">
        <v>45967</v>
      </c>
      <c r="L173" s="29" t="s">
        <v>54</v>
      </c>
      <c r="M173" s="29"/>
    </row>
    <row r="174" spans="1:13" ht="21" customHeight="1">
      <c r="A174" s="10">
        <v>172</v>
      </c>
      <c r="B174" s="16">
        <v>45969</v>
      </c>
      <c r="C174" s="2" t="s">
        <v>119</v>
      </c>
      <c r="D174" s="2"/>
      <c r="E174" s="53" t="s">
        <v>124</v>
      </c>
      <c r="F174" s="18">
        <v>24</v>
      </c>
      <c r="G174" s="19">
        <v>20613451</v>
      </c>
      <c r="H174" s="20">
        <f t="shared" si="2"/>
        <v>4</v>
      </c>
      <c r="I174" s="20">
        <v>114</v>
      </c>
      <c r="J174" s="10">
        <v>52</v>
      </c>
      <c r="K174" s="21">
        <v>45969</v>
      </c>
      <c r="L174" s="29" t="s">
        <v>54</v>
      </c>
      <c r="M174" s="29"/>
    </row>
    <row r="175" spans="1:13" ht="21" customHeight="1">
      <c r="A175" s="10">
        <v>173</v>
      </c>
      <c r="B175" s="16">
        <v>45969</v>
      </c>
      <c r="C175" s="2" t="s">
        <v>119</v>
      </c>
      <c r="D175" s="2"/>
      <c r="E175" s="53" t="s">
        <v>125</v>
      </c>
      <c r="F175" s="18">
        <v>24</v>
      </c>
      <c r="G175" s="19">
        <v>20613454</v>
      </c>
      <c r="H175" s="20">
        <f t="shared" si="2"/>
        <v>0</v>
      </c>
      <c r="I175" s="20">
        <v>100</v>
      </c>
      <c r="J175" s="10">
        <v>31</v>
      </c>
      <c r="K175" s="21">
        <v>45969</v>
      </c>
      <c r="L175" s="29" t="s">
        <v>54</v>
      </c>
      <c r="M175" s="29"/>
    </row>
    <row r="176" spans="1:13" ht="21" customHeight="1">
      <c r="A176" s="10">
        <v>174</v>
      </c>
      <c r="B176" s="16">
        <v>45973</v>
      </c>
      <c r="C176" s="16"/>
      <c r="D176" s="2" t="s">
        <v>119</v>
      </c>
      <c r="E176" s="53" t="s">
        <v>57</v>
      </c>
      <c r="F176" s="18">
        <v>1125</v>
      </c>
      <c r="G176" s="19">
        <v>3445149</v>
      </c>
      <c r="H176" s="20">
        <f t="shared" si="2"/>
        <v>4</v>
      </c>
      <c r="I176" s="20">
        <v>100</v>
      </c>
      <c r="J176" s="10">
        <v>22</v>
      </c>
      <c r="K176" s="21">
        <v>45973</v>
      </c>
      <c r="L176" s="29" t="s">
        <v>54</v>
      </c>
      <c r="M176" s="29"/>
    </row>
    <row r="177" spans="1:13" ht="21" customHeight="1">
      <c r="A177" s="10">
        <v>175</v>
      </c>
      <c r="B177" s="16">
        <v>45973</v>
      </c>
      <c r="C177" s="16"/>
      <c r="D177" s="2" t="s">
        <v>119</v>
      </c>
      <c r="E177" s="53" t="s">
        <v>57</v>
      </c>
      <c r="F177" s="18">
        <v>1125</v>
      </c>
      <c r="G177" s="19">
        <v>3445150</v>
      </c>
      <c r="H177" s="20">
        <f t="shared" si="2"/>
        <v>5</v>
      </c>
      <c r="I177" s="20">
        <v>100</v>
      </c>
      <c r="J177" s="10">
        <v>40</v>
      </c>
      <c r="K177" s="21">
        <v>45973</v>
      </c>
      <c r="L177" s="29" t="s">
        <v>54</v>
      </c>
      <c r="M177" s="29"/>
    </row>
    <row r="178" spans="1:13" ht="21" customHeight="1">
      <c r="A178" s="10">
        <v>176</v>
      </c>
      <c r="B178" s="16">
        <v>45973</v>
      </c>
      <c r="C178" s="16"/>
      <c r="D178" s="2" t="s">
        <v>119</v>
      </c>
      <c r="E178" s="53" t="s">
        <v>57</v>
      </c>
      <c r="F178" s="18">
        <v>1125</v>
      </c>
      <c r="G178" s="19">
        <v>3445147</v>
      </c>
      <c r="H178" s="20">
        <f t="shared" si="2"/>
        <v>2</v>
      </c>
      <c r="I178" s="20">
        <v>100</v>
      </c>
      <c r="J178" s="10">
        <v>52</v>
      </c>
      <c r="K178" s="21">
        <v>45960</v>
      </c>
      <c r="L178" s="29" t="s">
        <v>54</v>
      </c>
      <c r="M178" s="29"/>
    </row>
    <row r="179" spans="1:13" ht="21" customHeight="1">
      <c r="A179" s="10">
        <v>177</v>
      </c>
      <c r="B179" s="16">
        <v>45973</v>
      </c>
      <c r="C179" s="16"/>
      <c r="D179" s="2" t="s">
        <v>119</v>
      </c>
      <c r="E179" s="53" t="s">
        <v>126</v>
      </c>
      <c r="F179" s="18">
        <v>24</v>
      </c>
      <c r="G179" s="19">
        <v>20361160</v>
      </c>
      <c r="H179" s="20">
        <f t="shared" si="2"/>
        <v>0</v>
      </c>
      <c r="I179" s="20">
        <v>100</v>
      </c>
      <c r="J179" s="10">
        <v>32</v>
      </c>
      <c r="K179" s="21">
        <v>45942</v>
      </c>
      <c r="L179" s="29" t="s">
        <v>54</v>
      </c>
      <c r="M179" s="29"/>
    </row>
    <row r="180" spans="1:13" ht="21" customHeight="1">
      <c r="A180" s="10">
        <v>178</v>
      </c>
      <c r="B180" s="16">
        <v>45975</v>
      </c>
      <c r="C180" s="2" t="s">
        <v>119</v>
      </c>
      <c r="D180" s="2"/>
      <c r="E180" s="53" t="s">
        <v>127</v>
      </c>
      <c r="F180" s="18">
        <v>24</v>
      </c>
      <c r="G180" s="19">
        <v>20613455</v>
      </c>
      <c r="H180" s="20">
        <f t="shared" si="2"/>
        <v>1</v>
      </c>
      <c r="I180" s="20">
        <v>100</v>
      </c>
      <c r="J180" s="10">
        <v>52</v>
      </c>
      <c r="K180" s="21">
        <v>45975</v>
      </c>
      <c r="L180" s="29" t="s">
        <v>54</v>
      </c>
      <c r="M180" s="29"/>
    </row>
    <row r="181" spans="1:13" ht="21" customHeight="1">
      <c r="A181" s="10">
        <v>179</v>
      </c>
      <c r="B181" s="16">
        <v>45979</v>
      </c>
      <c r="C181" s="16"/>
      <c r="D181" s="2" t="s">
        <v>119</v>
      </c>
      <c r="E181" s="53" t="s">
        <v>57</v>
      </c>
      <c r="F181" s="18">
        <v>1125</v>
      </c>
      <c r="G181" s="19">
        <v>3445158</v>
      </c>
      <c r="H181" s="20">
        <f t="shared" si="2"/>
        <v>6</v>
      </c>
      <c r="I181" s="20">
        <v>110</v>
      </c>
      <c r="J181" s="10">
        <v>32</v>
      </c>
      <c r="K181" s="21">
        <v>45973</v>
      </c>
      <c r="L181" s="29" t="s">
        <v>54</v>
      </c>
      <c r="M181" s="29"/>
    </row>
    <row r="182" spans="1:13" ht="21" customHeight="1">
      <c r="A182" s="10">
        <v>180</v>
      </c>
      <c r="B182" s="16">
        <v>45979</v>
      </c>
      <c r="C182" s="16"/>
      <c r="D182" s="2" t="s">
        <v>119</v>
      </c>
      <c r="E182" s="53" t="s">
        <v>57</v>
      </c>
      <c r="F182" s="18">
        <v>1125</v>
      </c>
      <c r="G182" s="19">
        <v>3445148</v>
      </c>
      <c r="H182" s="20">
        <f t="shared" si="2"/>
        <v>3</v>
      </c>
      <c r="I182" s="20">
        <v>100</v>
      </c>
      <c r="J182" s="10">
        <v>32</v>
      </c>
      <c r="K182" s="21">
        <v>45968</v>
      </c>
      <c r="L182" s="29" t="s">
        <v>54</v>
      </c>
      <c r="M182" s="29"/>
    </row>
    <row r="183" spans="1:13" ht="21" customHeight="1">
      <c r="A183" s="10">
        <v>181</v>
      </c>
      <c r="B183" s="16">
        <v>45979</v>
      </c>
      <c r="C183" s="16"/>
      <c r="D183" s="2" t="s">
        <v>119</v>
      </c>
      <c r="E183" s="53" t="s">
        <v>88</v>
      </c>
      <c r="F183" s="18">
        <v>23</v>
      </c>
      <c r="G183" s="19">
        <v>40247643</v>
      </c>
      <c r="H183" s="20">
        <f>IF(G183="","",(F183*100000000+G183)-7*INT((F183*100000000+G183)/7))</f>
        <v>6</v>
      </c>
      <c r="I183" s="20">
        <v>100</v>
      </c>
      <c r="J183" s="10">
        <v>40</v>
      </c>
      <c r="K183" s="21">
        <v>45979</v>
      </c>
      <c r="L183" s="29" t="s">
        <v>54</v>
      </c>
      <c r="M183" s="29"/>
    </row>
    <row r="184" spans="1:13" ht="21" customHeight="1">
      <c r="A184" s="10">
        <v>182</v>
      </c>
      <c r="B184" s="16">
        <v>45987</v>
      </c>
      <c r="C184" s="16"/>
      <c r="D184" s="2" t="s">
        <v>119</v>
      </c>
      <c r="E184" s="7" t="s">
        <v>57</v>
      </c>
      <c r="F184" s="18">
        <v>1125</v>
      </c>
      <c r="G184" s="19">
        <v>3445162</v>
      </c>
      <c r="H184" s="20">
        <f t="shared" ref="H184:H191" si="3">IF(G184="","",(F184*100000000+G184)-7*INT((F184*100000000+G184)/7))</f>
        <v>3</v>
      </c>
      <c r="I184" s="20">
        <v>100</v>
      </c>
      <c r="J184" s="10">
        <v>22</v>
      </c>
      <c r="K184" s="21">
        <v>45986</v>
      </c>
      <c r="L184" s="29" t="s">
        <v>54</v>
      </c>
      <c r="M184" s="29"/>
    </row>
    <row r="185" spans="1:13" ht="21" customHeight="1">
      <c r="A185" s="10">
        <v>183</v>
      </c>
      <c r="B185" s="16">
        <v>45987</v>
      </c>
      <c r="C185" s="16"/>
      <c r="D185" s="2" t="s">
        <v>119</v>
      </c>
      <c r="E185" s="7" t="s">
        <v>57</v>
      </c>
      <c r="F185" s="18">
        <v>1125</v>
      </c>
      <c r="G185" s="19">
        <v>3445161</v>
      </c>
      <c r="H185" s="20">
        <f t="shared" si="3"/>
        <v>2</v>
      </c>
      <c r="I185" s="20">
        <v>100</v>
      </c>
      <c r="J185" s="10">
        <v>40</v>
      </c>
      <c r="K185" s="21">
        <v>45986</v>
      </c>
      <c r="L185" s="29" t="s">
        <v>54</v>
      </c>
      <c r="M185" s="29"/>
    </row>
    <row r="186" spans="1:13" ht="21" customHeight="1">
      <c r="A186" s="10">
        <v>184</v>
      </c>
      <c r="B186" s="16">
        <v>45987</v>
      </c>
      <c r="C186" s="16"/>
      <c r="D186" s="2" t="s">
        <v>119</v>
      </c>
      <c r="E186" s="7" t="s">
        <v>57</v>
      </c>
      <c r="F186" s="18">
        <v>1125</v>
      </c>
      <c r="G186" s="19">
        <v>3445165</v>
      </c>
      <c r="H186" s="20">
        <f t="shared" si="3"/>
        <v>6</v>
      </c>
      <c r="I186" s="20">
        <v>110</v>
      </c>
      <c r="J186" s="10">
        <v>40</v>
      </c>
      <c r="K186" s="21">
        <v>45986</v>
      </c>
      <c r="L186" s="29" t="s">
        <v>54</v>
      </c>
      <c r="M186" s="29"/>
    </row>
    <row r="187" spans="1:13" ht="21" customHeight="1">
      <c r="A187" s="10">
        <v>185</v>
      </c>
      <c r="B187" s="16">
        <v>45989</v>
      </c>
      <c r="C187" s="2"/>
      <c r="D187" s="2" t="s">
        <v>119</v>
      </c>
      <c r="E187" s="7" t="s">
        <v>57</v>
      </c>
      <c r="F187" s="18">
        <v>1125</v>
      </c>
      <c r="G187" s="19">
        <v>3445174</v>
      </c>
      <c r="H187" s="20">
        <f t="shared" si="3"/>
        <v>1</v>
      </c>
      <c r="I187" s="20">
        <v>101</v>
      </c>
      <c r="J187" s="10">
        <v>32</v>
      </c>
      <c r="K187" s="21">
        <v>45987</v>
      </c>
      <c r="L187" s="29" t="s">
        <v>54</v>
      </c>
      <c r="M187" s="29"/>
    </row>
    <row r="188" spans="1:13" ht="21" customHeight="1">
      <c r="A188" s="10">
        <v>186</v>
      </c>
      <c r="B188" s="16">
        <v>45993</v>
      </c>
      <c r="C188" s="2"/>
      <c r="D188" s="2" t="s">
        <v>119</v>
      </c>
      <c r="E188" s="53" t="s">
        <v>129</v>
      </c>
      <c r="F188" s="18">
        <v>23</v>
      </c>
      <c r="G188" s="19">
        <v>40247645</v>
      </c>
      <c r="H188" s="20">
        <f t="shared" si="3"/>
        <v>1</v>
      </c>
      <c r="I188" s="20">
        <v>100</v>
      </c>
      <c r="J188" s="10">
        <v>52</v>
      </c>
      <c r="K188" s="21">
        <v>45993</v>
      </c>
      <c r="L188" s="29" t="s">
        <v>130</v>
      </c>
      <c r="M188" s="29"/>
    </row>
    <row r="189" spans="1:13" ht="21" customHeight="1">
      <c r="A189" s="10">
        <v>187</v>
      </c>
      <c r="B189" s="16">
        <v>45994</v>
      </c>
      <c r="C189" s="2"/>
      <c r="D189" s="2" t="s">
        <v>119</v>
      </c>
      <c r="E189" s="7" t="s">
        <v>57</v>
      </c>
      <c r="F189" s="18">
        <v>1125</v>
      </c>
      <c r="G189" s="19">
        <v>3445175</v>
      </c>
      <c r="H189" s="20">
        <f t="shared" si="3"/>
        <v>2</v>
      </c>
      <c r="I189" s="20">
        <v>100</v>
      </c>
      <c r="J189" s="10">
        <v>32</v>
      </c>
      <c r="K189" s="21">
        <v>45994</v>
      </c>
      <c r="L189" s="29" t="s">
        <v>130</v>
      </c>
      <c r="M189" s="29"/>
    </row>
    <row r="190" spans="1:13" ht="21" customHeight="1">
      <c r="A190" s="10">
        <v>188</v>
      </c>
      <c r="B190" s="16">
        <v>45999</v>
      </c>
      <c r="C190" s="16"/>
      <c r="D190" s="2" t="s">
        <v>119</v>
      </c>
      <c r="E190" s="7" t="s">
        <v>57</v>
      </c>
      <c r="F190" s="18">
        <v>1125</v>
      </c>
      <c r="G190" s="19">
        <v>3445181</v>
      </c>
      <c r="H190" s="20">
        <f t="shared" si="3"/>
        <v>1</v>
      </c>
      <c r="I190" s="20">
        <v>100</v>
      </c>
      <c r="J190" s="10">
        <v>40</v>
      </c>
      <c r="K190" s="21">
        <v>45999</v>
      </c>
      <c r="L190" s="29" t="s">
        <v>130</v>
      </c>
      <c r="M190" s="29"/>
    </row>
    <row r="191" spans="1:13" ht="21" customHeight="1">
      <c r="A191" s="10">
        <v>189</v>
      </c>
      <c r="B191" s="16">
        <v>45999</v>
      </c>
      <c r="C191" s="16"/>
      <c r="D191" s="2" t="s">
        <v>119</v>
      </c>
      <c r="E191" s="7" t="s">
        <v>57</v>
      </c>
      <c r="F191" s="18">
        <v>1125</v>
      </c>
      <c r="G191" s="19">
        <v>3445182</v>
      </c>
      <c r="H191" s="20">
        <f t="shared" si="3"/>
        <v>2</v>
      </c>
      <c r="I191" s="20">
        <v>110</v>
      </c>
      <c r="J191" s="10">
        <v>40</v>
      </c>
      <c r="K191" s="21">
        <v>45999</v>
      </c>
      <c r="L191" s="29" t="s">
        <v>130</v>
      </c>
      <c r="M191" s="29"/>
    </row>
    <row r="192" spans="1:13" ht="21" customHeight="1">
      <c r="A192" s="10">
        <v>190</v>
      </c>
      <c r="B192" s="16">
        <v>45999</v>
      </c>
      <c r="C192" s="16"/>
      <c r="D192" s="2" t="s">
        <v>119</v>
      </c>
      <c r="E192" s="7" t="s">
        <v>57</v>
      </c>
      <c r="F192" s="18">
        <v>1125</v>
      </c>
      <c r="G192" s="19">
        <v>3445180</v>
      </c>
      <c r="H192" s="20">
        <f t="shared" si="2"/>
        <v>0</v>
      </c>
      <c r="I192" s="20">
        <v>100</v>
      </c>
      <c r="J192" s="10">
        <v>22</v>
      </c>
      <c r="K192" s="21">
        <v>45999</v>
      </c>
      <c r="L192" s="29" t="s">
        <v>130</v>
      </c>
      <c r="M192" s="29"/>
    </row>
    <row r="193" spans="1:14" ht="21" customHeight="1">
      <c r="A193" s="10">
        <v>191</v>
      </c>
      <c r="B193" s="16">
        <v>45999</v>
      </c>
      <c r="C193" s="16"/>
      <c r="D193" s="2" t="s">
        <v>119</v>
      </c>
      <c r="E193" s="7" t="s">
        <v>57</v>
      </c>
      <c r="F193" s="18">
        <v>1125</v>
      </c>
      <c r="G193" s="19">
        <v>3445177</v>
      </c>
      <c r="H193" s="20">
        <f t="shared" si="2"/>
        <v>4</v>
      </c>
      <c r="I193" s="20">
        <v>100</v>
      </c>
      <c r="J193" s="10">
        <v>52</v>
      </c>
      <c r="K193" s="21">
        <v>45999</v>
      </c>
      <c r="L193" s="29" t="s">
        <v>130</v>
      </c>
      <c r="M193" s="29"/>
    </row>
    <row r="194" spans="1:14" ht="21" customHeight="1">
      <c r="A194" s="10">
        <v>192</v>
      </c>
      <c r="B194" s="16">
        <v>45999</v>
      </c>
      <c r="C194" s="16"/>
      <c r="D194" s="2" t="s">
        <v>119</v>
      </c>
      <c r="E194" s="7" t="s">
        <v>57</v>
      </c>
      <c r="F194" s="18">
        <v>1125</v>
      </c>
      <c r="G194" s="19">
        <v>3445183</v>
      </c>
      <c r="H194" s="20">
        <f t="shared" si="2"/>
        <v>3</v>
      </c>
      <c r="I194" s="20">
        <v>114</v>
      </c>
      <c r="J194" s="10">
        <v>52</v>
      </c>
      <c r="K194" s="21">
        <v>45999</v>
      </c>
      <c r="L194" s="29" t="s">
        <v>130</v>
      </c>
      <c r="M194" s="29"/>
    </row>
    <row r="195" spans="1:14" ht="21" customHeight="1">
      <c r="A195" s="10">
        <v>193</v>
      </c>
      <c r="B195" s="16">
        <v>45999</v>
      </c>
      <c r="C195" s="16"/>
      <c r="D195" s="2" t="s">
        <v>119</v>
      </c>
      <c r="E195" s="7" t="s">
        <v>57</v>
      </c>
      <c r="F195" s="18">
        <v>1125</v>
      </c>
      <c r="G195" s="19">
        <v>3445179</v>
      </c>
      <c r="H195" s="20">
        <f t="shared" ref="H195:H238" si="4">IF(G195="","",(F195*100000000+G195)-7*INT((F195*100000000+G195)/7))</f>
        <v>6</v>
      </c>
      <c r="I195" s="20">
        <v>114</v>
      </c>
      <c r="J195" s="10">
        <v>52</v>
      </c>
      <c r="K195" s="21">
        <v>45999</v>
      </c>
      <c r="L195" s="29" t="s">
        <v>130</v>
      </c>
      <c r="M195" s="29"/>
    </row>
    <row r="196" spans="1:14" ht="21" customHeight="1">
      <c r="A196" s="10">
        <v>194</v>
      </c>
      <c r="B196" s="16">
        <v>45999</v>
      </c>
      <c r="C196" s="16"/>
      <c r="D196" s="2" t="s">
        <v>119</v>
      </c>
      <c r="E196" s="7" t="s">
        <v>57</v>
      </c>
      <c r="F196" s="18">
        <v>1125</v>
      </c>
      <c r="G196" s="19">
        <v>3445178</v>
      </c>
      <c r="H196" s="20">
        <f t="shared" si="4"/>
        <v>5</v>
      </c>
      <c r="I196" s="20">
        <v>114</v>
      </c>
      <c r="J196" s="10">
        <v>52</v>
      </c>
      <c r="K196" s="21">
        <v>45999</v>
      </c>
      <c r="L196" s="29" t="s">
        <v>130</v>
      </c>
      <c r="M196" s="29"/>
    </row>
    <row r="197" spans="1:14" ht="21" customHeight="1">
      <c r="A197" s="10">
        <v>195</v>
      </c>
      <c r="B197" s="16">
        <v>45999</v>
      </c>
      <c r="C197" s="16"/>
      <c r="D197" s="2" t="s">
        <v>119</v>
      </c>
      <c r="E197" s="7" t="s">
        <v>57</v>
      </c>
      <c r="F197" s="18">
        <v>1125</v>
      </c>
      <c r="G197" s="19">
        <v>3445184</v>
      </c>
      <c r="H197" s="20">
        <f t="shared" si="4"/>
        <v>4</v>
      </c>
      <c r="I197" s="20">
        <v>101</v>
      </c>
      <c r="J197" s="10">
        <v>31</v>
      </c>
      <c r="K197" s="21">
        <v>45999</v>
      </c>
      <c r="L197" s="29" t="s">
        <v>130</v>
      </c>
      <c r="M197" s="29"/>
    </row>
    <row r="198" spans="1:14" ht="21" customHeight="1">
      <c r="A198" s="10">
        <v>196</v>
      </c>
      <c r="B198" s="16">
        <v>45999</v>
      </c>
      <c r="C198" s="16"/>
      <c r="D198" s="2" t="s">
        <v>119</v>
      </c>
      <c r="E198" s="7" t="s">
        <v>57</v>
      </c>
      <c r="F198" s="18">
        <v>1125</v>
      </c>
      <c r="G198" s="19">
        <v>3445187</v>
      </c>
      <c r="H198" s="20">
        <f t="shared" si="4"/>
        <v>0</v>
      </c>
      <c r="I198" s="20">
        <v>110</v>
      </c>
      <c r="J198" s="10">
        <v>31</v>
      </c>
      <c r="K198" s="21">
        <v>45999</v>
      </c>
      <c r="L198" s="29" t="s">
        <v>130</v>
      </c>
      <c r="M198" s="29"/>
    </row>
    <row r="199" spans="1:14" ht="21" customHeight="1">
      <c r="A199" s="10">
        <v>197</v>
      </c>
      <c r="B199" s="16">
        <v>45999</v>
      </c>
      <c r="C199" s="16"/>
      <c r="D199" s="2" t="s">
        <v>119</v>
      </c>
      <c r="E199" s="7" t="s">
        <v>57</v>
      </c>
      <c r="F199" s="18">
        <v>1125</v>
      </c>
      <c r="G199" s="19">
        <v>3445189</v>
      </c>
      <c r="H199" s="20">
        <f t="shared" si="4"/>
        <v>2</v>
      </c>
      <c r="I199" s="20">
        <v>199</v>
      </c>
      <c r="J199" s="10">
        <v>32</v>
      </c>
      <c r="K199" s="21">
        <v>45999</v>
      </c>
      <c r="L199" s="29" t="s">
        <v>130</v>
      </c>
      <c r="M199" s="29"/>
    </row>
    <row r="200" spans="1:14" ht="21" customHeight="1">
      <c r="A200" s="10">
        <v>198</v>
      </c>
      <c r="B200" s="16">
        <v>45999</v>
      </c>
      <c r="C200" s="16"/>
      <c r="D200" s="2" t="s">
        <v>119</v>
      </c>
      <c r="E200" s="7" t="s">
        <v>57</v>
      </c>
      <c r="F200" s="18">
        <v>1125</v>
      </c>
      <c r="G200" s="19">
        <v>3445176</v>
      </c>
      <c r="H200" s="20">
        <f t="shared" si="4"/>
        <v>3</v>
      </c>
      <c r="I200" s="20">
        <v>100</v>
      </c>
      <c r="J200" s="10">
        <v>32</v>
      </c>
      <c r="K200" s="21">
        <v>45999</v>
      </c>
      <c r="L200" s="29" t="s">
        <v>130</v>
      </c>
      <c r="M200" s="29"/>
      <c r="N200" s="12"/>
    </row>
    <row r="201" spans="1:14" ht="21" customHeight="1">
      <c r="A201" s="10">
        <v>199</v>
      </c>
      <c r="B201" s="16">
        <v>46002</v>
      </c>
      <c r="C201" s="2" t="s">
        <v>119</v>
      </c>
      <c r="D201" s="2"/>
      <c r="E201" s="7" t="s">
        <v>80</v>
      </c>
      <c r="F201" s="18">
        <v>24</v>
      </c>
      <c r="G201" s="19">
        <v>20613458</v>
      </c>
      <c r="H201" s="20">
        <f t="shared" si="4"/>
        <v>4</v>
      </c>
      <c r="I201" s="20">
        <v>100</v>
      </c>
      <c r="J201" s="10">
        <v>52</v>
      </c>
      <c r="K201" s="21">
        <v>46002</v>
      </c>
      <c r="L201" s="29" t="s">
        <v>130</v>
      </c>
      <c r="M201" s="29"/>
    </row>
    <row r="202" spans="1:14" ht="21" customHeight="1">
      <c r="A202" s="10">
        <v>200</v>
      </c>
      <c r="B202" s="16">
        <v>46002</v>
      </c>
      <c r="C202" s="2" t="s">
        <v>119</v>
      </c>
      <c r="D202" s="2"/>
      <c r="E202" s="7" t="s">
        <v>80</v>
      </c>
      <c r="F202" s="18">
        <v>24</v>
      </c>
      <c r="G202" s="19">
        <v>20613459</v>
      </c>
      <c r="H202" s="20">
        <f t="shared" si="4"/>
        <v>5</v>
      </c>
      <c r="I202" s="20">
        <v>100</v>
      </c>
      <c r="J202" s="10">
        <v>31</v>
      </c>
      <c r="K202" s="21">
        <v>46002</v>
      </c>
      <c r="L202" s="29" t="s">
        <v>130</v>
      </c>
      <c r="M202" s="29"/>
    </row>
    <row r="203" spans="1:14" ht="21" customHeight="1">
      <c r="A203" s="10">
        <v>201</v>
      </c>
      <c r="B203" s="16">
        <v>46002</v>
      </c>
      <c r="C203" s="2" t="s">
        <v>119</v>
      </c>
      <c r="D203" s="2"/>
      <c r="E203" s="7" t="s">
        <v>80</v>
      </c>
      <c r="F203" s="18">
        <v>24</v>
      </c>
      <c r="G203" s="19">
        <v>20613460</v>
      </c>
      <c r="H203" s="20">
        <f t="shared" si="4"/>
        <v>6</v>
      </c>
      <c r="I203" s="20">
        <v>101</v>
      </c>
      <c r="J203" s="10">
        <v>31</v>
      </c>
      <c r="K203" s="21">
        <v>46002</v>
      </c>
      <c r="L203" s="29" t="s">
        <v>130</v>
      </c>
      <c r="M203" s="29"/>
    </row>
    <row r="204" spans="1:14" ht="21" customHeight="1">
      <c r="A204" s="10">
        <v>202</v>
      </c>
      <c r="B204" s="16">
        <v>46009</v>
      </c>
      <c r="C204" s="16"/>
      <c r="D204" s="2" t="s">
        <v>119</v>
      </c>
      <c r="E204" s="7" t="s">
        <v>68</v>
      </c>
      <c r="F204" s="18">
        <v>1125</v>
      </c>
      <c r="G204" s="19">
        <v>186697</v>
      </c>
      <c r="H204" s="20">
        <f t="shared" si="4"/>
        <v>3</v>
      </c>
      <c r="I204" s="20">
        <v>100</v>
      </c>
      <c r="J204" s="10">
        <v>32</v>
      </c>
      <c r="K204" s="21">
        <v>46009</v>
      </c>
      <c r="L204" s="29" t="s">
        <v>130</v>
      </c>
      <c r="M204" s="29"/>
    </row>
    <row r="205" spans="1:14" ht="21" customHeight="1">
      <c r="A205" s="10">
        <v>203</v>
      </c>
      <c r="B205" s="16">
        <v>46009</v>
      </c>
      <c r="C205" s="16"/>
      <c r="D205" s="2" t="s">
        <v>119</v>
      </c>
      <c r="E205" s="7" t="s">
        <v>68</v>
      </c>
      <c r="F205" s="18">
        <v>1125</v>
      </c>
      <c r="G205" s="19">
        <v>186694</v>
      </c>
      <c r="H205" s="20">
        <f t="shared" si="4"/>
        <v>0</v>
      </c>
      <c r="I205" s="20">
        <v>100</v>
      </c>
      <c r="J205" s="10">
        <v>40</v>
      </c>
      <c r="K205" s="21">
        <v>46009</v>
      </c>
      <c r="L205" s="29" t="s">
        <v>130</v>
      </c>
      <c r="M205" s="29"/>
    </row>
    <row r="206" spans="1:14" ht="21" customHeight="1">
      <c r="A206" s="10">
        <v>204</v>
      </c>
      <c r="B206" s="16">
        <v>46009</v>
      </c>
      <c r="C206" s="16"/>
      <c r="D206" s="2" t="s">
        <v>119</v>
      </c>
      <c r="E206" s="7" t="s">
        <v>68</v>
      </c>
      <c r="F206" s="18">
        <v>1125</v>
      </c>
      <c r="G206" s="19">
        <v>186695</v>
      </c>
      <c r="H206" s="20">
        <f t="shared" si="4"/>
        <v>1</v>
      </c>
      <c r="I206" s="20">
        <v>100</v>
      </c>
      <c r="J206" s="10">
        <v>40</v>
      </c>
      <c r="K206" s="21">
        <v>46009</v>
      </c>
      <c r="L206" s="29" t="s">
        <v>130</v>
      </c>
      <c r="M206" s="29"/>
    </row>
    <row r="207" spans="1:14" ht="21" customHeight="1">
      <c r="A207" s="10">
        <v>205</v>
      </c>
      <c r="B207" s="16">
        <v>46010</v>
      </c>
      <c r="C207" s="2" t="s">
        <v>119</v>
      </c>
      <c r="D207" s="2"/>
      <c r="E207" s="53" t="s">
        <v>60</v>
      </c>
      <c r="F207" s="18">
        <v>24</v>
      </c>
      <c r="G207" s="19">
        <v>20613499</v>
      </c>
      <c r="H207" s="20">
        <f t="shared" si="4"/>
        <v>3</v>
      </c>
      <c r="I207" s="20">
        <v>100</v>
      </c>
      <c r="J207" s="10">
        <v>31</v>
      </c>
      <c r="K207" s="21">
        <v>46010</v>
      </c>
      <c r="L207" s="29" t="s">
        <v>130</v>
      </c>
      <c r="M207" s="29"/>
    </row>
    <row r="208" spans="1:14" ht="21" customHeight="1" thickBot="1">
      <c r="A208" s="57">
        <v>206</v>
      </c>
      <c r="B208" s="58">
        <v>46013</v>
      </c>
      <c r="C208" s="66" t="s">
        <v>119</v>
      </c>
      <c r="D208" s="66"/>
      <c r="E208" s="69" t="s">
        <v>132</v>
      </c>
      <c r="F208" s="61">
        <v>25</v>
      </c>
      <c r="G208" s="62">
        <v>10584401</v>
      </c>
      <c r="H208" s="63">
        <f t="shared" si="4"/>
        <v>3</v>
      </c>
      <c r="I208" s="63">
        <v>114</v>
      </c>
      <c r="J208" s="57">
        <v>52</v>
      </c>
      <c r="K208" s="64">
        <v>46013</v>
      </c>
      <c r="L208" s="65" t="s">
        <v>130</v>
      </c>
      <c r="M208" s="67" t="s">
        <v>133</v>
      </c>
    </row>
    <row r="209" spans="1:13" ht="21" customHeight="1">
      <c r="A209" s="30">
        <v>207</v>
      </c>
      <c r="B209" s="16">
        <v>46014</v>
      </c>
      <c r="C209" s="2"/>
      <c r="D209" s="2" t="s">
        <v>44</v>
      </c>
      <c r="E209" s="53" t="s">
        <v>134</v>
      </c>
      <c r="F209" s="18">
        <v>23</v>
      </c>
      <c r="G209" s="19">
        <v>40247646</v>
      </c>
      <c r="H209" s="20">
        <f t="shared" si="4"/>
        <v>2</v>
      </c>
      <c r="I209" s="20">
        <v>100</v>
      </c>
      <c r="J209" s="10">
        <v>40</v>
      </c>
      <c r="K209" s="21">
        <v>46014</v>
      </c>
      <c r="L209" s="29" t="s">
        <v>54</v>
      </c>
      <c r="M209" s="54"/>
    </row>
    <row r="210" spans="1:13" ht="21" customHeight="1">
      <c r="A210" s="10">
        <v>208</v>
      </c>
      <c r="B210" s="16">
        <v>46015</v>
      </c>
      <c r="C210" s="68"/>
      <c r="D210" s="2" t="s">
        <v>44</v>
      </c>
      <c r="E210" s="53" t="s">
        <v>57</v>
      </c>
      <c r="F210" s="18">
        <v>1125</v>
      </c>
      <c r="G210" s="19">
        <v>3445209</v>
      </c>
      <c r="H210" s="20">
        <f t="shared" si="4"/>
        <v>1</v>
      </c>
      <c r="I210" s="20">
        <v>101</v>
      </c>
      <c r="J210" s="10">
        <v>32</v>
      </c>
      <c r="K210" s="21">
        <v>46015</v>
      </c>
      <c r="L210" s="29" t="s">
        <v>54</v>
      </c>
      <c r="M210" s="54"/>
    </row>
    <row r="211" spans="1:13" ht="21" customHeight="1">
      <c r="A211" s="10">
        <v>209</v>
      </c>
      <c r="B211" s="16">
        <v>46015</v>
      </c>
      <c r="C211" s="68"/>
      <c r="D211" s="68" t="s">
        <v>44</v>
      </c>
      <c r="E211" s="53" t="s">
        <v>57</v>
      </c>
      <c r="F211" s="23">
        <v>1125</v>
      </c>
      <c r="G211" s="24">
        <v>3445195</v>
      </c>
      <c r="H211" s="20">
        <f t="shared" si="4"/>
        <v>1</v>
      </c>
      <c r="I211" s="20">
        <v>100</v>
      </c>
      <c r="J211" s="10">
        <v>52</v>
      </c>
      <c r="K211" s="21">
        <v>46015</v>
      </c>
      <c r="L211" s="29" t="s">
        <v>54</v>
      </c>
      <c r="M211" s="54"/>
    </row>
    <row r="212" spans="1:13" ht="21" customHeight="1">
      <c r="A212" s="10">
        <v>210</v>
      </c>
      <c r="B212" s="16">
        <v>46015</v>
      </c>
      <c r="C212" s="68"/>
      <c r="D212" s="2" t="s">
        <v>44</v>
      </c>
      <c r="E212" s="53" t="s">
        <v>57</v>
      </c>
      <c r="F212" s="23">
        <v>1125</v>
      </c>
      <c r="G212" s="24">
        <v>3445203</v>
      </c>
      <c r="H212" s="20">
        <f t="shared" si="4"/>
        <v>2</v>
      </c>
      <c r="I212" s="20">
        <v>100</v>
      </c>
      <c r="J212" s="10">
        <v>31</v>
      </c>
      <c r="K212" s="21">
        <v>46015</v>
      </c>
      <c r="L212" s="29" t="s">
        <v>54</v>
      </c>
      <c r="M212" s="54"/>
    </row>
    <row r="213" spans="1:13" ht="21" customHeight="1">
      <c r="A213" s="10">
        <v>211</v>
      </c>
      <c r="B213" s="16">
        <v>46015</v>
      </c>
      <c r="C213" s="68"/>
      <c r="D213" s="2" t="s">
        <v>44</v>
      </c>
      <c r="E213" s="53" t="s">
        <v>57</v>
      </c>
      <c r="F213" s="18">
        <v>1125</v>
      </c>
      <c r="G213" s="19">
        <v>3445204</v>
      </c>
      <c r="H213" s="20">
        <f t="shared" si="4"/>
        <v>3</v>
      </c>
      <c r="I213" s="20">
        <v>100</v>
      </c>
      <c r="J213" s="10">
        <v>31</v>
      </c>
      <c r="K213" s="21">
        <v>46015</v>
      </c>
      <c r="L213" s="29" t="s">
        <v>54</v>
      </c>
      <c r="M213" s="54"/>
    </row>
    <row r="214" spans="1:13" ht="21" customHeight="1">
      <c r="A214" s="10">
        <v>212</v>
      </c>
      <c r="B214" s="16">
        <v>46015</v>
      </c>
      <c r="C214" s="68"/>
      <c r="D214" s="2" t="s">
        <v>44</v>
      </c>
      <c r="E214" s="53" t="s">
        <v>57</v>
      </c>
      <c r="F214" s="18">
        <v>1125</v>
      </c>
      <c r="G214" s="24">
        <v>3445202</v>
      </c>
      <c r="H214" s="20">
        <f t="shared" si="4"/>
        <v>1</v>
      </c>
      <c r="I214" s="20">
        <v>100</v>
      </c>
      <c r="J214" s="10">
        <v>31</v>
      </c>
      <c r="K214" s="21">
        <v>46015</v>
      </c>
      <c r="L214" s="29" t="s">
        <v>54</v>
      </c>
      <c r="M214" s="54"/>
    </row>
    <row r="215" spans="1:13" ht="21" customHeight="1">
      <c r="A215" s="10">
        <v>213</v>
      </c>
      <c r="B215" s="16">
        <v>46015</v>
      </c>
      <c r="C215" s="68"/>
      <c r="D215" s="2" t="s">
        <v>44</v>
      </c>
      <c r="E215" s="53" t="s">
        <v>57</v>
      </c>
      <c r="F215" s="18">
        <v>1125</v>
      </c>
      <c r="G215" s="19">
        <v>3445199</v>
      </c>
      <c r="H215" s="20">
        <f t="shared" si="4"/>
        <v>5</v>
      </c>
      <c r="I215" s="20">
        <v>101</v>
      </c>
      <c r="J215" s="10">
        <v>31</v>
      </c>
      <c r="K215" s="21">
        <v>46015</v>
      </c>
      <c r="L215" s="29" t="s">
        <v>54</v>
      </c>
      <c r="M215" s="54"/>
    </row>
    <row r="216" spans="1:13" ht="21" customHeight="1">
      <c r="A216" s="10">
        <v>214</v>
      </c>
      <c r="B216" s="16">
        <v>46015</v>
      </c>
      <c r="C216" s="68"/>
      <c r="D216" s="2" t="s">
        <v>44</v>
      </c>
      <c r="E216" s="53" t="s">
        <v>57</v>
      </c>
      <c r="F216" s="18">
        <v>1125</v>
      </c>
      <c r="G216" s="19">
        <v>3445205</v>
      </c>
      <c r="H216" s="20">
        <f t="shared" si="4"/>
        <v>4</v>
      </c>
      <c r="I216" s="20">
        <v>100</v>
      </c>
      <c r="J216" s="10">
        <v>31</v>
      </c>
      <c r="K216" s="21">
        <v>46015</v>
      </c>
      <c r="L216" s="29" t="s">
        <v>54</v>
      </c>
      <c r="M216" s="54"/>
    </row>
    <row r="217" spans="1:13" ht="21" customHeight="1">
      <c r="A217" s="10">
        <v>215</v>
      </c>
      <c r="B217" s="16">
        <v>46015</v>
      </c>
      <c r="C217" s="68"/>
      <c r="D217" s="2" t="s">
        <v>44</v>
      </c>
      <c r="E217" s="53" t="s">
        <v>57</v>
      </c>
      <c r="F217" s="18">
        <v>1125</v>
      </c>
      <c r="G217" s="19">
        <v>3445193</v>
      </c>
      <c r="H217" s="20">
        <f t="shared" si="4"/>
        <v>6</v>
      </c>
      <c r="I217" s="20">
        <v>180</v>
      </c>
      <c r="J217" s="10">
        <v>31</v>
      </c>
      <c r="K217" s="21">
        <v>46015</v>
      </c>
      <c r="L217" s="29" t="s">
        <v>54</v>
      </c>
      <c r="M217" s="54"/>
    </row>
    <row r="218" spans="1:13" ht="21" customHeight="1">
      <c r="A218" s="10">
        <v>216</v>
      </c>
      <c r="B218" s="16">
        <v>46016</v>
      </c>
      <c r="C218" s="2"/>
      <c r="D218" s="2" t="s">
        <v>44</v>
      </c>
      <c r="E218" s="53" t="s">
        <v>68</v>
      </c>
      <c r="F218" s="18">
        <v>1125</v>
      </c>
      <c r="G218" s="19">
        <v>186687</v>
      </c>
      <c r="H218" s="20">
        <f t="shared" si="4"/>
        <v>0</v>
      </c>
      <c r="I218" s="20">
        <v>100</v>
      </c>
      <c r="J218" s="10">
        <v>40</v>
      </c>
      <c r="K218" s="21">
        <v>46016</v>
      </c>
      <c r="L218" s="29" t="s">
        <v>54</v>
      </c>
      <c r="M218" s="54"/>
    </row>
    <row r="219" spans="1:13" ht="21" customHeight="1">
      <c r="A219" s="10">
        <v>217</v>
      </c>
      <c r="B219" s="16">
        <v>46016</v>
      </c>
      <c r="C219" s="2"/>
      <c r="D219" s="1" t="s">
        <v>44</v>
      </c>
      <c r="E219" s="53" t="s">
        <v>68</v>
      </c>
      <c r="F219" s="18">
        <v>1125</v>
      </c>
      <c r="G219" s="19">
        <v>186689</v>
      </c>
      <c r="H219" s="20">
        <f t="shared" si="4"/>
        <v>2</v>
      </c>
      <c r="I219" s="20">
        <v>101</v>
      </c>
      <c r="J219" s="10">
        <v>31</v>
      </c>
      <c r="K219" s="21">
        <v>46016</v>
      </c>
      <c r="L219" s="29" t="s">
        <v>54</v>
      </c>
      <c r="M219" s="54"/>
    </row>
    <row r="220" spans="1:13" ht="21" customHeight="1">
      <c r="A220" s="10">
        <v>218</v>
      </c>
      <c r="B220" s="16">
        <v>46020</v>
      </c>
      <c r="C220" s="1"/>
      <c r="D220" s="2" t="s">
        <v>44</v>
      </c>
      <c r="E220" s="53" t="s">
        <v>135</v>
      </c>
      <c r="F220" s="18">
        <v>23</v>
      </c>
      <c r="G220" s="19">
        <v>40247648</v>
      </c>
      <c r="H220" s="20">
        <f t="shared" si="4"/>
        <v>4</v>
      </c>
      <c r="I220" s="20">
        <v>100</v>
      </c>
      <c r="J220" s="10">
        <v>32</v>
      </c>
      <c r="K220" s="21">
        <v>46020</v>
      </c>
      <c r="L220" s="29" t="s">
        <v>54</v>
      </c>
      <c r="M220" s="54"/>
    </row>
    <row r="221" spans="1:13" ht="21" customHeight="1">
      <c r="A221" s="10">
        <v>219</v>
      </c>
      <c r="B221" s="16">
        <v>46030</v>
      </c>
      <c r="C221" s="2"/>
      <c r="D221" s="2" t="s">
        <v>44</v>
      </c>
      <c r="E221" s="53" t="s">
        <v>57</v>
      </c>
      <c r="F221" s="18">
        <v>1125</v>
      </c>
      <c r="G221" s="19">
        <v>3445221</v>
      </c>
      <c r="H221" s="20">
        <f t="shared" si="4"/>
        <v>6</v>
      </c>
      <c r="I221" s="20">
        <v>101</v>
      </c>
      <c r="J221" s="10">
        <v>21</v>
      </c>
      <c r="K221" s="21">
        <v>46030</v>
      </c>
      <c r="L221" s="29" t="s">
        <v>54</v>
      </c>
      <c r="M221" s="54"/>
    </row>
    <row r="222" spans="1:13" ht="21" customHeight="1">
      <c r="A222" s="10">
        <v>220</v>
      </c>
      <c r="B222" s="16">
        <v>46030</v>
      </c>
      <c r="C222" s="2"/>
      <c r="D222" s="68" t="s">
        <v>44</v>
      </c>
      <c r="E222" s="53" t="s">
        <v>57</v>
      </c>
      <c r="F222" s="18">
        <v>1125</v>
      </c>
      <c r="G222" s="19">
        <v>3445219</v>
      </c>
      <c r="H222" s="20">
        <f t="shared" si="4"/>
        <v>4</v>
      </c>
      <c r="I222" s="20">
        <v>100</v>
      </c>
      <c r="J222" s="10">
        <v>22</v>
      </c>
      <c r="K222" s="21">
        <v>46030</v>
      </c>
      <c r="L222" s="29" t="s">
        <v>54</v>
      </c>
      <c r="M222" s="54"/>
    </row>
    <row r="223" spans="1:13" ht="21" customHeight="1">
      <c r="A223" s="10">
        <v>221</v>
      </c>
      <c r="B223" s="16">
        <v>46030</v>
      </c>
      <c r="C223" s="2"/>
      <c r="D223" s="2" t="s">
        <v>44</v>
      </c>
      <c r="E223" s="53" t="s">
        <v>57</v>
      </c>
      <c r="F223" s="18">
        <v>1125</v>
      </c>
      <c r="G223" s="19">
        <v>3445218</v>
      </c>
      <c r="H223" s="20">
        <f t="shared" si="4"/>
        <v>3</v>
      </c>
      <c r="I223" s="20">
        <v>100</v>
      </c>
      <c r="J223" s="10">
        <v>22</v>
      </c>
      <c r="K223" s="21">
        <v>46030</v>
      </c>
      <c r="L223" s="29" t="s">
        <v>54</v>
      </c>
      <c r="M223" s="54"/>
    </row>
    <row r="224" spans="1:13" ht="21" customHeight="1">
      <c r="A224" s="10">
        <v>222</v>
      </c>
      <c r="B224" s="16">
        <v>46030</v>
      </c>
      <c r="C224" s="2"/>
      <c r="D224" s="2" t="s">
        <v>44</v>
      </c>
      <c r="E224" s="53" t="s">
        <v>57</v>
      </c>
      <c r="F224" s="18">
        <v>1125</v>
      </c>
      <c r="G224" s="19">
        <v>3445216</v>
      </c>
      <c r="H224" s="20">
        <f t="shared" si="4"/>
        <v>1</v>
      </c>
      <c r="I224" s="20">
        <v>100</v>
      </c>
      <c r="J224" s="10">
        <v>21</v>
      </c>
      <c r="K224" s="21">
        <v>46030</v>
      </c>
      <c r="L224" s="29" t="s">
        <v>54</v>
      </c>
      <c r="M224" s="54"/>
    </row>
    <row r="225" spans="1:13" ht="21" customHeight="1">
      <c r="A225" s="10">
        <v>223</v>
      </c>
      <c r="B225" s="16">
        <v>46030</v>
      </c>
      <c r="C225" s="2"/>
      <c r="D225" s="2" t="s">
        <v>44</v>
      </c>
      <c r="E225" s="53" t="s">
        <v>57</v>
      </c>
      <c r="F225" s="18">
        <v>1125</v>
      </c>
      <c r="G225" s="19">
        <v>3445213</v>
      </c>
      <c r="H225" s="20">
        <f t="shared" si="4"/>
        <v>5</v>
      </c>
      <c r="I225" s="20">
        <v>100</v>
      </c>
      <c r="J225" s="10">
        <v>52</v>
      </c>
      <c r="K225" s="21">
        <v>46383</v>
      </c>
      <c r="L225" s="29" t="s">
        <v>54</v>
      </c>
      <c r="M225" s="54"/>
    </row>
    <row r="226" spans="1:13" ht="21" customHeight="1">
      <c r="A226" s="10">
        <v>224</v>
      </c>
      <c r="B226" s="16">
        <v>46030</v>
      </c>
      <c r="C226" s="2"/>
      <c r="D226" s="2" t="s">
        <v>44</v>
      </c>
      <c r="E226" s="53" t="s">
        <v>57</v>
      </c>
      <c r="F226" s="18">
        <v>1125</v>
      </c>
      <c r="G226" s="19">
        <v>3445217</v>
      </c>
      <c r="H226" s="20">
        <f t="shared" si="4"/>
        <v>2</v>
      </c>
      <c r="I226" s="20">
        <v>114</v>
      </c>
      <c r="J226" s="10">
        <v>22</v>
      </c>
      <c r="K226" s="21">
        <v>46030</v>
      </c>
      <c r="L226" s="29" t="s">
        <v>54</v>
      </c>
      <c r="M226" s="54"/>
    </row>
    <row r="227" spans="1:13" ht="21" customHeight="1">
      <c r="A227" s="10">
        <v>225</v>
      </c>
      <c r="B227" s="16">
        <v>46078</v>
      </c>
      <c r="C227" s="2" t="s">
        <v>44</v>
      </c>
      <c r="D227" s="16"/>
      <c r="E227" s="53" t="s">
        <v>138</v>
      </c>
      <c r="F227" s="18">
        <v>25</v>
      </c>
      <c r="G227" s="19">
        <v>10584404</v>
      </c>
      <c r="H227" s="20">
        <f t="shared" si="4"/>
        <v>6</v>
      </c>
      <c r="I227" s="20">
        <v>100</v>
      </c>
      <c r="J227" s="10">
        <v>22</v>
      </c>
      <c r="K227" s="21">
        <v>46078</v>
      </c>
      <c r="L227" s="29" t="s">
        <v>54</v>
      </c>
      <c r="M227" s="29"/>
    </row>
    <row r="228" spans="1:13" ht="21" customHeight="1">
      <c r="A228" s="10">
        <v>226</v>
      </c>
      <c r="B228" s="16">
        <v>46078</v>
      </c>
      <c r="C228" s="2" t="s">
        <v>44</v>
      </c>
      <c r="D228" s="2"/>
      <c r="E228" s="53" t="s">
        <v>138</v>
      </c>
      <c r="F228" s="18">
        <v>25</v>
      </c>
      <c r="G228" s="19">
        <v>10584405</v>
      </c>
      <c r="H228" s="20">
        <f t="shared" si="4"/>
        <v>0</v>
      </c>
      <c r="I228" s="20">
        <v>100</v>
      </c>
      <c r="J228" s="10">
        <v>31</v>
      </c>
      <c r="K228" s="21">
        <v>46078</v>
      </c>
      <c r="L228" s="29" t="s">
        <v>54</v>
      </c>
      <c r="M228" s="29"/>
    </row>
    <row r="229" spans="1:13" ht="21" customHeight="1">
      <c r="A229" s="10">
        <v>227</v>
      </c>
      <c r="B229" s="16">
        <v>46078</v>
      </c>
      <c r="C229" s="2" t="s">
        <v>44</v>
      </c>
      <c r="D229" s="2"/>
      <c r="E229" s="53" t="s">
        <v>138</v>
      </c>
      <c r="F229" s="18">
        <v>25</v>
      </c>
      <c r="G229" s="19">
        <v>10584403</v>
      </c>
      <c r="H229" s="20">
        <f t="shared" si="4"/>
        <v>5</v>
      </c>
      <c r="I229" s="20">
        <v>100</v>
      </c>
      <c r="J229" s="10">
        <v>40</v>
      </c>
      <c r="K229" s="21">
        <v>46078</v>
      </c>
      <c r="L229" s="29" t="s">
        <v>54</v>
      </c>
      <c r="M229" s="29"/>
    </row>
    <row r="230" spans="1:13" ht="21" customHeight="1">
      <c r="A230" s="10">
        <v>228</v>
      </c>
      <c r="B230" s="16">
        <v>46079</v>
      </c>
      <c r="C230" s="2" t="s">
        <v>44</v>
      </c>
      <c r="D230" s="2"/>
      <c r="E230" s="53" t="s">
        <v>138</v>
      </c>
      <c r="F230" s="18">
        <v>25</v>
      </c>
      <c r="G230" s="19">
        <v>10584407</v>
      </c>
      <c r="H230" s="20">
        <f t="shared" si="4"/>
        <v>2</v>
      </c>
      <c r="I230" s="20">
        <v>100</v>
      </c>
      <c r="J230" s="10">
        <v>22</v>
      </c>
      <c r="K230" s="21">
        <v>46079</v>
      </c>
      <c r="L230" s="29" t="s">
        <v>54</v>
      </c>
      <c r="M230" s="29"/>
    </row>
    <row r="231" spans="1:13" ht="21" customHeight="1">
      <c r="A231" s="10">
        <v>229</v>
      </c>
      <c r="B231" s="16">
        <v>46086</v>
      </c>
      <c r="C231" s="2" t="s">
        <v>44</v>
      </c>
      <c r="D231" s="2"/>
      <c r="E231" s="53" t="s">
        <v>80</v>
      </c>
      <c r="F231" s="18">
        <v>24</v>
      </c>
      <c r="G231" s="19">
        <v>20613474</v>
      </c>
      <c r="H231" s="20">
        <f t="shared" si="4"/>
        <v>6</v>
      </c>
      <c r="I231" s="20">
        <v>101</v>
      </c>
      <c r="J231" s="10">
        <v>32</v>
      </c>
      <c r="K231" s="21">
        <v>46086</v>
      </c>
      <c r="L231" s="29" t="s">
        <v>54</v>
      </c>
      <c r="M231" s="29"/>
    </row>
    <row r="232" spans="1:13" ht="21" customHeight="1">
      <c r="A232" s="10">
        <v>230</v>
      </c>
      <c r="B232" s="16">
        <v>46086</v>
      </c>
      <c r="C232" s="2" t="s">
        <v>44</v>
      </c>
      <c r="D232" s="2"/>
      <c r="E232" s="53" t="s">
        <v>80</v>
      </c>
      <c r="F232" s="18">
        <v>24</v>
      </c>
      <c r="G232" s="19">
        <v>20613471</v>
      </c>
      <c r="H232" s="20">
        <f t="shared" si="4"/>
        <v>3</v>
      </c>
      <c r="I232" s="20">
        <v>114</v>
      </c>
      <c r="J232" s="10">
        <v>52</v>
      </c>
      <c r="K232" s="21">
        <v>46086</v>
      </c>
      <c r="L232" s="29" t="s">
        <v>54</v>
      </c>
      <c r="M232" s="29"/>
    </row>
    <row r="233" spans="1:13" ht="21" customHeight="1">
      <c r="A233" s="10">
        <v>231</v>
      </c>
      <c r="B233" s="16">
        <v>46088</v>
      </c>
      <c r="C233" s="16"/>
      <c r="D233" s="2" t="s">
        <v>44</v>
      </c>
      <c r="E233" s="53" t="s">
        <v>140</v>
      </c>
      <c r="F233" s="18">
        <v>22</v>
      </c>
      <c r="G233" s="19">
        <v>30483118</v>
      </c>
      <c r="H233" s="20">
        <f t="shared" si="4"/>
        <v>3</v>
      </c>
      <c r="I233" s="20">
        <v>110</v>
      </c>
      <c r="J233" s="10">
        <v>32</v>
      </c>
      <c r="K233" s="21">
        <v>46088</v>
      </c>
      <c r="L233" s="29" t="s">
        <v>54</v>
      </c>
      <c r="M233" s="29"/>
    </row>
    <row r="234" spans="1:13" ht="21" customHeight="1">
      <c r="A234" s="10">
        <v>232</v>
      </c>
      <c r="B234" s="16">
        <v>46091</v>
      </c>
      <c r="C234" s="16"/>
      <c r="D234" s="2" t="s">
        <v>44</v>
      </c>
      <c r="E234" s="53" t="s">
        <v>57</v>
      </c>
      <c r="F234" s="18">
        <v>1125</v>
      </c>
      <c r="G234" s="19">
        <v>11307981</v>
      </c>
      <c r="H234" s="20">
        <f t="shared" si="4"/>
        <v>2</v>
      </c>
      <c r="I234" s="20">
        <v>100</v>
      </c>
      <c r="J234" s="10">
        <v>32</v>
      </c>
      <c r="K234" s="21">
        <v>46091</v>
      </c>
      <c r="L234" s="29" t="s">
        <v>54</v>
      </c>
      <c r="M234" s="29"/>
    </row>
    <row r="235" spans="1:13" ht="21" customHeight="1">
      <c r="A235" s="10">
        <v>233</v>
      </c>
      <c r="B235" s="16">
        <v>46091</v>
      </c>
      <c r="C235" s="16"/>
      <c r="D235" s="2" t="s">
        <v>44</v>
      </c>
      <c r="E235" s="53" t="s">
        <v>57</v>
      </c>
      <c r="F235" s="18">
        <v>1125</v>
      </c>
      <c r="G235" s="19">
        <v>11307978</v>
      </c>
      <c r="H235" s="20">
        <f t="shared" si="4"/>
        <v>6</v>
      </c>
      <c r="I235" s="20">
        <v>101</v>
      </c>
      <c r="J235" s="10">
        <v>31</v>
      </c>
      <c r="K235" s="21">
        <v>46091</v>
      </c>
      <c r="L235" s="29" t="s">
        <v>54</v>
      </c>
      <c r="M235" s="29"/>
    </row>
    <row r="236" spans="1:13" ht="21" customHeight="1">
      <c r="A236" s="10">
        <v>234</v>
      </c>
      <c r="B236" s="16">
        <v>46091</v>
      </c>
      <c r="C236" s="16"/>
      <c r="D236" s="2" t="s">
        <v>44</v>
      </c>
      <c r="E236" s="53" t="s">
        <v>57</v>
      </c>
      <c r="F236" s="18">
        <v>1125</v>
      </c>
      <c r="G236" s="19">
        <v>11307980</v>
      </c>
      <c r="H236" s="20">
        <f t="shared" si="4"/>
        <v>1</v>
      </c>
      <c r="I236" s="20">
        <v>100</v>
      </c>
      <c r="J236" s="10">
        <v>32</v>
      </c>
      <c r="K236" s="21">
        <v>46091</v>
      </c>
      <c r="L236" s="29" t="s">
        <v>54</v>
      </c>
      <c r="M236" s="29"/>
    </row>
    <row r="237" spans="1:13" ht="21" customHeight="1">
      <c r="A237" s="10">
        <v>235</v>
      </c>
      <c r="B237" s="16">
        <v>46092</v>
      </c>
      <c r="C237" s="16"/>
      <c r="D237" s="2" t="s">
        <v>44</v>
      </c>
      <c r="E237" s="53" t="s">
        <v>57</v>
      </c>
      <c r="F237" s="18">
        <v>1125</v>
      </c>
      <c r="G237" s="19">
        <v>11307984</v>
      </c>
      <c r="H237" s="20">
        <f t="shared" si="4"/>
        <v>5</v>
      </c>
      <c r="I237" s="20">
        <v>101</v>
      </c>
      <c r="J237" s="10">
        <v>32</v>
      </c>
      <c r="K237" s="21">
        <v>46092</v>
      </c>
      <c r="L237" s="29" t="s">
        <v>54</v>
      </c>
      <c r="M237" s="29"/>
    </row>
    <row r="238" spans="1:13" ht="21" customHeight="1">
      <c r="A238" s="10">
        <v>236</v>
      </c>
      <c r="B238" s="16">
        <v>46094</v>
      </c>
      <c r="C238" s="16"/>
      <c r="D238" s="2" t="s">
        <v>44</v>
      </c>
      <c r="E238" s="53" t="s">
        <v>57</v>
      </c>
      <c r="F238" s="18">
        <v>1125</v>
      </c>
      <c r="G238" s="19">
        <v>11307987</v>
      </c>
      <c r="H238" s="20">
        <f t="shared" si="4"/>
        <v>1</v>
      </c>
      <c r="I238" s="20">
        <v>100</v>
      </c>
      <c r="J238" s="10">
        <v>40</v>
      </c>
      <c r="K238" s="21">
        <v>46093</v>
      </c>
      <c r="L238" s="29" t="s">
        <v>54</v>
      </c>
      <c r="M238" s="29"/>
    </row>
    <row r="239" spans="1:13" ht="21" customHeight="1">
      <c r="A239" s="10">
        <v>237</v>
      </c>
      <c r="B239" s="16">
        <v>46094</v>
      </c>
      <c r="C239" s="16"/>
      <c r="D239" s="2" t="s">
        <v>44</v>
      </c>
      <c r="E239" s="53" t="s">
        <v>57</v>
      </c>
      <c r="F239" s="18">
        <v>1125</v>
      </c>
      <c r="G239" s="19">
        <v>11307985</v>
      </c>
      <c r="H239" s="20">
        <f>IF(G239="","",(F239*100000000+G239)-7*INT((F239*100000000+G239)/7))</f>
        <v>6</v>
      </c>
      <c r="I239" s="20">
        <v>101</v>
      </c>
      <c r="J239" s="10">
        <v>40</v>
      </c>
      <c r="K239" s="21">
        <v>46093</v>
      </c>
      <c r="L239" s="29" t="s">
        <v>54</v>
      </c>
      <c r="M239" s="29"/>
    </row>
    <row r="240" spans="1:13" ht="21" customHeight="1">
      <c r="A240" s="10">
        <v>238</v>
      </c>
      <c r="B240" s="16">
        <v>46094</v>
      </c>
      <c r="C240" s="2" t="s">
        <v>44</v>
      </c>
      <c r="D240" s="2"/>
      <c r="E240" s="7" t="s">
        <v>80</v>
      </c>
      <c r="F240" s="18">
        <v>24</v>
      </c>
      <c r="G240" s="19">
        <v>20613469</v>
      </c>
      <c r="H240" s="20">
        <f t="shared" ref="H240:H247" si="5">IF(G240="","",(F240*100000000+G240)-7*INT((F240*100000000+G240)/7))</f>
        <v>1</v>
      </c>
      <c r="I240" s="20">
        <v>114</v>
      </c>
      <c r="J240" s="10">
        <v>52</v>
      </c>
      <c r="K240" s="21">
        <v>46094</v>
      </c>
      <c r="L240" s="29" t="s">
        <v>54</v>
      </c>
      <c r="M240" s="29"/>
    </row>
    <row r="241" spans="1:13" ht="21" customHeight="1">
      <c r="A241" s="10">
        <v>239</v>
      </c>
      <c r="B241" s="16">
        <v>46094</v>
      </c>
      <c r="C241" s="2" t="s">
        <v>44</v>
      </c>
      <c r="D241" s="2"/>
      <c r="E241" s="7" t="s">
        <v>80</v>
      </c>
      <c r="F241" s="18">
        <v>24</v>
      </c>
      <c r="G241" s="19">
        <v>20613467</v>
      </c>
      <c r="H241" s="20">
        <f t="shared" si="5"/>
        <v>6</v>
      </c>
      <c r="I241" s="20">
        <v>110</v>
      </c>
      <c r="J241" s="10">
        <v>40</v>
      </c>
      <c r="K241" s="21">
        <v>46094</v>
      </c>
      <c r="L241" s="29" t="s">
        <v>54</v>
      </c>
      <c r="M241" s="29"/>
    </row>
    <row r="242" spans="1:13" ht="21" customHeight="1">
      <c r="A242" s="10">
        <v>240</v>
      </c>
      <c r="B242" s="16">
        <v>46095</v>
      </c>
      <c r="C242" s="2" t="s">
        <v>44</v>
      </c>
      <c r="D242" s="2"/>
      <c r="E242" s="53" t="s">
        <v>142</v>
      </c>
      <c r="F242" s="18">
        <v>25</v>
      </c>
      <c r="G242" s="19">
        <v>10584409</v>
      </c>
      <c r="H242" s="20">
        <f t="shared" si="5"/>
        <v>4</v>
      </c>
      <c r="I242" s="20">
        <v>110</v>
      </c>
      <c r="J242" s="10">
        <v>40</v>
      </c>
      <c r="K242" s="21">
        <v>46095</v>
      </c>
      <c r="L242" s="29" t="s">
        <v>54</v>
      </c>
      <c r="M242" s="29"/>
    </row>
    <row r="243" spans="1:13" ht="21" customHeight="1">
      <c r="A243" s="10">
        <v>241</v>
      </c>
      <c r="B243" s="16">
        <v>46099</v>
      </c>
      <c r="C243" s="2"/>
      <c r="D243" s="2" t="s">
        <v>44</v>
      </c>
      <c r="E243" s="7" t="s">
        <v>57</v>
      </c>
      <c r="F243" s="18">
        <v>1125</v>
      </c>
      <c r="G243" s="19">
        <v>11307991</v>
      </c>
      <c r="H243" s="20">
        <f t="shared" si="5"/>
        <v>5</v>
      </c>
      <c r="I243" s="20">
        <v>110</v>
      </c>
      <c r="J243" s="10">
        <v>32</v>
      </c>
      <c r="K243" s="21">
        <v>46099</v>
      </c>
      <c r="L243" s="29" t="s">
        <v>54</v>
      </c>
      <c r="M243" s="29"/>
    </row>
    <row r="244" spans="1:13" ht="21" customHeight="1">
      <c r="A244" s="10">
        <v>242</v>
      </c>
      <c r="B244" s="16">
        <v>46099</v>
      </c>
      <c r="C244" s="2"/>
      <c r="D244" s="2" t="s">
        <v>44</v>
      </c>
      <c r="E244" s="7" t="s">
        <v>57</v>
      </c>
      <c r="F244" s="18">
        <v>1125</v>
      </c>
      <c r="G244" s="19">
        <v>11307988</v>
      </c>
      <c r="H244" s="20">
        <f t="shared" si="5"/>
        <v>2</v>
      </c>
      <c r="I244" s="20">
        <v>101</v>
      </c>
      <c r="J244" s="10">
        <v>40</v>
      </c>
      <c r="K244" s="21">
        <v>46099</v>
      </c>
      <c r="L244" s="29" t="s">
        <v>54</v>
      </c>
      <c r="M244" s="29"/>
    </row>
    <row r="245" spans="1:13" ht="21" customHeight="1">
      <c r="A245" s="10">
        <v>243</v>
      </c>
      <c r="B245" s="16">
        <v>46099</v>
      </c>
      <c r="C245" s="2"/>
      <c r="D245" s="2" t="s">
        <v>44</v>
      </c>
      <c r="E245" s="7" t="s">
        <v>57</v>
      </c>
      <c r="F245" s="18">
        <v>1125</v>
      </c>
      <c r="G245" s="19">
        <v>11307990</v>
      </c>
      <c r="H245" s="20">
        <f t="shared" si="5"/>
        <v>4</v>
      </c>
      <c r="I245" s="20">
        <v>100</v>
      </c>
      <c r="J245" s="10">
        <v>40</v>
      </c>
      <c r="K245" s="21">
        <v>46099</v>
      </c>
      <c r="L245" s="29" t="s">
        <v>54</v>
      </c>
      <c r="M245" s="29"/>
    </row>
    <row r="246" spans="1:13" ht="21" customHeight="1">
      <c r="A246" s="10">
        <v>244</v>
      </c>
      <c r="B246" s="16">
        <v>46099</v>
      </c>
      <c r="C246" s="2"/>
      <c r="D246" s="2" t="s">
        <v>44</v>
      </c>
      <c r="E246" s="7" t="s">
        <v>57</v>
      </c>
      <c r="F246" s="18">
        <v>1125</v>
      </c>
      <c r="G246" s="19">
        <v>11307992</v>
      </c>
      <c r="H246" s="20">
        <f t="shared" si="5"/>
        <v>6</v>
      </c>
      <c r="I246" s="20">
        <v>199</v>
      </c>
      <c r="J246" s="10">
        <v>40</v>
      </c>
      <c r="K246" s="21">
        <v>46099</v>
      </c>
      <c r="L246" s="29" t="s">
        <v>54</v>
      </c>
      <c r="M246" s="29"/>
    </row>
    <row r="247" spans="1:13" ht="21" customHeight="1" thickBot="1">
      <c r="A247" s="57">
        <v>245</v>
      </c>
      <c r="B247" s="58">
        <v>46102</v>
      </c>
      <c r="C247" s="66" t="s">
        <v>44</v>
      </c>
      <c r="D247" s="66"/>
      <c r="E247" s="60" t="s">
        <v>143</v>
      </c>
      <c r="F247" s="61">
        <v>25</v>
      </c>
      <c r="G247" s="62">
        <v>10584410</v>
      </c>
      <c r="H247" s="63">
        <f t="shared" si="5"/>
        <v>5</v>
      </c>
      <c r="I247" s="63">
        <v>100</v>
      </c>
      <c r="J247" s="57">
        <v>40</v>
      </c>
      <c r="K247" s="64">
        <v>46102</v>
      </c>
      <c r="L247" s="65" t="s">
        <v>54</v>
      </c>
      <c r="M247" s="67" t="s">
        <v>144</v>
      </c>
    </row>
    <row r="248" spans="1:13" ht="21" customHeight="1">
      <c r="A248" s="30">
        <v>246</v>
      </c>
      <c r="B248" s="34"/>
      <c r="C248" s="34"/>
      <c r="D248" s="34"/>
      <c r="E248" s="35"/>
      <c r="F248" s="25"/>
      <c r="G248" s="26"/>
      <c r="H248" s="36" t="str">
        <f t="shared" ref="H248:H280" si="6">IF(G248="","",(F248*100000000+G248)-7*INT((F248*100000000+G248)/7))</f>
        <v/>
      </c>
      <c r="I248" s="36"/>
      <c r="J248" s="30"/>
      <c r="K248" s="37"/>
      <c r="L248" s="56"/>
      <c r="M248" s="56"/>
    </row>
    <row r="249" spans="1:13" ht="21" customHeight="1">
      <c r="A249" s="10">
        <v>247</v>
      </c>
      <c r="B249" s="16"/>
      <c r="C249" s="16"/>
      <c r="D249" s="16"/>
      <c r="E249" s="7"/>
      <c r="F249" s="18"/>
      <c r="G249" s="19"/>
      <c r="H249" s="20" t="str">
        <f t="shared" si="6"/>
        <v/>
      </c>
      <c r="I249" s="20"/>
      <c r="J249" s="10"/>
      <c r="K249" s="21"/>
      <c r="L249" s="29"/>
      <c r="M249" s="29"/>
    </row>
    <row r="250" spans="1:13" ht="21" customHeight="1">
      <c r="A250" s="10">
        <v>248</v>
      </c>
      <c r="B250" s="16"/>
      <c r="C250" s="16"/>
      <c r="D250" s="16"/>
      <c r="E250" s="7"/>
      <c r="F250" s="18"/>
      <c r="G250" s="19"/>
      <c r="H250" s="20" t="str">
        <f t="shared" si="6"/>
        <v/>
      </c>
      <c r="I250" s="20"/>
      <c r="J250" s="10"/>
      <c r="K250" s="21"/>
      <c r="L250" s="29"/>
      <c r="M250" s="29"/>
    </row>
    <row r="251" spans="1:13" ht="21" customHeight="1">
      <c r="A251" s="10">
        <v>249</v>
      </c>
      <c r="B251" s="16"/>
      <c r="C251" s="16"/>
      <c r="D251" s="16"/>
      <c r="E251" s="7"/>
      <c r="F251" s="18"/>
      <c r="G251" s="19"/>
      <c r="H251" s="20" t="str">
        <f t="shared" si="6"/>
        <v/>
      </c>
      <c r="I251" s="20"/>
      <c r="J251" s="10"/>
      <c r="K251" s="21"/>
      <c r="L251" s="29"/>
      <c r="M251" s="29"/>
    </row>
    <row r="252" spans="1:13" ht="21" customHeight="1">
      <c r="A252" s="10">
        <v>250</v>
      </c>
      <c r="B252" s="16"/>
      <c r="C252" s="16"/>
      <c r="D252" s="16"/>
      <c r="E252" s="7"/>
      <c r="F252" s="18"/>
      <c r="G252" s="19"/>
      <c r="H252" s="20" t="str">
        <f t="shared" si="6"/>
        <v/>
      </c>
      <c r="I252" s="20"/>
      <c r="J252" s="10"/>
      <c r="K252" s="21"/>
      <c r="L252" s="29"/>
      <c r="M252" s="29"/>
    </row>
    <row r="253" spans="1:13" ht="21" customHeight="1">
      <c r="A253" s="10">
        <v>251</v>
      </c>
      <c r="B253" s="16"/>
      <c r="C253" s="16"/>
      <c r="D253" s="16"/>
      <c r="E253" s="7"/>
      <c r="F253" s="18"/>
      <c r="G253" s="19"/>
      <c r="H253" s="20" t="str">
        <f t="shared" si="6"/>
        <v/>
      </c>
      <c r="I253" s="20"/>
      <c r="J253" s="10"/>
      <c r="K253" s="21"/>
      <c r="L253" s="29"/>
      <c r="M253" s="29"/>
    </row>
    <row r="254" spans="1:13" ht="21" customHeight="1">
      <c r="A254" s="10">
        <v>252</v>
      </c>
      <c r="B254" s="16"/>
      <c r="C254" s="16"/>
      <c r="D254" s="16"/>
      <c r="E254" s="7"/>
      <c r="F254" s="18"/>
      <c r="G254" s="19"/>
      <c r="H254" s="20" t="str">
        <f t="shared" si="6"/>
        <v/>
      </c>
      <c r="I254" s="20"/>
      <c r="J254" s="10"/>
      <c r="K254" s="21"/>
      <c r="L254" s="29"/>
      <c r="M254" s="29"/>
    </row>
    <row r="255" spans="1:13" ht="21" customHeight="1">
      <c r="A255" s="10">
        <v>253</v>
      </c>
      <c r="B255" s="16"/>
      <c r="C255" s="16"/>
      <c r="D255" s="16"/>
      <c r="E255" s="7"/>
      <c r="F255" s="18"/>
      <c r="G255" s="19"/>
      <c r="H255" s="20" t="str">
        <f t="shared" si="6"/>
        <v/>
      </c>
      <c r="I255" s="20"/>
      <c r="J255" s="10"/>
      <c r="K255" s="21"/>
      <c r="L255" s="29"/>
      <c r="M255" s="29"/>
    </row>
    <row r="256" spans="1:13" ht="21" customHeight="1">
      <c r="A256" s="10">
        <v>254</v>
      </c>
      <c r="B256" s="16"/>
      <c r="C256" s="16"/>
      <c r="D256" s="16"/>
      <c r="E256" s="7"/>
      <c r="F256" s="18"/>
      <c r="G256" s="19"/>
      <c r="H256" s="20" t="str">
        <f t="shared" si="6"/>
        <v/>
      </c>
      <c r="I256" s="20"/>
      <c r="J256" s="10"/>
      <c r="K256" s="21"/>
      <c r="L256" s="29"/>
      <c r="M256" s="29"/>
    </row>
    <row r="257" spans="1:13" ht="21" customHeight="1">
      <c r="A257" s="10">
        <v>255</v>
      </c>
      <c r="B257" s="16"/>
      <c r="C257" s="16"/>
      <c r="D257" s="16"/>
      <c r="E257" s="7"/>
      <c r="F257" s="18"/>
      <c r="G257" s="19"/>
      <c r="H257" s="20" t="str">
        <f t="shared" si="6"/>
        <v/>
      </c>
      <c r="I257" s="20"/>
      <c r="J257" s="10"/>
      <c r="K257" s="21"/>
      <c r="L257" s="29"/>
      <c r="M257" s="29"/>
    </row>
    <row r="258" spans="1:13" ht="21" customHeight="1">
      <c r="A258" s="10">
        <v>256</v>
      </c>
      <c r="B258" s="16"/>
      <c r="C258" s="16"/>
      <c r="D258" s="16"/>
      <c r="E258" s="7"/>
      <c r="F258" s="18"/>
      <c r="G258" s="19"/>
      <c r="H258" s="20" t="str">
        <f t="shared" si="6"/>
        <v/>
      </c>
      <c r="I258" s="20"/>
      <c r="J258" s="10"/>
      <c r="K258" s="21"/>
      <c r="L258" s="29"/>
      <c r="M258" s="29"/>
    </row>
    <row r="259" spans="1:13" ht="21" customHeight="1">
      <c r="A259" s="10">
        <v>257</v>
      </c>
      <c r="B259" s="16"/>
      <c r="C259" s="16"/>
      <c r="D259" s="16"/>
      <c r="E259" s="7"/>
      <c r="F259" s="18"/>
      <c r="G259" s="19"/>
      <c r="H259" s="20" t="str">
        <f t="shared" si="6"/>
        <v/>
      </c>
      <c r="I259" s="20"/>
      <c r="J259" s="10"/>
      <c r="K259" s="21"/>
      <c r="L259" s="29"/>
      <c r="M259" s="29"/>
    </row>
    <row r="260" spans="1:13" ht="21" customHeight="1">
      <c r="A260" s="10">
        <v>258</v>
      </c>
      <c r="B260" s="16"/>
      <c r="C260" s="16"/>
      <c r="D260" s="16"/>
      <c r="E260" s="7"/>
      <c r="F260" s="18"/>
      <c r="G260" s="19"/>
      <c r="H260" s="20" t="str">
        <f t="shared" si="6"/>
        <v/>
      </c>
      <c r="I260" s="20"/>
      <c r="J260" s="10"/>
      <c r="K260" s="21"/>
      <c r="L260" s="29"/>
      <c r="M260" s="29"/>
    </row>
    <row r="261" spans="1:13" ht="21" customHeight="1">
      <c r="A261" s="10">
        <v>259</v>
      </c>
      <c r="B261" s="16"/>
      <c r="C261" s="16"/>
      <c r="D261" s="16"/>
      <c r="E261" s="7"/>
      <c r="F261" s="18"/>
      <c r="G261" s="19"/>
      <c r="H261" s="20" t="str">
        <f t="shared" si="6"/>
        <v/>
      </c>
      <c r="I261" s="20"/>
      <c r="J261" s="10"/>
      <c r="K261" s="21"/>
      <c r="L261" s="29"/>
      <c r="M261" s="29"/>
    </row>
    <row r="262" spans="1:13" ht="21" customHeight="1">
      <c r="A262" s="10">
        <v>260</v>
      </c>
      <c r="B262" s="16"/>
      <c r="C262" s="16"/>
      <c r="D262" s="16"/>
      <c r="E262" s="7"/>
      <c r="F262" s="18"/>
      <c r="G262" s="19"/>
      <c r="H262" s="20" t="str">
        <f t="shared" si="6"/>
        <v/>
      </c>
      <c r="I262" s="20"/>
      <c r="J262" s="10"/>
      <c r="K262" s="21"/>
      <c r="L262" s="29"/>
      <c r="M262" s="29"/>
    </row>
    <row r="263" spans="1:13" ht="21" customHeight="1">
      <c r="A263" s="10">
        <v>261</v>
      </c>
      <c r="B263" s="16"/>
      <c r="C263" s="16"/>
      <c r="D263" s="16"/>
      <c r="E263" s="7"/>
      <c r="F263" s="18"/>
      <c r="G263" s="19"/>
      <c r="H263" s="20" t="str">
        <f t="shared" si="6"/>
        <v/>
      </c>
      <c r="I263" s="20"/>
      <c r="J263" s="10"/>
      <c r="K263" s="21"/>
      <c r="L263" s="29"/>
      <c r="M263" s="29"/>
    </row>
    <row r="264" spans="1:13" ht="21" customHeight="1">
      <c r="A264" s="10">
        <v>262</v>
      </c>
      <c r="B264" s="16"/>
      <c r="C264" s="16"/>
      <c r="D264" s="16"/>
      <c r="E264" s="7"/>
      <c r="F264" s="18"/>
      <c r="G264" s="19"/>
      <c r="H264" s="20" t="str">
        <f t="shared" si="6"/>
        <v/>
      </c>
      <c r="I264" s="20"/>
      <c r="J264" s="10"/>
      <c r="K264" s="21"/>
      <c r="L264" s="29"/>
      <c r="M264" s="29"/>
    </row>
    <row r="265" spans="1:13" ht="21" customHeight="1">
      <c r="A265" s="10">
        <v>263</v>
      </c>
      <c r="B265" s="16"/>
      <c r="C265" s="16"/>
      <c r="D265" s="16"/>
      <c r="E265" s="7"/>
      <c r="F265" s="18"/>
      <c r="G265" s="19"/>
      <c r="H265" s="20" t="str">
        <f t="shared" si="6"/>
        <v/>
      </c>
      <c r="I265" s="20"/>
      <c r="J265" s="10"/>
      <c r="K265" s="21"/>
      <c r="L265" s="29"/>
      <c r="M265" s="29"/>
    </row>
    <row r="266" spans="1:13" ht="21" customHeight="1">
      <c r="A266" s="10">
        <v>264</v>
      </c>
      <c r="B266" s="16"/>
      <c r="C266" s="16"/>
      <c r="D266" s="16"/>
      <c r="E266" s="7"/>
      <c r="F266" s="18"/>
      <c r="G266" s="19"/>
      <c r="H266" s="20" t="str">
        <f t="shared" si="6"/>
        <v/>
      </c>
      <c r="I266" s="20"/>
      <c r="J266" s="10"/>
      <c r="K266" s="21"/>
      <c r="L266" s="29"/>
      <c r="M266" s="29"/>
    </row>
    <row r="267" spans="1:13" ht="21" customHeight="1">
      <c r="A267" s="10">
        <v>265</v>
      </c>
      <c r="B267" s="16"/>
      <c r="C267" s="16"/>
      <c r="D267" s="16"/>
      <c r="E267" s="7"/>
      <c r="F267" s="18"/>
      <c r="G267" s="19"/>
      <c r="H267" s="20" t="str">
        <f t="shared" si="6"/>
        <v/>
      </c>
      <c r="I267" s="20"/>
      <c r="J267" s="10"/>
      <c r="K267" s="21"/>
      <c r="L267" s="29"/>
      <c r="M267" s="29"/>
    </row>
    <row r="268" spans="1:13" ht="21" customHeight="1">
      <c r="A268" s="10">
        <v>266</v>
      </c>
      <c r="B268" s="16"/>
      <c r="C268" s="16"/>
      <c r="D268" s="16"/>
      <c r="E268" s="7"/>
      <c r="F268" s="18"/>
      <c r="G268" s="19"/>
      <c r="H268" s="20" t="str">
        <f t="shared" si="6"/>
        <v/>
      </c>
      <c r="I268" s="20"/>
      <c r="J268" s="10"/>
      <c r="K268" s="21"/>
      <c r="L268" s="29"/>
      <c r="M268" s="29"/>
    </row>
    <row r="269" spans="1:13" ht="21" customHeight="1">
      <c r="A269" s="10">
        <v>267</v>
      </c>
      <c r="B269" s="16"/>
      <c r="C269" s="16"/>
      <c r="D269" s="16"/>
      <c r="E269" s="7"/>
      <c r="F269" s="18"/>
      <c r="G269" s="19"/>
      <c r="H269" s="20" t="str">
        <f t="shared" si="6"/>
        <v/>
      </c>
      <c r="I269" s="20"/>
      <c r="J269" s="10"/>
      <c r="K269" s="21"/>
      <c r="L269" s="29"/>
      <c r="M269" s="29"/>
    </row>
    <row r="270" spans="1:13" ht="21" customHeight="1">
      <c r="A270" s="10">
        <v>268</v>
      </c>
      <c r="B270" s="16"/>
      <c r="C270" s="16"/>
      <c r="D270" s="16"/>
      <c r="E270" s="7"/>
      <c r="F270" s="18"/>
      <c r="G270" s="19"/>
      <c r="H270" s="20" t="str">
        <f t="shared" si="6"/>
        <v/>
      </c>
      <c r="I270" s="20"/>
      <c r="J270" s="10"/>
      <c r="K270" s="21"/>
      <c r="L270" s="29"/>
      <c r="M270" s="29"/>
    </row>
    <row r="271" spans="1:13" ht="21" customHeight="1">
      <c r="A271" s="10">
        <v>269</v>
      </c>
      <c r="B271" s="16"/>
      <c r="C271" s="16"/>
      <c r="D271" s="16"/>
      <c r="E271" s="7"/>
      <c r="F271" s="18"/>
      <c r="G271" s="19"/>
      <c r="H271" s="20" t="str">
        <f t="shared" si="6"/>
        <v/>
      </c>
      <c r="I271" s="20"/>
      <c r="J271" s="10"/>
      <c r="K271" s="21"/>
      <c r="L271" s="29"/>
      <c r="M271" s="29"/>
    </row>
    <row r="272" spans="1:13" ht="21" customHeight="1">
      <c r="A272" s="10">
        <v>270</v>
      </c>
      <c r="B272" s="16"/>
      <c r="C272" s="16"/>
      <c r="D272" s="16"/>
      <c r="E272" s="7"/>
      <c r="F272" s="18"/>
      <c r="G272" s="19"/>
      <c r="H272" s="20" t="str">
        <f t="shared" si="6"/>
        <v/>
      </c>
      <c r="I272" s="20"/>
      <c r="J272" s="10"/>
      <c r="K272" s="21"/>
      <c r="L272" s="29"/>
      <c r="M272" s="29"/>
    </row>
    <row r="273" spans="1:13" ht="21" customHeight="1">
      <c r="A273" s="10">
        <v>271</v>
      </c>
      <c r="B273" s="16"/>
      <c r="C273" s="16"/>
      <c r="D273" s="16"/>
      <c r="E273" s="7"/>
      <c r="F273" s="18"/>
      <c r="G273" s="19"/>
      <c r="H273" s="20" t="str">
        <f t="shared" si="6"/>
        <v/>
      </c>
      <c r="I273" s="20"/>
      <c r="J273" s="10"/>
      <c r="K273" s="21"/>
      <c r="L273" s="29"/>
      <c r="M273" s="29"/>
    </row>
    <row r="274" spans="1:13" ht="21" customHeight="1">
      <c r="A274" s="10">
        <v>272</v>
      </c>
      <c r="B274" s="16"/>
      <c r="C274" s="16"/>
      <c r="D274" s="16"/>
      <c r="E274" s="7"/>
      <c r="F274" s="18"/>
      <c r="G274" s="19"/>
      <c r="H274" s="20" t="str">
        <f t="shared" si="6"/>
        <v/>
      </c>
      <c r="I274" s="20"/>
      <c r="J274" s="10"/>
      <c r="K274" s="21"/>
      <c r="L274" s="29"/>
      <c r="M274" s="29"/>
    </row>
    <row r="275" spans="1:13" ht="21" customHeight="1">
      <c r="A275" s="10">
        <v>273</v>
      </c>
      <c r="B275" s="16"/>
      <c r="C275" s="16"/>
      <c r="D275" s="16"/>
      <c r="E275" s="7"/>
      <c r="F275" s="18"/>
      <c r="G275" s="19"/>
      <c r="H275" s="20" t="str">
        <f t="shared" si="6"/>
        <v/>
      </c>
      <c r="I275" s="20"/>
      <c r="J275" s="10"/>
      <c r="K275" s="21"/>
      <c r="L275" s="29"/>
      <c r="M275" s="29"/>
    </row>
    <row r="276" spans="1:13" ht="21" customHeight="1">
      <c r="A276" s="10">
        <v>274</v>
      </c>
      <c r="B276" s="16"/>
      <c r="C276" s="16"/>
      <c r="D276" s="16"/>
      <c r="E276" s="7"/>
      <c r="F276" s="18"/>
      <c r="G276" s="19"/>
      <c r="H276" s="20" t="str">
        <f t="shared" si="6"/>
        <v/>
      </c>
      <c r="I276" s="20"/>
      <c r="J276" s="10"/>
      <c r="K276" s="21"/>
      <c r="L276" s="29"/>
      <c r="M276" s="29"/>
    </row>
    <row r="277" spans="1:13" ht="21" customHeight="1">
      <c r="A277" s="10">
        <v>275</v>
      </c>
      <c r="B277" s="16"/>
      <c r="C277" s="16"/>
      <c r="D277" s="16"/>
      <c r="E277" s="7"/>
      <c r="F277" s="18"/>
      <c r="G277" s="19"/>
      <c r="H277" s="20" t="str">
        <f t="shared" si="6"/>
        <v/>
      </c>
      <c r="I277" s="20"/>
      <c r="J277" s="10"/>
      <c r="K277" s="21"/>
      <c r="L277" s="29"/>
      <c r="M277" s="29"/>
    </row>
    <row r="278" spans="1:13" ht="21" customHeight="1">
      <c r="A278" s="10">
        <v>276</v>
      </c>
      <c r="B278" s="16"/>
      <c r="C278" s="16"/>
      <c r="D278" s="16"/>
      <c r="E278" s="7"/>
      <c r="F278" s="18"/>
      <c r="G278" s="19"/>
      <c r="H278" s="20" t="str">
        <f t="shared" si="6"/>
        <v/>
      </c>
      <c r="I278" s="20"/>
      <c r="J278" s="10"/>
      <c r="K278" s="21"/>
      <c r="L278" s="29"/>
      <c r="M278" s="29"/>
    </row>
    <row r="279" spans="1:13" ht="21" customHeight="1">
      <c r="A279" s="10">
        <v>277</v>
      </c>
      <c r="B279" s="16"/>
      <c r="C279" s="16"/>
      <c r="D279" s="16"/>
      <c r="E279" s="7"/>
      <c r="F279" s="18"/>
      <c r="G279" s="19"/>
      <c r="H279" s="20" t="str">
        <f t="shared" si="6"/>
        <v/>
      </c>
      <c r="I279" s="20"/>
      <c r="J279" s="10"/>
      <c r="K279" s="21"/>
      <c r="L279" s="29"/>
      <c r="M279" s="29"/>
    </row>
    <row r="280" spans="1:13" ht="21" customHeight="1">
      <c r="A280" s="10">
        <v>278</v>
      </c>
      <c r="B280" s="16"/>
      <c r="C280" s="16"/>
      <c r="D280" s="16"/>
      <c r="E280" s="7"/>
      <c r="F280" s="18"/>
      <c r="G280" s="19"/>
      <c r="H280" s="20" t="str">
        <f t="shared" si="6"/>
        <v/>
      </c>
      <c r="I280" s="20"/>
      <c r="J280" s="10"/>
      <c r="K280" s="21"/>
      <c r="L280" s="29"/>
      <c r="M280" s="29"/>
    </row>
    <row r="281" spans="1:13">
      <c r="A281" s="10"/>
      <c r="B281" s="16"/>
      <c r="C281" s="16"/>
      <c r="D281" s="16"/>
      <c r="E281" s="7"/>
      <c r="F281" s="32"/>
      <c r="G281" s="33"/>
      <c r="H281" s="10"/>
      <c r="I281" s="10"/>
      <c r="J281" s="10"/>
      <c r="K281" s="21"/>
      <c r="L281" s="27"/>
      <c r="M281" s="10"/>
    </row>
    <row r="282" spans="1:13">
      <c r="A282" s="10"/>
      <c r="B282" s="16"/>
      <c r="C282" s="16"/>
      <c r="D282" s="16"/>
      <c r="E282" s="7"/>
      <c r="F282" s="32"/>
      <c r="G282" s="33"/>
      <c r="H282" s="10"/>
      <c r="I282" s="10"/>
      <c r="J282" s="10"/>
      <c r="K282" s="21"/>
      <c r="L282" s="27"/>
      <c r="M282" s="10"/>
    </row>
    <row r="283" spans="1:13">
      <c r="A283" s="10"/>
      <c r="B283" s="16"/>
      <c r="C283" s="16"/>
      <c r="D283" s="16"/>
      <c r="E283" s="7"/>
      <c r="F283" s="32"/>
      <c r="G283" s="33"/>
      <c r="H283" s="10"/>
      <c r="I283" s="10"/>
      <c r="J283" s="10"/>
      <c r="K283" s="21"/>
      <c r="L283" s="27"/>
      <c r="M283" s="10"/>
    </row>
    <row r="284" spans="1:13">
      <c r="A284" s="10"/>
      <c r="B284" s="16"/>
      <c r="C284" s="16"/>
      <c r="D284" s="16"/>
      <c r="E284" s="7"/>
      <c r="F284" s="32"/>
      <c r="G284" s="33"/>
      <c r="H284" s="10"/>
      <c r="I284" s="10"/>
      <c r="J284" s="10"/>
      <c r="K284" s="21"/>
      <c r="L284" s="27"/>
      <c r="M284" s="10"/>
    </row>
    <row r="285" spans="1:13">
      <c r="A285" s="10"/>
      <c r="B285" s="16"/>
      <c r="C285" s="16"/>
      <c r="D285" s="16"/>
      <c r="E285" s="7"/>
      <c r="F285" s="32"/>
      <c r="G285" s="33"/>
      <c r="H285" s="10"/>
      <c r="I285" s="10"/>
      <c r="J285" s="10"/>
      <c r="K285" s="21"/>
      <c r="L285" s="27"/>
      <c r="M285" s="10"/>
    </row>
    <row r="286" spans="1:13">
      <c r="A286" s="10"/>
      <c r="B286" s="16"/>
      <c r="C286" s="16"/>
      <c r="D286" s="16"/>
      <c r="E286" s="7"/>
      <c r="F286" s="32"/>
      <c r="G286" s="33"/>
      <c r="H286" s="10"/>
      <c r="I286" s="10"/>
      <c r="J286" s="10"/>
      <c r="K286" s="21"/>
      <c r="L286" s="27"/>
      <c r="M286" s="10"/>
    </row>
    <row r="287" spans="1:13">
      <c r="A287" s="10"/>
      <c r="B287" s="16"/>
      <c r="C287" s="16"/>
      <c r="D287" s="16"/>
      <c r="E287" s="7"/>
      <c r="F287" s="32"/>
      <c r="G287" s="33"/>
      <c r="H287" s="10"/>
      <c r="I287" s="10"/>
      <c r="J287" s="10"/>
      <c r="K287" s="21"/>
      <c r="L287" s="27"/>
      <c r="M287" s="10"/>
    </row>
    <row r="288" spans="1:13">
      <c r="A288" s="10"/>
      <c r="B288" s="16"/>
      <c r="C288" s="16"/>
      <c r="D288" s="16"/>
      <c r="E288" s="7"/>
      <c r="F288" s="32"/>
      <c r="G288" s="33"/>
      <c r="H288" s="10"/>
      <c r="I288" s="10"/>
      <c r="J288" s="10"/>
      <c r="K288" s="21"/>
      <c r="L288" s="27"/>
      <c r="M288" s="10"/>
    </row>
    <row r="289" spans="1:13">
      <c r="A289" s="10"/>
      <c r="B289" s="16"/>
      <c r="C289" s="16"/>
      <c r="D289" s="16"/>
      <c r="E289" s="7"/>
      <c r="F289" s="32"/>
      <c r="G289" s="33"/>
      <c r="H289" s="10"/>
      <c r="I289" s="10"/>
      <c r="J289" s="10"/>
      <c r="K289" s="21"/>
      <c r="L289" s="27"/>
      <c r="M289" s="10"/>
    </row>
    <row r="290" spans="1:13">
      <c r="A290" s="10"/>
      <c r="B290" s="16"/>
      <c r="C290" s="16"/>
      <c r="D290" s="16"/>
      <c r="E290" s="7"/>
      <c r="F290" s="32"/>
      <c r="G290" s="33"/>
      <c r="H290" s="10"/>
      <c r="I290" s="10"/>
      <c r="J290" s="10"/>
      <c r="K290" s="21"/>
      <c r="L290" s="27"/>
      <c r="M290" s="10"/>
    </row>
    <row r="291" spans="1:13">
      <c r="A291" s="10"/>
      <c r="B291" s="16"/>
      <c r="C291" s="16"/>
      <c r="D291" s="16"/>
      <c r="E291" s="7"/>
      <c r="F291" s="32"/>
      <c r="G291" s="33"/>
      <c r="H291" s="10"/>
      <c r="I291" s="10"/>
      <c r="J291" s="10"/>
      <c r="K291" s="21"/>
      <c r="L291" s="27"/>
      <c r="M291" s="10"/>
    </row>
    <row r="292" spans="1:13">
      <c r="A292" s="10"/>
      <c r="B292" s="16"/>
      <c r="C292" s="16"/>
      <c r="D292" s="16"/>
      <c r="E292" s="7"/>
      <c r="F292" s="32"/>
      <c r="G292" s="33"/>
      <c r="H292" s="10"/>
      <c r="I292" s="10"/>
      <c r="J292" s="10"/>
      <c r="K292" s="21"/>
      <c r="L292" s="27"/>
      <c r="M292" s="10"/>
    </row>
    <row r="293" spans="1:13">
      <c r="A293" s="10"/>
      <c r="B293" s="16"/>
      <c r="C293" s="16"/>
      <c r="D293" s="16"/>
      <c r="E293" s="7"/>
      <c r="F293" s="32"/>
      <c r="G293" s="33"/>
      <c r="H293" s="10"/>
      <c r="I293" s="10"/>
      <c r="J293" s="10"/>
      <c r="K293" s="21"/>
      <c r="L293" s="27"/>
      <c r="M293" s="10"/>
    </row>
    <row r="294" spans="1:13">
      <c r="A294" s="10"/>
      <c r="B294" s="16"/>
      <c r="C294" s="16"/>
      <c r="D294" s="16"/>
      <c r="E294" s="7"/>
      <c r="F294" s="32"/>
      <c r="G294" s="33"/>
      <c r="H294" s="10"/>
      <c r="I294" s="10"/>
      <c r="J294" s="10"/>
      <c r="K294" s="21"/>
      <c r="L294" s="27"/>
      <c r="M294" s="10"/>
    </row>
    <row r="295" spans="1:13">
      <c r="A295" s="10"/>
      <c r="B295" s="16"/>
      <c r="C295" s="16"/>
      <c r="D295" s="16"/>
      <c r="E295" s="7"/>
      <c r="F295" s="32"/>
      <c r="G295" s="33"/>
      <c r="H295" s="10"/>
      <c r="I295" s="10"/>
      <c r="J295" s="10"/>
      <c r="K295" s="21"/>
      <c r="L295" s="27"/>
      <c r="M295" s="10"/>
    </row>
    <row r="296" spans="1:13">
      <c r="A296" s="10"/>
      <c r="B296" s="16"/>
      <c r="C296" s="16"/>
      <c r="D296" s="16"/>
      <c r="E296" s="7"/>
      <c r="F296" s="32"/>
      <c r="G296" s="33"/>
      <c r="H296" s="10"/>
      <c r="I296" s="10"/>
      <c r="J296" s="10"/>
      <c r="K296" s="21"/>
      <c r="L296" s="27"/>
      <c r="M296" s="10"/>
    </row>
    <row r="297" spans="1:13">
      <c r="A297" s="10"/>
      <c r="B297" s="16"/>
      <c r="C297" s="16"/>
      <c r="D297" s="16"/>
      <c r="E297" s="7"/>
      <c r="F297" s="32"/>
      <c r="G297" s="33"/>
      <c r="H297" s="10"/>
      <c r="I297" s="10"/>
      <c r="J297" s="10"/>
      <c r="K297" s="21"/>
      <c r="L297" s="27"/>
      <c r="M297" s="10"/>
    </row>
    <row r="298" spans="1:13">
      <c r="A298" s="10"/>
      <c r="B298" s="16"/>
      <c r="C298" s="16"/>
      <c r="D298" s="16"/>
      <c r="E298" s="7"/>
      <c r="F298" s="32"/>
      <c r="G298" s="33"/>
      <c r="H298" s="10"/>
      <c r="I298" s="10"/>
      <c r="J298" s="10"/>
      <c r="K298" s="21"/>
      <c r="L298" s="27"/>
      <c r="M298" s="10"/>
    </row>
    <row r="299" spans="1:13">
      <c r="A299" s="10"/>
      <c r="B299" s="16"/>
      <c r="C299" s="16"/>
      <c r="D299" s="16"/>
      <c r="E299" s="7"/>
      <c r="F299" s="32"/>
      <c r="G299" s="33"/>
      <c r="H299" s="10"/>
      <c r="I299" s="10"/>
      <c r="J299" s="10"/>
      <c r="K299" s="21"/>
      <c r="L299" s="27"/>
      <c r="M299" s="10"/>
    </row>
    <row r="300" spans="1:13">
      <c r="A300" s="10"/>
      <c r="B300" s="16"/>
      <c r="C300" s="16"/>
      <c r="D300" s="16"/>
      <c r="E300" s="7"/>
      <c r="F300" s="32"/>
      <c r="G300" s="33"/>
      <c r="H300" s="10"/>
      <c r="I300" s="10"/>
      <c r="J300" s="10"/>
      <c r="K300" s="21"/>
      <c r="L300" s="27"/>
      <c r="M300" s="10"/>
    </row>
    <row r="301" spans="1:13">
      <c r="A301" s="10"/>
      <c r="B301" s="16"/>
      <c r="C301" s="16"/>
      <c r="D301" s="16"/>
      <c r="E301" s="7"/>
      <c r="F301" s="32"/>
      <c r="G301" s="33"/>
      <c r="H301" s="10"/>
      <c r="I301" s="10"/>
      <c r="J301" s="10"/>
      <c r="K301" s="21"/>
      <c r="L301" s="27"/>
      <c r="M301" s="10"/>
    </row>
    <row r="302" spans="1:13">
      <c r="A302" s="10"/>
      <c r="B302" s="16"/>
      <c r="C302" s="16"/>
      <c r="D302" s="16"/>
      <c r="E302" s="7"/>
      <c r="F302" s="32"/>
      <c r="G302" s="33"/>
      <c r="H302" s="10"/>
      <c r="I302" s="10"/>
      <c r="J302" s="10"/>
      <c r="K302" s="21"/>
      <c r="L302" s="27"/>
      <c r="M302" s="10"/>
    </row>
    <row r="303" spans="1:13">
      <c r="A303" s="10"/>
      <c r="B303" s="16"/>
      <c r="C303" s="16"/>
      <c r="D303" s="16"/>
      <c r="E303" s="7"/>
      <c r="F303" s="32"/>
      <c r="G303" s="33"/>
      <c r="H303" s="10"/>
      <c r="I303" s="10"/>
      <c r="J303" s="10"/>
      <c r="K303" s="21"/>
      <c r="L303" s="27"/>
      <c r="M303" s="10"/>
    </row>
    <row r="304" spans="1:13">
      <c r="A304" s="10"/>
      <c r="B304" s="16"/>
      <c r="C304" s="16"/>
      <c r="D304" s="16"/>
      <c r="E304" s="7"/>
      <c r="F304" s="32"/>
      <c r="G304" s="33"/>
      <c r="H304" s="10"/>
      <c r="I304" s="10"/>
      <c r="J304" s="10"/>
      <c r="K304" s="21"/>
      <c r="L304" s="27"/>
      <c r="M304" s="10"/>
    </row>
    <row r="305" spans="1:15">
      <c r="A305" s="10"/>
      <c r="B305" s="16"/>
      <c r="C305" s="16"/>
      <c r="D305" s="16"/>
      <c r="E305" s="7"/>
      <c r="F305" s="32"/>
      <c r="G305" s="33"/>
      <c r="H305" s="10"/>
      <c r="I305" s="10"/>
      <c r="J305" s="10"/>
      <c r="K305" s="21"/>
      <c r="L305" s="27"/>
      <c r="M305" s="10"/>
    </row>
    <row r="306" spans="1:15">
      <c r="A306" s="10"/>
      <c r="B306" s="16"/>
      <c r="C306" s="16"/>
      <c r="D306" s="16"/>
      <c r="E306" s="7"/>
      <c r="F306" s="32"/>
      <c r="G306" s="33"/>
      <c r="H306" s="10"/>
      <c r="I306" s="10"/>
      <c r="J306" s="10"/>
      <c r="K306" s="21"/>
      <c r="L306" s="27"/>
      <c r="M306" s="10"/>
    </row>
    <row r="307" spans="1:15">
      <c r="A307" s="10"/>
      <c r="B307" s="16"/>
      <c r="C307" s="16"/>
      <c r="D307" s="16"/>
      <c r="E307" s="7"/>
      <c r="F307" s="32"/>
      <c r="G307" s="33"/>
      <c r="H307" s="10"/>
      <c r="I307" s="10"/>
      <c r="J307" s="10"/>
      <c r="K307" s="21"/>
      <c r="L307" s="27"/>
      <c r="M307" s="10"/>
    </row>
    <row r="308" spans="1:15">
      <c r="A308" s="10"/>
      <c r="B308" s="16"/>
      <c r="C308" s="16"/>
      <c r="D308" s="16"/>
      <c r="E308" s="7"/>
      <c r="F308" s="32"/>
      <c r="G308" s="33"/>
      <c r="H308" s="10"/>
      <c r="I308" s="10"/>
      <c r="J308" s="10"/>
      <c r="K308" s="21"/>
      <c r="L308" s="27"/>
      <c r="M308" s="10"/>
    </row>
    <row r="309" spans="1:15">
      <c r="A309" s="10"/>
      <c r="B309" s="16"/>
      <c r="C309" s="16"/>
      <c r="D309" s="16"/>
      <c r="E309" s="7"/>
      <c r="F309" s="32"/>
      <c r="G309" s="33"/>
      <c r="H309" s="10"/>
      <c r="I309" s="10"/>
      <c r="J309" s="10"/>
      <c r="K309" s="21"/>
      <c r="L309" s="27"/>
      <c r="M309" s="10"/>
    </row>
    <row r="310" spans="1:15">
      <c r="A310" s="10"/>
      <c r="B310" s="16"/>
      <c r="C310" s="16"/>
      <c r="D310" s="16"/>
      <c r="E310" s="7"/>
      <c r="F310" s="32"/>
      <c r="G310" s="33"/>
      <c r="H310" s="10"/>
      <c r="I310" s="10"/>
      <c r="J310" s="10"/>
      <c r="K310" s="21"/>
      <c r="L310" s="27"/>
      <c r="M310" s="10"/>
    </row>
    <row r="311" spans="1:15">
      <c r="A311" s="10"/>
      <c r="B311" s="16"/>
      <c r="C311" s="16"/>
      <c r="D311" s="16"/>
      <c r="E311" s="7"/>
      <c r="F311" s="32"/>
      <c r="G311" s="33"/>
      <c r="H311" s="10"/>
      <c r="I311" s="10"/>
      <c r="J311" s="10"/>
      <c r="K311" s="21"/>
      <c r="L311" s="27"/>
      <c r="M311" s="10"/>
    </row>
    <row r="312" spans="1:15">
      <c r="A312" s="10"/>
      <c r="B312" s="16"/>
      <c r="C312" s="16"/>
      <c r="D312" s="16"/>
      <c r="E312" s="7"/>
      <c r="F312" s="32"/>
      <c r="G312" s="33"/>
      <c r="H312" s="10"/>
      <c r="I312" s="10"/>
      <c r="J312" s="10"/>
      <c r="K312" s="21"/>
      <c r="L312" s="27"/>
      <c r="M312" s="10"/>
    </row>
    <row r="313" spans="1:15">
      <c r="A313" s="10"/>
      <c r="B313" s="16"/>
      <c r="C313" s="16"/>
      <c r="D313" s="16"/>
      <c r="E313" s="7"/>
      <c r="F313" s="32"/>
      <c r="G313" s="33"/>
      <c r="H313" s="10"/>
      <c r="I313" s="10"/>
      <c r="J313" s="10"/>
      <c r="K313" s="21"/>
      <c r="L313" s="27"/>
      <c r="M313" s="10"/>
    </row>
    <row r="314" spans="1:15">
      <c r="A314" s="10"/>
      <c r="B314" s="16"/>
      <c r="C314" s="16"/>
      <c r="D314" s="16"/>
      <c r="E314" s="7"/>
      <c r="F314" s="32"/>
      <c r="G314" s="33"/>
      <c r="H314" s="10"/>
      <c r="I314" s="10"/>
      <c r="J314" s="10"/>
      <c r="K314" s="21"/>
      <c r="L314" s="27"/>
      <c r="M314" s="10"/>
    </row>
    <row r="315" spans="1:15">
      <c r="A315" s="10"/>
      <c r="B315" s="16"/>
      <c r="C315" s="16"/>
      <c r="D315" s="16"/>
      <c r="E315" s="7"/>
      <c r="F315" s="32"/>
      <c r="G315" s="33"/>
      <c r="H315" s="10"/>
      <c r="I315" s="10"/>
      <c r="J315" s="10"/>
      <c r="K315" s="21"/>
      <c r="L315" s="27"/>
      <c r="M315" s="10"/>
    </row>
    <row r="316" spans="1:15">
      <c r="A316" s="10"/>
      <c r="B316" s="16"/>
      <c r="C316" s="16"/>
      <c r="D316" s="16"/>
      <c r="E316" s="7"/>
      <c r="F316" s="32"/>
      <c r="G316" s="33"/>
      <c r="H316" s="10"/>
      <c r="I316" s="10"/>
      <c r="J316" s="10"/>
      <c r="K316" s="21"/>
      <c r="L316" s="27"/>
      <c r="M316" s="10"/>
    </row>
    <row r="317" spans="1:15">
      <c r="A317" s="10"/>
      <c r="B317" s="16"/>
      <c r="C317" s="16"/>
      <c r="D317" s="16"/>
      <c r="E317" s="7"/>
      <c r="F317" s="32"/>
      <c r="G317" s="33"/>
      <c r="H317" s="10"/>
      <c r="I317" s="10"/>
      <c r="J317" s="10"/>
      <c r="K317" s="21"/>
      <c r="L317" s="27"/>
      <c r="M317" s="10"/>
    </row>
    <row r="318" spans="1:15">
      <c r="A318" s="10"/>
      <c r="B318" s="16"/>
      <c r="C318" s="16"/>
      <c r="D318" s="16"/>
      <c r="E318" s="7"/>
      <c r="F318" s="32"/>
      <c r="G318" s="33"/>
      <c r="H318" s="10"/>
      <c r="I318" s="10"/>
      <c r="J318" s="10"/>
      <c r="K318" s="21"/>
      <c r="L318" s="27"/>
      <c r="M318" s="10"/>
    </row>
    <row r="319" spans="1:15">
      <c r="A319" s="10"/>
      <c r="B319" s="16"/>
      <c r="C319" s="16"/>
      <c r="D319" s="16"/>
      <c r="E319" s="7"/>
      <c r="F319" s="32"/>
      <c r="G319" s="33"/>
      <c r="H319" s="10"/>
      <c r="I319" s="10"/>
      <c r="J319" s="10"/>
      <c r="K319" s="21"/>
      <c r="L319" s="27"/>
      <c r="M319" s="10"/>
    </row>
    <row r="320" spans="1:15">
      <c r="A320" s="10"/>
      <c r="B320" s="16"/>
      <c r="C320" s="16"/>
      <c r="D320" s="16"/>
      <c r="E320" s="7"/>
      <c r="F320" s="32"/>
      <c r="G320" s="33"/>
      <c r="H320" s="10"/>
      <c r="I320" s="10"/>
      <c r="J320" s="10"/>
      <c r="K320" s="21"/>
      <c r="L320" s="27"/>
      <c r="M320" s="10"/>
      <c r="O320" s="4" t="s">
        <v>38</v>
      </c>
    </row>
    <row r="321" spans="1:13">
      <c r="A321" s="10"/>
      <c r="B321" s="16"/>
      <c r="C321" s="16"/>
      <c r="D321" s="16"/>
      <c r="E321" s="7"/>
      <c r="F321" s="32"/>
      <c r="G321" s="33"/>
      <c r="H321" s="10"/>
      <c r="I321" s="10"/>
      <c r="J321" s="10"/>
      <c r="K321" s="21"/>
      <c r="L321" s="27"/>
      <c r="M321" s="10"/>
    </row>
    <row r="322" spans="1:13">
      <c r="A322" s="10"/>
      <c r="B322" s="16"/>
      <c r="C322" s="16"/>
      <c r="D322" s="16"/>
      <c r="E322" s="7"/>
      <c r="F322" s="32"/>
      <c r="G322" s="33"/>
      <c r="H322" s="10"/>
      <c r="I322" s="10"/>
      <c r="J322" s="10"/>
      <c r="K322" s="21"/>
      <c r="L322" s="27"/>
      <c r="M322" s="10"/>
    </row>
    <row r="323" spans="1:13">
      <c r="A323" s="10"/>
      <c r="B323" s="16"/>
      <c r="C323" s="16"/>
      <c r="D323" s="16"/>
      <c r="E323" s="7"/>
      <c r="F323" s="32"/>
      <c r="G323" s="33"/>
      <c r="H323" s="10"/>
      <c r="I323" s="10"/>
      <c r="J323" s="10"/>
      <c r="K323" s="21"/>
      <c r="L323" s="27"/>
      <c r="M323" s="10"/>
    </row>
    <row r="324" spans="1:13">
      <c r="A324" s="10"/>
      <c r="B324" s="16"/>
      <c r="C324" s="16"/>
      <c r="D324" s="16"/>
      <c r="E324" s="7"/>
      <c r="F324" s="32"/>
      <c r="G324" s="33"/>
      <c r="H324" s="10"/>
      <c r="I324" s="10"/>
      <c r="J324" s="10"/>
      <c r="K324" s="21"/>
      <c r="L324" s="27"/>
      <c r="M324" s="10"/>
    </row>
    <row r="325" spans="1:13">
      <c r="A325" s="10"/>
      <c r="B325" s="16"/>
      <c r="C325" s="16"/>
      <c r="D325" s="16"/>
      <c r="E325" s="7"/>
      <c r="F325" s="32"/>
      <c r="G325" s="33"/>
      <c r="H325" s="10"/>
      <c r="I325" s="10"/>
      <c r="J325" s="10"/>
      <c r="K325" s="21"/>
      <c r="L325" s="27"/>
      <c r="M325" s="10"/>
    </row>
    <row r="326" spans="1:13">
      <c r="A326" s="10"/>
      <c r="B326" s="16"/>
      <c r="C326" s="16"/>
      <c r="D326" s="16"/>
      <c r="E326" s="7"/>
      <c r="F326" s="32"/>
      <c r="G326" s="33"/>
      <c r="H326" s="10" t="str">
        <f t="shared" ref="H326:H380" si="7">IF(G326="","",MOD(F326*100000000+G326,7))</f>
        <v/>
      </c>
      <c r="I326" s="10"/>
      <c r="J326" s="10"/>
      <c r="K326" s="21"/>
      <c r="L326" s="27"/>
      <c r="M326" s="10"/>
    </row>
    <row r="327" spans="1:13">
      <c r="A327" s="10"/>
      <c r="B327" s="16"/>
      <c r="C327" s="16"/>
      <c r="D327" s="16"/>
      <c r="E327" s="7"/>
      <c r="F327" s="32"/>
      <c r="G327" s="33"/>
      <c r="H327" s="10" t="str">
        <f t="shared" si="7"/>
        <v/>
      </c>
      <c r="I327" s="10"/>
      <c r="J327" s="10"/>
      <c r="K327" s="21"/>
      <c r="L327" s="27"/>
      <c r="M327" s="10"/>
    </row>
    <row r="328" spans="1:13">
      <c r="A328" s="10"/>
      <c r="B328" s="16"/>
      <c r="C328" s="16"/>
      <c r="D328" s="16"/>
      <c r="E328" s="7"/>
      <c r="F328" s="32"/>
      <c r="G328" s="33"/>
      <c r="H328" s="10" t="str">
        <f t="shared" si="7"/>
        <v/>
      </c>
      <c r="I328" s="10"/>
      <c r="J328" s="10"/>
      <c r="K328" s="21"/>
      <c r="L328" s="27"/>
      <c r="M328" s="10"/>
    </row>
    <row r="329" spans="1:13">
      <c r="A329" s="10"/>
      <c r="B329" s="16"/>
      <c r="C329" s="16"/>
      <c r="D329" s="16"/>
      <c r="E329" s="7"/>
      <c r="F329" s="32"/>
      <c r="G329" s="33"/>
      <c r="H329" s="10" t="str">
        <f t="shared" si="7"/>
        <v/>
      </c>
      <c r="I329" s="10"/>
      <c r="J329" s="10"/>
      <c r="K329" s="21"/>
      <c r="L329" s="27"/>
      <c r="M329" s="10"/>
    </row>
    <row r="330" spans="1:13">
      <c r="A330" s="10"/>
      <c r="B330" s="16"/>
      <c r="C330" s="16"/>
      <c r="D330" s="16"/>
      <c r="E330" s="7"/>
      <c r="F330" s="32"/>
      <c r="G330" s="33"/>
      <c r="H330" s="10" t="str">
        <f t="shared" si="7"/>
        <v/>
      </c>
      <c r="I330" s="10"/>
      <c r="J330" s="10"/>
      <c r="K330" s="21"/>
      <c r="L330" s="27"/>
      <c r="M330" s="10"/>
    </row>
    <row r="331" spans="1:13">
      <c r="A331" s="10"/>
      <c r="B331" s="16"/>
      <c r="C331" s="16"/>
      <c r="D331" s="16"/>
      <c r="E331" s="7"/>
      <c r="F331" s="32"/>
      <c r="G331" s="33"/>
      <c r="H331" s="10" t="str">
        <f t="shared" si="7"/>
        <v/>
      </c>
      <c r="I331" s="10"/>
      <c r="J331" s="10"/>
      <c r="K331" s="21"/>
      <c r="L331" s="27"/>
      <c r="M331" s="10"/>
    </row>
    <row r="332" spans="1:13">
      <c r="A332" s="10"/>
      <c r="B332" s="16"/>
      <c r="C332" s="16"/>
      <c r="D332" s="16"/>
      <c r="E332" s="7"/>
      <c r="F332" s="32"/>
      <c r="G332" s="33"/>
      <c r="H332" s="10" t="str">
        <f t="shared" si="7"/>
        <v/>
      </c>
      <c r="I332" s="10"/>
      <c r="J332" s="10"/>
      <c r="K332" s="21"/>
      <c r="L332" s="27"/>
      <c r="M332" s="10"/>
    </row>
    <row r="333" spans="1:13">
      <c r="A333" s="10"/>
      <c r="B333" s="16"/>
      <c r="C333" s="16"/>
      <c r="D333" s="16"/>
      <c r="E333" s="7"/>
      <c r="F333" s="32"/>
      <c r="G333" s="33"/>
      <c r="H333" s="10" t="str">
        <f t="shared" si="7"/>
        <v/>
      </c>
      <c r="I333" s="10"/>
      <c r="J333" s="10"/>
      <c r="K333" s="21"/>
      <c r="L333" s="27"/>
      <c r="M333" s="10"/>
    </row>
    <row r="334" spans="1:13">
      <c r="A334" s="10"/>
      <c r="B334" s="16"/>
      <c r="C334" s="16"/>
      <c r="D334" s="16"/>
      <c r="E334" s="7"/>
      <c r="F334" s="32"/>
      <c r="G334" s="33"/>
      <c r="H334" s="10" t="str">
        <f t="shared" si="7"/>
        <v/>
      </c>
      <c r="I334" s="10"/>
      <c r="J334" s="10"/>
      <c r="K334" s="21"/>
      <c r="L334" s="27"/>
      <c r="M334" s="10"/>
    </row>
    <row r="335" spans="1:13">
      <c r="A335" s="10"/>
      <c r="B335" s="16"/>
      <c r="C335" s="16"/>
      <c r="D335" s="16"/>
      <c r="E335" s="7"/>
      <c r="F335" s="32"/>
      <c r="G335" s="33"/>
      <c r="H335" s="10" t="str">
        <f t="shared" si="7"/>
        <v/>
      </c>
      <c r="I335" s="10"/>
      <c r="J335" s="10"/>
      <c r="K335" s="21"/>
      <c r="L335" s="27"/>
      <c r="M335" s="10"/>
    </row>
    <row r="336" spans="1:13">
      <c r="A336" s="10"/>
      <c r="B336" s="16"/>
      <c r="C336" s="16"/>
      <c r="D336" s="16"/>
      <c r="E336" s="7"/>
      <c r="F336" s="32"/>
      <c r="G336" s="33"/>
      <c r="H336" s="10" t="str">
        <f t="shared" si="7"/>
        <v/>
      </c>
      <c r="I336" s="10"/>
      <c r="J336" s="10"/>
      <c r="K336" s="21"/>
      <c r="L336" s="27"/>
      <c r="M336" s="10"/>
    </row>
    <row r="337" spans="1:13">
      <c r="A337" s="10"/>
      <c r="B337" s="16"/>
      <c r="C337" s="16"/>
      <c r="D337" s="16"/>
      <c r="E337" s="7"/>
      <c r="F337" s="32"/>
      <c r="G337" s="33"/>
      <c r="H337" s="10" t="str">
        <f t="shared" si="7"/>
        <v/>
      </c>
      <c r="I337" s="10"/>
      <c r="J337" s="10"/>
      <c r="K337" s="21"/>
      <c r="L337" s="27"/>
      <c r="M337" s="10"/>
    </row>
    <row r="338" spans="1:13">
      <c r="A338" s="10"/>
      <c r="B338" s="16"/>
      <c r="C338" s="16"/>
      <c r="D338" s="16"/>
      <c r="E338" s="7"/>
      <c r="F338" s="32"/>
      <c r="G338" s="33"/>
      <c r="H338" s="10" t="str">
        <f t="shared" si="7"/>
        <v/>
      </c>
      <c r="I338" s="10"/>
      <c r="J338" s="10"/>
      <c r="K338" s="21"/>
      <c r="L338" s="27"/>
      <c r="M338" s="10"/>
    </row>
    <row r="339" spans="1:13">
      <c r="A339" s="10"/>
      <c r="B339" s="16"/>
      <c r="C339" s="16"/>
      <c r="D339" s="16"/>
      <c r="E339" s="7"/>
      <c r="F339" s="32"/>
      <c r="G339" s="33"/>
      <c r="H339" s="10" t="str">
        <f t="shared" si="7"/>
        <v/>
      </c>
      <c r="I339" s="10"/>
      <c r="J339" s="10"/>
      <c r="K339" s="21"/>
      <c r="L339" s="27"/>
      <c r="M339" s="10"/>
    </row>
    <row r="340" spans="1:13">
      <c r="A340" s="10"/>
      <c r="B340" s="16"/>
      <c r="C340" s="16"/>
      <c r="D340" s="16"/>
      <c r="E340" s="7"/>
      <c r="F340" s="32"/>
      <c r="G340" s="33"/>
      <c r="H340" s="10" t="str">
        <f t="shared" si="7"/>
        <v/>
      </c>
      <c r="I340" s="10"/>
      <c r="J340" s="10"/>
      <c r="K340" s="21"/>
      <c r="L340" s="27"/>
      <c r="M340" s="10"/>
    </row>
    <row r="341" spans="1:13">
      <c r="A341" s="10"/>
      <c r="B341" s="16"/>
      <c r="C341" s="16"/>
      <c r="D341" s="16"/>
      <c r="E341" s="7"/>
      <c r="F341" s="32"/>
      <c r="G341" s="33"/>
      <c r="H341" s="10" t="str">
        <f t="shared" si="7"/>
        <v/>
      </c>
      <c r="I341" s="10"/>
      <c r="J341" s="10"/>
      <c r="K341" s="21"/>
      <c r="L341" s="27"/>
      <c r="M341" s="10"/>
    </row>
    <row r="342" spans="1:13">
      <c r="A342" s="10"/>
      <c r="B342" s="16"/>
      <c r="C342" s="16"/>
      <c r="D342" s="16"/>
      <c r="E342" s="7"/>
      <c r="F342" s="32"/>
      <c r="G342" s="33"/>
      <c r="H342" s="10" t="str">
        <f t="shared" si="7"/>
        <v/>
      </c>
      <c r="I342" s="10"/>
      <c r="J342" s="10"/>
      <c r="K342" s="21"/>
      <c r="L342" s="27"/>
      <c r="M342" s="10"/>
    </row>
    <row r="343" spans="1:13">
      <c r="A343" s="10"/>
      <c r="B343" s="16"/>
      <c r="C343" s="16"/>
      <c r="D343" s="16"/>
      <c r="E343" s="7"/>
      <c r="F343" s="32"/>
      <c r="G343" s="33"/>
      <c r="H343" s="10" t="str">
        <f t="shared" si="7"/>
        <v/>
      </c>
      <c r="I343" s="10"/>
      <c r="J343" s="10"/>
      <c r="K343" s="21"/>
      <c r="L343" s="27"/>
      <c r="M343" s="10"/>
    </row>
    <row r="344" spans="1:13">
      <c r="A344" s="10"/>
      <c r="B344" s="16"/>
      <c r="C344" s="16"/>
      <c r="D344" s="16"/>
      <c r="E344" s="7"/>
      <c r="F344" s="32"/>
      <c r="G344" s="33"/>
      <c r="H344" s="10" t="str">
        <f t="shared" si="7"/>
        <v/>
      </c>
      <c r="I344" s="10"/>
      <c r="J344" s="10"/>
      <c r="K344" s="21"/>
      <c r="L344" s="27"/>
      <c r="M344" s="10"/>
    </row>
    <row r="345" spans="1:13">
      <c r="A345" s="10"/>
      <c r="B345" s="16"/>
      <c r="C345" s="16"/>
      <c r="D345" s="16"/>
      <c r="E345" s="7"/>
      <c r="F345" s="32"/>
      <c r="G345" s="33"/>
      <c r="H345" s="10" t="str">
        <f t="shared" si="7"/>
        <v/>
      </c>
      <c r="I345" s="10"/>
      <c r="J345" s="10"/>
      <c r="K345" s="21"/>
      <c r="L345" s="27"/>
      <c r="M345" s="10"/>
    </row>
    <row r="346" spans="1:13">
      <c r="A346" s="10"/>
      <c r="B346" s="16"/>
      <c r="C346" s="16"/>
      <c r="D346" s="16"/>
      <c r="E346" s="7"/>
      <c r="F346" s="32"/>
      <c r="G346" s="33"/>
      <c r="H346" s="10" t="str">
        <f t="shared" si="7"/>
        <v/>
      </c>
      <c r="I346" s="10"/>
      <c r="J346" s="10"/>
      <c r="K346" s="21"/>
      <c r="L346" s="27"/>
      <c r="M346" s="10"/>
    </row>
    <row r="347" spans="1:13">
      <c r="A347" s="10"/>
      <c r="B347" s="16"/>
      <c r="C347" s="16"/>
      <c r="D347" s="16"/>
      <c r="E347" s="7"/>
      <c r="F347" s="32"/>
      <c r="G347" s="33"/>
      <c r="H347" s="10" t="str">
        <f t="shared" si="7"/>
        <v/>
      </c>
      <c r="I347" s="10"/>
      <c r="J347" s="10"/>
      <c r="K347" s="21"/>
      <c r="L347" s="27"/>
      <c r="M347" s="10"/>
    </row>
    <row r="348" spans="1:13">
      <c r="A348" s="10"/>
      <c r="B348" s="16"/>
      <c r="C348" s="16"/>
      <c r="D348" s="16"/>
      <c r="E348" s="7"/>
      <c r="F348" s="32"/>
      <c r="G348" s="33"/>
      <c r="H348" s="10" t="str">
        <f t="shared" si="7"/>
        <v/>
      </c>
      <c r="I348" s="10"/>
      <c r="J348" s="10"/>
      <c r="K348" s="21"/>
      <c r="L348" s="27"/>
      <c r="M348" s="10"/>
    </row>
    <row r="349" spans="1:13">
      <c r="A349" s="10"/>
      <c r="B349" s="16"/>
      <c r="C349" s="16"/>
      <c r="D349" s="16"/>
      <c r="E349" s="7"/>
      <c r="F349" s="32"/>
      <c r="G349" s="33"/>
      <c r="H349" s="10" t="str">
        <f t="shared" si="7"/>
        <v/>
      </c>
      <c r="I349" s="10"/>
      <c r="J349" s="10"/>
      <c r="K349" s="21"/>
      <c r="L349" s="27"/>
      <c r="M349" s="10"/>
    </row>
    <row r="350" spans="1:13">
      <c r="A350" s="10"/>
      <c r="B350" s="16"/>
      <c r="C350" s="16"/>
      <c r="D350" s="16"/>
      <c r="E350" s="7"/>
      <c r="F350" s="32"/>
      <c r="G350" s="33"/>
      <c r="H350" s="10" t="str">
        <f t="shared" si="7"/>
        <v/>
      </c>
      <c r="I350" s="10"/>
      <c r="J350" s="10"/>
      <c r="K350" s="21"/>
      <c r="L350" s="27"/>
      <c r="M350" s="10"/>
    </row>
    <row r="351" spans="1:13">
      <c r="A351" s="10"/>
      <c r="B351" s="16"/>
      <c r="C351" s="16"/>
      <c r="D351" s="16"/>
      <c r="E351" s="7"/>
      <c r="F351" s="32"/>
      <c r="G351" s="33"/>
      <c r="H351" s="10" t="str">
        <f t="shared" si="7"/>
        <v/>
      </c>
      <c r="I351" s="10"/>
      <c r="J351" s="10"/>
      <c r="K351" s="21"/>
      <c r="L351" s="27"/>
      <c r="M351" s="10"/>
    </row>
    <row r="352" spans="1:13">
      <c r="A352" s="10"/>
      <c r="B352" s="16"/>
      <c r="C352" s="16"/>
      <c r="D352" s="16"/>
      <c r="E352" s="7"/>
      <c r="F352" s="32"/>
      <c r="G352" s="33"/>
      <c r="H352" s="10" t="str">
        <f t="shared" si="7"/>
        <v/>
      </c>
      <c r="I352" s="10"/>
      <c r="J352" s="10"/>
      <c r="K352" s="21"/>
      <c r="L352" s="27"/>
      <c r="M352" s="10"/>
    </row>
    <row r="353" spans="1:13">
      <c r="A353" s="10"/>
      <c r="B353" s="16"/>
      <c r="C353" s="16"/>
      <c r="D353" s="16"/>
      <c r="E353" s="7"/>
      <c r="F353" s="32"/>
      <c r="G353" s="33"/>
      <c r="H353" s="10" t="str">
        <f t="shared" si="7"/>
        <v/>
      </c>
      <c r="I353" s="10"/>
      <c r="J353" s="10"/>
      <c r="K353" s="21"/>
      <c r="L353" s="27"/>
      <c r="M353" s="10"/>
    </row>
    <row r="354" spans="1:13">
      <c r="A354" s="10"/>
      <c r="B354" s="16"/>
      <c r="C354" s="16"/>
      <c r="D354" s="16"/>
      <c r="E354" s="7"/>
      <c r="F354" s="32"/>
      <c r="G354" s="33"/>
      <c r="H354" s="10" t="str">
        <f t="shared" si="7"/>
        <v/>
      </c>
      <c r="I354" s="10"/>
      <c r="J354" s="10"/>
      <c r="K354" s="21"/>
      <c r="L354" s="27"/>
      <c r="M354" s="10"/>
    </row>
    <row r="355" spans="1:13">
      <c r="A355" s="10"/>
      <c r="B355" s="16"/>
      <c r="C355" s="16"/>
      <c r="D355" s="16"/>
      <c r="E355" s="7"/>
      <c r="F355" s="32"/>
      <c r="G355" s="33"/>
      <c r="H355" s="10" t="str">
        <f t="shared" si="7"/>
        <v/>
      </c>
      <c r="I355" s="10"/>
      <c r="J355" s="10"/>
      <c r="K355" s="21"/>
      <c r="L355" s="27"/>
      <c r="M355" s="10"/>
    </row>
    <row r="356" spans="1:13">
      <c r="A356" s="10"/>
      <c r="B356" s="16"/>
      <c r="C356" s="16"/>
      <c r="D356" s="16"/>
      <c r="E356" s="7"/>
      <c r="F356" s="32"/>
      <c r="G356" s="33"/>
      <c r="H356" s="10" t="str">
        <f t="shared" si="7"/>
        <v/>
      </c>
      <c r="I356" s="10"/>
      <c r="J356" s="10"/>
      <c r="K356" s="21"/>
      <c r="L356" s="27"/>
      <c r="M356" s="10"/>
    </row>
    <row r="357" spans="1:13">
      <c r="A357" s="10"/>
      <c r="B357" s="16"/>
      <c r="C357" s="16"/>
      <c r="D357" s="16"/>
      <c r="E357" s="7"/>
      <c r="F357" s="32"/>
      <c r="G357" s="33"/>
      <c r="H357" s="10" t="str">
        <f t="shared" si="7"/>
        <v/>
      </c>
      <c r="I357" s="10"/>
      <c r="J357" s="10"/>
      <c r="K357" s="21"/>
      <c r="L357" s="27"/>
      <c r="M357" s="10"/>
    </row>
    <row r="358" spans="1:13">
      <c r="A358" s="10"/>
      <c r="B358" s="16"/>
      <c r="C358" s="16"/>
      <c r="D358" s="16"/>
      <c r="E358" s="7"/>
      <c r="F358" s="32"/>
      <c r="G358" s="33"/>
      <c r="H358" s="10" t="str">
        <f t="shared" si="7"/>
        <v/>
      </c>
      <c r="I358" s="10"/>
      <c r="J358" s="10"/>
      <c r="K358" s="21"/>
      <c r="L358" s="27"/>
      <c r="M358" s="10"/>
    </row>
    <row r="359" spans="1:13">
      <c r="A359" s="10"/>
      <c r="B359" s="16"/>
      <c r="C359" s="16"/>
      <c r="D359" s="16"/>
      <c r="E359" s="7"/>
      <c r="F359" s="32"/>
      <c r="G359" s="33"/>
      <c r="H359" s="10" t="str">
        <f t="shared" si="7"/>
        <v/>
      </c>
      <c r="I359" s="10"/>
      <c r="J359" s="10"/>
      <c r="K359" s="21"/>
      <c r="L359" s="27"/>
      <c r="M359" s="10"/>
    </row>
    <row r="360" spans="1:13">
      <c r="A360" s="10"/>
      <c r="B360" s="16"/>
      <c r="C360" s="16"/>
      <c r="D360" s="16"/>
      <c r="E360" s="7"/>
      <c r="F360" s="32"/>
      <c r="G360" s="33"/>
      <c r="H360" s="10" t="str">
        <f t="shared" si="7"/>
        <v/>
      </c>
      <c r="I360" s="10"/>
      <c r="J360" s="10"/>
      <c r="K360" s="21"/>
      <c r="L360" s="27"/>
      <c r="M360" s="10"/>
    </row>
    <row r="361" spans="1:13">
      <c r="A361" s="10"/>
      <c r="B361" s="16"/>
      <c r="C361" s="16"/>
      <c r="D361" s="16"/>
      <c r="E361" s="7"/>
      <c r="F361" s="32"/>
      <c r="G361" s="33"/>
      <c r="H361" s="10" t="str">
        <f t="shared" si="7"/>
        <v/>
      </c>
      <c r="I361" s="10"/>
      <c r="J361" s="10"/>
      <c r="K361" s="21"/>
      <c r="L361" s="27"/>
      <c r="M361" s="10"/>
    </row>
    <row r="362" spans="1:13">
      <c r="A362" s="10"/>
      <c r="B362" s="16"/>
      <c r="C362" s="16"/>
      <c r="D362" s="16"/>
      <c r="E362" s="7"/>
      <c r="F362" s="32"/>
      <c r="G362" s="33"/>
      <c r="H362" s="10" t="str">
        <f t="shared" si="7"/>
        <v/>
      </c>
      <c r="I362" s="10"/>
      <c r="J362" s="10"/>
      <c r="K362" s="21"/>
      <c r="L362" s="27"/>
      <c r="M362" s="10"/>
    </row>
    <row r="363" spans="1:13">
      <c r="A363" s="10"/>
      <c r="B363" s="16"/>
      <c r="C363" s="16"/>
      <c r="D363" s="16"/>
      <c r="E363" s="7"/>
      <c r="F363" s="32"/>
      <c r="G363" s="33"/>
      <c r="H363" s="10" t="str">
        <f t="shared" si="7"/>
        <v/>
      </c>
      <c r="I363" s="10"/>
      <c r="J363" s="10"/>
      <c r="K363" s="21"/>
      <c r="L363" s="27"/>
      <c r="M363" s="10"/>
    </row>
    <row r="364" spans="1:13">
      <c r="A364" s="10"/>
      <c r="B364" s="16"/>
      <c r="C364" s="16"/>
      <c r="D364" s="16"/>
      <c r="E364" s="7"/>
      <c r="F364" s="32"/>
      <c r="G364" s="33"/>
      <c r="H364" s="10" t="str">
        <f t="shared" si="7"/>
        <v/>
      </c>
      <c r="I364" s="10"/>
      <c r="J364" s="10"/>
      <c r="K364" s="21"/>
      <c r="L364" s="27"/>
      <c r="M364" s="10"/>
    </row>
    <row r="365" spans="1:13">
      <c r="A365" s="10"/>
      <c r="B365" s="16"/>
      <c r="C365" s="16"/>
      <c r="D365" s="16"/>
      <c r="E365" s="7"/>
      <c r="F365" s="32"/>
      <c r="G365" s="33"/>
      <c r="H365" s="10" t="str">
        <f t="shared" si="7"/>
        <v/>
      </c>
      <c r="I365" s="10"/>
      <c r="J365" s="10"/>
      <c r="K365" s="21"/>
      <c r="L365" s="27"/>
      <c r="M365" s="10"/>
    </row>
    <row r="366" spans="1:13">
      <c r="A366" s="10"/>
      <c r="B366" s="16"/>
      <c r="C366" s="16"/>
      <c r="D366" s="16"/>
      <c r="E366" s="7"/>
      <c r="F366" s="32"/>
      <c r="G366" s="33"/>
      <c r="H366" s="10" t="str">
        <f t="shared" si="7"/>
        <v/>
      </c>
      <c r="I366" s="10"/>
      <c r="J366" s="10"/>
      <c r="K366" s="21"/>
      <c r="L366" s="27"/>
      <c r="M366" s="10"/>
    </row>
    <row r="367" spans="1:13">
      <c r="A367" s="10"/>
      <c r="B367" s="16"/>
      <c r="C367" s="16"/>
      <c r="D367" s="16"/>
      <c r="E367" s="7"/>
      <c r="F367" s="32"/>
      <c r="G367" s="33"/>
      <c r="H367" s="10" t="str">
        <f t="shared" si="7"/>
        <v/>
      </c>
      <c r="I367" s="10"/>
      <c r="J367" s="10"/>
      <c r="K367" s="21"/>
      <c r="L367" s="27"/>
      <c r="M367" s="10"/>
    </row>
    <row r="368" spans="1:13">
      <c r="A368" s="10"/>
      <c r="B368" s="16"/>
      <c r="C368" s="16"/>
      <c r="D368" s="16"/>
      <c r="E368" s="7"/>
      <c r="F368" s="32"/>
      <c r="G368" s="33"/>
      <c r="H368" s="10" t="str">
        <f t="shared" si="7"/>
        <v/>
      </c>
      <c r="I368" s="10"/>
      <c r="J368" s="10"/>
      <c r="K368" s="21"/>
      <c r="L368" s="27"/>
      <c r="M368" s="10"/>
    </row>
    <row r="369" spans="1:13">
      <c r="A369" s="10"/>
      <c r="B369" s="16"/>
      <c r="C369" s="16"/>
      <c r="D369" s="16"/>
      <c r="E369" s="7"/>
      <c r="F369" s="32"/>
      <c r="G369" s="33"/>
      <c r="H369" s="10" t="str">
        <f t="shared" si="7"/>
        <v/>
      </c>
      <c r="I369" s="10"/>
      <c r="J369" s="10"/>
      <c r="K369" s="21"/>
      <c r="L369" s="27"/>
      <c r="M369" s="10"/>
    </row>
    <row r="370" spans="1:13">
      <c r="A370" s="10"/>
      <c r="B370" s="16"/>
      <c r="C370" s="16"/>
      <c r="D370" s="16"/>
      <c r="E370" s="7"/>
      <c r="F370" s="32"/>
      <c r="G370" s="33"/>
      <c r="H370" s="10" t="str">
        <f t="shared" si="7"/>
        <v/>
      </c>
      <c r="I370" s="10"/>
      <c r="J370" s="10"/>
      <c r="K370" s="21"/>
      <c r="L370" s="27"/>
      <c r="M370" s="10"/>
    </row>
    <row r="371" spans="1:13">
      <c r="A371" s="10"/>
      <c r="B371" s="16"/>
      <c r="C371" s="16"/>
      <c r="D371" s="16"/>
      <c r="E371" s="7"/>
      <c r="F371" s="32"/>
      <c r="G371" s="33"/>
      <c r="H371" s="10" t="str">
        <f t="shared" si="7"/>
        <v/>
      </c>
      <c r="I371" s="10"/>
      <c r="J371" s="10"/>
      <c r="K371" s="21"/>
      <c r="L371" s="27"/>
      <c r="M371" s="10"/>
    </row>
    <row r="372" spans="1:13">
      <c r="A372" s="10"/>
      <c r="B372" s="16"/>
      <c r="C372" s="16"/>
      <c r="D372" s="16"/>
      <c r="E372" s="7"/>
      <c r="F372" s="32"/>
      <c r="G372" s="33"/>
      <c r="H372" s="10" t="str">
        <f t="shared" si="7"/>
        <v/>
      </c>
      <c r="I372" s="10"/>
      <c r="J372" s="10"/>
      <c r="K372" s="21"/>
      <c r="L372" s="27"/>
      <c r="M372" s="10"/>
    </row>
    <row r="373" spans="1:13">
      <c r="A373" s="10"/>
      <c r="B373" s="16"/>
      <c r="C373" s="16"/>
      <c r="D373" s="16"/>
      <c r="E373" s="7"/>
      <c r="F373" s="32"/>
      <c r="G373" s="33"/>
      <c r="H373" s="10" t="str">
        <f t="shared" si="7"/>
        <v/>
      </c>
      <c r="I373" s="10"/>
      <c r="J373" s="10"/>
      <c r="K373" s="21"/>
      <c r="L373" s="27"/>
      <c r="M373" s="10"/>
    </row>
    <row r="374" spans="1:13">
      <c r="A374" s="10"/>
      <c r="B374" s="16"/>
      <c r="C374" s="16"/>
      <c r="D374" s="16"/>
      <c r="E374" s="7"/>
      <c r="F374" s="32"/>
      <c r="G374" s="33"/>
      <c r="H374" s="10" t="str">
        <f t="shared" si="7"/>
        <v/>
      </c>
      <c r="I374" s="10"/>
      <c r="J374" s="10"/>
      <c r="K374" s="21"/>
      <c r="L374" s="27"/>
      <c r="M374" s="10"/>
    </row>
    <row r="375" spans="1:13">
      <c r="A375" s="10"/>
      <c r="B375" s="16"/>
      <c r="C375" s="16"/>
      <c r="D375" s="16"/>
      <c r="E375" s="7"/>
      <c r="F375" s="32"/>
      <c r="G375" s="33"/>
      <c r="H375" s="10" t="str">
        <f t="shared" si="7"/>
        <v/>
      </c>
      <c r="I375" s="10"/>
      <c r="J375" s="10"/>
      <c r="K375" s="21"/>
      <c r="L375" s="27"/>
      <c r="M375" s="10"/>
    </row>
    <row r="376" spans="1:13">
      <c r="A376" s="10"/>
      <c r="B376" s="16"/>
      <c r="C376" s="16"/>
      <c r="D376" s="16"/>
      <c r="E376" s="7"/>
      <c r="F376" s="32"/>
      <c r="G376" s="33"/>
      <c r="H376" s="10" t="str">
        <f t="shared" si="7"/>
        <v/>
      </c>
      <c r="I376" s="10"/>
      <c r="J376" s="10"/>
      <c r="K376" s="21"/>
      <c r="L376" s="27"/>
      <c r="M376" s="10"/>
    </row>
    <row r="377" spans="1:13">
      <c r="A377" s="10"/>
      <c r="B377" s="16"/>
      <c r="C377" s="16"/>
      <c r="D377" s="16"/>
      <c r="E377" s="7"/>
      <c r="F377" s="32"/>
      <c r="G377" s="33"/>
      <c r="H377" s="10" t="str">
        <f t="shared" si="7"/>
        <v/>
      </c>
      <c r="I377" s="10"/>
      <c r="J377" s="10"/>
      <c r="K377" s="21"/>
      <c r="L377" s="27"/>
      <c r="M377" s="10"/>
    </row>
    <row r="378" spans="1:13">
      <c r="A378" s="10"/>
      <c r="B378" s="16"/>
      <c r="C378" s="16"/>
      <c r="D378" s="16"/>
      <c r="E378" s="7"/>
      <c r="F378" s="32"/>
      <c r="G378" s="33"/>
      <c r="H378" s="10" t="str">
        <f t="shared" si="7"/>
        <v/>
      </c>
      <c r="I378" s="10"/>
      <c r="J378" s="10"/>
      <c r="K378" s="21"/>
      <c r="L378" s="27"/>
      <c r="M378" s="10"/>
    </row>
    <row r="379" spans="1:13">
      <c r="A379" s="10"/>
      <c r="B379" s="16"/>
      <c r="C379" s="16"/>
      <c r="D379" s="16"/>
      <c r="E379" s="7"/>
      <c r="F379" s="32"/>
      <c r="G379" s="33"/>
      <c r="H379" s="10" t="str">
        <f t="shared" si="7"/>
        <v/>
      </c>
      <c r="I379" s="10"/>
      <c r="J379" s="10"/>
      <c r="K379" s="21"/>
      <c r="L379" s="27"/>
      <c r="M379" s="10"/>
    </row>
    <row r="380" spans="1:13">
      <c r="A380" s="10"/>
      <c r="B380" s="16"/>
      <c r="C380" s="16"/>
      <c r="D380" s="16"/>
      <c r="E380" s="7"/>
      <c r="F380" s="32"/>
      <c r="G380" s="33"/>
      <c r="H380" s="10" t="str">
        <f t="shared" si="7"/>
        <v/>
      </c>
      <c r="I380" s="10"/>
      <c r="J380" s="10"/>
      <c r="K380" s="21"/>
      <c r="L380" s="27"/>
      <c r="M380" s="10"/>
    </row>
    <row r="381" spans="1:13">
      <c r="A381" s="10"/>
      <c r="B381" s="16"/>
      <c r="C381" s="16"/>
      <c r="D381" s="16"/>
      <c r="E381" s="7"/>
      <c r="F381" s="32"/>
      <c r="G381" s="33"/>
      <c r="H381" s="10" t="str">
        <f t="shared" ref="H381:H387" si="8">IF(G381="","",MOD(F381*100000000+G381,7))</f>
        <v/>
      </c>
      <c r="I381" s="10"/>
      <c r="J381" s="10"/>
      <c r="K381" s="21"/>
      <c r="L381" s="27"/>
      <c r="M381" s="10"/>
    </row>
    <row r="382" spans="1:13">
      <c r="A382" s="10"/>
      <c r="B382" s="16"/>
      <c r="C382" s="16"/>
      <c r="D382" s="16"/>
      <c r="E382" s="7"/>
      <c r="F382" s="32"/>
      <c r="G382" s="33"/>
      <c r="H382" s="10" t="str">
        <f t="shared" si="8"/>
        <v/>
      </c>
      <c r="I382" s="10"/>
      <c r="J382" s="10"/>
      <c r="K382" s="21"/>
      <c r="L382" s="27"/>
      <c r="M382" s="10"/>
    </row>
    <row r="383" spans="1:13">
      <c r="A383" s="10"/>
      <c r="B383" s="16"/>
      <c r="C383" s="16"/>
      <c r="D383" s="16"/>
      <c r="E383" s="7"/>
      <c r="F383" s="32"/>
      <c r="G383" s="33"/>
      <c r="H383" s="10" t="str">
        <f t="shared" si="8"/>
        <v/>
      </c>
      <c r="I383" s="10"/>
      <c r="J383" s="10"/>
      <c r="K383" s="21"/>
      <c r="L383" s="27"/>
      <c r="M383" s="10"/>
    </row>
    <row r="384" spans="1:13">
      <c r="A384" s="10"/>
      <c r="B384" s="16"/>
      <c r="C384" s="16"/>
      <c r="D384" s="16"/>
      <c r="E384" s="7"/>
      <c r="F384" s="32"/>
      <c r="G384" s="33"/>
      <c r="H384" s="10" t="str">
        <f t="shared" si="8"/>
        <v/>
      </c>
      <c r="I384" s="10"/>
      <c r="J384" s="10"/>
      <c r="K384" s="21"/>
      <c r="L384" s="27"/>
      <c r="M384" s="10"/>
    </row>
    <row r="385" spans="1:13">
      <c r="A385" s="10"/>
      <c r="B385" s="16"/>
      <c r="C385" s="16"/>
      <c r="D385" s="16"/>
      <c r="E385" s="7"/>
      <c r="F385" s="32"/>
      <c r="G385" s="33"/>
      <c r="H385" s="10" t="str">
        <f t="shared" si="8"/>
        <v/>
      </c>
      <c r="I385" s="10"/>
      <c r="J385" s="10"/>
      <c r="K385" s="21"/>
      <c r="L385" s="27"/>
      <c r="M385" s="10"/>
    </row>
    <row r="386" spans="1:13">
      <c r="A386" s="10"/>
      <c r="B386" s="16"/>
      <c r="C386" s="16"/>
      <c r="D386" s="16"/>
      <c r="E386" s="7"/>
      <c r="F386" s="32"/>
      <c r="G386" s="33"/>
      <c r="H386" s="10" t="str">
        <f t="shared" si="8"/>
        <v/>
      </c>
      <c r="I386" s="10"/>
      <c r="J386" s="10"/>
      <c r="K386" s="21"/>
      <c r="L386" s="27"/>
      <c r="M386" s="10"/>
    </row>
    <row r="387" spans="1:13">
      <c r="A387" s="10"/>
      <c r="B387" s="16"/>
      <c r="C387" s="16"/>
      <c r="D387" s="16"/>
      <c r="E387" s="7"/>
      <c r="F387" s="32"/>
      <c r="G387" s="33"/>
      <c r="H387" s="10" t="str">
        <f t="shared" si="8"/>
        <v/>
      </c>
      <c r="I387" s="10"/>
      <c r="J387" s="10"/>
      <c r="K387" s="21"/>
      <c r="L387" s="27"/>
      <c r="M387" s="10"/>
    </row>
    <row r="388" spans="1:1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spans="1:1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spans="1:1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spans="1:1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spans="1:1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spans="1:1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spans="1: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spans="1:1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spans="1:1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spans="1:1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spans="1:1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spans="1:1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spans="1:1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spans="1:1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spans="1:1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spans="1:1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spans="1:1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spans="1:1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spans="1:1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1:1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1:1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1:1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1:1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1:1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1:1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1:1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spans="1:1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spans="1:1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spans="1:1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spans="1:1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spans="1:1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spans="1:1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spans="1:1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spans="1:1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spans="1:1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spans="1:1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spans="1:1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spans="1:1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spans="1:1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spans="1:1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spans="1:1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spans="1:1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spans="1:1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spans="1:1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spans="1:1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spans="1:1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spans="1:1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spans="1:1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spans="1:1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spans="1:1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spans="1:1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spans="1:1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spans="1:1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spans="1:1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spans="1:1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spans="1:1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spans="1:1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spans="1:1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spans="1:1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spans="1:1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spans="1:1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spans="1:1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spans="1:1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spans="1:1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spans="1:1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spans="1:1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spans="1:1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spans="1:1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spans="1:1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spans="1:1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spans="1:1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spans="1:1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spans="1:1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spans="1:1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spans="1:1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spans="1:1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spans="1:1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spans="1:1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spans="1:1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spans="1:1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spans="1:1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spans="1:1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spans="1:1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spans="1: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spans="1:1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spans="1:1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spans="1:1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spans="1:1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spans="1:1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spans="1:1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spans="1:1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spans="1:1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spans="1:1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spans="1:1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spans="1:1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spans="1:1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spans="1:1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spans="1:1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spans="1:1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spans="1:1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spans="1:1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spans="1:1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spans="1:1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spans="1:1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spans="1:1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spans="1:1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spans="1:1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spans="1:1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spans="1:1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spans="1:1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spans="1:1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spans="1:1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spans="1:1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spans="1:1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spans="1:1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spans="1:1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spans="1:1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spans="1:1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spans="1:1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spans="1:1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spans="1:1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spans="1:1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spans="1:1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spans="1:1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spans="1:1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spans="1:1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spans="1:1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spans="1:1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spans="1:1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spans="1:1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spans="1:1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spans="1:1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spans="1:1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spans="1:1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spans="1:1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spans="1:1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spans="1:1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spans="1:1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spans="1:1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spans="1:1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spans="1:1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spans="1:1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spans="1:1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spans="1:1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spans="1:1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spans="1:1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spans="1:1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spans="1:1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spans="1:1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spans="1:1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spans="1:1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spans="1:1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spans="1:1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spans="1:1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spans="1:1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spans="1:1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spans="1:1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spans="1:1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spans="1:1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spans="1: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spans="1:1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spans="1:1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spans="1:1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spans="1:1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spans="1:1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spans="1:1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spans="1:1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spans="1:1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spans="1:1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spans="1:1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spans="1:1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spans="1:1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spans="1:1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spans="1:1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spans="1:1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spans="1:1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spans="1:1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spans="1:1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spans="1:1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spans="1:1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spans="1:1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spans="1:1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spans="1:1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spans="1:1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spans="1:1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spans="1:1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spans="1:1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spans="1:1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spans="1:1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spans="1:1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spans="1:1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spans="1:1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spans="1:1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spans="1:1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spans="1:1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spans="1:1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spans="1:1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spans="1:1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spans="1:1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spans="1:1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spans="1:1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spans="1:1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spans="1:1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spans="1:1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spans="1:1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spans="1:1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spans="1:1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spans="1:1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spans="1:1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spans="1:1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spans="1:1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spans="1:1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spans="1:1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spans="1:1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spans="1:1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spans="1:1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spans="1:1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spans="1:1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spans="1:1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spans="1:1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spans="1:1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spans="1:1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spans="1:1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spans="1:1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spans="1:1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spans="1:1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spans="1:1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spans="1:1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spans="1:1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spans="1:1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spans="1:1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spans="1:1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spans="1:1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spans="1:1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spans="1:1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spans="1:1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spans="1:1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spans="1:1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spans="1:1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spans="1:1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spans="1:1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spans="1:1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spans="1:1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spans="1:1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spans="1:1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spans="1:1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spans="1:1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spans="1:1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spans="1:1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spans="1:1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spans="1:1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spans="1: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spans="1:1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spans="1:1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spans="1:1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spans="1:1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spans="1:1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spans="1:1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spans="1:1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spans="1:1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spans="1:1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spans="1:1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spans="1:1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spans="1:1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spans="1:1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spans="1:1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spans="1:1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spans="1:1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spans="1:1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spans="1:1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spans="1:1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spans="1:1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spans="1:1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spans="1:1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spans="1:1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spans="1:1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spans="1:1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spans="1:1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spans="1:1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spans="1:1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spans="1:1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spans="1:1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spans="1:1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spans="1:1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spans="1:1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spans="1:1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spans="1:1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spans="1:1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spans="1:1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spans="1:1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spans="1:1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spans="1:1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spans="1:1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spans="1:1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spans="1:1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spans="1:1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spans="1:1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spans="1:1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spans="1:1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spans="1:1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spans="1:1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spans="1:1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spans="1:1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spans="1:1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spans="1:1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spans="1:1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spans="1:1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spans="1:1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spans="1:1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spans="1:1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spans="1:1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spans="1:1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spans="1:1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spans="1:1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spans="1:1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spans="1:1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spans="1:1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spans="1:1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spans="1:1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spans="1:1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spans="1:1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spans="1:1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spans="1:1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spans="1:1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spans="1:1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spans="1:1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spans="1:1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spans="1:1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spans="1:1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spans="1:1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spans="1:1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spans="1:1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spans="1:1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spans="1:1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spans="1:1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spans="1:1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spans="1:1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spans="1:1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spans="1:1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spans="1:1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spans="1:1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spans="1:1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spans="1:1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spans="1:1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spans="1:1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spans="1:1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spans="1:1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spans="1:1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spans="1:1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spans="1:1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spans="1: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spans="1:1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spans="1:1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spans="1:1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spans="1:1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spans="1:1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spans="1:1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spans="1:1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spans="1:1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spans="1:1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spans="1:1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spans="1:1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spans="1:1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spans="1:1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spans="1:1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spans="1:1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spans="1:1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spans="1:1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spans="1:1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spans="1:1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spans="1:1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spans="1:1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spans="1:1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spans="1:1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spans="1:1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spans="1:1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spans="1:1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spans="1:1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spans="1:1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spans="1:1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spans="1:1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spans="1:1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spans="1:1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spans="1:1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spans="1:1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spans="1:1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spans="1:1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spans="1:1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spans="1:1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spans="1:1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spans="1:1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spans="1:1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spans="1:1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spans="1:1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spans="1:1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spans="1:1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spans="1:1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spans="1:1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spans="1:1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spans="1:1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spans="1:1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spans="1:1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spans="1:1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spans="1:1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spans="1:1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spans="1:1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spans="1:1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spans="1:1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spans="1:1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spans="1:1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spans="1:1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spans="1:1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spans="1:1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spans="1:1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spans="1:1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spans="1:1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spans="1:1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spans="1:1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spans="1:1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spans="1:1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spans="1:1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spans="1:1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spans="1:1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spans="1:1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spans="1:1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spans="1:1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spans="1:1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spans="1:1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spans="1:1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spans="1:1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spans="1:1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spans="1:1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spans="1:1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spans="1:1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spans="1:1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spans="1:1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spans="1:1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spans="1:1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spans="1:1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spans="1:1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spans="1:1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spans="1:1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spans="1:1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spans="1:1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spans="1:1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spans="1:1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spans="1:1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spans="1:1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spans="1:1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spans="1: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spans="1:1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spans="1:1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spans="1:1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spans="1:1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spans="1:1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spans="1:1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spans="1:1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spans="1:1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spans="1:1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spans="1:1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spans="1:1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spans="1:1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spans="1:1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spans="1:1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spans="1:1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spans="1:1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spans="1:1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spans="1:1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spans="1:1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spans="1:1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spans="1:1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spans="1:1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spans="1:1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spans="1:1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spans="1:1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spans="1:1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spans="1:1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spans="1:1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spans="1:1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spans="1:1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spans="1:1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spans="1:1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spans="1:1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spans="1:1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spans="1:1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spans="1:1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spans="1:1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spans="1:1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spans="1:1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spans="1:1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spans="1:1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spans="1:1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spans="1:1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spans="1:1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spans="1:1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spans="1:1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spans="1:1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spans="1:1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spans="1:1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spans="1:1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spans="1:1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spans="1:1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spans="1:1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spans="1:1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spans="1:1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spans="1:1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spans="1:1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spans="1:1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spans="1:1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spans="1:1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spans="1:1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spans="1:1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spans="1:1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spans="1:1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spans="1:1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spans="1:1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spans="1:1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spans="1:1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spans="1:1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spans="1:1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spans="1:1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spans="1:1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spans="1:1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spans="1:1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spans="1:1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spans="1:1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spans="1:1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spans="1:1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spans="1:1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spans="1:1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</sheetData>
  <mergeCells count="2">
    <mergeCell ref="F2:H2"/>
    <mergeCell ref="A1:L1"/>
  </mergeCells>
  <phoneticPr fontId="1"/>
  <dataValidations count="5">
    <dataValidation type="list" imeMode="on" allowBlank="1" showInputMessage="1" showErrorMessage="1" sqref="C1:D1 E29:E36 E21:E27 E68:E73 E75:E77 E92:E96 E148:E150 E128:E130 E146 C281:D65536 E204:E206 E184:E187 E248:E387 E240:E241 E243:E246" xr:uid="{45123170-D61F-49A6-8CCD-378476784F9C}">
      <formula1>"ベスト電器,㈲ヤマツ津田商店,でんきのカトウ,㈲カワムラ電器,電器のオオミ"</formula1>
    </dataValidation>
    <dataValidation imeMode="disabled" allowBlank="1" showInputMessage="1" showErrorMessage="1" sqref="K363:K387 F281:H387 I364:J387 I281:K362 A3:B387 F3:K280" xr:uid="{7135AE69-F743-4EB7-9189-ED251E662E7D}"/>
    <dataValidation type="list" imeMode="on" allowBlank="1" showInputMessage="1" sqref="E39:E43 E82:E91 E133:E145 E127 E189:E203 E247" xr:uid="{DB44A8CB-FE76-4AE7-8B10-E4E03D89A6A8}">
      <formula1>"ベスト電器,㈲ヤマツ津田商店,でんきのカトウ,㈲カワムラ電器,電器のオオミ"</formula1>
    </dataValidation>
    <dataValidation type="list" imeMode="on" allowBlank="1" sqref="E3:E20 E44:E67 E74 E78:E81 E131:E132 E97:E126 E147 E151:E183 E207:E239 E188 E242" xr:uid="{285FC11C-F94B-4A31-9DD7-3766A60816AE}">
      <formula1>"ベスト電器,㈲ヤマツ津田商店,でんきのカトウ,㈲カワムラ電器,電器のオオミ"</formula1>
    </dataValidation>
    <dataValidation imeMode="on" allowBlank="1" showInputMessage="1" showErrorMessage="1" sqref="C15:C17 E28 C39:C43 C21:C36 D37:E38 C56:C60 C68:C77 C92:C96 C80:C90 D91 C148:C152 C109:C130 C133:C143 C146 C176:C179 C181:C186 C190:C200 C166:C172 C204:C206 D227 C233:C239" xr:uid="{D703C9B3-4CE5-4C6A-BF15-310C3AAB5040}"/>
  </dataValidations>
  <printOptions horizontalCentered="1" verticalCentered="1"/>
  <pageMargins left="0.39370078740157483" right="0.39370078740157483" top="0.59055118110236227" bottom="0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1448-CBD3-4A1A-A5BE-346396F14D35}">
  <sheetPr>
    <tabColor rgb="FFFFC000"/>
  </sheetPr>
  <dimension ref="A1:N355"/>
  <sheetViews>
    <sheetView topLeftCell="A250" zoomScaleNormal="100" workbookViewId="0">
      <selection activeCell="S261" sqref="S261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4" customWidth="1"/>
    <col min="12" max="12" width="7.5" style="4" customWidth="1"/>
    <col min="13" max="13" width="15" style="4" bestFit="1" customWidth="1"/>
    <col min="14" max="16384" width="9" style="4"/>
  </cols>
  <sheetData>
    <row r="1" spans="1:14" ht="25.5" customHeight="1">
      <c r="A1" s="75" t="s">
        <v>50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4" s="6" customFormat="1" ht="21" customHeight="1">
      <c r="A2" s="5" t="s">
        <v>1</v>
      </c>
      <c r="B2" s="5" t="s">
        <v>5</v>
      </c>
      <c r="C2" s="5" t="s">
        <v>16</v>
      </c>
      <c r="D2" s="5" t="s">
        <v>17</v>
      </c>
      <c r="E2" s="5" t="s">
        <v>6</v>
      </c>
      <c r="F2" s="70" t="s">
        <v>0</v>
      </c>
      <c r="G2" s="71"/>
      <c r="H2" s="72"/>
      <c r="I2" s="5" t="s">
        <v>2</v>
      </c>
      <c r="J2" s="5" t="s">
        <v>3</v>
      </c>
      <c r="K2" s="15" t="s">
        <v>4</v>
      </c>
      <c r="L2" s="5" t="s">
        <v>15</v>
      </c>
      <c r="M2" s="5" t="s">
        <v>39</v>
      </c>
    </row>
    <row r="3" spans="1:14" ht="21" customHeight="1">
      <c r="A3" s="10">
        <v>1</v>
      </c>
      <c r="B3" s="16">
        <v>45645</v>
      </c>
      <c r="C3" s="2" t="s">
        <v>44</v>
      </c>
      <c r="D3" s="2"/>
      <c r="E3" s="53" t="s">
        <v>61</v>
      </c>
      <c r="F3" s="18">
        <v>24</v>
      </c>
      <c r="G3" s="19">
        <v>20613485</v>
      </c>
      <c r="H3" s="20">
        <f t="shared" ref="H3:H66" si="0">IF(G3="","",(F3*100000000+G3)-7*INT((F3*100000000+G3)/7))</f>
        <v>3</v>
      </c>
      <c r="I3" s="20">
        <v>310</v>
      </c>
      <c r="J3" s="10">
        <v>52</v>
      </c>
      <c r="K3" s="21">
        <v>45645</v>
      </c>
      <c r="L3" s="29" t="s">
        <v>54</v>
      </c>
      <c r="M3" s="54" t="s">
        <v>55</v>
      </c>
    </row>
    <row r="4" spans="1:14" ht="21" customHeight="1">
      <c r="A4" s="10">
        <v>2</v>
      </c>
      <c r="B4" s="16">
        <v>45647</v>
      </c>
      <c r="C4" s="2"/>
      <c r="D4" s="2" t="s">
        <v>44</v>
      </c>
      <c r="E4" s="53" t="s">
        <v>62</v>
      </c>
      <c r="F4" s="18">
        <v>1123</v>
      </c>
      <c r="G4" s="19">
        <v>10092326</v>
      </c>
      <c r="H4" s="20">
        <f t="shared" si="0"/>
        <v>5</v>
      </c>
      <c r="I4" s="20">
        <v>310</v>
      </c>
      <c r="J4" s="10">
        <v>32</v>
      </c>
      <c r="K4" s="21">
        <v>45640</v>
      </c>
      <c r="L4" s="29" t="s">
        <v>54</v>
      </c>
      <c r="M4" s="54" t="s">
        <v>55</v>
      </c>
    </row>
    <row r="5" spans="1:14" ht="21" customHeight="1">
      <c r="A5" s="10">
        <v>3</v>
      </c>
      <c r="B5" s="16">
        <v>45647</v>
      </c>
      <c r="C5" s="2"/>
      <c r="D5" s="2" t="s">
        <v>44</v>
      </c>
      <c r="E5" s="53" t="s">
        <v>62</v>
      </c>
      <c r="F5" s="18">
        <v>1123</v>
      </c>
      <c r="G5" s="19">
        <v>10092327</v>
      </c>
      <c r="H5" s="20">
        <f t="shared" si="0"/>
        <v>6</v>
      </c>
      <c r="I5" s="20">
        <v>300</v>
      </c>
      <c r="J5" s="10">
        <v>40</v>
      </c>
      <c r="K5" s="21">
        <v>45646</v>
      </c>
      <c r="L5" s="29" t="s">
        <v>54</v>
      </c>
      <c r="M5" s="54" t="s">
        <v>55</v>
      </c>
      <c r="N5" s="12"/>
    </row>
    <row r="6" spans="1:14" ht="21" customHeight="1">
      <c r="A6" s="10">
        <v>4</v>
      </c>
      <c r="B6" s="16">
        <v>45647</v>
      </c>
      <c r="C6" s="2"/>
      <c r="D6" s="2" t="s">
        <v>44</v>
      </c>
      <c r="E6" s="53" t="s">
        <v>62</v>
      </c>
      <c r="F6" s="18">
        <v>1123</v>
      </c>
      <c r="G6" s="19">
        <v>10092328</v>
      </c>
      <c r="H6" s="20">
        <f t="shared" si="0"/>
        <v>0</v>
      </c>
      <c r="I6" s="20">
        <v>340</v>
      </c>
      <c r="J6" s="10">
        <v>52</v>
      </c>
      <c r="K6" s="21">
        <v>45646</v>
      </c>
      <c r="L6" s="29" t="s">
        <v>54</v>
      </c>
      <c r="M6" s="54" t="s">
        <v>55</v>
      </c>
    </row>
    <row r="7" spans="1:14" ht="21" customHeight="1">
      <c r="A7" s="10">
        <v>5</v>
      </c>
      <c r="B7" s="16">
        <v>45647</v>
      </c>
      <c r="C7" s="2"/>
      <c r="D7" s="2" t="s">
        <v>44</v>
      </c>
      <c r="E7" s="53" t="s">
        <v>62</v>
      </c>
      <c r="F7" s="18">
        <v>1123</v>
      </c>
      <c r="G7" s="19">
        <v>10092329</v>
      </c>
      <c r="H7" s="20">
        <f t="shared" si="0"/>
        <v>1</v>
      </c>
      <c r="I7" s="20">
        <v>310</v>
      </c>
      <c r="J7" s="10">
        <v>52</v>
      </c>
      <c r="K7" s="21">
        <v>45646</v>
      </c>
      <c r="L7" s="29" t="s">
        <v>54</v>
      </c>
      <c r="M7" s="54" t="s">
        <v>55</v>
      </c>
    </row>
    <row r="8" spans="1:14" ht="21" customHeight="1">
      <c r="A8" s="10">
        <v>6</v>
      </c>
      <c r="B8" s="16">
        <v>45647</v>
      </c>
      <c r="C8" s="2" t="s">
        <v>44</v>
      </c>
      <c r="D8" s="2"/>
      <c r="E8" s="53" t="s">
        <v>63</v>
      </c>
      <c r="F8" s="18">
        <v>24</v>
      </c>
      <c r="G8" s="19">
        <v>20613483</v>
      </c>
      <c r="H8" s="20">
        <f t="shared" si="0"/>
        <v>1</v>
      </c>
      <c r="I8" s="20">
        <v>320</v>
      </c>
      <c r="J8" s="10">
        <v>52</v>
      </c>
      <c r="K8" s="21">
        <v>45647</v>
      </c>
      <c r="L8" s="29" t="s">
        <v>54</v>
      </c>
      <c r="M8" s="54" t="s">
        <v>55</v>
      </c>
    </row>
    <row r="9" spans="1:14" ht="21" customHeight="1">
      <c r="A9" s="10">
        <v>7</v>
      </c>
      <c r="B9" s="16">
        <v>45654</v>
      </c>
      <c r="C9" s="2"/>
      <c r="D9" s="2" t="s">
        <v>44</v>
      </c>
      <c r="E9" s="53" t="s">
        <v>57</v>
      </c>
      <c r="F9" s="18">
        <v>1123</v>
      </c>
      <c r="G9" s="19">
        <v>10092337</v>
      </c>
      <c r="H9" s="20">
        <f t="shared" si="0"/>
        <v>2</v>
      </c>
      <c r="I9" s="20">
        <v>310</v>
      </c>
      <c r="J9" s="10">
        <v>52</v>
      </c>
      <c r="K9" s="21">
        <v>45651</v>
      </c>
      <c r="L9" s="29" t="s">
        <v>54</v>
      </c>
      <c r="M9" s="54" t="s">
        <v>55</v>
      </c>
    </row>
    <row r="10" spans="1:14" ht="21" customHeight="1">
      <c r="A10" s="10">
        <v>8</v>
      </c>
      <c r="B10" s="16">
        <v>45654</v>
      </c>
      <c r="C10" s="2"/>
      <c r="D10" s="2" t="s">
        <v>44</v>
      </c>
      <c r="E10" s="53" t="s">
        <v>57</v>
      </c>
      <c r="F10" s="18">
        <v>1123</v>
      </c>
      <c r="G10" s="19">
        <v>10092330</v>
      </c>
      <c r="H10" s="20">
        <f t="shared" si="0"/>
        <v>2</v>
      </c>
      <c r="I10" s="20">
        <v>320</v>
      </c>
      <c r="J10" s="10">
        <v>31</v>
      </c>
      <c r="K10" s="21">
        <v>45652</v>
      </c>
      <c r="L10" s="29" t="s">
        <v>54</v>
      </c>
      <c r="M10" s="54" t="s">
        <v>55</v>
      </c>
    </row>
    <row r="11" spans="1:14" ht="21" customHeight="1">
      <c r="A11" s="10">
        <v>9</v>
      </c>
      <c r="B11" s="16">
        <v>45654</v>
      </c>
      <c r="C11" s="2"/>
      <c r="D11" s="2" t="s">
        <v>44</v>
      </c>
      <c r="E11" s="53" t="s">
        <v>57</v>
      </c>
      <c r="F11" s="18">
        <v>1123</v>
      </c>
      <c r="G11" s="19">
        <v>10092332</v>
      </c>
      <c r="H11" s="20">
        <f t="shared" si="0"/>
        <v>4</v>
      </c>
      <c r="I11" s="20">
        <v>392</v>
      </c>
      <c r="J11" s="10">
        <v>31</v>
      </c>
      <c r="K11" s="21">
        <v>45651</v>
      </c>
      <c r="L11" s="29" t="s">
        <v>54</v>
      </c>
      <c r="M11" s="54" t="s">
        <v>55</v>
      </c>
    </row>
    <row r="12" spans="1:14" ht="21" customHeight="1">
      <c r="A12" s="10">
        <v>10</v>
      </c>
      <c r="B12" s="16">
        <v>45654</v>
      </c>
      <c r="C12" s="1"/>
      <c r="D12" s="2" t="s">
        <v>44</v>
      </c>
      <c r="E12" s="53" t="s">
        <v>56</v>
      </c>
      <c r="F12" s="18">
        <v>1118</v>
      </c>
      <c r="G12" s="19">
        <v>3008578</v>
      </c>
      <c r="H12" s="20">
        <f t="shared" si="0"/>
        <v>2</v>
      </c>
      <c r="I12" s="20">
        <v>300</v>
      </c>
      <c r="J12" s="10">
        <v>40</v>
      </c>
      <c r="K12" s="21">
        <v>45624</v>
      </c>
      <c r="L12" s="29" t="s">
        <v>54</v>
      </c>
      <c r="M12" s="54" t="s">
        <v>55</v>
      </c>
    </row>
    <row r="13" spans="1:14" ht="21" customHeight="1">
      <c r="A13" s="10">
        <v>11</v>
      </c>
      <c r="B13" s="16">
        <v>45668</v>
      </c>
      <c r="C13" s="2"/>
      <c r="D13" s="2" t="s">
        <v>44</v>
      </c>
      <c r="E13" s="53" t="s">
        <v>58</v>
      </c>
      <c r="F13" s="18">
        <v>23</v>
      </c>
      <c r="G13" s="19">
        <v>40247665</v>
      </c>
      <c r="H13" s="20">
        <f t="shared" si="0"/>
        <v>0</v>
      </c>
      <c r="I13" s="20">
        <v>320</v>
      </c>
      <c r="J13" s="10">
        <v>22</v>
      </c>
      <c r="K13" s="21">
        <v>45668</v>
      </c>
      <c r="L13" s="29" t="s">
        <v>54</v>
      </c>
      <c r="M13" s="54" t="s">
        <v>55</v>
      </c>
    </row>
    <row r="14" spans="1:14" ht="21" customHeight="1">
      <c r="A14" s="10">
        <v>12</v>
      </c>
      <c r="B14" s="16">
        <v>45671</v>
      </c>
      <c r="C14" s="2"/>
      <c r="D14" s="2" t="s">
        <v>44</v>
      </c>
      <c r="E14" s="53" t="s">
        <v>62</v>
      </c>
      <c r="F14" s="18">
        <v>1123</v>
      </c>
      <c r="G14" s="19">
        <v>10092340</v>
      </c>
      <c r="H14" s="20">
        <f t="shared" si="0"/>
        <v>5</v>
      </c>
      <c r="I14" s="20">
        <v>300</v>
      </c>
      <c r="J14" s="10">
        <v>40</v>
      </c>
      <c r="K14" s="21">
        <v>45670</v>
      </c>
      <c r="L14" s="29" t="s">
        <v>54</v>
      </c>
      <c r="M14" s="54" t="s">
        <v>55</v>
      </c>
    </row>
    <row r="15" spans="1:14" ht="21" customHeight="1">
      <c r="A15" s="10">
        <v>13</v>
      </c>
      <c r="B15" s="16">
        <v>45671</v>
      </c>
      <c r="C15" s="2"/>
      <c r="D15" s="2" t="s">
        <v>44</v>
      </c>
      <c r="E15" s="53" t="s">
        <v>62</v>
      </c>
      <c r="F15" s="18">
        <v>1123</v>
      </c>
      <c r="G15" s="19">
        <v>10092339</v>
      </c>
      <c r="H15" s="20">
        <f t="shared" si="0"/>
        <v>4</v>
      </c>
      <c r="I15" s="20">
        <v>300</v>
      </c>
      <c r="J15" s="10">
        <v>52</v>
      </c>
      <c r="K15" s="21">
        <v>45670</v>
      </c>
      <c r="L15" s="29" t="s">
        <v>54</v>
      </c>
      <c r="M15" s="54" t="s">
        <v>55</v>
      </c>
    </row>
    <row r="16" spans="1:14" ht="21" customHeight="1">
      <c r="A16" s="10">
        <v>14</v>
      </c>
      <c r="B16" s="16">
        <v>45672</v>
      </c>
      <c r="C16" s="2"/>
      <c r="D16" s="2" t="s">
        <v>44</v>
      </c>
      <c r="E16" s="53" t="s">
        <v>62</v>
      </c>
      <c r="F16" s="18">
        <v>1123</v>
      </c>
      <c r="G16" s="19">
        <v>10092539</v>
      </c>
      <c r="H16" s="20">
        <f t="shared" si="0"/>
        <v>1</v>
      </c>
      <c r="I16" s="20">
        <v>392</v>
      </c>
      <c r="J16" s="10">
        <v>40</v>
      </c>
      <c r="K16" s="21">
        <v>45672</v>
      </c>
      <c r="L16" s="29" t="s">
        <v>54</v>
      </c>
      <c r="M16" s="54" t="s">
        <v>55</v>
      </c>
    </row>
    <row r="17" spans="1:13" ht="21" customHeight="1">
      <c r="A17" s="10">
        <v>15</v>
      </c>
      <c r="B17" s="16">
        <v>45672</v>
      </c>
      <c r="C17" s="2"/>
      <c r="D17" s="2" t="s">
        <v>44</v>
      </c>
      <c r="E17" s="53" t="s">
        <v>62</v>
      </c>
      <c r="F17" s="18">
        <v>1123</v>
      </c>
      <c r="G17" s="19">
        <v>10092543</v>
      </c>
      <c r="H17" s="20">
        <f t="shared" si="0"/>
        <v>5</v>
      </c>
      <c r="I17" s="20">
        <v>300</v>
      </c>
      <c r="J17" s="10">
        <v>32</v>
      </c>
      <c r="K17" s="21">
        <v>45672</v>
      </c>
      <c r="L17" s="29" t="s">
        <v>54</v>
      </c>
      <c r="M17" s="54" t="s">
        <v>55</v>
      </c>
    </row>
    <row r="18" spans="1:13" ht="21" customHeight="1">
      <c r="A18" s="10">
        <v>16</v>
      </c>
      <c r="B18" s="16">
        <v>45681</v>
      </c>
      <c r="C18" s="1"/>
      <c r="D18" s="2" t="s">
        <v>44</v>
      </c>
      <c r="E18" s="53" t="s">
        <v>53</v>
      </c>
      <c r="F18" s="18">
        <v>1123</v>
      </c>
      <c r="G18" s="19">
        <v>10330461</v>
      </c>
      <c r="H18" s="20">
        <f t="shared" si="0"/>
        <v>0</v>
      </c>
      <c r="I18" s="20">
        <v>310</v>
      </c>
      <c r="J18" s="10">
        <v>32</v>
      </c>
      <c r="K18" s="21">
        <v>45681</v>
      </c>
      <c r="L18" s="29" t="s">
        <v>54</v>
      </c>
      <c r="M18" s="54" t="s">
        <v>55</v>
      </c>
    </row>
    <row r="19" spans="1:13" ht="21" customHeight="1">
      <c r="A19" s="10">
        <v>17</v>
      </c>
      <c r="B19" s="16">
        <v>45684</v>
      </c>
      <c r="C19" s="16"/>
      <c r="D19" s="2" t="s">
        <v>44</v>
      </c>
      <c r="E19" s="53" t="s">
        <v>53</v>
      </c>
      <c r="F19" s="18">
        <v>1123</v>
      </c>
      <c r="G19" s="19">
        <v>10330462</v>
      </c>
      <c r="H19" s="20">
        <f t="shared" si="0"/>
        <v>1</v>
      </c>
      <c r="I19" s="20">
        <v>310</v>
      </c>
      <c r="J19" s="10">
        <v>32</v>
      </c>
      <c r="K19" s="21">
        <v>45684</v>
      </c>
      <c r="L19" s="29" t="s">
        <v>54</v>
      </c>
      <c r="M19" s="54" t="s">
        <v>55</v>
      </c>
    </row>
    <row r="20" spans="1:13" ht="21" customHeight="1">
      <c r="A20" s="10">
        <v>18</v>
      </c>
      <c r="B20" s="16">
        <v>45684</v>
      </c>
      <c r="C20" s="2"/>
      <c r="D20" s="2" t="s">
        <v>44</v>
      </c>
      <c r="E20" s="53" t="s">
        <v>53</v>
      </c>
      <c r="F20" s="18">
        <v>1123</v>
      </c>
      <c r="G20" s="19">
        <v>10330459</v>
      </c>
      <c r="H20" s="20">
        <f t="shared" si="0"/>
        <v>5</v>
      </c>
      <c r="I20" s="20">
        <v>310</v>
      </c>
      <c r="J20" s="10">
        <v>52</v>
      </c>
      <c r="K20" s="21">
        <v>45684</v>
      </c>
      <c r="L20" s="29" t="s">
        <v>54</v>
      </c>
      <c r="M20" s="54" t="s">
        <v>55</v>
      </c>
    </row>
    <row r="21" spans="1:13" ht="21" customHeight="1">
      <c r="A21" s="10">
        <v>19</v>
      </c>
      <c r="B21" s="16">
        <v>45689</v>
      </c>
      <c r="C21" s="2" t="s">
        <v>44</v>
      </c>
      <c r="D21" s="2"/>
      <c r="E21" s="53" t="s">
        <v>59</v>
      </c>
      <c r="F21" s="18">
        <v>24</v>
      </c>
      <c r="G21" s="19">
        <v>20613494</v>
      </c>
      <c r="H21" s="20">
        <f t="shared" si="0"/>
        <v>5</v>
      </c>
      <c r="I21" s="20">
        <v>320</v>
      </c>
      <c r="J21" s="10">
        <v>31</v>
      </c>
      <c r="K21" s="21">
        <v>45689</v>
      </c>
      <c r="L21" s="29" t="s">
        <v>54</v>
      </c>
      <c r="M21" s="54" t="s">
        <v>55</v>
      </c>
    </row>
    <row r="22" spans="1:13" ht="21" customHeight="1">
      <c r="A22" s="10">
        <v>20</v>
      </c>
      <c r="B22" s="16">
        <v>45689</v>
      </c>
      <c r="C22" s="2" t="s">
        <v>44</v>
      </c>
      <c r="D22" s="2"/>
      <c r="E22" s="53" t="s">
        <v>59</v>
      </c>
      <c r="F22" s="18">
        <v>24</v>
      </c>
      <c r="G22" s="19">
        <v>20613492</v>
      </c>
      <c r="H22" s="20">
        <f t="shared" si="0"/>
        <v>3</v>
      </c>
      <c r="I22" s="20">
        <v>320</v>
      </c>
      <c r="J22" s="10">
        <v>52</v>
      </c>
      <c r="K22" s="21">
        <v>45689</v>
      </c>
      <c r="L22" s="29" t="s">
        <v>54</v>
      </c>
      <c r="M22" s="54" t="s">
        <v>55</v>
      </c>
    </row>
    <row r="23" spans="1:13" ht="21" customHeight="1">
      <c r="A23" s="10">
        <v>21</v>
      </c>
      <c r="B23" s="16">
        <v>45703</v>
      </c>
      <c r="C23" s="2"/>
      <c r="D23" s="2" t="s">
        <v>44</v>
      </c>
      <c r="E23" s="53" t="s">
        <v>57</v>
      </c>
      <c r="F23" s="18">
        <v>1123</v>
      </c>
      <c r="G23" s="19">
        <v>10092549</v>
      </c>
      <c r="H23" s="20">
        <f t="shared" si="0"/>
        <v>4</v>
      </c>
      <c r="I23" s="20">
        <v>300</v>
      </c>
      <c r="J23" s="10">
        <v>52</v>
      </c>
      <c r="K23" s="21">
        <v>45698</v>
      </c>
      <c r="L23" s="29" t="s">
        <v>54</v>
      </c>
      <c r="M23" s="54" t="s">
        <v>55</v>
      </c>
    </row>
    <row r="24" spans="1:13" ht="21" customHeight="1">
      <c r="A24" s="10">
        <v>22</v>
      </c>
      <c r="B24" s="16">
        <v>45703</v>
      </c>
      <c r="C24" s="2"/>
      <c r="D24" s="2" t="s">
        <v>44</v>
      </c>
      <c r="E24" s="53" t="s">
        <v>57</v>
      </c>
      <c r="F24" s="18">
        <v>1123</v>
      </c>
      <c r="G24" s="19">
        <v>10092547</v>
      </c>
      <c r="H24" s="20">
        <f t="shared" si="0"/>
        <v>2</v>
      </c>
      <c r="I24" s="20">
        <v>320</v>
      </c>
      <c r="J24" s="10">
        <v>52</v>
      </c>
      <c r="K24" s="21">
        <v>45696</v>
      </c>
      <c r="L24" s="29" t="s">
        <v>54</v>
      </c>
      <c r="M24" s="54" t="s">
        <v>55</v>
      </c>
    </row>
    <row r="25" spans="1:13" ht="21" customHeight="1">
      <c r="A25" s="10">
        <v>23</v>
      </c>
      <c r="B25" s="16">
        <v>45703</v>
      </c>
      <c r="C25" s="2"/>
      <c r="D25" s="2" t="s">
        <v>44</v>
      </c>
      <c r="E25" s="53" t="s">
        <v>57</v>
      </c>
      <c r="F25" s="18">
        <v>1123</v>
      </c>
      <c r="G25" s="19">
        <v>10092545</v>
      </c>
      <c r="H25" s="20">
        <f t="shared" si="0"/>
        <v>0</v>
      </c>
      <c r="I25" s="20">
        <v>300</v>
      </c>
      <c r="J25" s="10">
        <v>40</v>
      </c>
      <c r="K25" s="21">
        <v>45696</v>
      </c>
      <c r="L25" s="29" t="s">
        <v>54</v>
      </c>
      <c r="M25" s="54" t="s">
        <v>55</v>
      </c>
    </row>
    <row r="26" spans="1:13" ht="21" customHeight="1">
      <c r="A26" s="10">
        <v>24</v>
      </c>
      <c r="B26" s="16">
        <v>45703</v>
      </c>
      <c r="C26" s="2"/>
      <c r="D26" s="2" t="s">
        <v>44</v>
      </c>
      <c r="E26" s="53" t="s">
        <v>57</v>
      </c>
      <c r="F26" s="18">
        <v>1123</v>
      </c>
      <c r="G26" s="19">
        <v>10092546</v>
      </c>
      <c r="H26" s="20">
        <f t="shared" si="0"/>
        <v>1</v>
      </c>
      <c r="I26" s="20">
        <v>300</v>
      </c>
      <c r="J26" s="10">
        <v>40</v>
      </c>
      <c r="K26" s="21">
        <v>45696</v>
      </c>
      <c r="L26" s="29" t="s">
        <v>54</v>
      </c>
      <c r="M26" s="54" t="s">
        <v>55</v>
      </c>
    </row>
    <row r="27" spans="1:13" ht="21" customHeight="1">
      <c r="A27" s="10">
        <v>25</v>
      </c>
      <c r="B27" s="16">
        <v>45703</v>
      </c>
      <c r="C27" s="2"/>
      <c r="D27" s="2" t="s">
        <v>44</v>
      </c>
      <c r="E27" s="53" t="s">
        <v>57</v>
      </c>
      <c r="F27" s="18">
        <v>1123</v>
      </c>
      <c r="G27" s="19">
        <v>10092544</v>
      </c>
      <c r="H27" s="20">
        <f t="shared" si="0"/>
        <v>6</v>
      </c>
      <c r="I27" s="20">
        <v>300</v>
      </c>
      <c r="J27" s="10">
        <v>40</v>
      </c>
      <c r="K27" s="21">
        <v>45696</v>
      </c>
      <c r="L27" s="29" t="s">
        <v>54</v>
      </c>
      <c r="M27" s="54" t="s">
        <v>55</v>
      </c>
    </row>
    <row r="28" spans="1:13" ht="21" customHeight="1">
      <c r="A28" s="10">
        <v>26</v>
      </c>
      <c r="B28" s="16">
        <v>45703</v>
      </c>
      <c r="C28" s="2"/>
      <c r="D28" s="2" t="s">
        <v>44</v>
      </c>
      <c r="E28" s="53" t="s">
        <v>57</v>
      </c>
      <c r="F28" s="18">
        <v>1123</v>
      </c>
      <c r="G28" s="19">
        <v>10092548</v>
      </c>
      <c r="H28" s="20">
        <f t="shared" si="0"/>
        <v>3</v>
      </c>
      <c r="I28" s="20">
        <v>320</v>
      </c>
      <c r="J28" s="10">
        <v>32</v>
      </c>
      <c r="K28" s="21">
        <v>45698</v>
      </c>
      <c r="L28" s="29" t="s">
        <v>54</v>
      </c>
      <c r="M28" s="54" t="s">
        <v>55</v>
      </c>
    </row>
    <row r="29" spans="1:13" ht="21" customHeight="1">
      <c r="A29" s="10">
        <v>27</v>
      </c>
      <c r="B29" s="16">
        <v>45716</v>
      </c>
      <c r="C29" s="16"/>
      <c r="D29" s="2" t="s">
        <v>44</v>
      </c>
      <c r="E29" s="53" t="s">
        <v>64</v>
      </c>
      <c r="F29" s="18">
        <v>23</v>
      </c>
      <c r="G29" s="19">
        <v>40247668</v>
      </c>
      <c r="H29" s="20">
        <f t="shared" si="0"/>
        <v>3</v>
      </c>
      <c r="I29" s="20">
        <v>300</v>
      </c>
      <c r="J29" s="10">
        <v>32</v>
      </c>
      <c r="K29" s="21">
        <v>45716</v>
      </c>
      <c r="L29" s="29" t="s">
        <v>54</v>
      </c>
      <c r="M29" s="54" t="s">
        <v>55</v>
      </c>
    </row>
    <row r="30" spans="1:13" ht="21" customHeight="1">
      <c r="A30" s="10">
        <v>28</v>
      </c>
      <c r="B30" s="16">
        <v>45722</v>
      </c>
      <c r="C30" s="2" t="s">
        <v>44</v>
      </c>
      <c r="D30" s="2"/>
      <c r="E30" s="53" t="s">
        <v>65</v>
      </c>
      <c r="F30" s="18">
        <v>24</v>
      </c>
      <c r="G30" s="19">
        <v>20613489</v>
      </c>
      <c r="H30" s="20">
        <f t="shared" si="0"/>
        <v>0</v>
      </c>
      <c r="I30" s="20">
        <v>392</v>
      </c>
      <c r="J30" s="10">
        <v>40</v>
      </c>
      <c r="K30" s="21">
        <v>45722</v>
      </c>
      <c r="L30" s="29" t="s">
        <v>54</v>
      </c>
      <c r="M30" s="54" t="s">
        <v>55</v>
      </c>
    </row>
    <row r="31" spans="1:13" ht="21" customHeight="1">
      <c r="A31" s="10">
        <v>29</v>
      </c>
      <c r="B31" s="16">
        <v>45726</v>
      </c>
      <c r="C31" s="16"/>
      <c r="D31" s="2" t="s">
        <v>44</v>
      </c>
      <c r="E31" s="53" t="s">
        <v>66</v>
      </c>
      <c r="F31" s="18">
        <v>23</v>
      </c>
      <c r="G31" s="19">
        <v>40247670</v>
      </c>
      <c r="H31" s="20">
        <f t="shared" si="0"/>
        <v>5</v>
      </c>
      <c r="I31" s="20">
        <v>392</v>
      </c>
      <c r="J31" s="10">
        <v>40</v>
      </c>
      <c r="K31" s="21">
        <v>45726</v>
      </c>
      <c r="L31" s="29" t="s">
        <v>54</v>
      </c>
      <c r="M31" s="54" t="s">
        <v>55</v>
      </c>
    </row>
    <row r="32" spans="1:13" ht="21" customHeight="1">
      <c r="A32" s="10">
        <v>30</v>
      </c>
      <c r="B32" s="16">
        <v>45734</v>
      </c>
      <c r="C32" s="2"/>
      <c r="D32" s="2" t="s">
        <v>44</v>
      </c>
      <c r="E32" s="53" t="s">
        <v>57</v>
      </c>
      <c r="F32" s="18">
        <v>1123</v>
      </c>
      <c r="G32" s="19">
        <v>10092341</v>
      </c>
      <c r="H32" s="20">
        <f t="shared" si="0"/>
        <v>6</v>
      </c>
      <c r="I32" s="20">
        <v>392</v>
      </c>
      <c r="J32" s="10">
        <v>31</v>
      </c>
      <c r="K32" s="21">
        <v>45734</v>
      </c>
      <c r="L32" s="29" t="s">
        <v>54</v>
      </c>
      <c r="M32" s="54" t="s">
        <v>55</v>
      </c>
    </row>
    <row r="33" spans="1:13" ht="21" customHeight="1">
      <c r="A33" s="10">
        <v>31</v>
      </c>
      <c r="B33" s="16">
        <v>45734</v>
      </c>
      <c r="C33" s="2"/>
      <c r="D33" s="2" t="s">
        <v>44</v>
      </c>
      <c r="E33" s="53" t="s">
        <v>57</v>
      </c>
      <c r="F33" s="18">
        <v>1123</v>
      </c>
      <c r="G33" s="19">
        <v>10092347</v>
      </c>
      <c r="H33" s="20">
        <f t="shared" si="0"/>
        <v>5</v>
      </c>
      <c r="I33" s="20">
        <v>310</v>
      </c>
      <c r="J33" s="10">
        <v>40</v>
      </c>
      <c r="K33" s="21">
        <v>45734</v>
      </c>
      <c r="L33" s="29" t="s">
        <v>54</v>
      </c>
      <c r="M33" s="54" t="s">
        <v>55</v>
      </c>
    </row>
    <row r="34" spans="1:13" ht="21" customHeight="1">
      <c r="A34" s="10">
        <v>32</v>
      </c>
      <c r="B34" s="16">
        <v>45734</v>
      </c>
      <c r="C34" s="2"/>
      <c r="D34" s="2" t="s">
        <v>44</v>
      </c>
      <c r="E34" s="53" t="s">
        <v>57</v>
      </c>
      <c r="F34" s="18">
        <v>1123</v>
      </c>
      <c r="G34" s="19">
        <v>10092346</v>
      </c>
      <c r="H34" s="20">
        <f t="shared" si="0"/>
        <v>4</v>
      </c>
      <c r="I34" s="20">
        <v>310</v>
      </c>
      <c r="J34" s="10">
        <v>40</v>
      </c>
      <c r="K34" s="21">
        <v>45734</v>
      </c>
      <c r="L34" s="29" t="s">
        <v>54</v>
      </c>
      <c r="M34" s="54" t="s">
        <v>55</v>
      </c>
    </row>
    <row r="35" spans="1:13" ht="21" customHeight="1">
      <c r="A35" s="10">
        <v>33</v>
      </c>
      <c r="B35" s="16">
        <v>45734</v>
      </c>
      <c r="C35" s="2"/>
      <c r="D35" s="2" t="s">
        <v>44</v>
      </c>
      <c r="E35" s="53" t="s">
        <v>57</v>
      </c>
      <c r="F35" s="18">
        <v>1123</v>
      </c>
      <c r="G35" s="19">
        <v>10092343</v>
      </c>
      <c r="H35" s="20">
        <f>IF(G35="","",(F35*100000000+G35)-7*INT((F35*100000000+G35)/7))</f>
        <v>1</v>
      </c>
      <c r="I35" s="20">
        <v>395</v>
      </c>
      <c r="J35" s="10">
        <v>40</v>
      </c>
      <c r="K35" s="21">
        <v>45726</v>
      </c>
      <c r="L35" s="29" t="s">
        <v>54</v>
      </c>
      <c r="M35" s="54" t="s">
        <v>55</v>
      </c>
    </row>
    <row r="36" spans="1:13" ht="21" customHeight="1">
      <c r="A36" s="10">
        <v>34</v>
      </c>
      <c r="B36" s="16">
        <v>45734</v>
      </c>
      <c r="C36" s="2"/>
      <c r="D36" s="2" t="s">
        <v>44</v>
      </c>
      <c r="E36" s="53" t="s">
        <v>57</v>
      </c>
      <c r="F36" s="18">
        <v>1123</v>
      </c>
      <c r="G36" s="19">
        <v>10092348</v>
      </c>
      <c r="H36" s="20">
        <f>IF(G36="","",(F36*100000000+G36)-7*INT((F36*100000000+G36)/7))</f>
        <v>6</v>
      </c>
      <c r="I36" s="20">
        <v>300</v>
      </c>
      <c r="J36" s="10">
        <v>40</v>
      </c>
      <c r="K36" s="21">
        <v>45734</v>
      </c>
      <c r="L36" s="29" t="s">
        <v>54</v>
      </c>
      <c r="M36" s="54" t="s">
        <v>55</v>
      </c>
    </row>
    <row r="37" spans="1:13" ht="21" customHeight="1">
      <c r="A37" s="10">
        <v>35</v>
      </c>
      <c r="B37" s="16">
        <v>45740</v>
      </c>
      <c r="C37" s="2"/>
      <c r="D37" s="2" t="s">
        <v>44</v>
      </c>
      <c r="E37" s="53" t="s">
        <v>57</v>
      </c>
      <c r="F37" s="18">
        <v>1123</v>
      </c>
      <c r="G37" s="19">
        <v>10092551</v>
      </c>
      <c r="H37" s="20">
        <f t="shared" si="0"/>
        <v>6</v>
      </c>
      <c r="I37" s="20">
        <v>310</v>
      </c>
      <c r="J37" s="10">
        <v>40</v>
      </c>
      <c r="K37" s="21">
        <v>45740</v>
      </c>
      <c r="L37" s="29" t="s">
        <v>54</v>
      </c>
      <c r="M37" s="54" t="s">
        <v>55</v>
      </c>
    </row>
    <row r="38" spans="1:13" ht="21" customHeight="1">
      <c r="A38" s="10">
        <v>36</v>
      </c>
      <c r="B38" s="16">
        <v>45741</v>
      </c>
      <c r="C38" s="16"/>
      <c r="D38" s="2" t="s">
        <v>44</v>
      </c>
      <c r="E38" s="53" t="s">
        <v>57</v>
      </c>
      <c r="F38" s="18">
        <v>1123</v>
      </c>
      <c r="G38" s="19">
        <v>10092553</v>
      </c>
      <c r="H38" s="20">
        <f t="shared" si="0"/>
        <v>1</v>
      </c>
      <c r="I38" s="20">
        <v>300</v>
      </c>
      <c r="J38" s="10">
        <v>52</v>
      </c>
      <c r="K38" s="21">
        <v>45740</v>
      </c>
      <c r="L38" s="29" t="s">
        <v>54</v>
      </c>
      <c r="M38" s="54" t="s">
        <v>55</v>
      </c>
    </row>
    <row r="39" spans="1:13" ht="21" customHeight="1">
      <c r="A39" s="10">
        <v>37</v>
      </c>
      <c r="B39" s="16">
        <v>45742</v>
      </c>
      <c r="C39" s="2" t="s">
        <v>44</v>
      </c>
      <c r="D39" s="2"/>
      <c r="E39" s="53" t="s">
        <v>60</v>
      </c>
      <c r="F39" s="18">
        <v>23</v>
      </c>
      <c r="G39" s="19">
        <v>20028431</v>
      </c>
      <c r="H39" s="20">
        <f t="shared" si="0"/>
        <v>0</v>
      </c>
      <c r="I39" s="20">
        <v>999</v>
      </c>
      <c r="J39" s="10">
        <v>22</v>
      </c>
      <c r="K39" s="21">
        <v>45742</v>
      </c>
      <c r="L39" s="29" t="s">
        <v>54</v>
      </c>
      <c r="M39" s="54" t="s">
        <v>55</v>
      </c>
    </row>
    <row r="40" spans="1:13" ht="21" customHeight="1">
      <c r="A40" s="10">
        <v>38</v>
      </c>
      <c r="B40" s="16">
        <v>45747</v>
      </c>
      <c r="C40" s="2" t="s">
        <v>44</v>
      </c>
      <c r="D40" s="2"/>
      <c r="E40" s="53" t="s">
        <v>67</v>
      </c>
      <c r="F40" s="18">
        <v>24</v>
      </c>
      <c r="G40" s="19">
        <v>10467914</v>
      </c>
      <c r="H40" s="20">
        <f t="shared" si="0"/>
        <v>1</v>
      </c>
      <c r="I40" s="20">
        <v>310</v>
      </c>
      <c r="J40" s="10">
        <v>52</v>
      </c>
      <c r="K40" s="21">
        <v>45747</v>
      </c>
      <c r="L40" s="29" t="s">
        <v>54</v>
      </c>
      <c r="M40" s="54" t="s">
        <v>55</v>
      </c>
    </row>
    <row r="41" spans="1:13" ht="21" customHeight="1">
      <c r="A41" s="10">
        <v>39</v>
      </c>
      <c r="B41" s="16">
        <v>45749</v>
      </c>
      <c r="C41" s="16"/>
      <c r="D41" s="2" t="s">
        <v>44</v>
      </c>
      <c r="E41" s="7" t="s">
        <v>68</v>
      </c>
      <c r="F41" s="18">
        <v>1121</v>
      </c>
      <c r="G41" s="19">
        <v>9097205</v>
      </c>
      <c r="H41" s="20">
        <f t="shared" si="0"/>
        <v>0</v>
      </c>
      <c r="I41" s="20">
        <v>300</v>
      </c>
      <c r="J41" s="10">
        <v>40</v>
      </c>
      <c r="K41" s="21">
        <v>45749</v>
      </c>
      <c r="L41" s="29" t="s">
        <v>54</v>
      </c>
      <c r="M41" s="29"/>
    </row>
    <row r="42" spans="1:13" ht="21" customHeight="1">
      <c r="A42" s="10">
        <v>40</v>
      </c>
      <c r="B42" s="16">
        <v>45750</v>
      </c>
      <c r="C42" s="16"/>
      <c r="D42" s="2" t="s">
        <v>44</v>
      </c>
      <c r="E42" s="7" t="s">
        <v>69</v>
      </c>
      <c r="F42" s="18">
        <v>24</v>
      </c>
      <c r="G42" s="19">
        <v>20361152</v>
      </c>
      <c r="H42" s="20">
        <f t="shared" si="0"/>
        <v>6</v>
      </c>
      <c r="I42" s="20">
        <v>310</v>
      </c>
      <c r="J42" s="10">
        <v>52</v>
      </c>
      <c r="K42" s="21">
        <v>45750</v>
      </c>
      <c r="L42" s="29" t="s">
        <v>54</v>
      </c>
      <c r="M42" s="29"/>
    </row>
    <row r="43" spans="1:13" ht="21" customHeight="1">
      <c r="A43" s="10">
        <v>41</v>
      </c>
      <c r="B43" s="16">
        <v>45750</v>
      </c>
      <c r="C43" s="16"/>
      <c r="D43" s="2" t="s">
        <v>44</v>
      </c>
      <c r="E43" s="7" t="s">
        <v>69</v>
      </c>
      <c r="F43" s="18">
        <v>24</v>
      </c>
      <c r="G43" s="19">
        <v>20361154</v>
      </c>
      <c r="H43" s="20">
        <f t="shared" si="0"/>
        <v>1</v>
      </c>
      <c r="I43" s="20">
        <v>340</v>
      </c>
      <c r="J43" s="10">
        <v>52</v>
      </c>
      <c r="K43" s="21">
        <v>45750</v>
      </c>
      <c r="L43" s="29" t="s">
        <v>54</v>
      </c>
      <c r="M43" s="29"/>
    </row>
    <row r="44" spans="1:13" ht="21" customHeight="1">
      <c r="A44" s="10">
        <v>42</v>
      </c>
      <c r="B44" s="16">
        <v>45756</v>
      </c>
      <c r="C44" s="16"/>
      <c r="D44" s="2" t="s">
        <v>44</v>
      </c>
      <c r="E44" s="7" t="s">
        <v>57</v>
      </c>
      <c r="F44" s="18">
        <v>1123</v>
      </c>
      <c r="G44" s="19">
        <v>10092560</v>
      </c>
      <c r="H44" s="20">
        <f t="shared" si="0"/>
        <v>1</v>
      </c>
      <c r="I44" s="20">
        <v>999</v>
      </c>
      <c r="J44" s="10">
        <v>31</v>
      </c>
      <c r="K44" s="21">
        <v>45756</v>
      </c>
      <c r="L44" s="29" t="s">
        <v>54</v>
      </c>
      <c r="M44" s="29"/>
    </row>
    <row r="45" spans="1:13" ht="21" customHeight="1">
      <c r="A45" s="10">
        <v>43</v>
      </c>
      <c r="B45" s="16">
        <v>45756</v>
      </c>
      <c r="C45" s="16"/>
      <c r="D45" s="2" t="s">
        <v>44</v>
      </c>
      <c r="E45" s="7" t="s">
        <v>57</v>
      </c>
      <c r="F45" s="18">
        <v>1123</v>
      </c>
      <c r="G45" s="19">
        <v>10092558</v>
      </c>
      <c r="H45" s="20">
        <f t="shared" si="0"/>
        <v>6</v>
      </c>
      <c r="I45" s="20">
        <v>310</v>
      </c>
      <c r="J45" s="10">
        <v>52</v>
      </c>
      <c r="K45" s="21">
        <v>45756</v>
      </c>
      <c r="L45" s="29" t="s">
        <v>54</v>
      </c>
      <c r="M45" s="29"/>
    </row>
    <row r="46" spans="1:13" ht="21" customHeight="1">
      <c r="A46" s="10">
        <v>44</v>
      </c>
      <c r="B46" s="16">
        <v>45756</v>
      </c>
      <c r="C46" s="16"/>
      <c r="D46" s="2" t="s">
        <v>44</v>
      </c>
      <c r="E46" s="7" t="s">
        <v>57</v>
      </c>
      <c r="F46" s="18">
        <v>1123</v>
      </c>
      <c r="G46" s="19">
        <v>10092559</v>
      </c>
      <c r="H46" s="20">
        <f t="shared" si="0"/>
        <v>0</v>
      </c>
      <c r="I46" s="20">
        <v>310</v>
      </c>
      <c r="J46" s="10">
        <v>52</v>
      </c>
      <c r="K46" s="21">
        <v>45756</v>
      </c>
      <c r="L46" s="29" t="s">
        <v>54</v>
      </c>
      <c r="M46" s="29"/>
    </row>
    <row r="47" spans="1:13" ht="21" customHeight="1">
      <c r="A47" s="10">
        <v>45</v>
      </c>
      <c r="B47" s="16">
        <v>45756</v>
      </c>
      <c r="C47" s="16"/>
      <c r="D47" s="2" t="s">
        <v>44</v>
      </c>
      <c r="E47" s="7" t="s">
        <v>57</v>
      </c>
      <c r="F47" s="18">
        <v>1123</v>
      </c>
      <c r="G47" s="19">
        <v>10092554</v>
      </c>
      <c r="H47" s="20">
        <f t="shared" si="0"/>
        <v>2</v>
      </c>
      <c r="I47" s="20">
        <v>300</v>
      </c>
      <c r="J47" s="10">
        <v>40</v>
      </c>
      <c r="K47" s="21">
        <v>45756</v>
      </c>
      <c r="L47" s="29" t="s">
        <v>54</v>
      </c>
      <c r="M47" s="29"/>
    </row>
    <row r="48" spans="1:13" ht="21" customHeight="1">
      <c r="A48" s="10">
        <v>46</v>
      </c>
      <c r="B48" s="16">
        <v>45759</v>
      </c>
      <c r="C48" s="16"/>
      <c r="D48" s="2" t="s">
        <v>44</v>
      </c>
      <c r="E48" s="7" t="s">
        <v>57</v>
      </c>
      <c r="F48" s="18">
        <v>1123</v>
      </c>
      <c r="G48" s="19">
        <v>10092568</v>
      </c>
      <c r="H48" s="20">
        <f t="shared" si="0"/>
        <v>2</v>
      </c>
      <c r="I48" s="20">
        <v>320</v>
      </c>
      <c r="J48" s="10">
        <v>22</v>
      </c>
      <c r="K48" s="21">
        <v>45759</v>
      </c>
      <c r="L48" s="29" t="s">
        <v>54</v>
      </c>
      <c r="M48" s="29"/>
    </row>
    <row r="49" spans="1:14" ht="21" customHeight="1">
      <c r="A49" s="10">
        <v>47</v>
      </c>
      <c r="B49" s="16">
        <v>45759</v>
      </c>
      <c r="C49" s="16"/>
      <c r="D49" s="1" t="s">
        <v>44</v>
      </c>
      <c r="E49" s="7" t="s">
        <v>57</v>
      </c>
      <c r="F49" s="18">
        <v>1123</v>
      </c>
      <c r="G49" s="19">
        <v>10092566</v>
      </c>
      <c r="H49" s="20">
        <f t="shared" si="0"/>
        <v>0</v>
      </c>
      <c r="I49" s="20">
        <v>999</v>
      </c>
      <c r="J49" s="10">
        <v>21</v>
      </c>
      <c r="K49" s="21">
        <v>45759</v>
      </c>
      <c r="L49" s="29" t="s">
        <v>54</v>
      </c>
      <c r="M49" s="29"/>
    </row>
    <row r="50" spans="1:14" ht="21" customHeight="1">
      <c r="A50" s="10">
        <v>48</v>
      </c>
      <c r="B50" s="16">
        <v>45762</v>
      </c>
      <c r="C50" s="2" t="s">
        <v>44</v>
      </c>
      <c r="D50" s="16"/>
      <c r="E50" s="7" t="s">
        <v>70</v>
      </c>
      <c r="F50" s="18">
        <v>24</v>
      </c>
      <c r="G50" s="19">
        <v>20613491</v>
      </c>
      <c r="H50" s="20">
        <f t="shared" si="0"/>
        <v>2</v>
      </c>
      <c r="I50" s="20">
        <v>999</v>
      </c>
      <c r="J50" s="10">
        <v>32</v>
      </c>
      <c r="K50" s="21">
        <v>45762</v>
      </c>
      <c r="L50" s="29" t="s">
        <v>54</v>
      </c>
      <c r="M50" s="29"/>
    </row>
    <row r="51" spans="1:14" ht="21" customHeight="1">
      <c r="A51" s="10">
        <v>49</v>
      </c>
      <c r="B51" s="16">
        <v>45764</v>
      </c>
      <c r="C51" s="2" t="s">
        <v>44</v>
      </c>
      <c r="D51" s="2"/>
      <c r="E51" s="7" t="s">
        <v>71</v>
      </c>
      <c r="F51" s="18">
        <v>24</v>
      </c>
      <c r="G51" s="19">
        <v>20491102</v>
      </c>
      <c r="H51" s="20">
        <f t="shared" si="0"/>
        <v>1</v>
      </c>
      <c r="I51" s="20">
        <v>310</v>
      </c>
      <c r="J51" s="10">
        <v>31</v>
      </c>
      <c r="K51" s="21">
        <v>45764</v>
      </c>
      <c r="L51" s="29" t="s">
        <v>54</v>
      </c>
      <c r="M51" s="29"/>
      <c r="N51" s="12"/>
    </row>
    <row r="52" spans="1:14" ht="21" customHeight="1" thickBot="1">
      <c r="A52" s="57">
        <v>50</v>
      </c>
      <c r="B52" s="58">
        <v>45765</v>
      </c>
      <c r="C52" s="58"/>
      <c r="D52" s="66" t="s">
        <v>44</v>
      </c>
      <c r="E52" s="60" t="s">
        <v>57</v>
      </c>
      <c r="F52" s="61">
        <v>1123</v>
      </c>
      <c r="G52" s="62">
        <v>10092434</v>
      </c>
      <c r="H52" s="63">
        <f t="shared" si="0"/>
        <v>1</v>
      </c>
      <c r="I52" s="63">
        <v>310</v>
      </c>
      <c r="J52" s="57">
        <v>40</v>
      </c>
      <c r="K52" s="64">
        <v>45764</v>
      </c>
      <c r="L52" s="65" t="s">
        <v>54</v>
      </c>
      <c r="M52" s="67" t="s">
        <v>73</v>
      </c>
    </row>
    <row r="53" spans="1:14" ht="21" customHeight="1">
      <c r="A53" s="30">
        <v>51</v>
      </c>
      <c r="B53" s="16">
        <v>45771</v>
      </c>
      <c r="C53" s="2"/>
      <c r="D53" s="2" t="s">
        <v>44</v>
      </c>
      <c r="E53" s="53" t="s">
        <v>76</v>
      </c>
      <c r="F53" s="18">
        <v>22</v>
      </c>
      <c r="G53" s="19">
        <v>30483112</v>
      </c>
      <c r="H53" s="20">
        <f t="shared" si="0"/>
        <v>4</v>
      </c>
      <c r="I53" s="20">
        <v>310</v>
      </c>
      <c r="J53" s="10">
        <v>52</v>
      </c>
      <c r="K53" s="21">
        <v>45771</v>
      </c>
      <c r="L53" s="29" t="s">
        <v>54</v>
      </c>
      <c r="M53" s="54"/>
    </row>
    <row r="54" spans="1:14" ht="21" customHeight="1">
      <c r="A54" s="10">
        <v>52</v>
      </c>
      <c r="B54" s="16">
        <v>45773</v>
      </c>
      <c r="C54" s="2"/>
      <c r="D54" s="2" t="s">
        <v>44</v>
      </c>
      <c r="E54" s="53" t="s">
        <v>57</v>
      </c>
      <c r="F54" s="18">
        <v>1123</v>
      </c>
      <c r="G54" s="19">
        <v>10092351</v>
      </c>
      <c r="H54" s="20">
        <f t="shared" si="0"/>
        <v>2</v>
      </c>
      <c r="I54" s="20">
        <v>395</v>
      </c>
      <c r="J54" s="10">
        <v>40</v>
      </c>
      <c r="K54" s="21">
        <v>45771</v>
      </c>
      <c r="L54" s="29" t="s">
        <v>54</v>
      </c>
      <c r="M54" s="54"/>
    </row>
    <row r="55" spans="1:14" ht="21" customHeight="1">
      <c r="A55" s="10">
        <v>53</v>
      </c>
      <c r="B55" s="16">
        <v>45775</v>
      </c>
      <c r="C55" s="2"/>
      <c r="D55" s="68" t="s">
        <v>44</v>
      </c>
      <c r="E55" s="53" t="s">
        <v>56</v>
      </c>
      <c r="F55" s="18">
        <v>1122</v>
      </c>
      <c r="G55" s="19">
        <v>9591284</v>
      </c>
      <c r="H55" s="20">
        <f t="shared" si="0"/>
        <v>0</v>
      </c>
      <c r="I55" s="20">
        <v>300</v>
      </c>
      <c r="J55" s="10">
        <v>40</v>
      </c>
      <c r="K55" s="21">
        <v>45775</v>
      </c>
      <c r="L55" s="29" t="s">
        <v>54</v>
      </c>
      <c r="M55" s="54"/>
    </row>
    <row r="56" spans="1:14" ht="21" customHeight="1">
      <c r="A56" s="10">
        <v>54</v>
      </c>
      <c r="B56" s="16">
        <v>45775</v>
      </c>
      <c r="C56" s="2"/>
      <c r="D56" s="1" t="s">
        <v>44</v>
      </c>
      <c r="E56" s="53" t="s">
        <v>56</v>
      </c>
      <c r="F56" s="18">
        <v>1122</v>
      </c>
      <c r="G56" s="19">
        <v>9591285</v>
      </c>
      <c r="H56" s="20">
        <f t="shared" si="0"/>
        <v>1</v>
      </c>
      <c r="I56" s="20">
        <v>393</v>
      </c>
      <c r="J56" s="10">
        <v>40</v>
      </c>
      <c r="K56" s="21">
        <v>45775</v>
      </c>
      <c r="L56" s="29" t="s">
        <v>54</v>
      </c>
      <c r="M56" s="54"/>
    </row>
    <row r="57" spans="1:14" ht="21" customHeight="1">
      <c r="A57" s="10">
        <v>55</v>
      </c>
      <c r="B57" s="16">
        <v>45775</v>
      </c>
      <c r="C57" s="2" t="s">
        <v>44</v>
      </c>
      <c r="D57" s="2"/>
      <c r="E57" s="53" t="s">
        <v>78</v>
      </c>
      <c r="F57" s="18">
        <v>21</v>
      </c>
      <c r="G57" s="19">
        <v>11172674</v>
      </c>
      <c r="H57" s="20">
        <f t="shared" si="0"/>
        <v>2</v>
      </c>
      <c r="I57" s="20">
        <v>586</v>
      </c>
      <c r="J57" s="10">
        <v>31</v>
      </c>
      <c r="K57" s="21">
        <v>45775</v>
      </c>
      <c r="L57" s="29" t="s">
        <v>54</v>
      </c>
      <c r="M57" s="54"/>
    </row>
    <row r="58" spans="1:14" ht="21" customHeight="1">
      <c r="A58" s="10">
        <v>56</v>
      </c>
      <c r="B58" s="16">
        <v>45779</v>
      </c>
      <c r="C58" s="2" t="s">
        <v>44</v>
      </c>
      <c r="D58" s="2"/>
      <c r="E58" s="53" t="s">
        <v>81</v>
      </c>
      <c r="F58" s="18">
        <v>21</v>
      </c>
      <c r="G58" s="19">
        <v>11172679</v>
      </c>
      <c r="H58" s="20">
        <f t="shared" si="0"/>
        <v>0</v>
      </c>
      <c r="I58" s="20">
        <v>310</v>
      </c>
      <c r="J58" s="10">
        <v>31</v>
      </c>
      <c r="K58" s="21">
        <v>45779</v>
      </c>
      <c r="L58" s="29" t="s">
        <v>54</v>
      </c>
      <c r="M58" s="54"/>
    </row>
    <row r="59" spans="1:14" ht="21" customHeight="1">
      <c r="A59" s="10">
        <v>57</v>
      </c>
      <c r="B59" s="16">
        <v>45784</v>
      </c>
      <c r="C59" s="1" t="s">
        <v>44</v>
      </c>
      <c r="D59" s="2"/>
      <c r="E59" s="53" t="s">
        <v>83</v>
      </c>
      <c r="F59" s="18">
        <v>21</v>
      </c>
      <c r="G59" s="19">
        <v>11172681</v>
      </c>
      <c r="H59" s="20">
        <f t="shared" si="0"/>
        <v>2</v>
      </c>
      <c r="I59" s="20">
        <v>559</v>
      </c>
      <c r="J59" s="10">
        <v>52</v>
      </c>
      <c r="K59" s="21">
        <v>45784</v>
      </c>
      <c r="L59" s="29" t="s">
        <v>54</v>
      </c>
      <c r="M59" s="54"/>
    </row>
    <row r="60" spans="1:14" ht="21" customHeight="1">
      <c r="A60" s="10">
        <v>58</v>
      </c>
      <c r="B60" s="16">
        <v>45790</v>
      </c>
      <c r="C60" s="2"/>
      <c r="D60" s="2" t="s">
        <v>44</v>
      </c>
      <c r="E60" s="53" t="s">
        <v>57</v>
      </c>
      <c r="F60" s="18">
        <v>1123</v>
      </c>
      <c r="G60" s="19">
        <v>10092359</v>
      </c>
      <c r="H60" s="20">
        <f t="shared" si="0"/>
        <v>3</v>
      </c>
      <c r="I60" s="20">
        <v>310</v>
      </c>
      <c r="J60" s="10">
        <v>40</v>
      </c>
      <c r="K60" s="21">
        <v>45786</v>
      </c>
      <c r="L60" s="29" t="s">
        <v>54</v>
      </c>
      <c r="M60" s="54"/>
    </row>
    <row r="61" spans="1:14" ht="21" customHeight="1">
      <c r="A61" s="10">
        <v>59</v>
      </c>
      <c r="B61" s="16">
        <v>45790</v>
      </c>
      <c r="C61" s="2"/>
      <c r="D61" s="68" t="s">
        <v>44</v>
      </c>
      <c r="E61" s="53" t="s">
        <v>57</v>
      </c>
      <c r="F61" s="18">
        <v>1123</v>
      </c>
      <c r="G61" s="19">
        <v>10092361</v>
      </c>
      <c r="H61" s="20">
        <f t="shared" si="0"/>
        <v>5</v>
      </c>
      <c r="I61" s="20">
        <v>350</v>
      </c>
      <c r="J61" s="10">
        <v>40</v>
      </c>
      <c r="K61" s="21">
        <v>45787</v>
      </c>
      <c r="L61" s="29" t="s">
        <v>54</v>
      </c>
      <c r="M61" s="54"/>
    </row>
    <row r="62" spans="1:14" ht="21" customHeight="1">
      <c r="A62" s="10">
        <v>60</v>
      </c>
      <c r="B62" s="16">
        <v>45790</v>
      </c>
      <c r="C62" s="2"/>
      <c r="D62" s="2" t="s">
        <v>44</v>
      </c>
      <c r="E62" s="53" t="s">
        <v>57</v>
      </c>
      <c r="F62" s="18">
        <v>1123</v>
      </c>
      <c r="G62" s="19">
        <v>10092362</v>
      </c>
      <c r="H62" s="20">
        <f t="shared" si="0"/>
        <v>6</v>
      </c>
      <c r="I62" s="20">
        <v>393</v>
      </c>
      <c r="J62" s="10">
        <v>40</v>
      </c>
      <c r="K62" s="21">
        <v>45787</v>
      </c>
      <c r="L62" s="29" t="s">
        <v>54</v>
      </c>
      <c r="M62" s="54"/>
    </row>
    <row r="63" spans="1:14" ht="21" customHeight="1">
      <c r="A63" s="10">
        <v>61</v>
      </c>
      <c r="B63" s="16">
        <v>45790</v>
      </c>
      <c r="C63" s="2"/>
      <c r="D63" s="2" t="s">
        <v>44</v>
      </c>
      <c r="E63" s="53" t="s">
        <v>57</v>
      </c>
      <c r="F63" s="18">
        <v>1123</v>
      </c>
      <c r="G63" s="19">
        <v>10092365</v>
      </c>
      <c r="H63" s="20">
        <f t="shared" si="0"/>
        <v>2</v>
      </c>
      <c r="I63" s="20">
        <v>310</v>
      </c>
      <c r="J63" s="10">
        <v>32</v>
      </c>
      <c r="K63" s="21">
        <v>45789</v>
      </c>
      <c r="L63" s="29" t="s">
        <v>54</v>
      </c>
      <c r="M63" s="54"/>
    </row>
    <row r="64" spans="1:14" ht="21" customHeight="1">
      <c r="A64" s="10">
        <v>62</v>
      </c>
      <c r="B64" s="16">
        <v>45790</v>
      </c>
      <c r="C64" s="2"/>
      <c r="D64" s="68" t="s">
        <v>44</v>
      </c>
      <c r="E64" s="53" t="s">
        <v>84</v>
      </c>
      <c r="F64" s="18">
        <v>22</v>
      </c>
      <c r="G64" s="19">
        <v>30483113</v>
      </c>
      <c r="H64" s="20">
        <f t="shared" si="0"/>
        <v>5</v>
      </c>
      <c r="I64" s="20">
        <v>310</v>
      </c>
      <c r="J64" s="10">
        <v>32</v>
      </c>
      <c r="K64" s="21">
        <v>45790</v>
      </c>
      <c r="L64" s="29" t="s">
        <v>54</v>
      </c>
      <c r="M64" s="54"/>
    </row>
    <row r="65" spans="1:13" ht="21" customHeight="1">
      <c r="A65" s="10">
        <v>63</v>
      </c>
      <c r="B65" s="16">
        <v>45790</v>
      </c>
      <c r="C65" s="2"/>
      <c r="D65" s="2" t="s">
        <v>44</v>
      </c>
      <c r="E65" s="53" t="s">
        <v>85</v>
      </c>
      <c r="F65" s="18">
        <v>22</v>
      </c>
      <c r="G65" s="19">
        <v>30483114</v>
      </c>
      <c r="H65" s="20">
        <f t="shared" si="0"/>
        <v>6</v>
      </c>
      <c r="I65" s="20">
        <v>392</v>
      </c>
      <c r="J65" s="10">
        <v>40</v>
      </c>
      <c r="K65" s="21">
        <v>45790</v>
      </c>
      <c r="L65" s="29" t="s">
        <v>54</v>
      </c>
      <c r="M65" s="54"/>
    </row>
    <row r="66" spans="1:13" ht="21" customHeight="1">
      <c r="A66" s="10">
        <v>64</v>
      </c>
      <c r="B66" s="16">
        <v>45797</v>
      </c>
      <c r="C66" s="2"/>
      <c r="D66" s="2" t="s">
        <v>44</v>
      </c>
      <c r="E66" s="53" t="s">
        <v>88</v>
      </c>
      <c r="F66" s="18">
        <v>23</v>
      </c>
      <c r="G66" s="19">
        <v>40247626</v>
      </c>
      <c r="H66" s="20">
        <f t="shared" si="0"/>
        <v>3</v>
      </c>
      <c r="I66" s="20">
        <v>320</v>
      </c>
      <c r="J66" s="10">
        <v>32</v>
      </c>
      <c r="K66" s="21">
        <v>45797</v>
      </c>
      <c r="L66" s="29" t="s">
        <v>54</v>
      </c>
      <c r="M66" s="54"/>
    </row>
    <row r="67" spans="1:13" ht="21" customHeight="1">
      <c r="A67" s="10">
        <v>65</v>
      </c>
      <c r="B67" s="16">
        <v>45798</v>
      </c>
      <c r="C67" s="2"/>
      <c r="D67" s="2" t="s">
        <v>44</v>
      </c>
      <c r="E67" s="53" t="s">
        <v>57</v>
      </c>
      <c r="F67" s="18">
        <v>1123</v>
      </c>
      <c r="G67" s="19">
        <v>10092374</v>
      </c>
      <c r="H67" s="20">
        <f t="shared" ref="H67:H130" si="1">IF(G67="","",(F67*100000000+G67)-7*INT((F67*100000000+G67)/7))</f>
        <v>4</v>
      </c>
      <c r="I67" s="20">
        <v>768</v>
      </c>
      <c r="J67" s="10">
        <v>31</v>
      </c>
      <c r="K67" s="21">
        <v>45797</v>
      </c>
      <c r="L67" s="29" t="s">
        <v>54</v>
      </c>
      <c r="M67" s="54"/>
    </row>
    <row r="68" spans="1:13" ht="21" customHeight="1">
      <c r="A68" s="10">
        <v>66</v>
      </c>
      <c r="B68" s="16">
        <v>45798</v>
      </c>
      <c r="C68" s="2"/>
      <c r="D68" s="68" t="s">
        <v>44</v>
      </c>
      <c r="E68" s="53" t="s">
        <v>57</v>
      </c>
      <c r="F68" s="18">
        <v>1123</v>
      </c>
      <c r="G68" s="19">
        <v>10092364</v>
      </c>
      <c r="H68" s="20">
        <f t="shared" si="1"/>
        <v>1</v>
      </c>
      <c r="I68" s="20">
        <v>310</v>
      </c>
      <c r="J68" s="10">
        <v>31</v>
      </c>
      <c r="K68" s="21">
        <v>45797</v>
      </c>
      <c r="L68" s="29" t="s">
        <v>54</v>
      </c>
      <c r="M68" s="54"/>
    </row>
    <row r="69" spans="1:13" ht="21" customHeight="1">
      <c r="A69" s="10">
        <v>67</v>
      </c>
      <c r="B69" s="16">
        <v>45798</v>
      </c>
      <c r="C69" s="2"/>
      <c r="D69" s="2" t="s">
        <v>44</v>
      </c>
      <c r="E69" s="53" t="s">
        <v>57</v>
      </c>
      <c r="F69" s="18">
        <v>1123</v>
      </c>
      <c r="G69" s="19">
        <v>10092373</v>
      </c>
      <c r="H69" s="20">
        <f t="shared" si="1"/>
        <v>3</v>
      </c>
      <c r="I69" s="20">
        <v>524</v>
      </c>
      <c r="J69" s="10">
        <v>31</v>
      </c>
      <c r="K69" s="21">
        <v>45797</v>
      </c>
      <c r="L69" s="29" t="s">
        <v>54</v>
      </c>
      <c r="M69" s="54"/>
    </row>
    <row r="70" spans="1:13" ht="21" customHeight="1">
      <c r="A70" s="10">
        <v>68</v>
      </c>
      <c r="B70" s="16">
        <v>45798</v>
      </c>
      <c r="C70" s="2"/>
      <c r="D70" s="2" t="s">
        <v>44</v>
      </c>
      <c r="E70" s="53" t="s">
        <v>57</v>
      </c>
      <c r="F70" s="18">
        <v>1123</v>
      </c>
      <c r="G70" s="19">
        <v>10092366</v>
      </c>
      <c r="H70" s="20">
        <f t="shared" si="1"/>
        <v>3</v>
      </c>
      <c r="I70" s="20">
        <v>999</v>
      </c>
      <c r="J70" s="10">
        <v>52</v>
      </c>
      <c r="K70" s="21">
        <v>45797</v>
      </c>
      <c r="L70" s="29" t="s">
        <v>54</v>
      </c>
      <c r="M70" s="54"/>
    </row>
    <row r="71" spans="1:13" ht="21" customHeight="1">
      <c r="A71" s="10">
        <v>69</v>
      </c>
      <c r="B71" s="16">
        <v>45798</v>
      </c>
      <c r="C71" s="2"/>
      <c r="D71" s="1" t="s">
        <v>44</v>
      </c>
      <c r="E71" s="53" t="s">
        <v>57</v>
      </c>
      <c r="F71" s="18">
        <v>1123</v>
      </c>
      <c r="G71" s="19">
        <v>10092371</v>
      </c>
      <c r="H71" s="20">
        <f t="shared" si="1"/>
        <v>1</v>
      </c>
      <c r="I71" s="20">
        <v>310</v>
      </c>
      <c r="J71" s="10">
        <v>52</v>
      </c>
      <c r="K71" s="21">
        <v>45797</v>
      </c>
      <c r="L71" s="29" t="s">
        <v>54</v>
      </c>
      <c r="M71" s="54"/>
    </row>
    <row r="72" spans="1:13" ht="21" customHeight="1">
      <c r="A72" s="10">
        <v>70</v>
      </c>
      <c r="B72" s="16">
        <v>45813</v>
      </c>
      <c r="C72" s="2" t="s">
        <v>44</v>
      </c>
      <c r="D72" s="2"/>
      <c r="E72" s="53" t="s">
        <v>89</v>
      </c>
      <c r="F72" s="18">
        <v>24</v>
      </c>
      <c r="G72" s="19">
        <v>20613496</v>
      </c>
      <c r="H72" s="20">
        <f t="shared" si="1"/>
        <v>0</v>
      </c>
      <c r="I72" s="20">
        <v>300</v>
      </c>
      <c r="J72" s="10">
        <v>40</v>
      </c>
      <c r="K72" s="21">
        <v>45813</v>
      </c>
      <c r="L72" s="29" t="s">
        <v>54</v>
      </c>
      <c r="M72" s="54"/>
    </row>
    <row r="73" spans="1:13" ht="21" customHeight="1">
      <c r="A73" s="10">
        <v>71</v>
      </c>
      <c r="B73" s="16">
        <v>45813</v>
      </c>
      <c r="C73" s="1" t="s">
        <v>44</v>
      </c>
      <c r="D73" s="2"/>
      <c r="E73" s="53" t="s">
        <v>89</v>
      </c>
      <c r="F73" s="18">
        <v>24</v>
      </c>
      <c r="G73" s="19">
        <v>20613497</v>
      </c>
      <c r="H73" s="20">
        <f t="shared" si="1"/>
        <v>1</v>
      </c>
      <c r="I73" s="20">
        <v>300</v>
      </c>
      <c r="J73" s="10">
        <v>40</v>
      </c>
      <c r="K73" s="21">
        <v>45813</v>
      </c>
      <c r="L73" s="29" t="s">
        <v>54</v>
      </c>
      <c r="M73" s="54"/>
    </row>
    <row r="74" spans="1:13" ht="21" customHeight="1">
      <c r="A74" s="10">
        <v>72</v>
      </c>
      <c r="B74" s="16">
        <v>45818</v>
      </c>
      <c r="C74" s="2"/>
      <c r="D74" s="2" t="s">
        <v>44</v>
      </c>
      <c r="E74" s="53" t="s">
        <v>57</v>
      </c>
      <c r="F74" s="18">
        <v>1123</v>
      </c>
      <c r="G74" s="19">
        <v>10092381</v>
      </c>
      <c r="H74" s="20">
        <f t="shared" si="1"/>
        <v>4</v>
      </c>
      <c r="I74" s="20">
        <v>300</v>
      </c>
      <c r="J74" s="10">
        <v>32</v>
      </c>
      <c r="K74" s="21">
        <v>45814</v>
      </c>
      <c r="L74" s="29" t="s">
        <v>54</v>
      </c>
      <c r="M74" s="54"/>
    </row>
    <row r="75" spans="1:13" ht="21" customHeight="1">
      <c r="A75" s="10">
        <v>73</v>
      </c>
      <c r="B75" s="16">
        <v>45818</v>
      </c>
      <c r="C75" s="2"/>
      <c r="D75" s="2" t="s">
        <v>44</v>
      </c>
      <c r="E75" s="53" t="s">
        <v>57</v>
      </c>
      <c r="F75" s="18">
        <v>1123</v>
      </c>
      <c r="G75" s="19">
        <v>10092379</v>
      </c>
      <c r="H75" s="20">
        <f t="shared" si="1"/>
        <v>2</v>
      </c>
      <c r="I75" s="20">
        <v>310</v>
      </c>
      <c r="J75" s="10">
        <v>52</v>
      </c>
      <c r="K75" s="21">
        <v>45818</v>
      </c>
      <c r="L75" s="29" t="s">
        <v>54</v>
      </c>
      <c r="M75" s="54"/>
    </row>
    <row r="76" spans="1:13" ht="21" customHeight="1">
      <c r="A76" s="10">
        <v>74</v>
      </c>
      <c r="B76" s="16">
        <v>45818</v>
      </c>
      <c r="C76" s="2"/>
      <c r="D76" s="2" t="s">
        <v>44</v>
      </c>
      <c r="E76" s="53" t="s">
        <v>57</v>
      </c>
      <c r="F76" s="18">
        <v>1123</v>
      </c>
      <c r="G76" s="19">
        <v>10092380</v>
      </c>
      <c r="H76" s="20">
        <f t="shared" si="1"/>
        <v>3</v>
      </c>
      <c r="I76" s="20">
        <v>999</v>
      </c>
      <c r="J76" s="10">
        <v>31</v>
      </c>
      <c r="K76" s="21">
        <v>45818</v>
      </c>
      <c r="L76" s="29" t="s">
        <v>54</v>
      </c>
      <c r="M76" s="54"/>
    </row>
    <row r="77" spans="1:13" ht="21" customHeight="1">
      <c r="A77" s="10">
        <v>75</v>
      </c>
      <c r="B77" s="16">
        <v>45818</v>
      </c>
      <c r="C77" s="2"/>
      <c r="D77" s="2" t="s">
        <v>44</v>
      </c>
      <c r="E77" s="53" t="s">
        <v>57</v>
      </c>
      <c r="F77" s="18">
        <v>1123</v>
      </c>
      <c r="G77" s="19">
        <v>10092384</v>
      </c>
      <c r="H77" s="20">
        <f t="shared" si="1"/>
        <v>0</v>
      </c>
      <c r="I77" s="20">
        <v>392</v>
      </c>
      <c r="J77" s="10">
        <v>32</v>
      </c>
      <c r="K77" s="21">
        <v>45818</v>
      </c>
      <c r="L77" s="29" t="s">
        <v>54</v>
      </c>
      <c r="M77" s="54"/>
    </row>
    <row r="78" spans="1:13" ht="21" customHeight="1">
      <c r="A78" s="10">
        <v>76</v>
      </c>
      <c r="B78" s="16">
        <v>45822</v>
      </c>
      <c r="C78" s="2"/>
      <c r="D78" s="68" t="s">
        <v>44</v>
      </c>
      <c r="E78" s="53" t="s">
        <v>90</v>
      </c>
      <c r="F78" s="18">
        <v>23</v>
      </c>
      <c r="G78" s="19">
        <v>40247627</v>
      </c>
      <c r="H78" s="20">
        <f t="shared" si="1"/>
        <v>4</v>
      </c>
      <c r="I78" s="20">
        <v>392</v>
      </c>
      <c r="J78" s="10">
        <v>40</v>
      </c>
      <c r="K78" s="21">
        <v>45822</v>
      </c>
      <c r="L78" s="29" t="s">
        <v>54</v>
      </c>
      <c r="M78" s="54"/>
    </row>
    <row r="79" spans="1:13" ht="21" customHeight="1">
      <c r="A79" s="10">
        <v>77</v>
      </c>
      <c r="B79" s="16">
        <v>45822</v>
      </c>
      <c r="C79" s="16"/>
      <c r="D79" s="2" t="s">
        <v>44</v>
      </c>
      <c r="E79" s="53" t="s">
        <v>90</v>
      </c>
      <c r="F79" s="18">
        <v>23</v>
      </c>
      <c r="G79" s="19">
        <v>40247629</v>
      </c>
      <c r="H79" s="20">
        <f t="shared" si="1"/>
        <v>6</v>
      </c>
      <c r="I79" s="20">
        <v>310</v>
      </c>
      <c r="J79" s="10">
        <v>32</v>
      </c>
      <c r="K79" s="21">
        <v>45822</v>
      </c>
      <c r="L79" s="29" t="s">
        <v>54</v>
      </c>
      <c r="M79" s="54"/>
    </row>
    <row r="80" spans="1:13" ht="21" customHeight="1">
      <c r="A80" s="10">
        <v>78</v>
      </c>
      <c r="B80" s="16">
        <v>45824</v>
      </c>
      <c r="C80" s="2"/>
      <c r="D80" s="2" t="s">
        <v>44</v>
      </c>
      <c r="E80" s="53" t="s">
        <v>57</v>
      </c>
      <c r="F80" s="18">
        <v>1123</v>
      </c>
      <c r="G80" s="19">
        <v>10092387</v>
      </c>
      <c r="H80" s="20">
        <f t="shared" si="1"/>
        <v>3</v>
      </c>
      <c r="I80" s="20">
        <v>392</v>
      </c>
      <c r="J80" s="10">
        <v>31</v>
      </c>
      <c r="K80" s="21">
        <v>45824</v>
      </c>
      <c r="L80" s="29" t="s">
        <v>54</v>
      </c>
      <c r="M80" s="54"/>
    </row>
    <row r="81" spans="1:13" ht="21" customHeight="1">
      <c r="A81" s="10">
        <v>79</v>
      </c>
      <c r="B81" s="16">
        <v>45824</v>
      </c>
      <c r="C81" s="16"/>
      <c r="D81" s="68" t="s">
        <v>44</v>
      </c>
      <c r="E81" s="53" t="s">
        <v>68</v>
      </c>
      <c r="F81" s="18">
        <v>1125</v>
      </c>
      <c r="G81" s="19">
        <v>186672</v>
      </c>
      <c r="H81" s="20">
        <f t="shared" si="1"/>
        <v>6</v>
      </c>
      <c r="I81" s="20">
        <v>300</v>
      </c>
      <c r="J81" s="10">
        <v>40</v>
      </c>
      <c r="K81" s="21">
        <v>45824</v>
      </c>
      <c r="L81" s="29" t="s">
        <v>54</v>
      </c>
      <c r="M81" s="54"/>
    </row>
    <row r="82" spans="1:13" ht="21" customHeight="1">
      <c r="A82" s="10">
        <v>80</v>
      </c>
      <c r="B82" s="16">
        <v>45824</v>
      </c>
      <c r="C82" s="2"/>
      <c r="D82" s="1" t="s">
        <v>44</v>
      </c>
      <c r="E82" s="53" t="s">
        <v>68</v>
      </c>
      <c r="F82" s="18">
        <v>1125</v>
      </c>
      <c r="G82" s="19">
        <v>186676</v>
      </c>
      <c r="H82" s="20">
        <f t="shared" si="1"/>
        <v>3</v>
      </c>
      <c r="I82" s="20">
        <v>392</v>
      </c>
      <c r="J82" s="10">
        <v>40</v>
      </c>
      <c r="K82" s="21">
        <v>45824</v>
      </c>
      <c r="L82" s="29" t="s">
        <v>54</v>
      </c>
      <c r="M82" s="54"/>
    </row>
    <row r="83" spans="1:13" ht="21" customHeight="1">
      <c r="A83" s="10">
        <v>81</v>
      </c>
      <c r="B83" s="16">
        <v>45824</v>
      </c>
      <c r="C83" s="2" t="s">
        <v>44</v>
      </c>
      <c r="D83" s="2"/>
      <c r="E83" s="53" t="s">
        <v>91</v>
      </c>
      <c r="F83" s="18">
        <v>21</v>
      </c>
      <c r="G83" s="19">
        <v>11172686</v>
      </c>
      <c r="H83" s="20">
        <f t="shared" si="1"/>
        <v>0</v>
      </c>
      <c r="I83" s="20">
        <v>310</v>
      </c>
      <c r="J83" s="10">
        <v>40</v>
      </c>
      <c r="K83" s="21">
        <v>45824</v>
      </c>
      <c r="L83" s="29" t="s">
        <v>54</v>
      </c>
      <c r="M83" s="54"/>
    </row>
    <row r="84" spans="1:13" ht="21" customHeight="1">
      <c r="A84" s="10">
        <v>82</v>
      </c>
      <c r="B84" s="16">
        <v>45824</v>
      </c>
      <c r="C84" s="2" t="s">
        <v>44</v>
      </c>
      <c r="D84" s="2"/>
      <c r="E84" s="53" t="s">
        <v>91</v>
      </c>
      <c r="F84" s="18">
        <v>21</v>
      </c>
      <c r="G84" s="19">
        <v>11172687</v>
      </c>
      <c r="H84" s="20">
        <f t="shared" si="1"/>
        <v>1</v>
      </c>
      <c r="I84" s="20">
        <v>320</v>
      </c>
      <c r="J84" s="10">
        <v>40</v>
      </c>
      <c r="K84" s="21">
        <v>45824</v>
      </c>
      <c r="L84" s="29" t="s">
        <v>54</v>
      </c>
      <c r="M84" s="54"/>
    </row>
    <row r="85" spans="1:13" ht="21" customHeight="1">
      <c r="A85" s="10">
        <v>83</v>
      </c>
      <c r="B85" s="16">
        <v>45824</v>
      </c>
      <c r="C85" s="1" t="s">
        <v>44</v>
      </c>
      <c r="D85" s="2"/>
      <c r="E85" s="53" t="s">
        <v>91</v>
      </c>
      <c r="F85" s="18">
        <v>21</v>
      </c>
      <c r="G85" s="19">
        <v>11172685</v>
      </c>
      <c r="H85" s="20">
        <f>IF(G85="","",(F85*100000000+G85)-7*INT((F85*100000000+G85)/7))</f>
        <v>6</v>
      </c>
      <c r="I85" s="20">
        <v>511</v>
      </c>
      <c r="J85" s="10">
        <v>31</v>
      </c>
      <c r="K85" s="21">
        <v>45824</v>
      </c>
      <c r="L85" s="29" t="s">
        <v>54</v>
      </c>
      <c r="M85" s="54"/>
    </row>
    <row r="86" spans="1:13" ht="21" customHeight="1">
      <c r="A86" s="10">
        <v>84</v>
      </c>
      <c r="B86" s="16">
        <v>45828</v>
      </c>
      <c r="C86" s="16"/>
      <c r="D86" s="2" t="s">
        <v>44</v>
      </c>
      <c r="E86" s="7" t="s">
        <v>57</v>
      </c>
      <c r="F86" s="18">
        <v>1125</v>
      </c>
      <c r="G86" s="19">
        <v>3445041</v>
      </c>
      <c r="H86" s="20">
        <f>IF(G86="","",(F86*100000000+G86)-7*INT((F86*100000000+G86)/7))</f>
        <v>1</v>
      </c>
      <c r="I86" s="20">
        <v>393</v>
      </c>
      <c r="J86" s="10">
        <v>40</v>
      </c>
      <c r="K86" s="21">
        <v>45828</v>
      </c>
      <c r="L86" s="29" t="s">
        <v>54</v>
      </c>
      <c r="M86" s="54"/>
    </row>
    <row r="87" spans="1:13" ht="21" customHeight="1">
      <c r="A87" s="10">
        <v>85</v>
      </c>
      <c r="B87" s="16">
        <v>45828</v>
      </c>
      <c r="C87" s="16"/>
      <c r="D87" s="2" t="s">
        <v>44</v>
      </c>
      <c r="E87" s="7" t="s">
        <v>57</v>
      </c>
      <c r="F87" s="18">
        <v>1125</v>
      </c>
      <c r="G87" s="19">
        <v>3445031</v>
      </c>
      <c r="H87" s="20">
        <f t="shared" si="1"/>
        <v>5</v>
      </c>
      <c r="I87" s="20">
        <v>360</v>
      </c>
      <c r="J87" s="10">
        <v>21</v>
      </c>
      <c r="K87" s="21">
        <v>45828</v>
      </c>
      <c r="L87" s="29" t="s">
        <v>54</v>
      </c>
      <c r="M87" s="54"/>
    </row>
    <row r="88" spans="1:13" ht="21" customHeight="1">
      <c r="A88" s="10">
        <v>86</v>
      </c>
      <c r="B88" s="16">
        <v>45828</v>
      </c>
      <c r="C88" s="16"/>
      <c r="D88" s="2" t="s">
        <v>44</v>
      </c>
      <c r="E88" s="7" t="s">
        <v>57</v>
      </c>
      <c r="F88" s="18">
        <v>1125</v>
      </c>
      <c r="G88" s="19">
        <v>3445027</v>
      </c>
      <c r="H88" s="20">
        <f t="shared" si="1"/>
        <v>1</v>
      </c>
      <c r="I88" s="20">
        <v>350</v>
      </c>
      <c r="J88" s="10">
        <v>32</v>
      </c>
      <c r="K88" s="21">
        <v>45828</v>
      </c>
      <c r="L88" s="29" t="s">
        <v>54</v>
      </c>
      <c r="M88" s="54"/>
    </row>
    <row r="89" spans="1:13" ht="21" customHeight="1">
      <c r="A89" s="10">
        <v>87</v>
      </c>
      <c r="B89" s="16">
        <v>45828</v>
      </c>
      <c r="C89" s="16"/>
      <c r="D89" s="2" t="s">
        <v>44</v>
      </c>
      <c r="E89" s="7" t="s">
        <v>57</v>
      </c>
      <c r="F89" s="18">
        <v>1125</v>
      </c>
      <c r="G89" s="19">
        <v>3445043</v>
      </c>
      <c r="H89" s="20">
        <f t="shared" si="1"/>
        <v>3</v>
      </c>
      <c r="I89" s="20">
        <v>300</v>
      </c>
      <c r="J89" s="10">
        <v>21</v>
      </c>
      <c r="K89" s="21">
        <v>45828</v>
      </c>
      <c r="L89" s="29" t="s">
        <v>54</v>
      </c>
      <c r="M89" s="54"/>
    </row>
    <row r="90" spans="1:13" ht="21" customHeight="1">
      <c r="A90" s="10">
        <v>88</v>
      </c>
      <c r="B90" s="16">
        <v>45828</v>
      </c>
      <c r="C90" s="16"/>
      <c r="D90" s="2" t="s">
        <v>44</v>
      </c>
      <c r="E90" s="7" t="s">
        <v>57</v>
      </c>
      <c r="F90" s="18">
        <v>1125</v>
      </c>
      <c r="G90" s="19">
        <v>3445029</v>
      </c>
      <c r="H90" s="20">
        <f t="shared" si="1"/>
        <v>3</v>
      </c>
      <c r="I90" s="20">
        <v>999</v>
      </c>
      <c r="J90" s="10">
        <v>21</v>
      </c>
      <c r="K90" s="21">
        <v>45828</v>
      </c>
      <c r="L90" s="29" t="s">
        <v>54</v>
      </c>
      <c r="M90" s="54"/>
    </row>
    <row r="91" spans="1:13" ht="21" customHeight="1">
      <c r="A91" s="10">
        <v>89</v>
      </c>
      <c r="B91" s="16">
        <v>45828</v>
      </c>
      <c r="C91" s="16"/>
      <c r="D91" s="2" t="s">
        <v>44</v>
      </c>
      <c r="E91" s="7" t="s">
        <v>57</v>
      </c>
      <c r="F91" s="18">
        <v>1125</v>
      </c>
      <c r="G91" s="19">
        <v>3445036</v>
      </c>
      <c r="H91" s="20">
        <f t="shared" si="1"/>
        <v>3</v>
      </c>
      <c r="I91" s="20">
        <v>999</v>
      </c>
      <c r="J91" s="10">
        <v>21</v>
      </c>
      <c r="K91" s="21">
        <v>45828</v>
      </c>
      <c r="L91" s="29" t="s">
        <v>54</v>
      </c>
      <c r="M91" s="29"/>
    </row>
    <row r="92" spans="1:13" ht="21" customHeight="1">
      <c r="A92" s="10">
        <v>90</v>
      </c>
      <c r="B92" s="16">
        <v>45828</v>
      </c>
      <c r="C92" s="16"/>
      <c r="D92" s="2" t="s">
        <v>44</v>
      </c>
      <c r="E92" s="7" t="s">
        <v>57</v>
      </c>
      <c r="F92" s="18">
        <v>1125</v>
      </c>
      <c r="G92" s="19">
        <v>3445039</v>
      </c>
      <c r="H92" s="20">
        <f t="shared" si="1"/>
        <v>6</v>
      </c>
      <c r="I92" s="20">
        <v>999</v>
      </c>
      <c r="J92" s="10">
        <v>21</v>
      </c>
      <c r="K92" s="21">
        <v>45828</v>
      </c>
      <c r="L92" s="29" t="s">
        <v>54</v>
      </c>
      <c r="M92" s="29"/>
    </row>
    <row r="93" spans="1:13" ht="21" customHeight="1">
      <c r="A93" s="10">
        <v>91</v>
      </c>
      <c r="B93" s="16">
        <v>45828</v>
      </c>
      <c r="C93" s="16"/>
      <c r="D93" s="2" t="s">
        <v>44</v>
      </c>
      <c r="E93" s="7" t="s">
        <v>57</v>
      </c>
      <c r="F93" s="18">
        <v>1125</v>
      </c>
      <c r="G93" s="19">
        <v>3445035</v>
      </c>
      <c r="H93" s="20">
        <f t="shared" si="1"/>
        <v>2</v>
      </c>
      <c r="I93" s="20">
        <v>999</v>
      </c>
      <c r="J93" s="10">
        <v>21</v>
      </c>
      <c r="K93" s="21">
        <v>45828</v>
      </c>
      <c r="L93" s="29" t="s">
        <v>54</v>
      </c>
      <c r="M93" s="29"/>
    </row>
    <row r="94" spans="1:13" ht="21" customHeight="1">
      <c r="A94" s="10">
        <v>92</v>
      </c>
      <c r="B94" s="16">
        <v>45828</v>
      </c>
      <c r="C94" s="16"/>
      <c r="D94" s="68" t="s">
        <v>44</v>
      </c>
      <c r="E94" s="7" t="s">
        <v>57</v>
      </c>
      <c r="F94" s="18">
        <v>1125</v>
      </c>
      <c r="G94" s="19">
        <v>3445028</v>
      </c>
      <c r="H94" s="20">
        <f t="shared" si="1"/>
        <v>2</v>
      </c>
      <c r="I94" s="20">
        <v>320</v>
      </c>
      <c r="J94" s="10">
        <v>52</v>
      </c>
      <c r="K94" s="21">
        <v>45828</v>
      </c>
      <c r="L94" s="29" t="s">
        <v>54</v>
      </c>
      <c r="M94" s="29"/>
    </row>
    <row r="95" spans="1:13" ht="21" customHeight="1">
      <c r="A95" s="10">
        <v>93</v>
      </c>
      <c r="B95" s="16">
        <v>45828</v>
      </c>
      <c r="C95" s="16"/>
      <c r="D95" s="2" t="s">
        <v>44</v>
      </c>
      <c r="E95" s="7" t="s">
        <v>57</v>
      </c>
      <c r="F95" s="18">
        <v>1125</v>
      </c>
      <c r="G95" s="19">
        <v>3445025</v>
      </c>
      <c r="H95" s="20">
        <f t="shared" si="1"/>
        <v>6</v>
      </c>
      <c r="I95" s="20">
        <v>320</v>
      </c>
      <c r="J95" s="10">
        <v>52</v>
      </c>
      <c r="K95" s="21">
        <v>45828</v>
      </c>
      <c r="L95" s="29" t="s">
        <v>54</v>
      </c>
      <c r="M95" s="29"/>
    </row>
    <row r="96" spans="1:13" ht="21" customHeight="1">
      <c r="A96" s="10">
        <v>94</v>
      </c>
      <c r="B96" s="16">
        <v>45828</v>
      </c>
      <c r="C96" s="16"/>
      <c r="D96" s="2" t="s">
        <v>44</v>
      </c>
      <c r="E96" s="7" t="s">
        <v>57</v>
      </c>
      <c r="F96" s="18">
        <v>1125</v>
      </c>
      <c r="G96" s="19">
        <v>3445026</v>
      </c>
      <c r="H96" s="20">
        <f t="shared" si="1"/>
        <v>0</v>
      </c>
      <c r="I96" s="20">
        <v>320</v>
      </c>
      <c r="J96" s="10">
        <v>52</v>
      </c>
      <c r="K96" s="21">
        <v>45828</v>
      </c>
      <c r="L96" s="29" t="s">
        <v>54</v>
      </c>
      <c r="M96" s="29"/>
    </row>
    <row r="97" spans="1:14" ht="21" customHeight="1">
      <c r="A97" s="10">
        <v>95</v>
      </c>
      <c r="B97" s="16">
        <v>45850</v>
      </c>
      <c r="C97" s="16"/>
      <c r="D97" s="2" t="s">
        <v>44</v>
      </c>
      <c r="E97" s="7" t="s">
        <v>93</v>
      </c>
      <c r="F97" s="18">
        <v>22</v>
      </c>
      <c r="G97" s="19">
        <v>30483115</v>
      </c>
      <c r="H97" s="20">
        <f t="shared" si="1"/>
        <v>0</v>
      </c>
      <c r="I97" s="20">
        <v>999</v>
      </c>
      <c r="J97" s="10">
        <v>31</v>
      </c>
      <c r="K97" s="21">
        <v>45850</v>
      </c>
      <c r="L97" s="29" t="s">
        <v>54</v>
      </c>
      <c r="M97" s="29"/>
    </row>
    <row r="98" spans="1:14" ht="21" customHeight="1">
      <c r="A98" s="10">
        <v>96</v>
      </c>
      <c r="B98" s="16">
        <v>45860</v>
      </c>
      <c r="C98" s="16"/>
      <c r="D98" s="68" t="s">
        <v>44</v>
      </c>
      <c r="E98" s="7" t="s">
        <v>57</v>
      </c>
      <c r="F98" s="18">
        <v>1125</v>
      </c>
      <c r="G98" s="19">
        <v>3445057</v>
      </c>
      <c r="H98" s="20">
        <f t="shared" si="1"/>
        <v>3</v>
      </c>
      <c r="I98" s="20">
        <v>310</v>
      </c>
      <c r="J98" s="10">
        <v>52</v>
      </c>
      <c r="K98" s="21">
        <v>45838</v>
      </c>
      <c r="L98" s="29" t="s">
        <v>54</v>
      </c>
      <c r="M98" s="29"/>
    </row>
    <row r="99" spans="1:14" ht="21" customHeight="1">
      <c r="A99" s="10">
        <v>97</v>
      </c>
      <c r="B99" s="16">
        <v>45860</v>
      </c>
      <c r="C99" s="16"/>
      <c r="D99" s="68" t="s">
        <v>44</v>
      </c>
      <c r="E99" s="7" t="s">
        <v>57</v>
      </c>
      <c r="F99" s="18">
        <v>1125</v>
      </c>
      <c r="G99" s="19">
        <v>3445056</v>
      </c>
      <c r="H99" s="20">
        <f t="shared" si="1"/>
        <v>2</v>
      </c>
      <c r="I99" s="20">
        <v>310</v>
      </c>
      <c r="J99" s="10">
        <v>52</v>
      </c>
      <c r="K99" s="21">
        <v>45860</v>
      </c>
      <c r="L99" s="29" t="s">
        <v>54</v>
      </c>
      <c r="M99" s="29"/>
    </row>
    <row r="100" spans="1:14" ht="21" customHeight="1">
      <c r="A100" s="10">
        <v>98</v>
      </c>
      <c r="B100" s="16">
        <v>45860</v>
      </c>
      <c r="C100" s="2"/>
      <c r="D100" s="68" t="s">
        <v>44</v>
      </c>
      <c r="E100" s="7" t="s">
        <v>57</v>
      </c>
      <c r="F100" s="18">
        <v>1125</v>
      </c>
      <c r="G100" s="19">
        <v>3445059</v>
      </c>
      <c r="H100" s="20">
        <f t="shared" si="1"/>
        <v>5</v>
      </c>
      <c r="I100" s="20">
        <v>586</v>
      </c>
      <c r="J100" s="10">
        <v>31</v>
      </c>
      <c r="K100" s="21">
        <v>45860</v>
      </c>
      <c r="L100" s="29" t="s">
        <v>54</v>
      </c>
      <c r="M100" s="29"/>
    </row>
    <row r="101" spans="1:14" ht="21" customHeight="1">
      <c r="A101" s="10">
        <v>99</v>
      </c>
      <c r="B101" s="16">
        <v>45860</v>
      </c>
      <c r="C101" s="2"/>
      <c r="D101" s="68" t="s">
        <v>44</v>
      </c>
      <c r="E101" s="7" t="s">
        <v>57</v>
      </c>
      <c r="F101" s="18">
        <v>1125</v>
      </c>
      <c r="G101" s="19">
        <v>3445046</v>
      </c>
      <c r="H101" s="20">
        <f t="shared" si="1"/>
        <v>6</v>
      </c>
      <c r="I101" s="20">
        <v>392</v>
      </c>
      <c r="J101" s="10">
        <v>31</v>
      </c>
      <c r="K101" s="21">
        <v>45860</v>
      </c>
      <c r="L101" s="29" t="s">
        <v>54</v>
      </c>
      <c r="M101" s="29"/>
    </row>
    <row r="102" spans="1:14" ht="21" customHeight="1">
      <c r="A102" s="10">
        <v>100</v>
      </c>
      <c r="B102" s="16">
        <v>45860</v>
      </c>
      <c r="C102" s="16"/>
      <c r="D102" s="68" t="s">
        <v>44</v>
      </c>
      <c r="E102" s="7" t="s">
        <v>57</v>
      </c>
      <c r="F102" s="18">
        <v>1125</v>
      </c>
      <c r="G102" s="19">
        <v>3445055</v>
      </c>
      <c r="H102" s="20">
        <f t="shared" si="1"/>
        <v>1</v>
      </c>
      <c r="I102" s="20">
        <v>350</v>
      </c>
      <c r="J102" s="10">
        <v>10</v>
      </c>
      <c r="K102" s="21">
        <v>45860</v>
      </c>
      <c r="L102" s="29" t="s">
        <v>54</v>
      </c>
      <c r="M102" s="29"/>
      <c r="N102" s="12"/>
    </row>
    <row r="103" spans="1:14" ht="21" customHeight="1">
      <c r="A103" s="10">
        <v>101</v>
      </c>
      <c r="B103" s="16">
        <v>45860</v>
      </c>
      <c r="C103" s="16"/>
      <c r="D103" s="68" t="s">
        <v>44</v>
      </c>
      <c r="E103" s="7" t="s">
        <v>57</v>
      </c>
      <c r="F103" s="18">
        <v>1125</v>
      </c>
      <c r="G103" s="19">
        <v>3445053</v>
      </c>
      <c r="H103" s="20">
        <f t="shared" si="1"/>
        <v>6</v>
      </c>
      <c r="I103" s="20">
        <v>303</v>
      </c>
      <c r="J103" s="10">
        <v>10</v>
      </c>
      <c r="K103" s="21">
        <v>45860</v>
      </c>
      <c r="L103" s="29" t="s">
        <v>54</v>
      </c>
      <c r="M103" s="29"/>
    </row>
    <row r="104" spans="1:14" ht="21" customHeight="1" thickBot="1">
      <c r="A104" s="57">
        <v>102</v>
      </c>
      <c r="B104" s="58">
        <v>45860</v>
      </c>
      <c r="C104" s="58"/>
      <c r="D104" s="66" t="s">
        <v>44</v>
      </c>
      <c r="E104" s="60" t="s">
        <v>57</v>
      </c>
      <c r="F104" s="61">
        <v>1125</v>
      </c>
      <c r="G104" s="62">
        <v>3445054</v>
      </c>
      <c r="H104" s="63">
        <f t="shared" si="1"/>
        <v>0</v>
      </c>
      <c r="I104" s="63">
        <v>320</v>
      </c>
      <c r="J104" s="57">
        <v>10</v>
      </c>
      <c r="K104" s="64">
        <v>45860</v>
      </c>
      <c r="L104" s="65" t="s">
        <v>54</v>
      </c>
      <c r="M104" s="67" t="s">
        <v>95</v>
      </c>
    </row>
    <row r="105" spans="1:14" ht="21" customHeight="1">
      <c r="A105" s="30">
        <v>103</v>
      </c>
      <c r="B105" s="16">
        <v>45866</v>
      </c>
      <c r="C105" s="2" t="s">
        <v>44</v>
      </c>
      <c r="D105" s="2"/>
      <c r="E105" s="53" t="s">
        <v>96</v>
      </c>
      <c r="F105" s="18">
        <v>21</v>
      </c>
      <c r="G105" s="19">
        <v>11172627</v>
      </c>
      <c r="H105" s="20">
        <f t="shared" si="1"/>
        <v>4</v>
      </c>
      <c r="I105" s="20">
        <v>999</v>
      </c>
      <c r="J105" s="10">
        <v>52</v>
      </c>
      <c r="K105" s="21">
        <v>45866</v>
      </c>
      <c r="L105" s="29" t="s">
        <v>54</v>
      </c>
      <c r="M105" s="54"/>
    </row>
    <row r="106" spans="1:14" ht="21" customHeight="1">
      <c r="A106" s="10">
        <v>104</v>
      </c>
      <c r="B106" s="16">
        <v>45870</v>
      </c>
      <c r="C106" s="2" t="s">
        <v>44</v>
      </c>
      <c r="D106" s="2"/>
      <c r="E106" s="53" t="s">
        <v>97</v>
      </c>
      <c r="F106" s="18">
        <v>24</v>
      </c>
      <c r="G106" s="19">
        <v>20491109</v>
      </c>
      <c r="H106" s="20">
        <f t="shared" si="1"/>
        <v>1</v>
      </c>
      <c r="I106" s="20">
        <v>320</v>
      </c>
      <c r="J106" s="10">
        <v>22</v>
      </c>
      <c r="K106" s="21">
        <v>45870</v>
      </c>
      <c r="L106" s="29" t="s">
        <v>54</v>
      </c>
      <c r="M106" s="54"/>
    </row>
    <row r="107" spans="1:14" ht="21" customHeight="1">
      <c r="A107" s="10">
        <v>105</v>
      </c>
      <c r="B107" s="16">
        <v>45873</v>
      </c>
      <c r="C107" s="2" t="s">
        <v>44</v>
      </c>
      <c r="D107" s="2"/>
      <c r="E107" s="53" t="s">
        <v>80</v>
      </c>
      <c r="F107" s="18">
        <v>24</v>
      </c>
      <c r="G107" s="19">
        <v>10467893</v>
      </c>
      <c r="H107" s="20">
        <f t="shared" si="1"/>
        <v>1</v>
      </c>
      <c r="I107" s="20">
        <v>300</v>
      </c>
      <c r="J107" s="10">
        <v>32</v>
      </c>
      <c r="K107" s="21">
        <v>45873</v>
      </c>
      <c r="L107" s="29" t="s">
        <v>54</v>
      </c>
      <c r="M107" s="54"/>
    </row>
    <row r="108" spans="1:14" ht="21" customHeight="1">
      <c r="A108" s="10">
        <v>106</v>
      </c>
      <c r="B108" s="16">
        <v>45873</v>
      </c>
      <c r="C108" s="2" t="s">
        <v>44</v>
      </c>
      <c r="D108" s="2"/>
      <c r="E108" s="53" t="s">
        <v>80</v>
      </c>
      <c r="F108" s="18">
        <v>24</v>
      </c>
      <c r="G108" s="19">
        <v>10467898</v>
      </c>
      <c r="H108" s="20">
        <f t="shared" si="1"/>
        <v>6</v>
      </c>
      <c r="I108" s="20">
        <v>310</v>
      </c>
      <c r="J108" s="10">
        <v>31</v>
      </c>
      <c r="K108" s="21">
        <v>45873</v>
      </c>
      <c r="L108" s="29" t="s">
        <v>54</v>
      </c>
      <c r="M108" s="54"/>
    </row>
    <row r="109" spans="1:14" ht="21" customHeight="1">
      <c r="A109" s="10">
        <v>107</v>
      </c>
      <c r="B109" s="16">
        <v>45873</v>
      </c>
      <c r="C109" s="2" t="s">
        <v>44</v>
      </c>
      <c r="D109" s="2"/>
      <c r="E109" s="53" t="s">
        <v>80</v>
      </c>
      <c r="F109" s="18">
        <v>24</v>
      </c>
      <c r="G109" s="19">
        <v>10467900</v>
      </c>
      <c r="H109" s="20">
        <f t="shared" si="1"/>
        <v>1</v>
      </c>
      <c r="I109" s="20">
        <v>310</v>
      </c>
      <c r="J109" s="10">
        <v>40</v>
      </c>
      <c r="K109" s="21">
        <v>45873</v>
      </c>
      <c r="L109" s="29" t="s">
        <v>54</v>
      </c>
      <c r="M109" s="54"/>
    </row>
    <row r="110" spans="1:14" ht="21" customHeight="1">
      <c r="A110" s="10">
        <v>108</v>
      </c>
      <c r="B110" s="16">
        <v>45873</v>
      </c>
      <c r="C110" s="2" t="s">
        <v>44</v>
      </c>
      <c r="D110" s="2"/>
      <c r="E110" s="53" t="s">
        <v>80</v>
      </c>
      <c r="F110" s="18">
        <v>24</v>
      </c>
      <c r="G110" s="19">
        <v>10467895</v>
      </c>
      <c r="H110" s="20">
        <f t="shared" si="1"/>
        <v>3</v>
      </c>
      <c r="I110" s="20">
        <v>310</v>
      </c>
      <c r="J110" s="10">
        <v>40</v>
      </c>
      <c r="K110" s="21">
        <v>45873</v>
      </c>
      <c r="L110" s="29" t="s">
        <v>54</v>
      </c>
      <c r="M110" s="54"/>
    </row>
    <row r="111" spans="1:14" ht="21" customHeight="1">
      <c r="A111" s="10">
        <v>109</v>
      </c>
      <c r="B111" s="16">
        <v>45873</v>
      </c>
      <c r="C111" s="2" t="s">
        <v>44</v>
      </c>
      <c r="D111" s="2"/>
      <c r="E111" s="53" t="s">
        <v>80</v>
      </c>
      <c r="F111" s="18">
        <v>24</v>
      </c>
      <c r="G111" s="19">
        <v>10467896</v>
      </c>
      <c r="H111" s="20">
        <f t="shared" si="1"/>
        <v>4</v>
      </c>
      <c r="I111" s="20">
        <v>310</v>
      </c>
      <c r="J111" s="10">
        <v>40</v>
      </c>
      <c r="K111" s="21">
        <v>45873</v>
      </c>
      <c r="L111" s="29" t="s">
        <v>54</v>
      </c>
      <c r="M111" s="54"/>
    </row>
    <row r="112" spans="1:14" ht="21" customHeight="1">
      <c r="A112" s="10">
        <v>110</v>
      </c>
      <c r="B112" s="16">
        <v>45875</v>
      </c>
      <c r="C112" s="2"/>
      <c r="D112" s="2" t="s">
        <v>44</v>
      </c>
      <c r="E112" s="53" t="s">
        <v>56</v>
      </c>
      <c r="F112" s="18">
        <v>1122</v>
      </c>
      <c r="G112" s="19">
        <v>9591288</v>
      </c>
      <c r="H112" s="20">
        <f t="shared" si="1"/>
        <v>4</v>
      </c>
      <c r="I112" s="20">
        <v>395</v>
      </c>
      <c r="J112" s="10">
        <v>31</v>
      </c>
      <c r="K112" s="21">
        <v>45875</v>
      </c>
      <c r="L112" s="29" t="s">
        <v>54</v>
      </c>
      <c r="M112" s="54"/>
    </row>
    <row r="113" spans="1:13" ht="21" customHeight="1">
      <c r="A113" s="10">
        <v>111</v>
      </c>
      <c r="B113" s="16">
        <v>45881</v>
      </c>
      <c r="C113" s="2" t="s">
        <v>44</v>
      </c>
      <c r="D113" s="68"/>
      <c r="E113" s="53" t="s">
        <v>99</v>
      </c>
      <c r="F113" s="18">
        <v>24</v>
      </c>
      <c r="G113" s="19">
        <v>20491110</v>
      </c>
      <c r="H113" s="20">
        <f t="shared" si="1"/>
        <v>2</v>
      </c>
      <c r="I113" s="20">
        <v>310</v>
      </c>
      <c r="J113" s="10">
        <v>32</v>
      </c>
      <c r="K113" s="21">
        <v>45881</v>
      </c>
      <c r="L113" s="29" t="s">
        <v>54</v>
      </c>
      <c r="M113" s="54"/>
    </row>
    <row r="114" spans="1:13" ht="21" customHeight="1">
      <c r="A114" s="10">
        <v>112</v>
      </c>
      <c r="B114" s="16">
        <v>45881</v>
      </c>
      <c r="C114" s="2" t="s">
        <v>44</v>
      </c>
      <c r="D114" s="2"/>
      <c r="E114" s="53" t="s">
        <v>99</v>
      </c>
      <c r="F114" s="18">
        <v>24</v>
      </c>
      <c r="G114" s="19">
        <v>20491112</v>
      </c>
      <c r="H114" s="20">
        <f t="shared" si="1"/>
        <v>4</v>
      </c>
      <c r="I114" s="20">
        <v>320</v>
      </c>
      <c r="J114" s="10">
        <v>32</v>
      </c>
      <c r="K114" s="21">
        <v>45881</v>
      </c>
      <c r="L114" s="29" t="s">
        <v>54</v>
      </c>
      <c r="M114" s="54"/>
    </row>
    <row r="115" spans="1:13" ht="21" customHeight="1">
      <c r="A115" s="10">
        <v>113</v>
      </c>
      <c r="B115" s="16">
        <v>45884</v>
      </c>
      <c r="C115" s="16"/>
      <c r="D115" s="2" t="s">
        <v>44</v>
      </c>
      <c r="E115" s="53" t="s">
        <v>57</v>
      </c>
      <c r="F115" s="18">
        <v>1125</v>
      </c>
      <c r="G115" s="19">
        <v>3445078</v>
      </c>
      <c r="H115" s="20">
        <f t="shared" si="1"/>
        <v>3</v>
      </c>
      <c r="I115" s="20">
        <v>310</v>
      </c>
      <c r="J115" s="10">
        <v>52</v>
      </c>
      <c r="K115" s="21">
        <v>45881</v>
      </c>
      <c r="L115" s="29" t="s">
        <v>54</v>
      </c>
      <c r="M115" s="54"/>
    </row>
    <row r="116" spans="1:13" ht="21" customHeight="1">
      <c r="A116" s="10">
        <v>114</v>
      </c>
      <c r="B116" s="16">
        <v>45884</v>
      </c>
      <c r="C116" s="16"/>
      <c r="D116" s="2" t="s">
        <v>44</v>
      </c>
      <c r="E116" s="53" t="s">
        <v>57</v>
      </c>
      <c r="F116" s="18">
        <v>1125</v>
      </c>
      <c r="G116" s="19">
        <v>3445082</v>
      </c>
      <c r="H116" s="20">
        <f t="shared" si="1"/>
        <v>0</v>
      </c>
      <c r="I116" s="20">
        <v>300</v>
      </c>
      <c r="J116" s="10">
        <v>32</v>
      </c>
      <c r="K116" s="21">
        <v>45882</v>
      </c>
      <c r="L116" s="29" t="s">
        <v>54</v>
      </c>
      <c r="M116" s="54"/>
    </row>
    <row r="117" spans="1:13" ht="21" customHeight="1">
      <c r="A117" s="10">
        <v>115</v>
      </c>
      <c r="B117" s="16">
        <v>45884</v>
      </c>
      <c r="C117" s="16"/>
      <c r="D117" s="2" t="s">
        <v>44</v>
      </c>
      <c r="E117" s="53" t="s">
        <v>57</v>
      </c>
      <c r="F117" s="18">
        <v>1125</v>
      </c>
      <c r="G117" s="19">
        <v>3445063</v>
      </c>
      <c r="H117" s="20">
        <f t="shared" si="1"/>
        <v>2</v>
      </c>
      <c r="I117" s="20">
        <v>300</v>
      </c>
      <c r="J117" s="10">
        <v>31</v>
      </c>
      <c r="K117" s="21">
        <v>45863</v>
      </c>
      <c r="L117" s="29" t="s">
        <v>54</v>
      </c>
      <c r="M117" s="54"/>
    </row>
    <row r="118" spans="1:13" ht="21" customHeight="1">
      <c r="A118" s="10">
        <v>116</v>
      </c>
      <c r="B118" s="16">
        <v>45884</v>
      </c>
      <c r="C118" s="16"/>
      <c r="D118" s="2" t="s">
        <v>44</v>
      </c>
      <c r="E118" s="53" t="s">
        <v>57</v>
      </c>
      <c r="F118" s="18">
        <v>1125</v>
      </c>
      <c r="G118" s="19">
        <v>3445066</v>
      </c>
      <c r="H118" s="20">
        <f t="shared" si="1"/>
        <v>5</v>
      </c>
      <c r="I118" s="20">
        <v>310</v>
      </c>
      <c r="J118" s="10">
        <v>52</v>
      </c>
      <c r="K118" s="21">
        <v>45883</v>
      </c>
      <c r="L118" s="29" t="s">
        <v>54</v>
      </c>
      <c r="M118" s="54"/>
    </row>
    <row r="119" spans="1:13" ht="21" customHeight="1">
      <c r="A119" s="10">
        <v>117</v>
      </c>
      <c r="B119" s="16">
        <v>45884</v>
      </c>
      <c r="C119" s="16"/>
      <c r="D119" s="2" t="s">
        <v>44</v>
      </c>
      <c r="E119" s="53" t="s">
        <v>57</v>
      </c>
      <c r="F119" s="18">
        <v>1125</v>
      </c>
      <c r="G119" s="19">
        <v>3445067</v>
      </c>
      <c r="H119" s="20">
        <f t="shared" si="1"/>
        <v>6</v>
      </c>
      <c r="I119" s="20">
        <v>310</v>
      </c>
      <c r="J119" s="10">
        <v>40</v>
      </c>
      <c r="K119" s="21">
        <v>45879</v>
      </c>
      <c r="L119" s="29" t="s">
        <v>54</v>
      </c>
      <c r="M119" s="54"/>
    </row>
    <row r="120" spans="1:13" ht="21" customHeight="1">
      <c r="A120" s="10">
        <v>118</v>
      </c>
      <c r="B120" s="16">
        <v>45884</v>
      </c>
      <c r="C120" s="16"/>
      <c r="D120" s="2" t="s">
        <v>44</v>
      </c>
      <c r="E120" s="53" t="s">
        <v>57</v>
      </c>
      <c r="F120" s="18">
        <v>1125</v>
      </c>
      <c r="G120" s="19">
        <v>3445071</v>
      </c>
      <c r="H120" s="20">
        <f t="shared" si="1"/>
        <v>3</v>
      </c>
      <c r="I120" s="20">
        <v>300</v>
      </c>
      <c r="J120" s="10">
        <v>32</v>
      </c>
      <c r="K120" s="21">
        <v>45881</v>
      </c>
      <c r="L120" s="29" t="s">
        <v>54</v>
      </c>
      <c r="M120" s="54"/>
    </row>
    <row r="121" spans="1:13" ht="21" customHeight="1">
      <c r="A121" s="10">
        <v>119</v>
      </c>
      <c r="B121" s="16">
        <v>45884</v>
      </c>
      <c r="C121" s="16"/>
      <c r="D121" s="2" t="s">
        <v>44</v>
      </c>
      <c r="E121" s="53" t="s">
        <v>57</v>
      </c>
      <c r="F121" s="18">
        <v>1125</v>
      </c>
      <c r="G121" s="19">
        <v>3445051</v>
      </c>
      <c r="H121" s="20">
        <f t="shared" si="1"/>
        <v>4</v>
      </c>
      <c r="I121" s="20">
        <v>310</v>
      </c>
      <c r="J121" s="10">
        <v>10</v>
      </c>
      <c r="K121" s="21">
        <v>45860</v>
      </c>
      <c r="L121" s="29" t="s">
        <v>54</v>
      </c>
      <c r="M121" s="54"/>
    </row>
    <row r="122" spans="1:13" ht="21" customHeight="1">
      <c r="A122" s="10">
        <v>120</v>
      </c>
      <c r="B122" s="16">
        <v>45884</v>
      </c>
      <c r="C122" s="16"/>
      <c r="D122" s="2" t="s">
        <v>44</v>
      </c>
      <c r="E122" s="53" t="s">
        <v>57</v>
      </c>
      <c r="F122" s="18">
        <v>1125</v>
      </c>
      <c r="G122" s="19">
        <v>3445075</v>
      </c>
      <c r="H122" s="20">
        <f t="shared" si="1"/>
        <v>0</v>
      </c>
      <c r="I122" s="20">
        <v>310</v>
      </c>
      <c r="J122" s="10">
        <v>52</v>
      </c>
      <c r="K122" s="21">
        <v>45876</v>
      </c>
      <c r="L122" s="29" t="s">
        <v>54</v>
      </c>
      <c r="M122" s="54"/>
    </row>
    <row r="123" spans="1:13" ht="21" customHeight="1">
      <c r="A123" s="10">
        <v>121</v>
      </c>
      <c r="B123" s="16">
        <v>45884</v>
      </c>
      <c r="C123" s="16"/>
      <c r="D123" s="2" t="s">
        <v>44</v>
      </c>
      <c r="E123" s="53" t="s">
        <v>57</v>
      </c>
      <c r="F123" s="18">
        <v>1125</v>
      </c>
      <c r="G123" s="19">
        <v>3445077</v>
      </c>
      <c r="H123" s="20">
        <f t="shared" si="1"/>
        <v>2</v>
      </c>
      <c r="I123" s="20">
        <v>340</v>
      </c>
      <c r="J123" s="10">
        <v>52</v>
      </c>
      <c r="K123" s="21">
        <v>45883</v>
      </c>
      <c r="L123" s="29" t="s">
        <v>54</v>
      </c>
      <c r="M123" s="54"/>
    </row>
    <row r="124" spans="1:13" ht="21" customHeight="1">
      <c r="A124" s="10">
        <v>122</v>
      </c>
      <c r="B124" s="16">
        <v>45884</v>
      </c>
      <c r="C124" s="16"/>
      <c r="D124" s="2" t="s">
        <v>44</v>
      </c>
      <c r="E124" s="53" t="s">
        <v>57</v>
      </c>
      <c r="F124" s="18">
        <v>1125</v>
      </c>
      <c r="G124" s="19">
        <v>3445076</v>
      </c>
      <c r="H124" s="20">
        <f t="shared" si="1"/>
        <v>1</v>
      </c>
      <c r="I124" s="20">
        <v>310</v>
      </c>
      <c r="J124" s="10">
        <v>52</v>
      </c>
      <c r="K124" s="21">
        <v>45870</v>
      </c>
      <c r="L124" s="29" t="s">
        <v>54</v>
      </c>
      <c r="M124" s="54"/>
    </row>
    <row r="125" spans="1:13" ht="21" customHeight="1">
      <c r="A125" s="10">
        <v>123</v>
      </c>
      <c r="B125" s="16">
        <v>45884</v>
      </c>
      <c r="C125" s="16"/>
      <c r="D125" s="2" t="s">
        <v>44</v>
      </c>
      <c r="E125" s="53" t="s">
        <v>57</v>
      </c>
      <c r="F125" s="18">
        <v>1125</v>
      </c>
      <c r="G125" s="19">
        <v>3445050</v>
      </c>
      <c r="H125" s="20">
        <f t="shared" si="1"/>
        <v>3</v>
      </c>
      <c r="I125" s="20">
        <v>586</v>
      </c>
      <c r="J125" s="10">
        <v>40</v>
      </c>
      <c r="K125" s="21">
        <v>45884</v>
      </c>
      <c r="L125" s="29" t="s">
        <v>54</v>
      </c>
      <c r="M125" s="54"/>
    </row>
    <row r="126" spans="1:13" ht="21" customHeight="1">
      <c r="A126" s="10">
        <v>124</v>
      </c>
      <c r="B126" s="16">
        <v>45884</v>
      </c>
      <c r="C126" s="16"/>
      <c r="D126" s="2" t="s">
        <v>44</v>
      </c>
      <c r="E126" s="53" t="s">
        <v>57</v>
      </c>
      <c r="F126" s="18">
        <v>1125</v>
      </c>
      <c r="G126" s="19">
        <v>3445083</v>
      </c>
      <c r="H126" s="20">
        <f t="shared" si="1"/>
        <v>1</v>
      </c>
      <c r="I126" s="20">
        <v>300</v>
      </c>
      <c r="J126" s="10">
        <v>32</v>
      </c>
      <c r="K126" s="21">
        <v>45870</v>
      </c>
      <c r="L126" s="29" t="s">
        <v>54</v>
      </c>
      <c r="M126" s="54"/>
    </row>
    <row r="127" spans="1:13" ht="21" customHeight="1">
      <c r="A127" s="10">
        <v>125</v>
      </c>
      <c r="B127" s="16">
        <v>45884</v>
      </c>
      <c r="C127" s="16"/>
      <c r="D127" s="2" t="s">
        <v>44</v>
      </c>
      <c r="E127" s="53" t="s">
        <v>57</v>
      </c>
      <c r="F127" s="18">
        <v>1125</v>
      </c>
      <c r="G127" s="19">
        <v>3445060</v>
      </c>
      <c r="H127" s="20">
        <f t="shared" si="1"/>
        <v>6</v>
      </c>
      <c r="I127" s="20">
        <v>350</v>
      </c>
      <c r="J127" s="10">
        <v>32</v>
      </c>
      <c r="K127" s="21">
        <v>45863</v>
      </c>
      <c r="L127" s="29" t="s">
        <v>54</v>
      </c>
      <c r="M127" s="54"/>
    </row>
    <row r="128" spans="1:13" ht="21" customHeight="1">
      <c r="A128" s="10">
        <v>126</v>
      </c>
      <c r="B128" s="16">
        <v>45884</v>
      </c>
      <c r="C128" s="16"/>
      <c r="D128" s="2" t="s">
        <v>44</v>
      </c>
      <c r="E128" s="53" t="s">
        <v>57</v>
      </c>
      <c r="F128" s="18">
        <v>1125</v>
      </c>
      <c r="G128" s="19">
        <v>3445086</v>
      </c>
      <c r="H128" s="20">
        <f t="shared" si="1"/>
        <v>4</v>
      </c>
      <c r="I128" s="20">
        <v>392</v>
      </c>
      <c r="J128" s="10">
        <v>31</v>
      </c>
      <c r="K128" s="21">
        <v>45870</v>
      </c>
      <c r="L128" s="29" t="s">
        <v>54</v>
      </c>
      <c r="M128" s="54"/>
    </row>
    <row r="129" spans="1:13" ht="21" customHeight="1">
      <c r="A129" s="10">
        <v>127</v>
      </c>
      <c r="B129" s="16">
        <v>45890</v>
      </c>
      <c r="C129" s="2" t="s">
        <v>44</v>
      </c>
      <c r="D129" s="2"/>
      <c r="E129" s="53" t="s">
        <v>100</v>
      </c>
      <c r="F129" s="18">
        <v>24</v>
      </c>
      <c r="G129" s="19">
        <v>20491114</v>
      </c>
      <c r="H129" s="20">
        <f t="shared" si="1"/>
        <v>6</v>
      </c>
      <c r="I129" s="20">
        <v>310</v>
      </c>
      <c r="J129" s="10">
        <v>40</v>
      </c>
      <c r="K129" s="21">
        <v>45890</v>
      </c>
      <c r="L129" s="29" t="s">
        <v>54</v>
      </c>
      <c r="M129" s="54"/>
    </row>
    <row r="130" spans="1:13" ht="21" customHeight="1">
      <c r="A130" s="10">
        <v>128</v>
      </c>
      <c r="B130" s="16">
        <v>45890</v>
      </c>
      <c r="C130" s="2" t="s">
        <v>44</v>
      </c>
      <c r="D130" s="68"/>
      <c r="E130" s="53" t="s">
        <v>100</v>
      </c>
      <c r="F130" s="18">
        <v>24</v>
      </c>
      <c r="G130" s="19">
        <v>20491113</v>
      </c>
      <c r="H130" s="20">
        <f t="shared" si="1"/>
        <v>5</v>
      </c>
      <c r="I130" s="20">
        <v>300</v>
      </c>
      <c r="J130" s="10">
        <v>31</v>
      </c>
      <c r="K130" s="21">
        <v>45890</v>
      </c>
      <c r="L130" s="29" t="s">
        <v>54</v>
      </c>
      <c r="M130" s="54"/>
    </row>
    <row r="131" spans="1:13" ht="21" customHeight="1">
      <c r="A131" s="10">
        <v>129</v>
      </c>
      <c r="B131" s="16">
        <v>45890</v>
      </c>
      <c r="C131" s="2" t="s">
        <v>44</v>
      </c>
      <c r="D131" s="2"/>
      <c r="E131" s="53" t="s">
        <v>100</v>
      </c>
      <c r="F131" s="18">
        <v>24</v>
      </c>
      <c r="G131" s="19">
        <v>20491115</v>
      </c>
      <c r="H131" s="20">
        <f t="shared" ref="H131:H192" si="2">IF(G131="","",(F131*100000000+G131)-7*INT((F131*100000000+G131)/7))</f>
        <v>0</v>
      </c>
      <c r="I131" s="20">
        <v>310</v>
      </c>
      <c r="J131" s="10">
        <v>31</v>
      </c>
      <c r="K131" s="21">
        <v>45890</v>
      </c>
      <c r="L131" s="29" t="s">
        <v>54</v>
      </c>
      <c r="M131" s="54"/>
    </row>
    <row r="132" spans="1:13" ht="21" customHeight="1">
      <c r="A132" s="10">
        <v>130</v>
      </c>
      <c r="B132" s="16">
        <v>45890</v>
      </c>
      <c r="C132" s="2"/>
      <c r="D132" s="2" t="s">
        <v>44</v>
      </c>
      <c r="E132" s="53" t="s">
        <v>101</v>
      </c>
      <c r="F132" s="18">
        <v>23</v>
      </c>
      <c r="G132" s="19">
        <v>40247635</v>
      </c>
      <c r="H132" s="20">
        <f t="shared" si="2"/>
        <v>5</v>
      </c>
      <c r="I132" s="20">
        <v>300</v>
      </c>
      <c r="J132" s="10">
        <v>32</v>
      </c>
      <c r="K132" s="21">
        <v>45890</v>
      </c>
      <c r="L132" s="29" t="s">
        <v>54</v>
      </c>
      <c r="M132" s="54"/>
    </row>
    <row r="133" spans="1:13" ht="21" customHeight="1">
      <c r="A133" s="10">
        <v>131</v>
      </c>
      <c r="B133" s="16">
        <v>45891</v>
      </c>
      <c r="C133" s="16"/>
      <c r="D133" s="2" t="s">
        <v>44</v>
      </c>
      <c r="E133" s="53" t="s">
        <v>102</v>
      </c>
      <c r="F133" s="18">
        <v>23</v>
      </c>
      <c r="G133" s="19">
        <v>40247636</v>
      </c>
      <c r="H133" s="20">
        <f t="shared" si="2"/>
        <v>6</v>
      </c>
      <c r="I133" s="20">
        <v>727</v>
      </c>
      <c r="J133" s="10">
        <v>52</v>
      </c>
      <c r="K133" s="21">
        <v>45891</v>
      </c>
      <c r="L133" s="29" t="s">
        <v>54</v>
      </c>
      <c r="M133" s="54"/>
    </row>
    <row r="134" spans="1:13" ht="21" customHeight="1">
      <c r="A134" s="10">
        <v>132</v>
      </c>
      <c r="B134" s="16">
        <v>45891</v>
      </c>
      <c r="C134" s="2"/>
      <c r="D134" s="2" t="s">
        <v>44</v>
      </c>
      <c r="E134" s="53" t="s">
        <v>102</v>
      </c>
      <c r="F134" s="18">
        <v>23</v>
      </c>
      <c r="G134" s="19">
        <v>40247637</v>
      </c>
      <c r="H134" s="20">
        <f t="shared" si="2"/>
        <v>0</v>
      </c>
      <c r="I134" s="20">
        <v>999</v>
      </c>
      <c r="J134" s="10">
        <v>52</v>
      </c>
      <c r="K134" s="21">
        <v>45891</v>
      </c>
      <c r="L134" s="29" t="s">
        <v>54</v>
      </c>
      <c r="M134" s="54"/>
    </row>
    <row r="135" spans="1:13" ht="21" customHeight="1">
      <c r="A135" s="10">
        <v>133</v>
      </c>
      <c r="B135" s="16">
        <v>45903</v>
      </c>
      <c r="C135" s="2" t="s">
        <v>44</v>
      </c>
      <c r="D135" s="2"/>
      <c r="E135" s="53" t="s">
        <v>103</v>
      </c>
      <c r="F135" s="18">
        <v>24</v>
      </c>
      <c r="G135" s="19">
        <v>20491116</v>
      </c>
      <c r="H135" s="20">
        <f t="shared" si="2"/>
        <v>1</v>
      </c>
      <c r="I135" s="20">
        <v>350</v>
      </c>
      <c r="J135" s="10">
        <v>32</v>
      </c>
      <c r="K135" s="21">
        <v>45903</v>
      </c>
      <c r="L135" s="29" t="s">
        <v>54</v>
      </c>
      <c r="M135" s="54"/>
    </row>
    <row r="136" spans="1:13" ht="21" customHeight="1">
      <c r="A136" s="10">
        <v>134</v>
      </c>
      <c r="B136" s="16">
        <v>45904</v>
      </c>
      <c r="C136" s="2"/>
      <c r="D136" s="2" t="s">
        <v>44</v>
      </c>
      <c r="E136" s="53" t="s">
        <v>68</v>
      </c>
      <c r="F136" s="18">
        <v>1125</v>
      </c>
      <c r="G136" s="19">
        <v>186693</v>
      </c>
      <c r="H136" s="20">
        <f t="shared" si="2"/>
        <v>6</v>
      </c>
      <c r="I136" s="20">
        <v>310</v>
      </c>
      <c r="J136" s="10">
        <v>32</v>
      </c>
      <c r="K136" s="21">
        <v>45904</v>
      </c>
      <c r="L136" s="29" t="s">
        <v>54</v>
      </c>
      <c r="M136" s="54"/>
    </row>
    <row r="137" spans="1:13" ht="21" customHeight="1">
      <c r="A137" s="10">
        <v>135</v>
      </c>
      <c r="B137" s="16">
        <v>45905</v>
      </c>
      <c r="C137" s="2"/>
      <c r="D137" s="2" t="s">
        <v>44</v>
      </c>
      <c r="E137" s="7" t="s">
        <v>57</v>
      </c>
      <c r="F137" s="18">
        <v>1125</v>
      </c>
      <c r="G137" s="19">
        <v>3445094</v>
      </c>
      <c r="H137" s="20">
        <f>IF(G137="","",(F137*100000000+G137)-7*INT((F137*100000000+G137)/7))</f>
        <v>5</v>
      </c>
      <c r="I137" s="20">
        <v>300</v>
      </c>
      <c r="J137" s="10">
        <v>32</v>
      </c>
      <c r="K137" s="21">
        <v>45905</v>
      </c>
      <c r="L137" s="29" t="s">
        <v>54</v>
      </c>
      <c r="M137" s="54"/>
    </row>
    <row r="138" spans="1:13" ht="21" customHeight="1">
      <c r="A138" s="10">
        <v>136</v>
      </c>
      <c r="B138" s="16">
        <v>45905</v>
      </c>
      <c r="C138" s="68"/>
      <c r="D138" s="2" t="s">
        <v>44</v>
      </c>
      <c r="E138" s="7" t="s">
        <v>57</v>
      </c>
      <c r="F138" s="18">
        <v>1125</v>
      </c>
      <c r="G138" s="19">
        <v>3445095</v>
      </c>
      <c r="H138" s="20">
        <f>IF(G138="","",(F138*100000000+G138)-7*INT((F138*100000000+G138)/7))</f>
        <v>6</v>
      </c>
      <c r="I138" s="20">
        <v>310</v>
      </c>
      <c r="J138" s="10">
        <v>52</v>
      </c>
      <c r="K138" s="21">
        <v>45905</v>
      </c>
      <c r="L138" s="29" t="s">
        <v>54</v>
      </c>
      <c r="M138" s="54"/>
    </row>
    <row r="139" spans="1:13" ht="21" customHeight="1">
      <c r="A139" s="10">
        <v>137</v>
      </c>
      <c r="B139" s="16">
        <v>45905</v>
      </c>
      <c r="C139" s="2"/>
      <c r="D139" s="2" t="s">
        <v>44</v>
      </c>
      <c r="E139" s="7" t="s">
        <v>57</v>
      </c>
      <c r="F139" s="18">
        <v>1125</v>
      </c>
      <c r="G139" s="19">
        <v>3445100</v>
      </c>
      <c r="H139" s="20">
        <f t="shared" si="2"/>
        <v>4</v>
      </c>
      <c r="I139" s="20">
        <v>320</v>
      </c>
      <c r="J139" s="10">
        <v>52</v>
      </c>
      <c r="K139" s="21">
        <v>45905</v>
      </c>
      <c r="L139" s="29" t="s">
        <v>54</v>
      </c>
      <c r="M139" s="54"/>
    </row>
    <row r="140" spans="1:13" ht="21" customHeight="1">
      <c r="A140" s="10">
        <v>138</v>
      </c>
      <c r="B140" s="16">
        <v>45905</v>
      </c>
      <c r="C140" s="1"/>
      <c r="D140" s="2" t="s">
        <v>44</v>
      </c>
      <c r="E140" s="7" t="s">
        <v>57</v>
      </c>
      <c r="F140" s="18">
        <v>1125</v>
      </c>
      <c r="G140" s="19">
        <v>3445096</v>
      </c>
      <c r="H140" s="20">
        <f t="shared" si="2"/>
        <v>0</v>
      </c>
      <c r="I140" s="20">
        <v>320</v>
      </c>
      <c r="J140" s="10">
        <v>52</v>
      </c>
      <c r="K140" s="21">
        <v>45905</v>
      </c>
      <c r="L140" s="29" t="s">
        <v>54</v>
      </c>
      <c r="M140" s="54"/>
    </row>
    <row r="141" spans="1:13" ht="21" customHeight="1">
      <c r="A141" s="10">
        <v>139</v>
      </c>
      <c r="B141" s="16">
        <v>45908</v>
      </c>
      <c r="C141" s="16"/>
      <c r="D141" s="2" t="s">
        <v>44</v>
      </c>
      <c r="E141" s="7" t="s">
        <v>57</v>
      </c>
      <c r="F141" s="18">
        <v>1125</v>
      </c>
      <c r="G141" s="19">
        <v>3445097</v>
      </c>
      <c r="H141" s="20">
        <f t="shared" si="2"/>
        <v>1</v>
      </c>
      <c r="I141" s="20">
        <v>340</v>
      </c>
      <c r="J141" s="10">
        <v>52</v>
      </c>
      <c r="K141" s="21">
        <v>45905</v>
      </c>
      <c r="L141" s="29" t="s">
        <v>54</v>
      </c>
      <c r="M141" s="54"/>
    </row>
    <row r="142" spans="1:13" ht="21" customHeight="1">
      <c r="A142" s="10">
        <v>140</v>
      </c>
      <c r="B142" s="16">
        <v>45908</v>
      </c>
      <c r="C142" s="16"/>
      <c r="D142" s="2" t="s">
        <v>44</v>
      </c>
      <c r="E142" s="7" t="s">
        <v>57</v>
      </c>
      <c r="F142" s="18">
        <v>1125</v>
      </c>
      <c r="G142" s="19">
        <v>3445102</v>
      </c>
      <c r="H142" s="20">
        <f t="shared" si="2"/>
        <v>6</v>
      </c>
      <c r="I142" s="20">
        <v>320</v>
      </c>
      <c r="J142" s="10">
        <v>32</v>
      </c>
      <c r="K142" s="21">
        <v>45908</v>
      </c>
      <c r="L142" s="29" t="s">
        <v>54</v>
      </c>
      <c r="M142" s="54"/>
    </row>
    <row r="143" spans="1:13" ht="21" customHeight="1">
      <c r="A143" s="10">
        <v>141</v>
      </c>
      <c r="B143" s="16">
        <v>45908</v>
      </c>
      <c r="C143" s="16"/>
      <c r="D143" s="2" t="s">
        <v>44</v>
      </c>
      <c r="E143" s="7" t="s">
        <v>57</v>
      </c>
      <c r="F143" s="18">
        <v>1125</v>
      </c>
      <c r="G143" s="19">
        <v>3445092</v>
      </c>
      <c r="H143" s="20">
        <f t="shared" si="2"/>
        <v>3</v>
      </c>
      <c r="I143" s="20">
        <v>310</v>
      </c>
      <c r="J143" s="10">
        <v>32</v>
      </c>
      <c r="K143" s="21">
        <v>45905</v>
      </c>
      <c r="L143" s="29" t="s">
        <v>54</v>
      </c>
      <c r="M143" s="29"/>
    </row>
    <row r="144" spans="1:13" ht="21" customHeight="1">
      <c r="A144" s="10">
        <v>142</v>
      </c>
      <c r="B144" s="16">
        <v>45908</v>
      </c>
      <c r="C144" s="16"/>
      <c r="D144" s="2" t="s">
        <v>44</v>
      </c>
      <c r="E144" s="7" t="s">
        <v>57</v>
      </c>
      <c r="F144" s="18">
        <v>1125</v>
      </c>
      <c r="G144" s="19">
        <v>3445105</v>
      </c>
      <c r="H144" s="20">
        <f t="shared" si="2"/>
        <v>2</v>
      </c>
      <c r="I144" s="20">
        <v>310</v>
      </c>
      <c r="J144" s="10">
        <v>52</v>
      </c>
      <c r="K144" s="21">
        <v>45908</v>
      </c>
      <c r="L144" s="29" t="s">
        <v>54</v>
      </c>
      <c r="M144" s="29"/>
    </row>
    <row r="145" spans="1:14" ht="21" customHeight="1">
      <c r="A145" s="10">
        <v>143</v>
      </c>
      <c r="B145" s="16">
        <v>45908</v>
      </c>
      <c r="C145" s="16"/>
      <c r="D145" s="2" t="s">
        <v>44</v>
      </c>
      <c r="E145" s="7" t="s">
        <v>57</v>
      </c>
      <c r="F145" s="18">
        <v>1125</v>
      </c>
      <c r="G145" s="19">
        <v>3445108</v>
      </c>
      <c r="H145" s="20">
        <f t="shared" si="2"/>
        <v>5</v>
      </c>
      <c r="I145" s="20">
        <v>999</v>
      </c>
      <c r="J145" s="10">
        <v>21</v>
      </c>
      <c r="K145" s="21">
        <v>45908</v>
      </c>
      <c r="L145" s="29" t="s">
        <v>54</v>
      </c>
      <c r="M145" s="29"/>
    </row>
    <row r="146" spans="1:14" ht="21" customHeight="1">
      <c r="A146" s="10">
        <v>144</v>
      </c>
      <c r="B146" s="16">
        <v>45908</v>
      </c>
      <c r="C146" s="16"/>
      <c r="D146" s="2" t="s">
        <v>44</v>
      </c>
      <c r="E146" s="7" t="s">
        <v>57</v>
      </c>
      <c r="F146" s="18">
        <v>1125</v>
      </c>
      <c r="G146" s="19">
        <v>3445106</v>
      </c>
      <c r="H146" s="20">
        <f t="shared" si="2"/>
        <v>3</v>
      </c>
      <c r="I146" s="20">
        <v>300</v>
      </c>
      <c r="J146" s="10">
        <v>31</v>
      </c>
      <c r="K146" s="21">
        <v>45908</v>
      </c>
      <c r="L146" s="29" t="s">
        <v>54</v>
      </c>
      <c r="M146" s="29"/>
    </row>
    <row r="147" spans="1:14" ht="21" customHeight="1">
      <c r="A147" s="10">
        <v>145</v>
      </c>
      <c r="B147" s="16">
        <v>45909</v>
      </c>
      <c r="C147" s="16"/>
      <c r="D147" s="2" t="s">
        <v>44</v>
      </c>
      <c r="E147" s="7" t="s">
        <v>57</v>
      </c>
      <c r="F147" s="18">
        <v>1125</v>
      </c>
      <c r="G147" s="19">
        <v>3445113</v>
      </c>
      <c r="H147" s="20">
        <f t="shared" si="2"/>
        <v>3</v>
      </c>
      <c r="I147" s="20">
        <v>320</v>
      </c>
      <c r="J147" s="10">
        <v>32</v>
      </c>
      <c r="K147" s="21">
        <v>45909</v>
      </c>
      <c r="L147" s="29" t="s">
        <v>54</v>
      </c>
      <c r="M147" s="29"/>
    </row>
    <row r="148" spans="1:14" ht="21" customHeight="1">
      <c r="A148" s="10">
        <v>146</v>
      </c>
      <c r="B148" s="16">
        <v>45909</v>
      </c>
      <c r="C148" s="16"/>
      <c r="D148" s="2" t="s">
        <v>44</v>
      </c>
      <c r="E148" s="7" t="s">
        <v>57</v>
      </c>
      <c r="F148" s="18">
        <v>1125</v>
      </c>
      <c r="G148" s="19">
        <v>3445110</v>
      </c>
      <c r="H148" s="20">
        <f t="shared" si="2"/>
        <v>0</v>
      </c>
      <c r="I148" s="20">
        <v>320</v>
      </c>
      <c r="J148" s="10">
        <v>40</v>
      </c>
      <c r="K148" s="21">
        <v>45909</v>
      </c>
      <c r="L148" s="29" t="s">
        <v>54</v>
      </c>
      <c r="M148" s="29"/>
    </row>
    <row r="149" spans="1:14" ht="21" customHeight="1">
      <c r="A149" s="10">
        <v>147</v>
      </c>
      <c r="B149" s="16">
        <v>45909</v>
      </c>
      <c r="C149" s="16"/>
      <c r="D149" s="2" t="s">
        <v>44</v>
      </c>
      <c r="E149" s="7" t="s">
        <v>57</v>
      </c>
      <c r="F149" s="18">
        <v>1125</v>
      </c>
      <c r="G149" s="19">
        <v>3445109</v>
      </c>
      <c r="H149" s="20">
        <f t="shared" si="2"/>
        <v>6</v>
      </c>
      <c r="I149" s="20">
        <v>310</v>
      </c>
      <c r="J149" s="10">
        <v>40</v>
      </c>
      <c r="K149" s="21">
        <v>45908</v>
      </c>
      <c r="L149" s="29" t="s">
        <v>54</v>
      </c>
      <c r="M149" s="29"/>
    </row>
    <row r="150" spans="1:14" ht="21" customHeight="1">
      <c r="A150" s="10">
        <v>148</v>
      </c>
      <c r="B150" s="16">
        <v>45909</v>
      </c>
      <c r="C150" s="16"/>
      <c r="D150" s="2" t="s">
        <v>44</v>
      </c>
      <c r="E150" s="7" t="s">
        <v>57</v>
      </c>
      <c r="F150" s="18">
        <v>1125</v>
      </c>
      <c r="G150" s="19">
        <v>3445112</v>
      </c>
      <c r="H150" s="20">
        <f t="shared" si="2"/>
        <v>2</v>
      </c>
      <c r="I150" s="20">
        <v>310</v>
      </c>
      <c r="J150" s="10">
        <v>52</v>
      </c>
      <c r="K150" s="21">
        <v>45909</v>
      </c>
      <c r="L150" s="29" t="s">
        <v>54</v>
      </c>
      <c r="M150" s="29"/>
    </row>
    <row r="151" spans="1:14" ht="21" customHeight="1">
      <c r="A151" s="10">
        <v>149</v>
      </c>
      <c r="B151" s="16">
        <v>45909</v>
      </c>
      <c r="C151" s="16"/>
      <c r="D151" s="2" t="s">
        <v>44</v>
      </c>
      <c r="E151" s="7" t="s">
        <v>57</v>
      </c>
      <c r="F151" s="18">
        <v>1125</v>
      </c>
      <c r="G151" s="19">
        <v>3445114</v>
      </c>
      <c r="H151" s="20">
        <f t="shared" si="2"/>
        <v>4</v>
      </c>
      <c r="I151" s="20">
        <v>300</v>
      </c>
      <c r="J151" s="10">
        <v>52</v>
      </c>
      <c r="K151" s="21">
        <v>45909</v>
      </c>
      <c r="L151" s="29" t="s">
        <v>54</v>
      </c>
      <c r="M151" s="29"/>
    </row>
    <row r="152" spans="1:14" ht="21" customHeight="1">
      <c r="A152" s="10">
        <v>150</v>
      </c>
      <c r="B152" s="16">
        <v>45912</v>
      </c>
      <c r="C152" s="2"/>
      <c r="D152" s="2" t="s">
        <v>44</v>
      </c>
      <c r="E152" s="7" t="s">
        <v>105</v>
      </c>
      <c r="F152" s="18">
        <v>23</v>
      </c>
      <c r="G152" s="19">
        <v>40247633</v>
      </c>
      <c r="H152" s="20">
        <f t="shared" si="2"/>
        <v>3</v>
      </c>
      <c r="I152" s="20">
        <v>310</v>
      </c>
      <c r="J152" s="10">
        <v>31</v>
      </c>
      <c r="K152" s="21">
        <v>45912</v>
      </c>
      <c r="L152" s="29" t="s">
        <v>54</v>
      </c>
      <c r="M152" s="29"/>
      <c r="N152" s="12"/>
    </row>
    <row r="153" spans="1:14" ht="21" customHeight="1">
      <c r="A153" s="10">
        <v>151</v>
      </c>
      <c r="B153" s="16">
        <v>45916</v>
      </c>
      <c r="C153" s="16"/>
      <c r="D153" s="2" t="s">
        <v>44</v>
      </c>
      <c r="E153" s="7" t="s">
        <v>68</v>
      </c>
      <c r="F153" s="18">
        <v>1125</v>
      </c>
      <c r="G153" s="19">
        <v>186680</v>
      </c>
      <c r="H153" s="20">
        <f t="shared" si="2"/>
        <v>0</v>
      </c>
      <c r="I153" s="20">
        <v>340</v>
      </c>
      <c r="J153" s="10">
        <v>22</v>
      </c>
      <c r="K153" s="21">
        <v>45916</v>
      </c>
      <c r="L153" s="29" t="s">
        <v>54</v>
      </c>
      <c r="M153" s="29"/>
    </row>
    <row r="154" spans="1:14" ht="21" customHeight="1">
      <c r="A154" s="10">
        <v>152</v>
      </c>
      <c r="B154" s="16">
        <v>45922</v>
      </c>
      <c r="C154" s="16"/>
      <c r="D154" s="2" t="s">
        <v>44</v>
      </c>
      <c r="E154" s="7" t="s">
        <v>53</v>
      </c>
      <c r="F154" s="18">
        <v>1123</v>
      </c>
      <c r="G154" s="19">
        <v>10330460</v>
      </c>
      <c r="H154" s="20">
        <f t="shared" si="2"/>
        <v>6</v>
      </c>
      <c r="I154" s="20">
        <v>300</v>
      </c>
      <c r="J154" s="10">
        <v>40</v>
      </c>
      <c r="K154" s="21">
        <v>45922</v>
      </c>
      <c r="L154" s="29" t="s">
        <v>54</v>
      </c>
      <c r="M154" s="29"/>
    </row>
    <row r="155" spans="1:14" ht="21" customHeight="1">
      <c r="A155" s="10">
        <v>153</v>
      </c>
      <c r="B155" s="16">
        <v>45926</v>
      </c>
      <c r="C155" s="16"/>
      <c r="D155" s="2" t="s">
        <v>44</v>
      </c>
      <c r="E155" s="7" t="s">
        <v>57</v>
      </c>
      <c r="F155" s="18">
        <v>1125</v>
      </c>
      <c r="G155" s="19">
        <v>3445117</v>
      </c>
      <c r="H155" s="20">
        <f t="shared" si="2"/>
        <v>0</v>
      </c>
      <c r="I155" s="20">
        <v>392</v>
      </c>
      <c r="J155" s="10">
        <v>32</v>
      </c>
      <c r="K155" s="21">
        <v>45926</v>
      </c>
      <c r="L155" s="29" t="s">
        <v>54</v>
      </c>
      <c r="M155" s="29"/>
    </row>
    <row r="156" spans="1:14" ht="21" customHeight="1">
      <c r="A156" s="10">
        <v>154</v>
      </c>
      <c r="B156" s="16">
        <v>45926</v>
      </c>
      <c r="C156" s="16"/>
      <c r="D156" s="2" t="s">
        <v>44</v>
      </c>
      <c r="E156" s="7" t="s">
        <v>57</v>
      </c>
      <c r="F156" s="18">
        <v>1125</v>
      </c>
      <c r="G156" s="19">
        <v>3445121</v>
      </c>
      <c r="H156" s="20">
        <f t="shared" si="2"/>
        <v>4</v>
      </c>
      <c r="I156" s="20">
        <v>310</v>
      </c>
      <c r="J156" s="10">
        <v>40</v>
      </c>
      <c r="K156" s="21">
        <v>45926</v>
      </c>
      <c r="L156" s="29" t="s">
        <v>54</v>
      </c>
      <c r="M156" s="29"/>
    </row>
    <row r="157" spans="1:14" ht="21" customHeight="1">
      <c r="A157" s="10">
        <v>155</v>
      </c>
      <c r="B157" s="16">
        <v>45926</v>
      </c>
      <c r="C157" s="16"/>
      <c r="D157" s="2" t="s">
        <v>44</v>
      </c>
      <c r="E157" s="7" t="s">
        <v>57</v>
      </c>
      <c r="F157" s="18">
        <v>1125</v>
      </c>
      <c r="G157" s="19">
        <v>3445119</v>
      </c>
      <c r="H157" s="20">
        <f t="shared" si="2"/>
        <v>2</v>
      </c>
      <c r="I157" s="20">
        <v>392</v>
      </c>
      <c r="J157" s="10">
        <v>40</v>
      </c>
      <c r="K157" s="21">
        <v>45926</v>
      </c>
      <c r="L157" s="29" t="s">
        <v>54</v>
      </c>
      <c r="M157" s="29"/>
    </row>
    <row r="158" spans="1:14" ht="21" customHeight="1">
      <c r="A158" s="10">
        <v>156</v>
      </c>
      <c r="B158" s="16">
        <v>45926</v>
      </c>
      <c r="C158" s="16"/>
      <c r="D158" s="2" t="s">
        <v>44</v>
      </c>
      <c r="E158" s="7" t="s">
        <v>57</v>
      </c>
      <c r="F158" s="18">
        <v>1125</v>
      </c>
      <c r="G158" s="19">
        <v>3445118</v>
      </c>
      <c r="H158" s="20">
        <f t="shared" si="2"/>
        <v>1</v>
      </c>
      <c r="I158" s="20">
        <v>300</v>
      </c>
      <c r="J158" s="10">
        <v>40</v>
      </c>
      <c r="K158" s="21">
        <v>45926</v>
      </c>
      <c r="L158" s="29" t="s">
        <v>54</v>
      </c>
      <c r="M158" s="29"/>
    </row>
    <row r="159" spans="1:14" ht="21" customHeight="1">
      <c r="A159" s="10">
        <v>157</v>
      </c>
      <c r="B159" s="16">
        <v>45931</v>
      </c>
      <c r="C159" s="16"/>
      <c r="D159" s="2" t="s">
        <v>44</v>
      </c>
      <c r="E159" s="53" t="s">
        <v>107</v>
      </c>
      <c r="F159" s="18">
        <v>23</v>
      </c>
      <c r="G159" s="19">
        <v>40247641</v>
      </c>
      <c r="H159" s="20">
        <f t="shared" si="2"/>
        <v>4</v>
      </c>
      <c r="I159" s="20">
        <v>300</v>
      </c>
      <c r="J159" s="10">
        <v>40</v>
      </c>
      <c r="K159" s="21">
        <v>45931</v>
      </c>
      <c r="L159" s="29" t="s">
        <v>54</v>
      </c>
      <c r="M159" s="29"/>
    </row>
    <row r="160" spans="1:14" ht="21" customHeight="1" thickBot="1">
      <c r="A160" s="57">
        <v>158</v>
      </c>
      <c r="B160" s="58">
        <v>45932</v>
      </c>
      <c r="C160" s="66" t="s">
        <v>44</v>
      </c>
      <c r="D160" s="58"/>
      <c r="E160" s="60" t="s">
        <v>108</v>
      </c>
      <c r="F160" s="61">
        <v>24</v>
      </c>
      <c r="G160" s="62">
        <v>20491119</v>
      </c>
      <c r="H160" s="63">
        <f t="shared" si="2"/>
        <v>4</v>
      </c>
      <c r="I160" s="63">
        <v>300</v>
      </c>
      <c r="J160" s="57">
        <v>40</v>
      </c>
      <c r="K160" s="64">
        <v>45932</v>
      </c>
      <c r="L160" s="65" t="s">
        <v>54</v>
      </c>
      <c r="M160" s="67" t="s">
        <v>109</v>
      </c>
    </row>
    <row r="161" spans="1:13" ht="21" customHeight="1">
      <c r="A161" s="30">
        <v>159</v>
      </c>
      <c r="B161" s="16">
        <v>45934</v>
      </c>
      <c r="C161" s="1" t="s">
        <v>44</v>
      </c>
      <c r="D161" s="2"/>
      <c r="E161" s="53" t="s">
        <v>110</v>
      </c>
      <c r="F161" s="18">
        <v>24</v>
      </c>
      <c r="G161" s="19">
        <v>20491118</v>
      </c>
      <c r="H161" s="20">
        <f t="shared" si="2"/>
        <v>3</v>
      </c>
      <c r="I161" s="20">
        <v>392</v>
      </c>
      <c r="J161" s="10">
        <v>40</v>
      </c>
      <c r="K161" s="21">
        <v>45934</v>
      </c>
      <c r="L161" s="29" t="s">
        <v>54</v>
      </c>
      <c r="M161" s="54"/>
    </row>
    <row r="162" spans="1:13" ht="21" customHeight="1">
      <c r="A162" s="10">
        <v>160</v>
      </c>
      <c r="B162" s="16">
        <v>45936</v>
      </c>
      <c r="C162" s="2"/>
      <c r="D162" s="2" t="s">
        <v>44</v>
      </c>
      <c r="E162" s="53" t="s">
        <v>112</v>
      </c>
      <c r="F162" s="18">
        <v>22</v>
      </c>
      <c r="G162" s="19">
        <v>30483124</v>
      </c>
      <c r="H162" s="20">
        <f t="shared" si="2"/>
        <v>2</v>
      </c>
      <c r="I162" s="20">
        <v>320</v>
      </c>
      <c r="J162" s="10">
        <v>22</v>
      </c>
      <c r="K162" s="21">
        <v>45936</v>
      </c>
      <c r="L162" s="29" t="s">
        <v>54</v>
      </c>
      <c r="M162" s="54"/>
    </row>
    <row r="163" spans="1:13" ht="21" customHeight="1">
      <c r="A163" s="10">
        <v>161</v>
      </c>
      <c r="B163" s="16">
        <v>45936</v>
      </c>
      <c r="C163" s="2"/>
      <c r="D163" s="1" t="s">
        <v>44</v>
      </c>
      <c r="E163" s="53" t="s">
        <v>112</v>
      </c>
      <c r="F163" s="18">
        <v>22</v>
      </c>
      <c r="G163" s="19">
        <v>30483125</v>
      </c>
      <c r="H163" s="20">
        <f t="shared" si="2"/>
        <v>3</v>
      </c>
      <c r="I163" s="20">
        <v>310</v>
      </c>
      <c r="J163" s="10">
        <v>22</v>
      </c>
      <c r="K163" s="21">
        <v>45936</v>
      </c>
      <c r="L163" s="29" t="s">
        <v>54</v>
      </c>
      <c r="M163" s="54"/>
    </row>
    <row r="164" spans="1:13" ht="21" customHeight="1">
      <c r="A164" s="10">
        <v>162</v>
      </c>
      <c r="B164" s="16">
        <v>45936</v>
      </c>
      <c r="C164" s="2"/>
      <c r="D164" s="2" t="s">
        <v>44</v>
      </c>
      <c r="E164" s="53" t="s">
        <v>68</v>
      </c>
      <c r="F164" s="18">
        <v>1125</v>
      </c>
      <c r="G164" s="19">
        <v>186684</v>
      </c>
      <c r="H164" s="20">
        <f t="shared" si="2"/>
        <v>4</v>
      </c>
      <c r="I164" s="20">
        <v>392</v>
      </c>
      <c r="J164" s="10">
        <v>32</v>
      </c>
      <c r="K164" s="21">
        <v>45936</v>
      </c>
      <c r="L164" s="29" t="s">
        <v>54</v>
      </c>
      <c r="M164" s="54"/>
    </row>
    <row r="165" spans="1:13" ht="21" customHeight="1">
      <c r="A165" s="10">
        <v>163</v>
      </c>
      <c r="B165" s="16">
        <v>45936</v>
      </c>
      <c r="C165" s="2"/>
      <c r="D165" s="2" t="s">
        <v>44</v>
      </c>
      <c r="E165" s="53" t="s">
        <v>68</v>
      </c>
      <c r="F165" s="18">
        <v>1125</v>
      </c>
      <c r="G165" s="19">
        <v>186682</v>
      </c>
      <c r="H165" s="20">
        <f t="shared" si="2"/>
        <v>2</v>
      </c>
      <c r="I165" s="20">
        <v>300</v>
      </c>
      <c r="J165" s="10">
        <v>32</v>
      </c>
      <c r="K165" s="21">
        <v>45936</v>
      </c>
      <c r="L165" s="29" t="s">
        <v>54</v>
      </c>
      <c r="M165" s="54"/>
    </row>
    <row r="166" spans="1:13" ht="21" customHeight="1">
      <c r="A166" s="10">
        <v>164</v>
      </c>
      <c r="B166" s="16">
        <v>45939</v>
      </c>
      <c r="C166" s="1" t="s">
        <v>44</v>
      </c>
      <c r="D166" s="2"/>
      <c r="E166" s="53" t="s">
        <v>114</v>
      </c>
      <c r="F166" s="18">
        <v>21</v>
      </c>
      <c r="G166" s="19">
        <v>11172629</v>
      </c>
      <c r="H166" s="20">
        <f t="shared" si="2"/>
        <v>6</v>
      </c>
      <c r="I166" s="20">
        <v>320</v>
      </c>
      <c r="J166" s="10">
        <v>40</v>
      </c>
      <c r="K166" s="21">
        <v>45939</v>
      </c>
      <c r="L166" s="29" t="s">
        <v>54</v>
      </c>
      <c r="M166" s="54"/>
    </row>
    <row r="167" spans="1:13" ht="21" customHeight="1">
      <c r="A167" s="10">
        <v>165</v>
      </c>
      <c r="B167" s="16">
        <v>45940</v>
      </c>
      <c r="C167" s="2"/>
      <c r="D167" s="2" t="s">
        <v>44</v>
      </c>
      <c r="E167" s="53" t="s">
        <v>112</v>
      </c>
      <c r="F167" s="18">
        <v>22</v>
      </c>
      <c r="G167" s="19">
        <v>30483116</v>
      </c>
      <c r="H167" s="20">
        <f t="shared" si="2"/>
        <v>1</v>
      </c>
      <c r="I167" s="20">
        <v>300</v>
      </c>
      <c r="J167" s="10">
        <v>21</v>
      </c>
      <c r="K167" s="21">
        <v>45940</v>
      </c>
      <c r="L167" s="29" t="s">
        <v>54</v>
      </c>
      <c r="M167" s="54"/>
    </row>
    <row r="168" spans="1:13" ht="21" customHeight="1">
      <c r="A168" s="10">
        <v>166</v>
      </c>
      <c r="B168" s="16">
        <v>45940</v>
      </c>
      <c r="C168" s="2"/>
      <c r="D168" s="2" t="s">
        <v>44</v>
      </c>
      <c r="E168" s="53" t="s">
        <v>57</v>
      </c>
      <c r="F168" s="18">
        <v>1125</v>
      </c>
      <c r="G168" s="19">
        <v>3445135</v>
      </c>
      <c r="H168" s="20">
        <f t="shared" si="2"/>
        <v>4</v>
      </c>
      <c r="I168" s="20">
        <v>392</v>
      </c>
      <c r="J168" s="10">
        <v>31</v>
      </c>
      <c r="K168" s="21">
        <v>45938</v>
      </c>
      <c r="L168" s="29" t="s">
        <v>54</v>
      </c>
      <c r="M168" s="54"/>
    </row>
    <row r="169" spans="1:13" ht="21" customHeight="1">
      <c r="A169" s="10">
        <v>167</v>
      </c>
      <c r="B169" s="16">
        <v>45940</v>
      </c>
      <c r="C169" s="2"/>
      <c r="D169" s="2" t="s">
        <v>44</v>
      </c>
      <c r="E169" s="53" t="s">
        <v>57</v>
      </c>
      <c r="F169" s="18">
        <v>1125</v>
      </c>
      <c r="G169" s="19">
        <v>3445133</v>
      </c>
      <c r="H169" s="20">
        <f t="shared" si="2"/>
        <v>2</v>
      </c>
      <c r="I169" s="20">
        <v>310</v>
      </c>
      <c r="J169" s="10">
        <v>32</v>
      </c>
      <c r="K169" s="21">
        <v>45938</v>
      </c>
      <c r="L169" s="29" t="s">
        <v>54</v>
      </c>
      <c r="M169" s="54"/>
    </row>
    <row r="170" spans="1:13" ht="21" customHeight="1">
      <c r="A170" s="10">
        <v>168</v>
      </c>
      <c r="B170" s="16">
        <v>45940</v>
      </c>
      <c r="C170" s="2"/>
      <c r="D170" s="2" t="s">
        <v>44</v>
      </c>
      <c r="E170" s="53" t="s">
        <v>57</v>
      </c>
      <c r="F170" s="18">
        <v>1125</v>
      </c>
      <c r="G170" s="19">
        <v>3445136</v>
      </c>
      <c r="H170" s="20">
        <f t="shared" si="2"/>
        <v>5</v>
      </c>
      <c r="I170" s="20">
        <v>300</v>
      </c>
      <c r="J170" s="10">
        <v>32</v>
      </c>
      <c r="K170" s="21">
        <v>45938</v>
      </c>
      <c r="L170" s="29" t="s">
        <v>54</v>
      </c>
      <c r="M170" s="54"/>
    </row>
    <row r="171" spans="1:13" ht="21" customHeight="1">
      <c r="A171" s="10">
        <v>169</v>
      </c>
      <c r="B171" s="16">
        <v>45940</v>
      </c>
      <c r="C171" s="2"/>
      <c r="D171" s="2" t="s">
        <v>44</v>
      </c>
      <c r="E171" s="53" t="s">
        <v>57</v>
      </c>
      <c r="F171" s="18">
        <v>1125</v>
      </c>
      <c r="G171" s="19">
        <v>3445132</v>
      </c>
      <c r="H171" s="20">
        <f t="shared" si="2"/>
        <v>1</v>
      </c>
      <c r="I171" s="20">
        <v>320</v>
      </c>
      <c r="J171" s="10">
        <v>32</v>
      </c>
      <c r="K171" s="21">
        <v>45938</v>
      </c>
      <c r="L171" s="29" t="s">
        <v>54</v>
      </c>
      <c r="M171" s="54"/>
    </row>
    <row r="172" spans="1:13" ht="21" customHeight="1">
      <c r="A172" s="10">
        <v>170</v>
      </c>
      <c r="B172" s="16">
        <v>45940</v>
      </c>
      <c r="C172" s="2"/>
      <c r="D172" s="2" t="s">
        <v>44</v>
      </c>
      <c r="E172" s="53" t="s">
        <v>57</v>
      </c>
      <c r="F172" s="18">
        <v>1125</v>
      </c>
      <c r="G172" s="19">
        <v>3445125</v>
      </c>
      <c r="H172" s="20">
        <f t="shared" si="2"/>
        <v>1</v>
      </c>
      <c r="I172" s="20">
        <v>320</v>
      </c>
      <c r="J172" s="10">
        <v>32</v>
      </c>
      <c r="K172" s="21">
        <v>45938</v>
      </c>
      <c r="L172" s="29" t="s">
        <v>54</v>
      </c>
      <c r="M172" s="54"/>
    </row>
    <row r="173" spans="1:13" ht="21" customHeight="1">
      <c r="A173" s="10">
        <v>171</v>
      </c>
      <c r="B173" s="16">
        <v>45940</v>
      </c>
      <c r="C173" s="2"/>
      <c r="D173" s="2" t="s">
        <v>44</v>
      </c>
      <c r="E173" s="53" t="s">
        <v>57</v>
      </c>
      <c r="F173" s="18">
        <v>1125</v>
      </c>
      <c r="G173" s="19">
        <v>3445126</v>
      </c>
      <c r="H173" s="20">
        <f t="shared" si="2"/>
        <v>2</v>
      </c>
      <c r="I173" s="20">
        <v>310</v>
      </c>
      <c r="J173" s="10">
        <v>52</v>
      </c>
      <c r="K173" s="21">
        <v>45938</v>
      </c>
      <c r="L173" s="29" t="s">
        <v>54</v>
      </c>
      <c r="M173" s="54"/>
    </row>
    <row r="174" spans="1:13" ht="21" customHeight="1">
      <c r="A174" s="10">
        <v>172</v>
      </c>
      <c r="B174" s="16">
        <v>45940</v>
      </c>
      <c r="C174" s="2"/>
      <c r="D174" s="2" t="s">
        <v>44</v>
      </c>
      <c r="E174" s="53" t="s">
        <v>57</v>
      </c>
      <c r="F174" s="18">
        <v>1125</v>
      </c>
      <c r="G174" s="19">
        <v>3445131</v>
      </c>
      <c r="H174" s="20">
        <f t="shared" si="2"/>
        <v>0</v>
      </c>
      <c r="I174" s="20">
        <v>310</v>
      </c>
      <c r="J174" s="10">
        <v>52</v>
      </c>
      <c r="K174" s="21">
        <v>45938</v>
      </c>
      <c r="L174" s="29" t="s">
        <v>54</v>
      </c>
      <c r="M174" s="54"/>
    </row>
    <row r="175" spans="1:13" ht="21" customHeight="1">
      <c r="A175" s="10">
        <v>173</v>
      </c>
      <c r="B175" s="16">
        <v>45940</v>
      </c>
      <c r="C175" s="2"/>
      <c r="D175" s="2" t="s">
        <v>44</v>
      </c>
      <c r="E175" s="53" t="s">
        <v>57</v>
      </c>
      <c r="F175" s="18">
        <v>1125</v>
      </c>
      <c r="G175" s="19">
        <v>3445127</v>
      </c>
      <c r="H175" s="20">
        <f t="shared" si="2"/>
        <v>3</v>
      </c>
      <c r="I175" s="20">
        <v>340</v>
      </c>
      <c r="J175" s="10">
        <v>52</v>
      </c>
      <c r="K175" s="21">
        <v>45938</v>
      </c>
      <c r="L175" s="29" t="s">
        <v>54</v>
      </c>
      <c r="M175" s="54"/>
    </row>
    <row r="176" spans="1:13" ht="21" customHeight="1">
      <c r="A176" s="10">
        <v>174</v>
      </c>
      <c r="B176" s="16">
        <v>45940</v>
      </c>
      <c r="C176" s="2"/>
      <c r="D176" s="2" t="s">
        <v>44</v>
      </c>
      <c r="E176" s="53" t="s">
        <v>57</v>
      </c>
      <c r="F176" s="18">
        <v>1125</v>
      </c>
      <c r="G176" s="19">
        <v>3445130</v>
      </c>
      <c r="H176" s="20">
        <f t="shared" si="2"/>
        <v>6</v>
      </c>
      <c r="I176" s="20">
        <v>310</v>
      </c>
      <c r="J176" s="10">
        <v>52</v>
      </c>
      <c r="K176" s="21">
        <v>45938</v>
      </c>
      <c r="L176" s="29" t="s">
        <v>54</v>
      </c>
      <c r="M176" s="54"/>
    </row>
    <row r="177" spans="1:13" ht="21" customHeight="1">
      <c r="A177" s="10">
        <v>175</v>
      </c>
      <c r="B177" s="16">
        <v>45940</v>
      </c>
      <c r="C177" s="2"/>
      <c r="D177" s="2" t="s">
        <v>44</v>
      </c>
      <c r="E177" s="53" t="s">
        <v>57</v>
      </c>
      <c r="F177" s="18">
        <v>1125</v>
      </c>
      <c r="G177" s="19">
        <v>3445128</v>
      </c>
      <c r="H177" s="20">
        <f t="shared" si="2"/>
        <v>4</v>
      </c>
      <c r="I177" s="20">
        <v>310</v>
      </c>
      <c r="J177" s="10">
        <v>10</v>
      </c>
      <c r="K177" s="21">
        <v>45938</v>
      </c>
      <c r="L177" s="29" t="s">
        <v>54</v>
      </c>
      <c r="M177" s="54"/>
    </row>
    <row r="178" spans="1:13" ht="21" customHeight="1">
      <c r="A178" s="10">
        <v>176</v>
      </c>
      <c r="B178" s="16">
        <v>45941</v>
      </c>
      <c r="C178" s="2"/>
      <c r="D178" s="2" t="s">
        <v>44</v>
      </c>
      <c r="E178" s="53" t="s">
        <v>115</v>
      </c>
      <c r="F178" s="18">
        <v>23</v>
      </c>
      <c r="G178" s="19">
        <v>40247639</v>
      </c>
      <c r="H178" s="20">
        <f t="shared" si="2"/>
        <v>2</v>
      </c>
      <c r="I178" s="20">
        <v>340</v>
      </c>
      <c r="J178" s="10">
        <v>52</v>
      </c>
      <c r="K178" s="21">
        <v>45941</v>
      </c>
      <c r="L178" s="29" t="s">
        <v>54</v>
      </c>
      <c r="M178" s="54"/>
    </row>
    <row r="179" spans="1:13" ht="21" customHeight="1">
      <c r="A179" s="10">
        <v>177</v>
      </c>
      <c r="B179" s="16">
        <v>45944</v>
      </c>
      <c r="C179" s="2"/>
      <c r="D179" s="2" t="s">
        <v>44</v>
      </c>
      <c r="E179" s="53" t="s">
        <v>56</v>
      </c>
      <c r="F179" s="18">
        <v>1122</v>
      </c>
      <c r="G179" s="19">
        <v>9591289</v>
      </c>
      <c r="H179" s="20">
        <f t="shared" si="2"/>
        <v>5</v>
      </c>
      <c r="I179" s="20">
        <v>300</v>
      </c>
      <c r="J179" s="10">
        <v>40</v>
      </c>
      <c r="K179" s="21">
        <v>45944</v>
      </c>
      <c r="L179" s="29" t="s">
        <v>54</v>
      </c>
      <c r="M179" s="54"/>
    </row>
    <row r="180" spans="1:13" ht="21" customHeight="1">
      <c r="A180" s="10">
        <v>178</v>
      </c>
      <c r="B180" s="16">
        <v>45946</v>
      </c>
      <c r="C180" s="16"/>
      <c r="D180" s="2" t="s">
        <v>44</v>
      </c>
      <c r="E180" s="53" t="s">
        <v>116</v>
      </c>
      <c r="F180" s="18">
        <v>24</v>
      </c>
      <c r="G180" s="19">
        <v>20361156</v>
      </c>
      <c r="H180" s="20">
        <f t="shared" si="2"/>
        <v>3</v>
      </c>
      <c r="I180" s="20">
        <v>350</v>
      </c>
      <c r="J180" s="10">
        <v>32</v>
      </c>
      <c r="K180" s="21">
        <v>45946</v>
      </c>
      <c r="L180" s="29" t="s">
        <v>54</v>
      </c>
      <c r="M180" s="54"/>
    </row>
    <row r="181" spans="1:13" ht="21" customHeight="1">
      <c r="A181" s="10">
        <v>179</v>
      </c>
      <c r="B181" s="16">
        <v>45944</v>
      </c>
      <c r="C181" s="2"/>
      <c r="D181" s="2" t="s">
        <v>44</v>
      </c>
      <c r="E181" s="53" t="s">
        <v>56</v>
      </c>
      <c r="F181" s="18">
        <v>1122</v>
      </c>
      <c r="G181" s="19">
        <v>9591291</v>
      </c>
      <c r="H181" s="20">
        <f t="shared" si="2"/>
        <v>0</v>
      </c>
      <c r="I181" s="20">
        <v>320</v>
      </c>
      <c r="J181" s="10">
        <v>32</v>
      </c>
      <c r="K181" s="21">
        <v>45947</v>
      </c>
      <c r="L181" s="29" t="s">
        <v>54</v>
      </c>
      <c r="M181" s="54"/>
    </row>
    <row r="182" spans="1:13" ht="21" customHeight="1">
      <c r="A182" s="10">
        <v>180</v>
      </c>
      <c r="B182" s="16">
        <v>45947</v>
      </c>
      <c r="C182" s="2"/>
      <c r="D182" s="2" t="s">
        <v>44</v>
      </c>
      <c r="E182" s="53" t="s">
        <v>117</v>
      </c>
      <c r="F182" s="18">
        <v>24</v>
      </c>
      <c r="G182" s="19">
        <v>20361159</v>
      </c>
      <c r="H182" s="20">
        <f t="shared" si="2"/>
        <v>6</v>
      </c>
      <c r="I182" s="20">
        <v>393</v>
      </c>
      <c r="J182" s="10">
        <v>32</v>
      </c>
      <c r="K182" s="21">
        <v>45947</v>
      </c>
      <c r="L182" s="29" t="s">
        <v>54</v>
      </c>
      <c r="M182" s="54"/>
    </row>
    <row r="183" spans="1:13" ht="21" customHeight="1">
      <c r="A183" s="10">
        <v>181</v>
      </c>
      <c r="B183" s="16">
        <v>45951</v>
      </c>
      <c r="C183" s="16" t="s">
        <v>119</v>
      </c>
      <c r="D183" s="2"/>
      <c r="E183" s="53" t="s">
        <v>53</v>
      </c>
      <c r="F183" s="18">
        <v>1118</v>
      </c>
      <c r="G183" s="19">
        <v>8250432</v>
      </c>
      <c r="H183" s="20">
        <f t="shared" si="2"/>
        <v>4</v>
      </c>
      <c r="I183" s="20">
        <v>300</v>
      </c>
      <c r="J183" s="10">
        <v>40</v>
      </c>
      <c r="K183" s="21">
        <v>45951</v>
      </c>
      <c r="L183" s="29" t="s">
        <v>54</v>
      </c>
      <c r="M183" s="54"/>
    </row>
    <row r="184" spans="1:13" ht="21" customHeight="1">
      <c r="A184" s="10">
        <v>182</v>
      </c>
      <c r="B184" s="16">
        <v>45951</v>
      </c>
      <c r="C184" s="16" t="s">
        <v>119</v>
      </c>
      <c r="D184" s="2"/>
      <c r="E184" s="53" t="s">
        <v>53</v>
      </c>
      <c r="F184" s="18">
        <v>1123</v>
      </c>
      <c r="G184" s="19">
        <v>10330468</v>
      </c>
      <c r="H184" s="20">
        <f t="shared" si="2"/>
        <v>0</v>
      </c>
      <c r="I184" s="20">
        <v>320</v>
      </c>
      <c r="J184" s="10">
        <v>40</v>
      </c>
      <c r="K184" s="21">
        <v>45951</v>
      </c>
      <c r="L184" s="29" t="s">
        <v>54</v>
      </c>
      <c r="M184" s="54"/>
    </row>
    <row r="185" spans="1:13" ht="21" customHeight="1">
      <c r="A185" s="10">
        <v>183</v>
      </c>
      <c r="B185" s="16">
        <v>45951</v>
      </c>
      <c r="C185" s="16" t="s">
        <v>119</v>
      </c>
      <c r="D185" s="2"/>
      <c r="E185" s="53" t="s">
        <v>53</v>
      </c>
      <c r="F185" s="18">
        <v>1123</v>
      </c>
      <c r="G185" s="19">
        <v>10330469</v>
      </c>
      <c r="H185" s="20">
        <f t="shared" si="2"/>
        <v>1</v>
      </c>
      <c r="I185" s="20">
        <v>300</v>
      </c>
      <c r="J185" s="10">
        <v>10</v>
      </c>
      <c r="K185" s="21">
        <v>45951</v>
      </c>
      <c r="L185" s="29" t="s">
        <v>54</v>
      </c>
      <c r="M185" s="54"/>
    </row>
    <row r="186" spans="1:13" ht="21" customHeight="1">
      <c r="A186" s="10">
        <v>184</v>
      </c>
      <c r="B186" s="16">
        <v>45954</v>
      </c>
      <c r="C186" s="2"/>
      <c r="D186" s="2" t="s">
        <v>44</v>
      </c>
      <c r="E186" s="53" t="s">
        <v>120</v>
      </c>
      <c r="F186" s="18">
        <v>21</v>
      </c>
      <c r="G186" s="19">
        <v>11172630</v>
      </c>
      <c r="H186" s="20">
        <f t="shared" si="2"/>
        <v>0</v>
      </c>
      <c r="I186" s="20">
        <v>310</v>
      </c>
      <c r="J186" s="10">
        <v>40</v>
      </c>
      <c r="K186" s="21">
        <v>45957</v>
      </c>
      <c r="L186" s="29" t="s">
        <v>54</v>
      </c>
      <c r="M186" s="54"/>
    </row>
    <row r="187" spans="1:13" ht="21" customHeight="1">
      <c r="A187" s="10">
        <v>185</v>
      </c>
      <c r="B187" s="16">
        <v>45957</v>
      </c>
      <c r="C187" s="2"/>
      <c r="D187" s="2" t="s">
        <v>44</v>
      </c>
      <c r="E187" s="53" t="s">
        <v>121</v>
      </c>
      <c r="F187" s="18">
        <v>23</v>
      </c>
      <c r="G187" s="19">
        <v>40247644</v>
      </c>
      <c r="H187" s="20">
        <f t="shared" si="2"/>
        <v>0</v>
      </c>
      <c r="I187" s="20">
        <v>393</v>
      </c>
      <c r="J187" s="10">
        <v>40</v>
      </c>
      <c r="K187" s="21">
        <v>45957</v>
      </c>
      <c r="L187" s="29" t="s">
        <v>54</v>
      </c>
      <c r="M187" s="54"/>
    </row>
    <row r="188" spans="1:13" ht="21" customHeight="1">
      <c r="A188" s="10">
        <v>186</v>
      </c>
      <c r="B188" s="16">
        <v>45957</v>
      </c>
      <c r="C188" s="2"/>
      <c r="D188" s="2" t="s">
        <v>44</v>
      </c>
      <c r="E188" s="53" t="s">
        <v>57</v>
      </c>
      <c r="F188" s="18">
        <v>1125</v>
      </c>
      <c r="G188" s="19">
        <v>3445143</v>
      </c>
      <c r="H188" s="20">
        <f t="shared" si="2"/>
        <v>5</v>
      </c>
      <c r="I188" s="20">
        <v>310</v>
      </c>
      <c r="J188" s="10">
        <v>52</v>
      </c>
      <c r="K188" s="21">
        <v>45957</v>
      </c>
      <c r="L188" s="29" t="s">
        <v>54</v>
      </c>
      <c r="M188" s="54"/>
    </row>
    <row r="189" spans="1:13" ht="21" customHeight="1">
      <c r="A189" s="10">
        <v>187</v>
      </c>
      <c r="B189" s="16">
        <v>45957</v>
      </c>
      <c r="C189" s="2"/>
      <c r="D189" s="2" t="s">
        <v>44</v>
      </c>
      <c r="E189" s="53" t="s">
        <v>57</v>
      </c>
      <c r="F189" s="18">
        <v>1125</v>
      </c>
      <c r="G189" s="19">
        <v>3445142</v>
      </c>
      <c r="H189" s="20">
        <f t="shared" si="2"/>
        <v>4</v>
      </c>
      <c r="I189" s="20">
        <v>340</v>
      </c>
      <c r="J189" s="10">
        <v>52</v>
      </c>
      <c r="K189" s="21">
        <v>45957</v>
      </c>
      <c r="L189" s="29" t="s">
        <v>54</v>
      </c>
      <c r="M189" s="54"/>
    </row>
    <row r="190" spans="1:13" ht="21" customHeight="1">
      <c r="A190" s="10">
        <v>188</v>
      </c>
      <c r="B190" s="16">
        <v>45957</v>
      </c>
      <c r="C190" s="2"/>
      <c r="D190" s="2" t="s">
        <v>44</v>
      </c>
      <c r="E190" s="53" t="s">
        <v>57</v>
      </c>
      <c r="F190" s="18">
        <v>1125</v>
      </c>
      <c r="G190" s="19">
        <v>3445144</v>
      </c>
      <c r="H190" s="20">
        <f t="shared" si="2"/>
        <v>6</v>
      </c>
      <c r="I190" s="20">
        <v>999</v>
      </c>
      <c r="J190" s="10">
        <v>52</v>
      </c>
      <c r="K190" s="21">
        <v>45957</v>
      </c>
      <c r="L190" s="29" t="s">
        <v>54</v>
      </c>
      <c r="M190" s="54"/>
    </row>
    <row r="191" spans="1:13" ht="21" customHeight="1">
      <c r="A191" s="10">
        <v>189</v>
      </c>
      <c r="B191" s="16">
        <v>45959</v>
      </c>
      <c r="C191" s="2"/>
      <c r="D191" s="2" t="s">
        <v>44</v>
      </c>
      <c r="E191" s="53" t="s">
        <v>57</v>
      </c>
      <c r="F191" s="18">
        <v>1125</v>
      </c>
      <c r="G191" s="19">
        <v>3445146</v>
      </c>
      <c r="H191" s="20">
        <f t="shared" si="2"/>
        <v>1</v>
      </c>
      <c r="I191" s="20">
        <v>310</v>
      </c>
      <c r="J191" s="10">
        <v>52</v>
      </c>
      <c r="K191" s="21">
        <v>45959</v>
      </c>
      <c r="L191" s="29" t="s">
        <v>54</v>
      </c>
      <c r="M191" s="54"/>
    </row>
    <row r="192" spans="1:13" ht="21" customHeight="1">
      <c r="A192" s="10">
        <v>190</v>
      </c>
      <c r="B192" s="16">
        <v>45959</v>
      </c>
      <c r="C192" s="2" t="s">
        <v>44</v>
      </c>
      <c r="D192" s="2"/>
      <c r="E192" s="53" t="s">
        <v>122</v>
      </c>
      <c r="F192" s="18">
        <v>21</v>
      </c>
      <c r="G192" s="19">
        <v>11172688</v>
      </c>
      <c r="H192" s="20">
        <f t="shared" si="2"/>
        <v>2</v>
      </c>
      <c r="I192" s="20">
        <v>310</v>
      </c>
      <c r="J192" s="10">
        <v>52</v>
      </c>
      <c r="K192" s="21">
        <v>45959</v>
      </c>
      <c r="L192" s="29" t="s">
        <v>54</v>
      </c>
      <c r="M192" s="54"/>
    </row>
    <row r="193" spans="1:13" ht="21" customHeight="1">
      <c r="A193" s="10">
        <v>191</v>
      </c>
      <c r="B193" s="16">
        <v>45969</v>
      </c>
      <c r="C193" s="2" t="s">
        <v>119</v>
      </c>
      <c r="D193" s="2"/>
      <c r="E193" s="53" t="s">
        <v>124</v>
      </c>
      <c r="F193" s="18">
        <v>24</v>
      </c>
      <c r="G193" s="19">
        <v>20613452</v>
      </c>
      <c r="H193" s="20">
        <f>IF(G193="","",(F193*100000000+G193)-7*INT((F193*100000000+G193)/7))</f>
        <v>5</v>
      </c>
      <c r="I193" s="20">
        <v>999</v>
      </c>
      <c r="J193" s="10">
        <v>31</v>
      </c>
      <c r="K193" s="21">
        <v>45969</v>
      </c>
      <c r="L193" s="29" t="s">
        <v>54</v>
      </c>
      <c r="M193" s="54"/>
    </row>
    <row r="194" spans="1:13" ht="21" customHeight="1">
      <c r="A194" s="10">
        <v>192</v>
      </c>
      <c r="B194" s="16">
        <v>45969</v>
      </c>
      <c r="C194" s="2" t="s">
        <v>119</v>
      </c>
      <c r="D194" s="2"/>
      <c r="E194" s="53" t="s">
        <v>124</v>
      </c>
      <c r="F194" s="18">
        <v>24</v>
      </c>
      <c r="G194" s="19">
        <v>20491123</v>
      </c>
      <c r="H194" s="20">
        <f>IF(G194="","",(F194*100000000+G194)-7*INT((F194*100000000+G194)/7))</f>
        <v>1</v>
      </c>
      <c r="I194" s="20">
        <v>310</v>
      </c>
      <c r="J194" s="10">
        <v>52</v>
      </c>
      <c r="K194" s="21">
        <v>45969</v>
      </c>
      <c r="L194" s="29" t="s">
        <v>54</v>
      </c>
      <c r="M194" s="54"/>
    </row>
    <row r="195" spans="1:13" ht="21" customHeight="1">
      <c r="A195" s="10">
        <v>193</v>
      </c>
      <c r="B195" s="16">
        <v>45973</v>
      </c>
      <c r="C195" s="2"/>
      <c r="D195" s="2" t="s">
        <v>44</v>
      </c>
      <c r="E195" s="7" t="s">
        <v>57</v>
      </c>
      <c r="F195" s="18">
        <v>1125</v>
      </c>
      <c r="G195" s="19">
        <v>3445151</v>
      </c>
      <c r="H195" s="20">
        <f t="shared" ref="H195:H258" si="3">IF(G195="","",(F195*100000000+G195)-7*INT((F195*100000000+G195)/7))</f>
        <v>6</v>
      </c>
      <c r="I195" s="20">
        <v>300</v>
      </c>
      <c r="J195" s="10">
        <v>40</v>
      </c>
      <c r="K195" s="21">
        <v>45973</v>
      </c>
      <c r="L195" s="29" t="s">
        <v>54</v>
      </c>
      <c r="M195" s="54"/>
    </row>
    <row r="196" spans="1:13" ht="21" customHeight="1">
      <c r="A196" s="10">
        <v>194</v>
      </c>
      <c r="B196" s="16">
        <v>45973</v>
      </c>
      <c r="C196" s="2"/>
      <c r="D196" s="2" t="s">
        <v>44</v>
      </c>
      <c r="E196" s="7" t="s">
        <v>57</v>
      </c>
      <c r="F196" s="18">
        <v>1125</v>
      </c>
      <c r="G196" s="19">
        <v>3445153</v>
      </c>
      <c r="H196" s="20">
        <f t="shared" si="3"/>
        <v>1</v>
      </c>
      <c r="I196" s="20">
        <v>300</v>
      </c>
      <c r="J196" s="10">
        <v>40</v>
      </c>
      <c r="K196" s="21">
        <v>45973</v>
      </c>
      <c r="L196" s="29" t="s">
        <v>54</v>
      </c>
      <c r="M196" s="54"/>
    </row>
    <row r="197" spans="1:13" ht="21" customHeight="1">
      <c r="A197" s="10">
        <v>195</v>
      </c>
      <c r="B197" s="16">
        <v>45973</v>
      </c>
      <c r="C197" s="2"/>
      <c r="D197" s="2" t="s">
        <v>44</v>
      </c>
      <c r="E197" s="7" t="s">
        <v>57</v>
      </c>
      <c r="F197" s="18">
        <v>1125</v>
      </c>
      <c r="G197" s="19">
        <v>3445152</v>
      </c>
      <c r="H197" s="20">
        <f t="shared" si="3"/>
        <v>0</v>
      </c>
      <c r="I197" s="20">
        <v>300</v>
      </c>
      <c r="J197" s="10">
        <v>40</v>
      </c>
      <c r="K197" s="21">
        <v>45973</v>
      </c>
      <c r="L197" s="29" t="s">
        <v>54</v>
      </c>
      <c r="M197" s="54"/>
    </row>
    <row r="198" spans="1:13" ht="21" customHeight="1">
      <c r="A198" s="10">
        <v>196</v>
      </c>
      <c r="B198" s="16">
        <v>45973</v>
      </c>
      <c r="C198" s="2"/>
      <c r="D198" s="2" t="s">
        <v>44</v>
      </c>
      <c r="E198" s="7" t="s">
        <v>57</v>
      </c>
      <c r="F198" s="18">
        <v>1125</v>
      </c>
      <c r="G198" s="19">
        <v>3445155</v>
      </c>
      <c r="H198" s="20">
        <f t="shared" si="3"/>
        <v>3</v>
      </c>
      <c r="I198" s="20">
        <v>392</v>
      </c>
      <c r="J198" s="10">
        <v>40</v>
      </c>
      <c r="K198" s="21">
        <v>45973</v>
      </c>
      <c r="L198" s="29" t="s">
        <v>54</v>
      </c>
      <c r="M198" s="54"/>
    </row>
    <row r="199" spans="1:13" ht="21" customHeight="1">
      <c r="A199" s="10">
        <v>197</v>
      </c>
      <c r="B199" s="16">
        <v>45973</v>
      </c>
      <c r="C199" s="2"/>
      <c r="D199" s="2" t="s">
        <v>44</v>
      </c>
      <c r="E199" s="7" t="s">
        <v>57</v>
      </c>
      <c r="F199" s="18">
        <v>1125</v>
      </c>
      <c r="G199" s="19">
        <v>3445157</v>
      </c>
      <c r="H199" s="20">
        <f t="shared" si="3"/>
        <v>5</v>
      </c>
      <c r="I199" s="20">
        <v>310</v>
      </c>
      <c r="J199" s="10">
        <v>52</v>
      </c>
      <c r="K199" s="21">
        <v>45973</v>
      </c>
      <c r="L199" s="29" t="s">
        <v>54</v>
      </c>
      <c r="M199" s="29"/>
    </row>
    <row r="200" spans="1:13" ht="21" customHeight="1">
      <c r="A200" s="10">
        <v>198</v>
      </c>
      <c r="B200" s="16">
        <v>45973</v>
      </c>
      <c r="C200" s="2"/>
      <c r="D200" s="2" t="s">
        <v>44</v>
      </c>
      <c r="E200" s="7" t="s">
        <v>57</v>
      </c>
      <c r="F200" s="18">
        <v>1125</v>
      </c>
      <c r="G200" s="19">
        <v>3445154</v>
      </c>
      <c r="H200" s="20">
        <f t="shared" si="3"/>
        <v>2</v>
      </c>
      <c r="I200" s="20">
        <v>559</v>
      </c>
      <c r="J200" s="10">
        <v>52</v>
      </c>
      <c r="K200" s="21">
        <v>45973</v>
      </c>
      <c r="L200" s="29" t="s">
        <v>54</v>
      </c>
      <c r="M200" s="29"/>
    </row>
    <row r="201" spans="1:13" ht="21" customHeight="1">
      <c r="A201" s="10">
        <v>199</v>
      </c>
      <c r="B201" s="16">
        <v>45973</v>
      </c>
      <c r="C201" s="2"/>
      <c r="D201" s="2" t="s">
        <v>44</v>
      </c>
      <c r="E201" s="7" t="s">
        <v>57</v>
      </c>
      <c r="F201" s="18">
        <v>1125</v>
      </c>
      <c r="G201" s="19">
        <v>3445156</v>
      </c>
      <c r="H201" s="20">
        <f t="shared" si="3"/>
        <v>4</v>
      </c>
      <c r="I201" s="20">
        <v>392</v>
      </c>
      <c r="J201" s="10">
        <v>31</v>
      </c>
      <c r="K201" s="21">
        <v>45973</v>
      </c>
      <c r="L201" s="29" t="s">
        <v>54</v>
      </c>
      <c r="M201" s="29"/>
    </row>
    <row r="202" spans="1:13" ht="21" customHeight="1">
      <c r="A202" s="10">
        <v>200</v>
      </c>
      <c r="B202" s="16">
        <v>45986</v>
      </c>
      <c r="C202" s="16"/>
      <c r="D202" s="2" t="s">
        <v>44</v>
      </c>
      <c r="E202" s="7" t="s">
        <v>128</v>
      </c>
      <c r="F202" s="18">
        <v>23</v>
      </c>
      <c r="G202" s="19">
        <v>40247630</v>
      </c>
      <c r="H202" s="20">
        <f t="shared" si="3"/>
        <v>0</v>
      </c>
      <c r="I202" s="20">
        <v>532</v>
      </c>
      <c r="J202" s="10">
        <v>31</v>
      </c>
      <c r="K202" s="21">
        <v>45986</v>
      </c>
      <c r="L202" s="29" t="s">
        <v>54</v>
      </c>
      <c r="M202" s="29"/>
    </row>
    <row r="203" spans="1:13" ht="21" customHeight="1">
      <c r="A203" s="10">
        <v>201</v>
      </c>
      <c r="B203" s="16">
        <v>45987</v>
      </c>
      <c r="C203" s="16"/>
      <c r="D203" s="2" t="s">
        <v>119</v>
      </c>
      <c r="E203" s="7" t="s">
        <v>57</v>
      </c>
      <c r="F203" s="18">
        <v>1125</v>
      </c>
      <c r="G203" s="19">
        <v>3445163</v>
      </c>
      <c r="H203" s="20">
        <f t="shared" si="3"/>
        <v>4</v>
      </c>
      <c r="I203" s="20">
        <v>310</v>
      </c>
      <c r="J203" s="10">
        <v>52</v>
      </c>
      <c r="K203" s="21">
        <v>45986</v>
      </c>
      <c r="L203" s="29" t="s">
        <v>54</v>
      </c>
      <c r="M203" s="29"/>
    </row>
    <row r="204" spans="1:13" ht="21" customHeight="1">
      <c r="A204" s="10">
        <v>202</v>
      </c>
      <c r="B204" s="16">
        <v>45987</v>
      </c>
      <c r="C204" s="16"/>
      <c r="D204" s="2" t="s">
        <v>119</v>
      </c>
      <c r="E204" s="7" t="s">
        <v>57</v>
      </c>
      <c r="F204" s="18">
        <v>1125</v>
      </c>
      <c r="G204" s="19">
        <v>3445166</v>
      </c>
      <c r="H204" s="20">
        <f t="shared" si="3"/>
        <v>0</v>
      </c>
      <c r="I204" s="20">
        <v>395</v>
      </c>
      <c r="J204" s="10">
        <v>40</v>
      </c>
      <c r="K204" s="21">
        <v>45986</v>
      </c>
      <c r="L204" s="29" t="s">
        <v>54</v>
      </c>
      <c r="M204" s="29"/>
    </row>
    <row r="205" spans="1:13" ht="21" customHeight="1">
      <c r="A205" s="10">
        <v>203</v>
      </c>
      <c r="B205" s="16">
        <v>45987</v>
      </c>
      <c r="C205" s="16"/>
      <c r="D205" s="2" t="s">
        <v>119</v>
      </c>
      <c r="E205" s="7" t="s">
        <v>57</v>
      </c>
      <c r="F205" s="18">
        <v>1125</v>
      </c>
      <c r="G205" s="19">
        <v>3445164</v>
      </c>
      <c r="H205" s="20">
        <f t="shared" si="3"/>
        <v>5</v>
      </c>
      <c r="I205" s="20">
        <v>392</v>
      </c>
      <c r="J205" s="10">
        <v>31</v>
      </c>
      <c r="K205" s="21">
        <v>45986</v>
      </c>
      <c r="L205" s="29" t="s">
        <v>54</v>
      </c>
      <c r="M205" s="29"/>
    </row>
    <row r="206" spans="1:13" ht="21" customHeight="1">
      <c r="A206" s="10">
        <v>204</v>
      </c>
      <c r="B206" s="16">
        <v>45989</v>
      </c>
      <c r="C206" s="16"/>
      <c r="D206" s="2" t="s">
        <v>119</v>
      </c>
      <c r="E206" s="7" t="s">
        <v>57</v>
      </c>
      <c r="F206" s="18">
        <v>1125</v>
      </c>
      <c r="G206" s="19">
        <v>3445173</v>
      </c>
      <c r="H206" s="20">
        <f t="shared" si="3"/>
        <v>0</v>
      </c>
      <c r="I206" s="20">
        <v>586</v>
      </c>
      <c r="J206" s="10">
        <v>31</v>
      </c>
      <c r="K206" s="21">
        <v>45987</v>
      </c>
      <c r="L206" s="29" t="s">
        <v>54</v>
      </c>
      <c r="M206" s="29"/>
    </row>
    <row r="207" spans="1:13" ht="21" customHeight="1">
      <c r="A207" s="10">
        <v>205</v>
      </c>
      <c r="B207" s="16">
        <v>45989</v>
      </c>
      <c r="C207" s="16"/>
      <c r="D207" s="2" t="s">
        <v>119</v>
      </c>
      <c r="E207" s="7" t="s">
        <v>57</v>
      </c>
      <c r="F207" s="18">
        <v>1125</v>
      </c>
      <c r="G207" s="19">
        <v>3445167</v>
      </c>
      <c r="H207" s="20">
        <f t="shared" si="3"/>
        <v>1</v>
      </c>
      <c r="I207" s="20">
        <v>300</v>
      </c>
      <c r="J207" s="10">
        <v>40</v>
      </c>
      <c r="K207" s="21">
        <v>45987</v>
      </c>
      <c r="L207" s="29" t="s">
        <v>54</v>
      </c>
      <c r="M207" s="29"/>
    </row>
    <row r="208" spans="1:13" ht="21" customHeight="1">
      <c r="A208" s="10">
        <v>206</v>
      </c>
      <c r="B208" s="16">
        <v>45989</v>
      </c>
      <c r="C208" s="16"/>
      <c r="D208" s="2" t="s">
        <v>119</v>
      </c>
      <c r="E208" s="7" t="s">
        <v>57</v>
      </c>
      <c r="F208" s="18">
        <v>1125</v>
      </c>
      <c r="G208" s="19">
        <v>3445170</v>
      </c>
      <c r="H208" s="20">
        <f t="shared" si="3"/>
        <v>4</v>
      </c>
      <c r="I208" s="20">
        <v>320</v>
      </c>
      <c r="J208" s="10">
        <v>52</v>
      </c>
      <c r="K208" s="21">
        <v>45987</v>
      </c>
      <c r="L208" s="29" t="s">
        <v>54</v>
      </c>
      <c r="M208" s="29"/>
    </row>
    <row r="209" spans="1:13" ht="21" customHeight="1">
      <c r="A209" s="10">
        <v>207</v>
      </c>
      <c r="B209" s="16">
        <v>45989</v>
      </c>
      <c r="C209" s="16"/>
      <c r="D209" s="2" t="s">
        <v>119</v>
      </c>
      <c r="E209" s="7" t="s">
        <v>57</v>
      </c>
      <c r="F209" s="18">
        <v>1125</v>
      </c>
      <c r="G209" s="19">
        <v>3445171</v>
      </c>
      <c r="H209" s="20">
        <f t="shared" si="3"/>
        <v>5</v>
      </c>
      <c r="I209" s="20">
        <v>320</v>
      </c>
      <c r="J209" s="10">
        <v>52</v>
      </c>
      <c r="K209" s="21">
        <v>45987</v>
      </c>
      <c r="L209" s="29" t="s">
        <v>54</v>
      </c>
      <c r="M209" s="29"/>
    </row>
    <row r="210" spans="1:13" ht="21" customHeight="1">
      <c r="A210" s="10">
        <v>208</v>
      </c>
      <c r="B210" s="16">
        <v>45989</v>
      </c>
      <c r="C210" s="16"/>
      <c r="D210" s="2" t="s">
        <v>119</v>
      </c>
      <c r="E210" s="7" t="s">
        <v>57</v>
      </c>
      <c r="F210" s="18">
        <v>1125</v>
      </c>
      <c r="G210" s="19">
        <v>3445168</v>
      </c>
      <c r="H210" s="20">
        <f t="shared" si="3"/>
        <v>2</v>
      </c>
      <c r="I210" s="20">
        <v>320</v>
      </c>
      <c r="J210" s="10">
        <v>52</v>
      </c>
      <c r="K210" s="21">
        <v>45987</v>
      </c>
      <c r="L210" s="29" t="s">
        <v>54</v>
      </c>
      <c r="M210" s="29"/>
    </row>
    <row r="211" spans="1:13" ht="21" customHeight="1">
      <c r="A211" s="10">
        <v>209</v>
      </c>
      <c r="B211" s="16">
        <v>45989</v>
      </c>
      <c r="C211" s="16"/>
      <c r="D211" s="2" t="s">
        <v>119</v>
      </c>
      <c r="E211" s="7" t="s">
        <v>57</v>
      </c>
      <c r="F211" s="18">
        <v>1125</v>
      </c>
      <c r="G211" s="19">
        <v>3445172</v>
      </c>
      <c r="H211" s="20">
        <f t="shared" si="3"/>
        <v>6</v>
      </c>
      <c r="I211" s="20">
        <v>320</v>
      </c>
      <c r="J211" s="10">
        <v>52</v>
      </c>
      <c r="K211" s="21">
        <v>45987</v>
      </c>
      <c r="L211" s="29" t="s">
        <v>54</v>
      </c>
      <c r="M211" s="29"/>
    </row>
    <row r="212" spans="1:13" ht="21" customHeight="1">
      <c r="A212" s="10">
        <v>210</v>
      </c>
      <c r="B212" s="16">
        <v>45999</v>
      </c>
      <c r="C212" s="16"/>
      <c r="D212" s="2" t="s">
        <v>119</v>
      </c>
      <c r="E212" s="7" t="s">
        <v>57</v>
      </c>
      <c r="F212" s="18">
        <v>1125</v>
      </c>
      <c r="G212" s="19">
        <v>3445186</v>
      </c>
      <c r="H212" s="20">
        <f t="shared" si="3"/>
        <v>6</v>
      </c>
      <c r="I212" s="20">
        <v>300</v>
      </c>
      <c r="J212" s="10">
        <v>31</v>
      </c>
      <c r="K212" s="21">
        <v>45999</v>
      </c>
      <c r="L212" s="29" t="s">
        <v>54</v>
      </c>
      <c r="M212" s="29"/>
    </row>
    <row r="213" spans="1:13" ht="21" customHeight="1">
      <c r="A213" s="10">
        <v>211</v>
      </c>
      <c r="B213" s="16">
        <v>45999</v>
      </c>
      <c r="C213" s="16"/>
      <c r="D213" s="2" t="s">
        <v>119</v>
      </c>
      <c r="E213" s="7" t="s">
        <v>57</v>
      </c>
      <c r="F213" s="18">
        <v>1125</v>
      </c>
      <c r="G213" s="19">
        <v>3445188</v>
      </c>
      <c r="H213" s="20">
        <f t="shared" si="3"/>
        <v>1</v>
      </c>
      <c r="I213" s="20">
        <v>300</v>
      </c>
      <c r="J213" s="10">
        <v>32</v>
      </c>
      <c r="K213" s="21">
        <v>45999</v>
      </c>
      <c r="L213" s="29" t="s">
        <v>54</v>
      </c>
      <c r="M213" s="29"/>
    </row>
    <row r="214" spans="1:13" ht="21" customHeight="1">
      <c r="A214" s="10">
        <v>212</v>
      </c>
      <c r="B214" s="16">
        <v>45999</v>
      </c>
      <c r="C214" s="16"/>
      <c r="D214" s="2" t="s">
        <v>119</v>
      </c>
      <c r="E214" s="7" t="s">
        <v>57</v>
      </c>
      <c r="F214" s="18">
        <v>1125</v>
      </c>
      <c r="G214" s="19">
        <v>3445185</v>
      </c>
      <c r="H214" s="20">
        <f t="shared" si="3"/>
        <v>5</v>
      </c>
      <c r="I214" s="20">
        <v>394</v>
      </c>
      <c r="J214" s="10">
        <v>31</v>
      </c>
      <c r="K214" s="21">
        <v>45999</v>
      </c>
      <c r="L214" s="29" t="s">
        <v>54</v>
      </c>
      <c r="M214" s="29"/>
    </row>
    <row r="215" spans="1:13" ht="21" customHeight="1">
      <c r="A215" s="10">
        <v>213</v>
      </c>
      <c r="B215" s="16">
        <v>46002</v>
      </c>
      <c r="C215" s="2" t="s">
        <v>119</v>
      </c>
      <c r="D215" s="2"/>
      <c r="E215" s="7" t="s">
        <v>80</v>
      </c>
      <c r="F215" s="18">
        <v>24</v>
      </c>
      <c r="G215" s="19">
        <v>20613456</v>
      </c>
      <c r="H215" s="20">
        <f t="shared" si="3"/>
        <v>2</v>
      </c>
      <c r="I215" s="20">
        <v>393</v>
      </c>
      <c r="J215" s="10">
        <v>31</v>
      </c>
      <c r="K215" s="21">
        <v>46002</v>
      </c>
      <c r="L215" s="29" t="s">
        <v>54</v>
      </c>
      <c r="M215" s="29"/>
    </row>
    <row r="216" spans="1:13" ht="21" customHeight="1">
      <c r="A216" s="10">
        <v>214</v>
      </c>
      <c r="B216" s="16">
        <v>46002</v>
      </c>
      <c r="C216" s="2" t="s">
        <v>119</v>
      </c>
      <c r="D216" s="2"/>
      <c r="E216" s="7" t="s">
        <v>80</v>
      </c>
      <c r="F216" s="18">
        <v>24</v>
      </c>
      <c r="G216" s="19">
        <v>20613457</v>
      </c>
      <c r="H216" s="20">
        <f t="shared" si="3"/>
        <v>3</v>
      </c>
      <c r="I216" s="20">
        <v>310</v>
      </c>
      <c r="J216" s="10">
        <v>40</v>
      </c>
      <c r="K216" s="21">
        <v>46002</v>
      </c>
      <c r="L216" s="29" t="s">
        <v>54</v>
      </c>
      <c r="M216" s="29"/>
    </row>
    <row r="217" spans="1:13" ht="21" customHeight="1">
      <c r="A217" s="10">
        <v>215</v>
      </c>
      <c r="B217" s="16">
        <v>46006</v>
      </c>
      <c r="C217" s="16"/>
      <c r="D217" s="2" t="s">
        <v>119</v>
      </c>
      <c r="E217" s="7" t="s">
        <v>131</v>
      </c>
      <c r="F217" s="18">
        <v>22</v>
      </c>
      <c r="G217" s="19">
        <v>30483117</v>
      </c>
      <c r="H217" s="20">
        <f t="shared" si="3"/>
        <v>2</v>
      </c>
      <c r="I217" s="20">
        <v>543</v>
      </c>
      <c r="J217" s="10">
        <v>52</v>
      </c>
      <c r="K217" s="21">
        <v>46006</v>
      </c>
      <c r="L217" s="29" t="s">
        <v>54</v>
      </c>
      <c r="M217" s="29"/>
    </row>
    <row r="218" spans="1:13" ht="21" customHeight="1">
      <c r="A218" s="10">
        <v>216</v>
      </c>
      <c r="B218" s="16">
        <v>46009</v>
      </c>
      <c r="C218" s="16"/>
      <c r="D218" s="2" t="s">
        <v>119</v>
      </c>
      <c r="E218" s="7" t="s">
        <v>57</v>
      </c>
      <c r="F218" s="18">
        <v>1125</v>
      </c>
      <c r="G218" s="19">
        <v>3445192</v>
      </c>
      <c r="H218" s="20">
        <f t="shared" si="3"/>
        <v>5</v>
      </c>
      <c r="I218" s="20">
        <v>310</v>
      </c>
      <c r="J218" s="10">
        <v>52</v>
      </c>
      <c r="K218" s="21">
        <v>46008</v>
      </c>
      <c r="L218" s="29" t="s">
        <v>54</v>
      </c>
      <c r="M218" s="29"/>
    </row>
    <row r="219" spans="1:13" ht="21" customHeight="1">
      <c r="A219" s="10">
        <v>217</v>
      </c>
      <c r="B219" s="16">
        <v>46009</v>
      </c>
      <c r="C219" s="16"/>
      <c r="D219" s="2" t="s">
        <v>119</v>
      </c>
      <c r="E219" s="7" t="s">
        <v>57</v>
      </c>
      <c r="F219" s="18">
        <v>1125</v>
      </c>
      <c r="G219" s="19">
        <v>3445191</v>
      </c>
      <c r="H219" s="20">
        <f t="shared" si="3"/>
        <v>4</v>
      </c>
      <c r="I219" s="20">
        <v>300</v>
      </c>
      <c r="J219" s="10">
        <v>31</v>
      </c>
      <c r="K219" s="21">
        <v>46008</v>
      </c>
      <c r="L219" s="29" t="s">
        <v>54</v>
      </c>
      <c r="M219" s="29"/>
    </row>
    <row r="220" spans="1:13" ht="21" customHeight="1" thickBot="1">
      <c r="A220" s="57">
        <v>218</v>
      </c>
      <c r="B220" s="58">
        <v>46009</v>
      </c>
      <c r="C220" s="58"/>
      <c r="D220" s="66" t="s">
        <v>119</v>
      </c>
      <c r="E220" s="60" t="s">
        <v>57</v>
      </c>
      <c r="F220" s="61">
        <v>1125</v>
      </c>
      <c r="G220" s="62">
        <v>3445190</v>
      </c>
      <c r="H220" s="63">
        <f t="shared" si="3"/>
        <v>3</v>
      </c>
      <c r="I220" s="63">
        <v>300</v>
      </c>
      <c r="J220" s="57">
        <v>32</v>
      </c>
      <c r="K220" s="64">
        <v>46008</v>
      </c>
      <c r="L220" s="65" t="s">
        <v>54</v>
      </c>
      <c r="M220" s="67" t="s">
        <v>133</v>
      </c>
    </row>
    <row r="221" spans="1:13" ht="21" customHeight="1">
      <c r="A221" s="30">
        <v>219</v>
      </c>
      <c r="B221" s="16">
        <v>46014</v>
      </c>
      <c r="C221" s="1"/>
      <c r="D221" s="2" t="s">
        <v>44</v>
      </c>
      <c r="E221" s="53" t="s">
        <v>134</v>
      </c>
      <c r="F221" s="18">
        <v>23</v>
      </c>
      <c r="G221" s="19">
        <v>40247647</v>
      </c>
      <c r="H221" s="20">
        <f t="shared" si="3"/>
        <v>3</v>
      </c>
      <c r="I221" s="20">
        <v>300</v>
      </c>
      <c r="J221" s="10">
        <v>40</v>
      </c>
      <c r="K221" s="21">
        <v>46014</v>
      </c>
      <c r="L221" s="29" t="s">
        <v>54</v>
      </c>
      <c r="M221" s="54"/>
    </row>
    <row r="222" spans="1:13" ht="21" customHeight="1">
      <c r="A222" s="10">
        <v>220</v>
      </c>
      <c r="B222" s="16">
        <v>46014</v>
      </c>
      <c r="C222" s="2"/>
      <c r="D222" s="2" t="s">
        <v>44</v>
      </c>
      <c r="E222" s="53" t="s">
        <v>56</v>
      </c>
      <c r="F222" s="18">
        <v>1122</v>
      </c>
      <c r="G222" s="19">
        <v>9591295</v>
      </c>
      <c r="H222" s="20">
        <f t="shared" si="3"/>
        <v>4</v>
      </c>
      <c r="I222" s="20">
        <v>300</v>
      </c>
      <c r="J222" s="10">
        <v>40</v>
      </c>
      <c r="K222" s="21">
        <v>46014</v>
      </c>
      <c r="L222" s="29" t="s">
        <v>54</v>
      </c>
      <c r="M222" s="54"/>
    </row>
    <row r="223" spans="1:13" ht="21" customHeight="1">
      <c r="A223" s="10">
        <v>221</v>
      </c>
      <c r="B223" s="16">
        <v>46015</v>
      </c>
      <c r="C223" s="2"/>
      <c r="D223" s="2" t="s">
        <v>44</v>
      </c>
      <c r="E223" s="53" t="s">
        <v>57</v>
      </c>
      <c r="F223" s="18">
        <v>1125</v>
      </c>
      <c r="G223" s="19">
        <v>3445210</v>
      </c>
      <c r="H223" s="20">
        <f t="shared" si="3"/>
        <v>2</v>
      </c>
      <c r="I223" s="20">
        <v>300</v>
      </c>
      <c r="J223" s="10">
        <v>40</v>
      </c>
      <c r="K223" s="21">
        <v>46015</v>
      </c>
      <c r="L223" s="29" t="s">
        <v>54</v>
      </c>
      <c r="M223" s="54"/>
    </row>
    <row r="224" spans="1:13" ht="21" customHeight="1">
      <c r="A224" s="10">
        <v>222</v>
      </c>
      <c r="B224" s="16">
        <v>46015</v>
      </c>
      <c r="C224" s="2"/>
      <c r="D224" s="2" t="s">
        <v>44</v>
      </c>
      <c r="E224" s="53" t="s">
        <v>57</v>
      </c>
      <c r="F224" s="18">
        <v>1125</v>
      </c>
      <c r="G224" s="19">
        <v>3445208</v>
      </c>
      <c r="H224" s="20">
        <f t="shared" si="3"/>
        <v>0</v>
      </c>
      <c r="I224" s="20">
        <v>310</v>
      </c>
      <c r="J224" s="10">
        <v>40</v>
      </c>
      <c r="K224" s="21">
        <v>46015</v>
      </c>
      <c r="L224" s="29" t="s">
        <v>54</v>
      </c>
      <c r="M224" s="54"/>
    </row>
    <row r="225" spans="1:13" ht="21" customHeight="1">
      <c r="A225" s="10">
        <v>223</v>
      </c>
      <c r="B225" s="16">
        <v>46015</v>
      </c>
      <c r="C225" s="2"/>
      <c r="D225" s="2" t="s">
        <v>44</v>
      </c>
      <c r="E225" s="53" t="s">
        <v>57</v>
      </c>
      <c r="F225" s="18">
        <v>1125</v>
      </c>
      <c r="G225" s="19">
        <v>3445196</v>
      </c>
      <c r="H225" s="20">
        <f t="shared" si="3"/>
        <v>2</v>
      </c>
      <c r="I225" s="20">
        <v>310</v>
      </c>
      <c r="J225" s="10">
        <v>21</v>
      </c>
      <c r="K225" s="21">
        <v>46015</v>
      </c>
      <c r="L225" s="29" t="s">
        <v>54</v>
      </c>
      <c r="M225" s="54"/>
    </row>
    <row r="226" spans="1:13" ht="21" customHeight="1">
      <c r="A226" s="10">
        <v>224</v>
      </c>
      <c r="B226" s="16">
        <v>46015</v>
      </c>
      <c r="C226" s="2"/>
      <c r="D226" s="2" t="s">
        <v>44</v>
      </c>
      <c r="E226" s="53" t="s">
        <v>57</v>
      </c>
      <c r="F226" s="18">
        <v>1125</v>
      </c>
      <c r="G226" s="19">
        <v>3445207</v>
      </c>
      <c r="H226" s="20">
        <f t="shared" si="3"/>
        <v>6</v>
      </c>
      <c r="I226" s="20">
        <v>300</v>
      </c>
      <c r="J226" s="10">
        <v>52</v>
      </c>
      <c r="K226" s="21">
        <v>46015</v>
      </c>
      <c r="L226" s="29" t="s">
        <v>54</v>
      </c>
      <c r="M226" s="54"/>
    </row>
    <row r="227" spans="1:13" ht="21" customHeight="1">
      <c r="A227" s="10">
        <v>225</v>
      </c>
      <c r="B227" s="16">
        <v>46015</v>
      </c>
      <c r="C227" s="2"/>
      <c r="D227" s="2" t="s">
        <v>44</v>
      </c>
      <c r="E227" s="53" t="s">
        <v>57</v>
      </c>
      <c r="F227" s="18">
        <v>1125</v>
      </c>
      <c r="G227" s="19">
        <v>3445206</v>
      </c>
      <c r="H227" s="20">
        <f t="shared" si="3"/>
        <v>5</v>
      </c>
      <c r="I227" s="20">
        <v>300</v>
      </c>
      <c r="J227" s="10">
        <v>31</v>
      </c>
      <c r="K227" s="21">
        <v>46015</v>
      </c>
      <c r="L227" s="29" t="s">
        <v>54</v>
      </c>
      <c r="M227" s="54"/>
    </row>
    <row r="228" spans="1:13" ht="21" customHeight="1">
      <c r="A228" s="10">
        <v>226</v>
      </c>
      <c r="B228" s="16">
        <v>46015</v>
      </c>
      <c r="C228" s="2"/>
      <c r="D228" s="2" t="s">
        <v>44</v>
      </c>
      <c r="E228" s="53" t="s">
        <v>57</v>
      </c>
      <c r="F228" s="18">
        <v>1125</v>
      </c>
      <c r="G228" s="19">
        <v>3445197</v>
      </c>
      <c r="H228" s="20">
        <f t="shared" si="3"/>
        <v>3</v>
      </c>
      <c r="I228" s="20">
        <v>300</v>
      </c>
      <c r="J228" s="10">
        <v>22</v>
      </c>
      <c r="K228" s="21">
        <v>46015</v>
      </c>
      <c r="L228" s="29" t="s">
        <v>54</v>
      </c>
      <c r="M228" s="54"/>
    </row>
    <row r="229" spans="1:13" ht="21" customHeight="1">
      <c r="A229" s="10">
        <v>227</v>
      </c>
      <c r="B229" s="16">
        <v>46015</v>
      </c>
      <c r="C229" s="2"/>
      <c r="D229" s="2" t="s">
        <v>44</v>
      </c>
      <c r="E229" s="53" t="s">
        <v>57</v>
      </c>
      <c r="F229" s="18">
        <v>1125</v>
      </c>
      <c r="G229" s="19">
        <v>3445200</v>
      </c>
      <c r="H229" s="20">
        <f t="shared" si="3"/>
        <v>6</v>
      </c>
      <c r="I229" s="20">
        <v>393</v>
      </c>
      <c r="J229" s="10">
        <v>31</v>
      </c>
      <c r="K229" s="21">
        <v>46015</v>
      </c>
      <c r="L229" s="29" t="s">
        <v>54</v>
      </c>
      <c r="M229" s="54"/>
    </row>
    <row r="230" spans="1:13" ht="21" customHeight="1">
      <c r="A230" s="10">
        <v>228</v>
      </c>
      <c r="B230" s="16">
        <v>46015</v>
      </c>
      <c r="C230" s="2"/>
      <c r="D230" s="2" t="s">
        <v>44</v>
      </c>
      <c r="E230" s="53" t="s">
        <v>57</v>
      </c>
      <c r="F230" s="18">
        <v>1125</v>
      </c>
      <c r="G230" s="19">
        <v>3445194</v>
      </c>
      <c r="H230" s="20">
        <f t="shared" si="3"/>
        <v>0</v>
      </c>
      <c r="I230" s="20">
        <v>999</v>
      </c>
      <c r="J230" s="10">
        <v>31</v>
      </c>
      <c r="K230" s="21">
        <v>46015</v>
      </c>
      <c r="L230" s="29" t="s">
        <v>54</v>
      </c>
      <c r="M230" s="54"/>
    </row>
    <row r="231" spans="1:13" ht="21" customHeight="1">
      <c r="A231" s="10">
        <v>229</v>
      </c>
      <c r="B231" s="16">
        <v>46015</v>
      </c>
      <c r="C231" s="2"/>
      <c r="D231" s="2" t="s">
        <v>44</v>
      </c>
      <c r="E231" s="53" t="s">
        <v>57</v>
      </c>
      <c r="F231" s="18">
        <v>1125</v>
      </c>
      <c r="G231" s="19">
        <v>3445201</v>
      </c>
      <c r="H231" s="20">
        <f t="shared" si="3"/>
        <v>0</v>
      </c>
      <c r="I231" s="20">
        <v>300</v>
      </c>
      <c r="J231" s="10">
        <v>31</v>
      </c>
      <c r="K231" s="21">
        <v>46015</v>
      </c>
      <c r="L231" s="29" t="s">
        <v>54</v>
      </c>
      <c r="M231" s="54"/>
    </row>
    <row r="232" spans="1:13" ht="21" customHeight="1">
      <c r="A232" s="10">
        <v>230</v>
      </c>
      <c r="B232" s="16">
        <v>46015</v>
      </c>
      <c r="C232" s="2"/>
      <c r="D232" s="2" t="s">
        <v>44</v>
      </c>
      <c r="E232" s="53" t="s">
        <v>57</v>
      </c>
      <c r="F232" s="18">
        <v>1125</v>
      </c>
      <c r="G232" s="19">
        <v>3445198</v>
      </c>
      <c r="H232" s="20">
        <f t="shared" si="3"/>
        <v>4</v>
      </c>
      <c r="I232" s="20">
        <v>999</v>
      </c>
      <c r="J232" s="10">
        <v>31</v>
      </c>
      <c r="K232" s="21">
        <v>46015</v>
      </c>
      <c r="L232" s="29" t="s">
        <v>54</v>
      </c>
      <c r="M232" s="54"/>
    </row>
    <row r="233" spans="1:13" ht="21" customHeight="1">
      <c r="A233" s="10">
        <v>231</v>
      </c>
      <c r="B233" s="16">
        <v>46016</v>
      </c>
      <c r="C233" s="2"/>
      <c r="D233" s="2" t="s">
        <v>44</v>
      </c>
      <c r="E233" s="53" t="s">
        <v>68</v>
      </c>
      <c r="F233" s="18">
        <v>1125</v>
      </c>
      <c r="G233" s="19">
        <v>186688</v>
      </c>
      <c r="H233" s="20">
        <f t="shared" si="3"/>
        <v>1</v>
      </c>
      <c r="I233" s="20">
        <v>310</v>
      </c>
      <c r="J233" s="10">
        <v>52</v>
      </c>
      <c r="K233" s="21">
        <v>46016</v>
      </c>
      <c r="L233" s="29" t="s">
        <v>54</v>
      </c>
      <c r="M233" s="54"/>
    </row>
    <row r="234" spans="1:13" ht="21" customHeight="1">
      <c r="A234" s="10">
        <v>232</v>
      </c>
      <c r="B234" s="16">
        <v>46017</v>
      </c>
      <c r="C234" s="2"/>
      <c r="D234" s="2" t="s">
        <v>44</v>
      </c>
      <c r="E234" s="53" t="s">
        <v>57</v>
      </c>
      <c r="F234" s="18">
        <v>1125</v>
      </c>
      <c r="G234" s="19">
        <v>3445211</v>
      </c>
      <c r="H234" s="20">
        <f t="shared" si="3"/>
        <v>3</v>
      </c>
      <c r="I234" s="20">
        <v>310</v>
      </c>
      <c r="J234" s="10">
        <v>32</v>
      </c>
      <c r="K234" s="21">
        <v>46015</v>
      </c>
      <c r="L234" s="29" t="s">
        <v>54</v>
      </c>
      <c r="M234" s="54"/>
    </row>
    <row r="235" spans="1:13" ht="21" customHeight="1">
      <c r="A235" s="10">
        <v>233</v>
      </c>
      <c r="B235" s="16">
        <v>46017</v>
      </c>
      <c r="C235" s="2"/>
      <c r="D235" s="2" t="s">
        <v>44</v>
      </c>
      <c r="E235" s="53" t="s">
        <v>57</v>
      </c>
      <c r="F235" s="18">
        <v>1125</v>
      </c>
      <c r="G235" s="19">
        <v>3445212</v>
      </c>
      <c r="H235" s="20">
        <f t="shared" si="3"/>
        <v>4</v>
      </c>
      <c r="I235" s="20">
        <v>393</v>
      </c>
      <c r="J235" s="10">
        <v>40</v>
      </c>
      <c r="K235" s="21">
        <v>46015</v>
      </c>
      <c r="L235" s="29" t="s">
        <v>54</v>
      </c>
      <c r="M235" s="54"/>
    </row>
    <row r="236" spans="1:13" ht="21" customHeight="1">
      <c r="A236" s="10">
        <v>234</v>
      </c>
      <c r="B236" s="16">
        <v>46030</v>
      </c>
      <c r="C236" s="2"/>
      <c r="D236" s="2" t="s">
        <v>44</v>
      </c>
      <c r="E236" s="53" t="s">
        <v>57</v>
      </c>
      <c r="F236" s="18">
        <v>1125</v>
      </c>
      <c r="G236" s="19">
        <v>3445214</v>
      </c>
      <c r="H236" s="20">
        <f t="shared" si="3"/>
        <v>6</v>
      </c>
      <c r="I236" s="20">
        <v>300</v>
      </c>
      <c r="J236" s="10">
        <v>40</v>
      </c>
      <c r="K236" s="21">
        <v>46383</v>
      </c>
      <c r="L236" s="29" t="s">
        <v>54</v>
      </c>
      <c r="M236" s="54"/>
    </row>
    <row r="237" spans="1:13" ht="21" customHeight="1">
      <c r="A237" s="10">
        <v>235</v>
      </c>
      <c r="B237" s="16">
        <v>46030</v>
      </c>
      <c r="C237" s="2"/>
      <c r="D237" s="2" t="s">
        <v>44</v>
      </c>
      <c r="E237" s="53" t="s">
        <v>57</v>
      </c>
      <c r="F237" s="18">
        <v>1125</v>
      </c>
      <c r="G237" s="19">
        <v>3445220</v>
      </c>
      <c r="H237" s="20">
        <f t="shared" si="3"/>
        <v>5</v>
      </c>
      <c r="I237" s="20">
        <v>300</v>
      </c>
      <c r="J237" s="10">
        <v>21</v>
      </c>
      <c r="K237" s="21">
        <v>46030</v>
      </c>
      <c r="L237" s="29" t="s">
        <v>54</v>
      </c>
      <c r="M237" s="54"/>
    </row>
    <row r="238" spans="1:13" ht="21" customHeight="1">
      <c r="A238" s="10">
        <v>236</v>
      </c>
      <c r="B238" s="16">
        <v>46030</v>
      </c>
      <c r="C238" s="2"/>
      <c r="D238" s="2" t="s">
        <v>44</v>
      </c>
      <c r="E238" s="53" t="s">
        <v>57</v>
      </c>
      <c r="F238" s="18">
        <v>1125</v>
      </c>
      <c r="G238" s="19">
        <v>3445215</v>
      </c>
      <c r="H238" s="20">
        <f t="shared" si="3"/>
        <v>0</v>
      </c>
      <c r="I238" s="20">
        <v>999</v>
      </c>
      <c r="J238" s="10">
        <v>22</v>
      </c>
      <c r="K238" s="21">
        <v>46030</v>
      </c>
      <c r="L238" s="29" t="s">
        <v>54</v>
      </c>
      <c r="M238" s="54"/>
    </row>
    <row r="239" spans="1:13" ht="21" customHeight="1">
      <c r="A239" s="10">
        <v>237</v>
      </c>
      <c r="B239" s="16">
        <v>46032</v>
      </c>
      <c r="C239" s="2"/>
      <c r="D239" s="2" t="s">
        <v>44</v>
      </c>
      <c r="E239" s="53" t="s">
        <v>68</v>
      </c>
      <c r="F239" s="18">
        <v>1125</v>
      </c>
      <c r="G239" s="19">
        <v>186686</v>
      </c>
      <c r="H239" s="20">
        <f t="shared" si="3"/>
        <v>6</v>
      </c>
      <c r="I239" s="20">
        <v>310</v>
      </c>
      <c r="J239" s="10">
        <v>32</v>
      </c>
      <c r="K239" s="21">
        <v>46032</v>
      </c>
      <c r="L239" s="29" t="s">
        <v>54</v>
      </c>
      <c r="M239" s="54"/>
    </row>
    <row r="240" spans="1:13" ht="21" customHeight="1">
      <c r="A240" s="10">
        <v>238</v>
      </c>
      <c r="B240" s="16">
        <v>46044</v>
      </c>
      <c r="C240" s="16"/>
      <c r="D240" s="2" t="s">
        <v>44</v>
      </c>
      <c r="E240" s="53" t="s">
        <v>57</v>
      </c>
      <c r="F240" s="18">
        <v>1125</v>
      </c>
      <c r="G240" s="19">
        <v>3445222</v>
      </c>
      <c r="H240" s="20">
        <f t="shared" si="3"/>
        <v>0</v>
      </c>
      <c r="I240" s="20">
        <v>320</v>
      </c>
      <c r="J240" s="10">
        <v>52</v>
      </c>
      <c r="K240" s="21">
        <v>46042</v>
      </c>
      <c r="L240" s="29" t="s">
        <v>54</v>
      </c>
      <c r="M240" s="54"/>
    </row>
    <row r="241" spans="1:13" ht="21" customHeight="1">
      <c r="A241" s="10">
        <v>239</v>
      </c>
      <c r="B241" s="16">
        <v>46044</v>
      </c>
      <c r="C241" s="2"/>
      <c r="D241" s="2" t="s">
        <v>44</v>
      </c>
      <c r="E241" s="53" t="s">
        <v>57</v>
      </c>
      <c r="F241" s="18">
        <v>1125</v>
      </c>
      <c r="G241" s="19">
        <v>3445223</v>
      </c>
      <c r="H241" s="20">
        <f t="shared" si="3"/>
        <v>1</v>
      </c>
      <c r="I241" s="20">
        <v>310</v>
      </c>
      <c r="J241" s="10">
        <v>52</v>
      </c>
      <c r="K241" s="21">
        <v>46042</v>
      </c>
      <c r="L241" s="29" t="s">
        <v>54</v>
      </c>
      <c r="M241" s="54"/>
    </row>
    <row r="242" spans="1:13" ht="21" customHeight="1">
      <c r="A242" s="10">
        <v>240</v>
      </c>
      <c r="B242" s="16">
        <v>46049</v>
      </c>
      <c r="C242" s="2" t="s">
        <v>44</v>
      </c>
      <c r="D242" s="2"/>
      <c r="E242" s="53" t="s">
        <v>136</v>
      </c>
      <c r="F242" s="18">
        <v>24</v>
      </c>
      <c r="G242" s="19">
        <v>40526051</v>
      </c>
      <c r="H242" s="20">
        <f t="shared" si="3"/>
        <v>5</v>
      </c>
      <c r="I242" s="20">
        <v>300</v>
      </c>
      <c r="J242" s="10">
        <v>40</v>
      </c>
      <c r="K242" s="21">
        <v>46049</v>
      </c>
      <c r="L242" s="29" t="s">
        <v>54</v>
      </c>
      <c r="M242" s="54"/>
    </row>
    <row r="243" spans="1:13" ht="21" customHeight="1">
      <c r="A243" s="10">
        <v>241</v>
      </c>
      <c r="B243" s="16">
        <v>46052</v>
      </c>
      <c r="C243" s="16"/>
      <c r="D243" s="2" t="s">
        <v>44</v>
      </c>
      <c r="E243" s="53" t="s">
        <v>57</v>
      </c>
      <c r="F243" s="18">
        <v>1125</v>
      </c>
      <c r="G243" s="19">
        <v>3445160</v>
      </c>
      <c r="H243" s="20">
        <f t="shared" si="3"/>
        <v>1</v>
      </c>
      <c r="I243" s="20">
        <v>310</v>
      </c>
      <c r="J243" s="10">
        <v>52</v>
      </c>
      <c r="K243" s="21">
        <v>46052</v>
      </c>
      <c r="L243" s="29" t="s">
        <v>54</v>
      </c>
      <c r="M243" s="54"/>
    </row>
    <row r="244" spans="1:13" ht="21" customHeight="1">
      <c r="A244" s="10">
        <v>242</v>
      </c>
      <c r="B244" s="16">
        <v>46070</v>
      </c>
      <c r="C244" s="2" t="s">
        <v>44</v>
      </c>
      <c r="D244" s="2"/>
      <c r="E244" s="53" t="s">
        <v>137</v>
      </c>
      <c r="F244" s="18">
        <v>25</v>
      </c>
      <c r="G244" s="19">
        <v>10584402</v>
      </c>
      <c r="H244" s="20">
        <f t="shared" si="3"/>
        <v>4</v>
      </c>
      <c r="I244" s="20">
        <v>300</v>
      </c>
      <c r="J244" s="10">
        <v>40</v>
      </c>
      <c r="K244" s="21">
        <v>46070</v>
      </c>
      <c r="L244" s="29" t="s">
        <v>54</v>
      </c>
      <c r="M244" s="54"/>
    </row>
    <row r="245" spans="1:13" ht="21" customHeight="1">
      <c r="A245" s="10">
        <v>243</v>
      </c>
      <c r="B245" s="16">
        <v>46070</v>
      </c>
      <c r="C245" s="16"/>
      <c r="D245" s="2" t="s">
        <v>44</v>
      </c>
      <c r="E245" s="53" t="s">
        <v>56</v>
      </c>
      <c r="F245" s="18">
        <v>1122</v>
      </c>
      <c r="G245" s="19">
        <v>9591294</v>
      </c>
      <c r="H245" s="20">
        <f t="shared" si="3"/>
        <v>3</v>
      </c>
      <c r="I245" s="20">
        <v>300</v>
      </c>
      <c r="J245" s="10">
        <v>40</v>
      </c>
      <c r="K245" s="21">
        <v>46070</v>
      </c>
      <c r="L245" s="29" t="s">
        <v>54</v>
      </c>
      <c r="M245" s="54"/>
    </row>
    <row r="246" spans="1:13" ht="21" customHeight="1">
      <c r="A246" s="10">
        <v>244</v>
      </c>
      <c r="B246" s="16">
        <v>46078</v>
      </c>
      <c r="C246" s="2" t="s">
        <v>44</v>
      </c>
      <c r="D246" s="2"/>
      <c r="E246" s="53" t="s">
        <v>138</v>
      </c>
      <c r="F246" s="18">
        <v>25</v>
      </c>
      <c r="G246" s="19">
        <v>10584406</v>
      </c>
      <c r="H246" s="20">
        <f t="shared" si="3"/>
        <v>1</v>
      </c>
      <c r="I246" s="20">
        <v>711</v>
      </c>
      <c r="J246" s="10">
        <v>31</v>
      </c>
      <c r="K246" s="21">
        <v>46078</v>
      </c>
      <c r="L246" s="29" t="s">
        <v>54</v>
      </c>
      <c r="M246" s="54"/>
    </row>
    <row r="247" spans="1:13" ht="21" customHeight="1">
      <c r="A247" s="10">
        <v>245</v>
      </c>
      <c r="B247" s="16">
        <v>46083</v>
      </c>
      <c r="C247" s="2" t="s">
        <v>44</v>
      </c>
      <c r="D247" s="2"/>
      <c r="E247" s="53" t="s">
        <v>139</v>
      </c>
      <c r="F247" s="18">
        <v>25</v>
      </c>
      <c r="G247" s="19">
        <v>10584408</v>
      </c>
      <c r="H247" s="20">
        <f t="shared" si="3"/>
        <v>3</v>
      </c>
      <c r="I247" s="20">
        <v>395</v>
      </c>
      <c r="J247" s="10">
        <v>32</v>
      </c>
      <c r="K247" s="21">
        <v>46083</v>
      </c>
      <c r="L247" s="29" t="s">
        <v>54</v>
      </c>
      <c r="M247" s="54"/>
    </row>
    <row r="248" spans="1:13" ht="21" customHeight="1">
      <c r="A248" s="10">
        <v>246</v>
      </c>
      <c r="B248" s="16">
        <v>46086</v>
      </c>
      <c r="C248" s="2" t="s">
        <v>44</v>
      </c>
      <c r="D248" s="2"/>
      <c r="E248" s="53" t="s">
        <v>80</v>
      </c>
      <c r="F248" s="18">
        <v>24</v>
      </c>
      <c r="G248" s="19">
        <v>20613473</v>
      </c>
      <c r="H248" s="20">
        <f t="shared" si="3"/>
        <v>5</v>
      </c>
      <c r="I248" s="20">
        <v>300</v>
      </c>
      <c r="J248" s="10">
        <v>40</v>
      </c>
      <c r="K248" s="21">
        <v>46086</v>
      </c>
      <c r="L248" s="29" t="s">
        <v>54</v>
      </c>
      <c r="M248" s="54"/>
    </row>
    <row r="249" spans="1:13" ht="21" customHeight="1">
      <c r="A249" s="10">
        <v>247</v>
      </c>
      <c r="B249" s="16">
        <v>46086</v>
      </c>
      <c r="C249" s="2" t="s">
        <v>44</v>
      </c>
      <c r="D249" s="2"/>
      <c r="E249" s="53" t="s">
        <v>80</v>
      </c>
      <c r="F249" s="18">
        <v>24</v>
      </c>
      <c r="G249" s="19">
        <v>20613472</v>
      </c>
      <c r="H249" s="20">
        <f t="shared" si="3"/>
        <v>4</v>
      </c>
      <c r="I249" s="20">
        <v>999</v>
      </c>
      <c r="J249" s="10">
        <v>31</v>
      </c>
      <c r="K249" s="21">
        <v>46086</v>
      </c>
      <c r="L249" s="29" t="s">
        <v>54</v>
      </c>
      <c r="M249" s="54"/>
    </row>
    <row r="250" spans="1:13" ht="21" customHeight="1">
      <c r="A250" s="10">
        <v>248</v>
      </c>
      <c r="B250" s="16">
        <v>46090</v>
      </c>
      <c r="C250" s="2"/>
      <c r="D250" s="2" t="s">
        <v>44</v>
      </c>
      <c r="E250" s="53" t="s">
        <v>140</v>
      </c>
      <c r="F250" s="18">
        <v>22</v>
      </c>
      <c r="G250" s="19">
        <v>30483128</v>
      </c>
      <c r="H250" s="20">
        <f t="shared" si="3"/>
        <v>6</v>
      </c>
      <c r="I250" s="20">
        <v>320</v>
      </c>
      <c r="J250" s="10">
        <v>22</v>
      </c>
      <c r="K250" s="21">
        <v>46090</v>
      </c>
      <c r="L250" s="29" t="s">
        <v>54</v>
      </c>
      <c r="M250" s="54"/>
    </row>
    <row r="251" spans="1:13" ht="21" customHeight="1">
      <c r="A251" s="10">
        <v>249</v>
      </c>
      <c r="B251" s="16">
        <v>46091</v>
      </c>
      <c r="C251" s="2"/>
      <c r="D251" s="2" t="s">
        <v>44</v>
      </c>
      <c r="E251" s="53" t="s">
        <v>57</v>
      </c>
      <c r="F251" s="18">
        <v>1125</v>
      </c>
      <c r="G251" s="19">
        <v>11307974</v>
      </c>
      <c r="H251" s="20">
        <f t="shared" si="3"/>
        <v>2</v>
      </c>
      <c r="I251" s="20">
        <v>300</v>
      </c>
      <c r="J251" s="10">
        <v>40</v>
      </c>
      <c r="K251" s="21">
        <v>46091</v>
      </c>
      <c r="L251" s="29" t="s">
        <v>54</v>
      </c>
      <c r="M251" s="54"/>
    </row>
    <row r="252" spans="1:13" ht="21" customHeight="1">
      <c r="A252" s="10">
        <v>250</v>
      </c>
      <c r="B252" s="16">
        <v>46091</v>
      </c>
      <c r="C252" s="2"/>
      <c r="D252" s="2" t="s">
        <v>44</v>
      </c>
      <c r="E252" s="53" t="s">
        <v>57</v>
      </c>
      <c r="F252" s="18">
        <v>1125</v>
      </c>
      <c r="G252" s="19">
        <v>11307976</v>
      </c>
      <c r="H252" s="20">
        <f t="shared" si="3"/>
        <v>4</v>
      </c>
      <c r="I252" s="20">
        <v>310</v>
      </c>
      <c r="J252" s="10">
        <v>40</v>
      </c>
      <c r="K252" s="21">
        <v>46091</v>
      </c>
      <c r="L252" s="29" t="s">
        <v>54</v>
      </c>
      <c r="M252" s="54"/>
    </row>
    <row r="253" spans="1:13" ht="21" customHeight="1">
      <c r="A253" s="10">
        <v>251</v>
      </c>
      <c r="B253" s="16">
        <v>46091</v>
      </c>
      <c r="C253" s="2"/>
      <c r="D253" s="2" t="s">
        <v>44</v>
      </c>
      <c r="E253" s="53" t="s">
        <v>57</v>
      </c>
      <c r="F253" s="18">
        <v>1125</v>
      </c>
      <c r="G253" s="19">
        <v>11307979</v>
      </c>
      <c r="H253" s="20">
        <f>IF(G253="","",(F253*100000000+G253)-7*INT((F253*100000000+G253)/7))</f>
        <v>0</v>
      </c>
      <c r="I253" s="20">
        <v>393</v>
      </c>
      <c r="J253" s="10">
        <v>40</v>
      </c>
      <c r="K253" s="21">
        <v>46091</v>
      </c>
      <c r="L253" s="29" t="s">
        <v>54</v>
      </c>
      <c r="M253" s="54"/>
    </row>
    <row r="254" spans="1:13" ht="21" customHeight="1">
      <c r="A254" s="10">
        <v>252</v>
      </c>
      <c r="B254" s="16">
        <v>46091</v>
      </c>
      <c r="C254" s="2"/>
      <c r="D254" s="2" t="s">
        <v>44</v>
      </c>
      <c r="E254" s="53" t="s">
        <v>57</v>
      </c>
      <c r="F254" s="18">
        <v>1125</v>
      </c>
      <c r="G254" s="19">
        <v>11307975</v>
      </c>
      <c r="H254" s="20">
        <f>IF(G254="","",(F254*100000000+G254)-7*INT((F254*100000000+G254)/7))</f>
        <v>3</v>
      </c>
      <c r="I254" s="20">
        <v>310</v>
      </c>
      <c r="J254" s="10">
        <v>40</v>
      </c>
      <c r="K254" s="21">
        <v>46091</v>
      </c>
      <c r="L254" s="29" t="s">
        <v>54</v>
      </c>
      <c r="M254" s="54"/>
    </row>
    <row r="255" spans="1:13" ht="21" customHeight="1">
      <c r="A255" s="10">
        <v>253</v>
      </c>
      <c r="B255" s="16">
        <v>46091</v>
      </c>
      <c r="C255" s="2"/>
      <c r="D255" s="2" t="s">
        <v>44</v>
      </c>
      <c r="E255" s="53" t="s">
        <v>57</v>
      </c>
      <c r="F255" s="18">
        <v>1125</v>
      </c>
      <c r="G255" s="19">
        <v>3445224</v>
      </c>
      <c r="H255" s="20">
        <f t="shared" si="3"/>
        <v>2</v>
      </c>
      <c r="I255" s="20">
        <v>300</v>
      </c>
      <c r="J255" s="10">
        <v>40</v>
      </c>
      <c r="K255" s="21">
        <v>46065</v>
      </c>
      <c r="L255" s="29" t="s">
        <v>54</v>
      </c>
      <c r="M255" s="54"/>
    </row>
    <row r="256" spans="1:13" ht="21" customHeight="1">
      <c r="A256" s="10">
        <v>254</v>
      </c>
      <c r="B256" s="16">
        <v>46091</v>
      </c>
      <c r="C256" s="2"/>
      <c r="D256" s="2" t="s">
        <v>44</v>
      </c>
      <c r="E256" s="53" t="s">
        <v>57</v>
      </c>
      <c r="F256" s="18">
        <v>1125</v>
      </c>
      <c r="G256" s="19">
        <v>11307973</v>
      </c>
      <c r="H256" s="20">
        <f t="shared" si="3"/>
        <v>1</v>
      </c>
      <c r="I256" s="20">
        <v>310</v>
      </c>
      <c r="J256" s="10">
        <v>40</v>
      </c>
      <c r="K256" s="21">
        <v>46091</v>
      </c>
      <c r="L256" s="29" t="s">
        <v>54</v>
      </c>
      <c r="M256" s="54"/>
    </row>
    <row r="257" spans="1:13" ht="21" customHeight="1">
      <c r="A257" s="10">
        <v>255</v>
      </c>
      <c r="B257" s="16">
        <v>46091</v>
      </c>
      <c r="C257" s="2"/>
      <c r="D257" s="2" t="s">
        <v>44</v>
      </c>
      <c r="E257" s="53" t="s">
        <v>57</v>
      </c>
      <c r="F257" s="18">
        <v>1125</v>
      </c>
      <c r="G257" s="19">
        <v>11307977</v>
      </c>
      <c r="H257" s="20">
        <f t="shared" si="3"/>
        <v>5</v>
      </c>
      <c r="I257" s="20">
        <v>310</v>
      </c>
      <c r="J257" s="10">
        <v>52</v>
      </c>
      <c r="K257" s="21">
        <v>46091</v>
      </c>
      <c r="L257" s="29" t="s">
        <v>54</v>
      </c>
      <c r="M257" s="54"/>
    </row>
    <row r="258" spans="1:13" ht="21" customHeight="1">
      <c r="A258" s="10">
        <v>256</v>
      </c>
      <c r="B258" s="16">
        <v>46092</v>
      </c>
      <c r="C258" s="2"/>
      <c r="D258" s="2" t="s">
        <v>44</v>
      </c>
      <c r="E258" s="53" t="s">
        <v>57</v>
      </c>
      <c r="F258" s="18">
        <v>1125</v>
      </c>
      <c r="G258" s="19">
        <v>11307983</v>
      </c>
      <c r="H258" s="20">
        <f t="shared" si="3"/>
        <v>4</v>
      </c>
      <c r="I258" s="20">
        <v>392</v>
      </c>
      <c r="J258" s="10">
        <v>31</v>
      </c>
      <c r="K258" s="21">
        <v>46092</v>
      </c>
      <c r="L258" s="29" t="s">
        <v>54</v>
      </c>
      <c r="M258" s="54"/>
    </row>
    <row r="259" spans="1:13" ht="21" customHeight="1">
      <c r="A259" s="10">
        <v>257</v>
      </c>
      <c r="B259" s="16">
        <v>46092</v>
      </c>
      <c r="C259" s="2"/>
      <c r="D259" s="2" t="s">
        <v>44</v>
      </c>
      <c r="E259" s="53" t="s">
        <v>57</v>
      </c>
      <c r="F259" s="18">
        <v>1125</v>
      </c>
      <c r="G259" s="19">
        <v>11307982</v>
      </c>
      <c r="H259" s="20">
        <f t="shared" ref="H259:H264" si="4">IF(G259="","",(F259*100000000+G259)-7*INT((F259*100000000+G259)/7))</f>
        <v>3</v>
      </c>
      <c r="I259" s="20">
        <v>310</v>
      </c>
      <c r="J259" s="10">
        <v>32</v>
      </c>
      <c r="K259" s="21">
        <v>46092</v>
      </c>
      <c r="L259" s="29" t="s">
        <v>54</v>
      </c>
      <c r="M259" s="29"/>
    </row>
    <row r="260" spans="1:13" ht="21" customHeight="1">
      <c r="A260" s="10">
        <v>258</v>
      </c>
      <c r="B260" s="16">
        <v>46092</v>
      </c>
      <c r="C260" s="2"/>
      <c r="D260" s="2" t="s">
        <v>44</v>
      </c>
      <c r="E260" s="53" t="s">
        <v>57</v>
      </c>
      <c r="F260" s="18">
        <v>1125</v>
      </c>
      <c r="G260" s="19">
        <v>11307986</v>
      </c>
      <c r="H260" s="20">
        <f t="shared" si="4"/>
        <v>0</v>
      </c>
      <c r="I260" s="20">
        <v>310</v>
      </c>
      <c r="J260" s="10">
        <v>32</v>
      </c>
      <c r="K260" s="21">
        <v>46092</v>
      </c>
      <c r="L260" s="29" t="s">
        <v>54</v>
      </c>
      <c r="M260" s="29"/>
    </row>
    <row r="261" spans="1:13" ht="21" customHeight="1">
      <c r="A261" s="10">
        <v>259</v>
      </c>
      <c r="B261" s="16">
        <v>46093</v>
      </c>
      <c r="C261" s="2"/>
      <c r="D261" s="2" t="s">
        <v>44</v>
      </c>
      <c r="E261" s="7" t="s">
        <v>141</v>
      </c>
      <c r="F261" s="18">
        <v>25</v>
      </c>
      <c r="G261" s="19">
        <v>10084251</v>
      </c>
      <c r="H261" s="20">
        <f t="shared" si="4"/>
        <v>3</v>
      </c>
      <c r="I261" s="20">
        <v>310</v>
      </c>
      <c r="J261" s="10">
        <v>40</v>
      </c>
      <c r="K261" s="21">
        <v>46093</v>
      </c>
      <c r="L261" s="29" t="s">
        <v>54</v>
      </c>
      <c r="M261" s="29"/>
    </row>
    <row r="262" spans="1:13" ht="21" customHeight="1">
      <c r="A262" s="10">
        <v>260</v>
      </c>
      <c r="B262" s="16">
        <v>46094</v>
      </c>
      <c r="C262" s="2" t="s">
        <v>44</v>
      </c>
      <c r="D262" s="2"/>
      <c r="E262" s="7" t="s">
        <v>80</v>
      </c>
      <c r="F262" s="18">
        <v>24</v>
      </c>
      <c r="G262" s="19">
        <v>20613470</v>
      </c>
      <c r="H262" s="20">
        <f t="shared" si="4"/>
        <v>2</v>
      </c>
      <c r="I262" s="20">
        <v>310</v>
      </c>
      <c r="J262" s="10">
        <v>22</v>
      </c>
      <c r="K262" s="21">
        <v>46094</v>
      </c>
      <c r="L262" s="29" t="s">
        <v>54</v>
      </c>
      <c r="M262" s="29"/>
    </row>
    <row r="263" spans="1:13" ht="21" customHeight="1">
      <c r="A263" s="10">
        <v>261</v>
      </c>
      <c r="B263" s="16">
        <v>46099</v>
      </c>
      <c r="C263" s="2"/>
      <c r="D263" s="2" t="s">
        <v>44</v>
      </c>
      <c r="E263" s="7" t="s">
        <v>57</v>
      </c>
      <c r="F263" s="18">
        <v>1125</v>
      </c>
      <c r="G263" s="19">
        <v>11307993</v>
      </c>
      <c r="H263" s="20">
        <f t="shared" si="4"/>
        <v>0</v>
      </c>
      <c r="I263" s="20">
        <v>999</v>
      </c>
      <c r="J263" s="10">
        <v>31</v>
      </c>
      <c r="K263" s="21">
        <v>46099</v>
      </c>
      <c r="L263" s="29" t="s">
        <v>54</v>
      </c>
      <c r="M263" s="29"/>
    </row>
    <row r="264" spans="1:13" ht="21" customHeight="1" thickBot="1">
      <c r="A264" s="57">
        <v>262</v>
      </c>
      <c r="B264" s="58">
        <v>46099</v>
      </c>
      <c r="C264" s="66"/>
      <c r="D264" s="66" t="s">
        <v>44</v>
      </c>
      <c r="E264" s="60" t="s">
        <v>57</v>
      </c>
      <c r="F264" s="61">
        <v>1125</v>
      </c>
      <c r="G264" s="62">
        <v>11307989</v>
      </c>
      <c r="H264" s="63">
        <f t="shared" si="4"/>
        <v>3</v>
      </c>
      <c r="I264" s="63">
        <v>393</v>
      </c>
      <c r="J264" s="57">
        <v>40</v>
      </c>
      <c r="K264" s="64">
        <v>46099</v>
      </c>
      <c r="L264" s="65" t="s">
        <v>54</v>
      </c>
      <c r="M264" s="67" t="s">
        <v>144</v>
      </c>
    </row>
    <row r="265" spans="1:13" ht="21" customHeight="1">
      <c r="A265" s="30">
        <v>263</v>
      </c>
      <c r="B265" s="34"/>
      <c r="C265" s="34"/>
      <c r="D265" s="34"/>
      <c r="E265" s="35"/>
      <c r="F265" s="25"/>
      <c r="G265" s="26"/>
      <c r="H265" s="36" t="str">
        <f t="shared" ref="H265:H280" si="5">IF(G265="","",(F265*100000000+G265)-7*INT((F265*100000000+G265)/7))</f>
        <v/>
      </c>
      <c r="I265" s="36"/>
      <c r="J265" s="30"/>
      <c r="K265" s="37"/>
      <c r="L265" s="56"/>
      <c r="M265" s="56"/>
    </row>
    <row r="266" spans="1:13" ht="21" customHeight="1">
      <c r="A266" s="10">
        <v>264</v>
      </c>
      <c r="B266" s="16"/>
      <c r="C266" s="16"/>
      <c r="D266" s="16"/>
      <c r="E266" s="7"/>
      <c r="F266" s="18"/>
      <c r="G266" s="19"/>
      <c r="H266" s="20" t="str">
        <f t="shared" si="5"/>
        <v/>
      </c>
      <c r="I266" s="20"/>
      <c r="J266" s="10"/>
      <c r="K266" s="21"/>
      <c r="L266" s="29"/>
      <c r="M266" s="29"/>
    </row>
    <row r="267" spans="1:13" ht="21" customHeight="1">
      <c r="A267" s="10">
        <v>265</v>
      </c>
      <c r="B267" s="16"/>
      <c r="C267" s="16"/>
      <c r="D267" s="16"/>
      <c r="E267" s="7"/>
      <c r="F267" s="18"/>
      <c r="G267" s="19"/>
      <c r="H267" s="20" t="str">
        <f t="shared" si="5"/>
        <v/>
      </c>
      <c r="I267" s="20"/>
      <c r="J267" s="10"/>
      <c r="K267" s="21"/>
      <c r="L267" s="29"/>
      <c r="M267" s="29"/>
    </row>
    <row r="268" spans="1:13" ht="21" customHeight="1">
      <c r="A268" s="10">
        <v>266</v>
      </c>
      <c r="B268" s="16"/>
      <c r="C268" s="16"/>
      <c r="D268" s="16"/>
      <c r="E268" s="7"/>
      <c r="F268" s="18"/>
      <c r="G268" s="19"/>
      <c r="H268" s="20" t="str">
        <f t="shared" si="5"/>
        <v/>
      </c>
      <c r="I268" s="20"/>
      <c r="J268" s="10"/>
      <c r="K268" s="21"/>
      <c r="L268" s="29"/>
      <c r="M268" s="29"/>
    </row>
    <row r="269" spans="1:13" ht="21" customHeight="1">
      <c r="A269" s="10">
        <v>267</v>
      </c>
      <c r="B269" s="16"/>
      <c r="C269" s="16"/>
      <c r="D269" s="16"/>
      <c r="E269" s="7"/>
      <c r="F269" s="18"/>
      <c r="G269" s="19"/>
      <c r="H269" s="20" t="str">
        <f t="shared" si="5"/>
        <v/>
      </c>
      <c r="I269" s="20"/>
      <c r="J269" s="10"/>
      <c r="K269" s="21"/>
      <c r="L269" s="29"/>
      <c r="M269" s="29"/>
    </row>
    <row r="270" spans="1:13" ht="21" customHeight="1">
      <c r="A270" s="10">
        <v>268</v>
      </c>
      <c r="B270" s="16"/>
      <c r="C270" s="16"/>
      <c r="D270" s="16"/>
      <c r="E270" s="7"/>
      <c r="F270" s="18"/>
      <c r="G270" s="19"/>
      <c r="H270" s="20" t="str">
        <f t="shared" si="5"/>
        <v/>
      </c>
      <c r="I270" s="20"/>
      <c r="J270" s="10"/>
      <c r="K270" s="21"/>
      <c r="L270" s="29"/>
      <c r="M270" s="29"/>
    </row>
    <row r="271" spans="1:13" ht="21" customHeight="1">
      <c r="A271" s="10">
        <v>269</v>
      </c>
      <c r="B271" s="16"/>
      <c r="C271" s="16"/>
      <c r="D271" s="16"/>
      <c r="E271" s="7"/>
      <c r="F271" s="18"/>
      <c r="G271" s="19"/>
      <c r="H271" s="20" t="str">
        <f t="shared" si="5"/>
        <v/>
      </c>
      <c r="I271" s="20"/>
      <c r="J271" s="10"/>
      <c r="K271" s="21"/>
      <c r="L271" s="29"/>
      <c r="M271" s="29"/>
    </row>
    <row r="272" spans="1:13" ht="21" customHeight="1">
      <c r="A272" s="10">
        <v>270</v>
      </c>
      <c r="B272" s="16"/>
      <c r="C272" s="16"/>
      <c r="D272" s="16"/>
      <c r="E272" s="7"/>
      <c r="F272" s="18"/>
      <c r="G272" s="19"/>
      <c r="H272" s="20" t="str">
        <f t="shared" si="5"/>
        <v/>
      </c>
      <c r="I272" s="20"/>
      <c r="J272" s="10"/>
      <c r="K272" s="21"/>
      <c r="L272" s="29"/>
      <c r="M272" s="29"/>
    </row>
    <row r="273" spans="1:13" ht="21" customHeight="1">
      <c r="A273" s="10">
        <v>271</v>
      </c>
      <c r="B273" s="16"/>
      <c r="C273" s="16"/>
      <c r="D273" s="16"/>
      <c r="E273" s="7"/>
      <c r="F273" s="18"/>
      <c r="G273" s="19"/>
      <c r="H273" s="20" t="str">
        <f t="shared" si="5"/>
        <v/>
      </c>
      <c r="I273" s="20"/>
      <c r="J273" s="10"/>
      <c r="K273" s="21"/>
      <c r="L273" s="29"/>
      <c r="M273" s="29"/>
    </row>
    <row r="274" spans="1:13" ht="21" customHeight="1">
      <c r="A274" s="10">
        <v>272</v>
      </c>
      <c r="B274" s="16"/>
      <c r="C274" s="16"/>
      <c r="D274" s="16"/>
      <c r="E274" s="7"/>
      <c r="F274" s="18"/>
      <c r="G274" s="19"/>
      <c r="H274" s="20" t="str">
        <f t="shared" si="5"/>
        <v/>
      </c>
      <c r="I274" s="20"/>
      <c r="J274" s="10"/>
      <c r="K274" s="21"/>
      <c r="L274" s="29"/>
      <c r="M274" s="29"/>
    </row>
    <row r="275" spans="1:13" ht="21" customHeight="1">
      <c r="A275" s="10">
        <v>273</v>
      </c>
      <c r="B275" s="16"/>
      <c r="C275" s="16"/>
      <c r="D275" s="16"/>
      <c r="E275" s="7"/>
      <c r="F275" s="18"/>
      <c r="G275" s="19"/>
      <c r="H275" s="20" t="str">
        <f t="shared" si="5"/>
        <v/>
      </c>
      <c r="I275" s="20"/>
      <c r="J275" s="10"/>
      <c r="K275" s="21"/>
      <c r="L275" s="29"/>
      <c r="M275" s="29"/>
    </row>
    <row r="276" spans="1:13" ht="21" customHeight="1">
      <c r="A276" s="10">
        <v>274</v>
      </c>
      <c r="B276" s="16"/>
      <c r="C276" s="16"/>
      <c r="D276" s="16"/>
      <c r="E276" s="7"/>
      <c r="F276" s="18"/>
      <c r="G276" s="19"/>
      <c r="H276" s="20" t="str">
        <f t="shared" si="5"/>
        <v/>
      </c>
      <c r="I276" s="20"/>
      <c r="J276" s="10"/>
      <c r="K276" s="21"/>
      <c r="L276" s="29"/>
      <c r="M276" s="29"/>
    </row>
    <row r="277" spans="1:13" ht="21" customHeight="1">
      <c r="A277" s="10">
        <v>275</v>
      </c>
      <c r="B277" s="16"/>
      <c r="C277" s="16"/>
      <c r="D277" s="16"/>
      <c r="E277" s="7"/>
      <c r="F277" s="18"/>
      <c r="G277" s="19"/>
      <c r="H277" s="20" t="str">
        <f t="shared" si="5"/>
        <v/>
      </c>
      <c r="I277" s="20"/>
      <c r="J277" s="10"/>
      <c r="K277" s="21"/>
      <c r="L277" s="29"/>
      <c r="M277" s="29"/>
    </row>
    <row r="278" spans="1:13" ht="21" customHeight="1">
      <c r="A278" s="10">
        <v>276</v>
      </c>
      <c r="B278" s="16"/>
      <c r="C278" s="16"/>
      <c r="D278" s="16"/>
      <c r="E278" s="7"/>
      <c r="F278" s="18"/>
      <c r="G278" s="19"/>
      <c r="H278" s="20" t="str">
        <f t="shared" si="5"/>
        <v/>
      </c>
      <c r="I278" s="20"/>
      <c r="J278" s="10"/>
      <c r="K278" s="21"/>
      <c r="L278" s="29"/>
      <c r="M278" s="29"/>
    </row>
    <row r="279" spans="1:13" ht="21" customHeight="1">
      <c r="A279" s="10">
        <v>277</v>
      </c>
      <c r="B279" s="16"/>
      <c r="C279" s="16"/>
      <c r="D279" s="16"/>
      <c r="E279" s="7"/>
      <c r="F279" s="18"/>
      <c r="G279" s="19"/>
      <c r="H279" s="20" t="str">
        <f t="shared" si="5"/>
        <v/>
      </c>
      <c r="I279" s="20"/>
      <c r="J279" s="10"/>
      <c r="K279" s="21"/>
      <c r="L279" s="29"/>
      <c r="M279" s="29"/>
    </row>
    <row r="280" spans="1:13" ht="21" customHeight="1">
      <c r="A280" s="10">
        <v>278</v>
      </c>
      <c r="B280" s="16"/>
      <c r="C280" s="16"/>
      <c r="D280" s="16"/>
      <c r="E280" s="7"/>
      <c r="F280" s="18"/>
      <c r="G280" s="19"/>
      <c r="H280" s="20" t="str">
        <f t="shared" si="5"/>
        <v/>
      </c>
      <c r="I280" s="20"/>
      <c r="J280" s="10"/>
      <c r="K280" s="21"/>
      <c r="L280" s="29"/>
      <c r="M280" s="29"/>
    </row>
    <row r="281" spans="1:13">
      <c r="A281" s="10"/>
      <c r="B281" s="16"/>
      <c r="C281" s="16"/>
      <c r="D281" s="16"/>
      <c r="E281" s="7"/>
      <c r="F281" s="32"/>
      <c r="G281" s="33"/>
      <c r="H281" s="10"/>
      <c r="I281" s="10"/>
      <c r="J281" s="10"/>
      <c r="K281" s="21"/>
      <c r="L281" s="27"/>
      <c r="M281" s="10"/>
    </row>
    <row r="282" spans="1:13">
      <c r="A282" s="10"/>
      <c r="B282" s="16"/>
      <c r="C282" s="16"/>
      <c r="D282" s="16"/>
      <c r="E282" s="7"/>
      <c r="F282" s="32"/>
      <c r="G282" s="33"/>
      <c r="H282" s="10"/>
      <c r="I282" s="10"/>
      <c r="J282" s="10"/>
      <c r="K282" s="21"/>
      <c r="L282" s="27"/>
      <c r="M282" s="10"/>
    </row>
    <row r="283" spans="1:13">
      <c r="A283" s="10"/>
      <c r="B283" s="16"/>
      <c r="C283" s="16"/>
      <c r="D283" s="16"/>
      <c r="E283" s="7"/>
      <c r="F283" s="32"/>
      <c r="G283" s="33"/>
      <c r="H283" s="10"/>
      <c r="I283" s="10"/>
      <c r="J283" s="10"/>
      <c r="K283" s="21"/>
      <c r="L283" s="27"/>
      <c r="M283" s="10"/>
    </row>
    <row r="284" spans="1:13">
      <c r="A284" s="10"/>
      <c r="B284" s="16"/>
      <c r="C284" s="16"/>
      <c r="D284" s="16"/>
      <c r="E284" s="7"/>
      <c r="F284" s="32"/>
      <c r="G284" s="33"/>
      <c r="H284" s="10"/>
      <c r="I284" s="10"/>
      <c r="J284" s="10"/>
      <c r="K284" s="21"/>
      <c r="L284" s="27"/>
      <c r="M284" s="10"/>
    </row>
    <row r="285" spans="1:13">
      <c r="A285" s="10"/>
      <c r="B285" s="16"/>
      <c r="C285" s="16"/>
      <c r="D285" s="16"/>
      <c r="E285" s="7"/>
      <c r="F285" s="32"/>
      <c r="G285" s="33"/>
      <c r="H285" s="10"/>
      <c r="I285" s="10"/>
      <c r="J285" s="10"/>
      <c r="K285" s="21"/>
      <c r="L285" s="27"/>
      <c r="M285" s="10"/>
    </row>
    <row r="286" spans="1:13">
      <c r="A286" s="10"/>
      <c r="B286" s="16"/>
      <c r="C286" s="16"/>
      <c r="D286" s="16"/>
      <c r="E286" s="7"/>
      <c r="F286" s="32"/>
      <c r="G286" s="33"/>
      <c r="H286" s="10"/>
      <c r="I286" s="10"/>
      <c r="J286" s="10"/>
      <c r="K286" s="21"/>
      <c r="L286" s="27"/>
      <c r="M286" s="10"/>
    </row>
    <row r="287" spans="1:13">
      <c r="A287" s="10"/>
      <c r="B287" s="16"/>
      <c r="C287" s="16"/>
      <c r="D287" s="16"/>
      <c r="E287" s="7"/>
      <c r="F287" s="32"/>
      <c r="G287" s="33"/>
      <c r="H287" s="10"/>
      <c r="I287" s="10"/>
      <c r="J287" s="10"/>
      <c r="K287" s="21"/>
      <c r="L287" s="27"/>
      <c r="M287" s="10"/>
    </row>
    <row r="288" spans="1:13">
      <c r="A288" s="10"/>
      <c r="B288" s="16"/>
      <c r="C288" s="16"/>
      <c r="D288" s="16"/>
      <c r="E288" s="7"/>
      <c r="F288" s="32"/>
      <c r="G288" s="33"/>
      <c r="H288" s="10"/>
      <c r="I288" s="10"/>
      <c r="J288" s="10"/>
      <c r="K288" s="21"/>
      <c r="L288" s="27"/>
      <c r="M288" s="10"/>
    </row>
    <row r="289" spans="1:13">
      <c r="A289" s="10"/>
      <c r="B289" s="16"/>
      <c r="C289" s="16"/>
      <c r="D289" s="16"/>
      <c r="E289" s="7"/>
      <c r="F289" s="32"/>
      <c r="G289" s="33"/>
      <c r="H289" s="10"/>
      <c r="I289" s="10"/>
      <c r="J289" s="10"/>
      <c r="K289" s="21"/>
      <c r="L289" s="27"/>
      <c r="M289" s="10"/>
    </row>
    <row r="290" spans="1:13">
      <c r="A290" s="10"/>
      <c r="B290" s="16"/>
      <c r="C290" s="16"/>
      <c r="D290" s="16"/>
      <c r="E290" s="7"/>
      <c r="F290" s="32"/>
      <c r="G290" s="33"/>
      <c r="H290" s="10"/>
      <c r="I290" s="10"/>
      <c r="J290" s="10"/>
      <c r="K290" s="21"/>
      <c r="L290" s="27"/>
      <c r="M290" s="10"/>
    </row>
    <row r="291" spans="1:13">
      <c r="A291" s="10"/>
      <c r="B291" s="16"/>
      <c r="C291" s="16"/>
      <c r="D291" s="16"/>
      <c r="E291" s="7"/>
      <c r="F291" s="32"/>
      <c r="G291" s="33"/>
      <c r="H291" s="10"/>
      <c r="I291" s="10"/>
      <c r="J291" s="10"/>
      <c r="K291" s="21"/>
      <c r="L291" s="27"/>
      <c r="M291" s="10"/>
    </row>
    <row r="292" spans="1:13">
      <c r="A292" s="10"/>
      <c r="B292" s="16"/>
      <c r="C292" s="16"/>
      <c r="D292" s="16"/>
      <c r="E292" s="7"/>
      <c r="F292" s="32"/>
      <c r="G292" s="33"/>
      <c r="H292" s="10"/>
      <c r="I292" s="10"/>
      <c r="J292" s="10"/>
      <c r="K292" s="21"/>
      <c r="L292" s="27"/>
      <c r="M292" s="10"/>
    </row>
    <row r="293" spans="1:13">
      <c r="A293" s="10"/>
      <c r="B293" s="16"/>
      <c r="C293" s="16"/>
      <c r="D293" s="16"/>
      <c r="E293" s="7"/>
      <c r="F293" s="32"/>
      <c r="G293" s="33"/>
      <c r="H293" s="10"/>
      <c r="I293" s="10"/>
      <c r="J293" s="10"/>
      <c r="K293" s="21"/>
      <c r="L293" s="27"/>
      <c r="M293" s="10"/>
    </row>
    <row r="294" spans="1:13">
      <c r="A294" s="10"/>
      <c r="B294" s="16"/>
      <c r="C294" s="16"/>
      <c r="D294" s="16"/>
      <c r="E294" s="7"/>
      <c r="F294" s="32"/>
      <c r="G294" s="33"/>
      <c r="H294" s="10"/>
      <c r="I294" s="10"/>
      <c r="J294" s="10"/>
      <c r="K294" s="21"/>
      <c r="L294" s="27"/>
      <c r="M294" s="10"/>
    </row>
    <row r="295" spans="1:13">
      <c r="A295" s="10"/>
      <c r="B295" s="16"/>
      <c r="C295" s="16"/>
      <c r="D295" s="16"/>
      <c r="E295" s="7"/>
      <c r="F295" s="32"/>
      <c r="G295" s="33"/>
      <c r="H295" s="10"/>
      <c r="I295" s="10"/>
      <c r="J295" s="10"/>
      <c r="K295" s="21"/>
      <c r="L295" s="27"/>
      <c r="M295" s="10"/>
    </row>
    <row r="296" spans="1:13">
      <c r="A296" s="10"/>
      <c r="B296" s="16"/>
      <c r="C296" s="16"/>
      <c r="D296" s="16"/>
      <c r="E296" s="7"/>
      <c r="F296" s="32"/>
      <c r="G296" s="33"/>
      <c r="H296" s="10"/>
      <c r="I296" s="10"/>
      <c r="J296" s="10"/>
      <c r="K296" s="21"/>
      <c r="L296" s="27"/>
      <c r="M296" s="10"/>
    </row>
    <row r="297" spans="1:13">
      <c r="A297" s="10"/>
      <c r="B297" s="16"/>
      <c r="C297" s="16"/>
      <c r="D297" s="16"/>
      <c r="E297" s="7"/>
      <c r="F297" s="32"/>
      <c r="G297" s="33"/>
      <c r="H297" s="10"/>
      <c r="I297" s="10"/>
      <c r="J297" s="10"/>
      <c r="K297" s="21"/>
      <c r="L297" s="27"/>
      <c r="M297" s="10"/>
    </row>
    <row r="298" spans="1:13">
      <c r="A298" s="10"/>
      <c r="B298" s="16"/>
      <c r="C298" s="16"/>
      <c r="D298" s="16"/>
      <c r="E298" s="7"/>
      <c r="F298" s="32"/>
      <c r="G298" s="33"/>
      <c r="H298" s="10"/>
      <c r="I298" s="10"/>
      <c r="J298" s="10"/>
      <c r="K298" s="21"/>
      <c r="L298" s="27"/>
      <c r="M298" s="10"/>
    </row>
    <row r="299" spans="1:13">
      <c r="A299" s="10"/>
      <c r="B299" s="16"/>
      <c r="C299" s="16"/>
      <c r="D299" s="16"/>
      <c r="E299" s="7"/>
      <c r="F299" s="32"/>
      <c r="G299" s="33"/>
      <c r="H299" s="10"/>
      <c r="I299" s="10"/>
      <c r="J299" s="10"/>
      <c r="K299" s="21"/>
      <c r="L299" s="27"/>
      <c r="M299" s="10"/>
    </row>
    <row r="300" spans="1:13">
      <c r="A300" s="10"/>
      <c r="B300" s="16"/>
      <c r="C300" s="16"/>
      <c r="D300" s="16"/>
      <c r="E300" s="7"/>
      <c r="F300" s="32"/>
      <c r="G300" s="33"/>
      <c r="H300" s="10"/>
      <c r="I300" s="10"/>
      <c r="J300" s="10"/>
      <c r="K300" s="21"/>
      <c r="L300" s="27"/>
      <c r="M300" s="10"/>
    </row>
    <row r="301" spans="1:13">
      <c r="A301" s="10"/>
      <c r="B301" s="16"/>
      <c r="C301" s="16"/>
      <c r="D301" s="16"/>
      <c r="E301" s="7"/>
      <c r="F301" s="32"/>
      <c r="G301" s="33"/>
      <c r="H301" s="10"/>
      <c r="I301" s="10"/>
      <c r="J301" s="10"/>
      <c r="K301" s="21"/>
      <c r="L301" s="27"/>
      <c r="M301" s="10"/>
    </row>
    <row r="302" spans="1:13">
      <c r="A302" s="10"/>
      <c r="B302" s="16"/>
      <c r="C302" s="16"/>
      <c r="D302" s="16"/>
      <c r="E302" s="7"/>
      <c r="F302" s="32"/>
      <c r="G302" s="33"/>
      <c r="H302" s="10"/>
      <c r="I302" s="10"/>
      <c r="J302" s="10"/>
      <c r="K302" s="21"/>
      <c r="L302" s="27"/>
      <c r="M302" s="10"/>
    </row>
    <row r="303" spans="1:13">
      <c r="A303" s="30"/>
      <c r="B303" s="34"/>
      <c r="C303" s="34"/>
      <c r="D303" s="34"/>
      <c r="E303" s="35"/>
      <c r="F303" s="25"/>
      <c r="G303" s="26"/>
      <c r="H303" s="36" t="str">
        <f t="shared" ref="H303:H318" si="6">IF(G303="","",MOD(F303*100000000+G303,7))</f>
        <v/>
      </c>
      <c r="I303" s="36"/>
      <c r="J303" s="30"/>
      <c r="K303" s="37"/>
      <c r="L303" s="31"/>
    </row>
    <row r="304" spans="1:13">
      <c r="A304" s="10"/>
      <c r="B304" s="16"/>
      <c r="C304" s="16"/>
      <c r="D304" s="16"/>
      <c r="E304" s="7"/>
      <c r="F304" s="18"/>
      <c r="G304" s="19"/>
      <c r="H304" s="20" t="str">
        <f t="shared" si="6"/>
        <v/>
      </c>
      <c r="I304" s="20"/>
      <c r="J304" s="10"/>
      <c r="K304" s="21"/>
      <c r="L304" s="27"/>
    </row>
    <row r="305" spans="1:12">
      <c r="A305" s="10"/>
      <c r="B305" s="16"/>
      <c r="C305" s="16"/>
      <c r="D305" s="16"/>
      <c r="E305" s="7"/>
      <c r="F305" s="18"/>
      <c r="G305" s="19"/>
      <c r="H305" s="20" t="str">
        <f t="shared" si="6"/>
        <v/>
      </c>
      <c r="I305" s="20"/>
      <c r="J305" s="10"/>
      <c r="K305" s="21"/>
      <c r="L305" s="27"/>
    </row>
    <row r="306" spans="1:12">
      <c r="A306" s="10"/>
      <c r="B306" s="16"/>
      <c r="C306" s="16"/>
      <c r="D306" s="16"/>
      <c r="E306" s="7"/>
      <c r="F306" s="18"/>
      <c r="G306" s="19"/>
      <c r="H306" s="20" t="str">
        <f t="shared" si="6"/>
        <v/>
      </c>
      <c r="I306" s="20"/>
      <c r="J306" s="10"/>
      <c r="K306" s="21"/>
      <c r="L306" s="27"/>
    </row>
    <row r="307" spans="1:12">
      <c r="A307" s="10"/>
      <c r="B307" s="16"/>
      <c r="C307" s="16"/>
      <c r="D307" s="16"/>
      <c r="E307" s="7"/>
      <c r="F307" s="18"/>
      <c r="G307" s="19"/>
      <c r="H307" s="20" t="str">
        <f t="shared" si="6"/>
        <v/>
      </c>
      <c r="I307" s="20"/>
      <c r="J307" s="10"/>
      <c r="K307" s="21"/>
      <c r="L307" s="27"/>
    </row>
    <row r="308" spans="1:12">
      <c r="A308" s="10"/>
      <c r="B308" s="16"/>
      <c r="C308" s="16"/>
      <c r="D308" s="16"/>
      <c r="E308" s="3"/>
      <c r="F308" s="18"/>
      <c r="G308" s="19"/>
      <c r="H308" s="20" t="str">
        <f t="shared" si="6"/>
        <v/>
      </c>
      <c r="I308" s="20"/>
      <c r="J308" s="10"/>
      <c r="K308" s="21"/>
      <c r="L308" s="27"/>
    </row>
    <row r="309" spans="1:12">
      <c r="A309" s="10"/>
      <c r="B309" s="16"/>
      <c r="C309" s="16"/>
      <c r="D309" s="16"/>
      <c r="E309" s="3"/>
      <c r="F309" s="18"/>
      <c r="G309" s="19"/>
      <c r="H309" s="20" t="str">
        <f t="shared" si="6"/>
        <v/>
      </c>
      <c r="I309" s="20"/>
      <c r="J309" s="10"/>
      <c r="K309" s="21"/>
      <c r="L309" s="27"/>
    </row>
    <row r="310" spans="1:12">
      <c r="A310" s="10"/>
      <c r="B310" s="16"/>
      <c r="C310" s="16"/>
      <c r="D310" s="16"/>
      <c r="E310" s="7"/>
      <c r="F310" s="18"/>
      <c r="G310" s="19"/>
      <c r="H310" s="20" t="str">
        <f t="shared" si="6"/>
        <v/>
      </c>
      <c r="I310" s="20"/>
      <c r="J310" s="10"/>
      <c r="K310" s="21"/>
      <c r="L310" s="27"/>
    </row>
    <row r="311" spans="1:12">
      <c r="A311" s="10"/>
      <c r="B311" s="16"/>
      <c r="C311" s="16"/>
      <c r="D311" s="16"/>
      <c r="E311" s="7"/>
      <c r="F311" s="18"/>
      <c r="G311" s="19"/>
      <c r="H311" s="20" t="str">
        <f t="shared" si="6"/>
        <v/>
      </c>
      <c r="I311" s="20"/>
      <c r="J311" s="10"/>
      <c r="K311" s="21"/>
      <c r="L311" s="27"/>
    </row>
    <row r="312" spans="1:12">
      <c r="A312" s="10"/>
      <c r="B312" s="16"/>
      <c r="C312" s="16"/>
      <c r="D312" s="16"/>
      <c r="E312" s="7"/>
      <c r="F312" s="18"/>
      <c r="G312" s="19"/>
      <c r="H312" s="20" t="str">
        <f t="shared" si="6"/>
        <v/>
      </c>
      <c r="I312" s="20"/>
      <c r="J312" s="10"/>
      <c r="K312" s="21"/>
      <c r="L312" s="27"/>
    </row>
    <row r="313" spans="1:12">
      <c r="A313" s="10"/>
      <c r="B313" s="16"/>
      <c r="C313" s="16"/>
      <c r="D313" s="16"/>
      <c r="E313" s="7"/>
      <c r="F313" s="18"/>
      <c r="G313" s="19"/>
      <c r="H313" s="20" t="str">
        <f t="shared" si="6"/>
        <v/>
      </c>
      <c r="I313" s="20"/>
      <c r="J313" s="10"/>
      <c r="K313" s="21"/>
      <c r="L313" s="27"/>
    </row>
    <row r="314" spans="1:12">
      <c r="A314" s="10"/>
      <c r="B314" s="16"/>
      <c r="C314" s="16"/>
      <c r="D314" s="16"/>
      <c r="E314" s="7"/>
      <c r="F314" s="18"/>
      <c r="G314" s="19"/>
      <c r="H314" s="20" t="str">
        <f t="shared" si="6"/>
        <v/>
      </c>
      <c r="I314" s="20"/>
      <c r="J314" s="10"/>
      <c r="K314" s="21"/>
      <c r="L314" s="27"/>
    </row>
    <row r="315" spans="1:12">
      <c r="A315" s="10"/>
      <c r="B315" s="16"/>
      <c r="C315" s="16"/>
      <c r="D315" s="16"/>
      <c r="E315" s="7"/>
      <c r="F315" s="18"/>
      <c r="G315" s="19"/>
      <c r="H315" s="20" t="str">
        <f t="shared" si="6"/>
        <v/>
      </c>
      <c r="I315" s="20"/>
      <c r="J315" s="10"/>
      <c r="K315" s="21"/>
      <c r="L315" s="27"/>
    </row>
    <row r="316" spans="1:12">
      <c r="A316" s="10"/>
      <c r="B316" s="16"/>
      <c r="C316" s="16"/>
      <c r="D316" s="16"/>
      <c r="E316" s="7"/>
      <c r="F316" s="18"/>
      <c r="G316" s="19"/>
      <c r="H316" s="20" t="str">
        <f t="shared" si="6"/>
        <v/>
      </c>
      <c r="I316" s="20"/>
      <c r="J316" s="10"/>
      <c r="K316" s="21"/>
      <c r="L316" s="27"/>
    </row>
    <row r="317" spans="1:12">
      <c r="A317" s="10"/>
      <c r="B317" s="16"/>
      <c r="C317" s="16"/>
      <c r="D317" s="16"/>
      <c r="E317" s="7"/>
      <c r="F317" s="18"/>
      <c r="G317" s="19"/>
      <c r="H317" s="20" t="str">
        <f t="shared" si="6"/>
        <v/>
      </c>
      <c r="I317" s="20"/>
      <c r="J317" s="10"/>
      <c r="K317" s="21"/>
      <c r="L317" s="27"/>
    </row>
    <row r="318" spans="1:12">
      <c r="A318" s="10"/>
      <c r="B318" s="16"/>
      <c r="C318" s="16"/>
      <c r="D318" s="16"/>
      <c r="E318" s="7"/>
      <c r="F318" s="18"/>
      <c r="G318" s="19"/>
      <c r="H318" s="20" t="str">
        <f t="shared" si="6"/>
        <v/>
      </c>
      <c r="I318" s="20"/>
      <c r="J318" s="10"/>
      <c r="K318" s="21"/>
      <c r="L318" s="27"/>
    </row>
    <row r="319" spans="1:12">
      <c r="A319" s="10"/>
      <c r="B319" s="16"/>
      <c r="C319" s="16"/>
      <c r="D319" s="16"/>
      <c r="E319" s="7"/>
      <c r="F319" s="18"/>
      <c r="G319" s="19"/>
      <c r="H319" s="20" t="str">
        <f t="shared" ref="H319:H350" si="7">IF(G319="","",MOD(F319*100000000+G319,7))</f>
        <v/>
      </c>
      <c r="I319" s="20"/>
      <c r="J319" s="10"/>
      <c r="K319" s="21"/>
      <c r="L319" s="27"/>
    </row>
    <row r="320" spans="1:12">
      <c r="A320" s="10"/>
      <c r="B320" s="16"/>
      <c r="C320" s="16"/>
      <c r="D320" s="16"/>
      <c r="E320" s="7"/>
      <c r="F320" s="18"/>
      <c r="G320" s="19"/>
      <c r="H320" s="20" t="str">
        <f t="shared" si="7"/>
        <v/>
      </c>
      <c r="I320" s="20"/>
      <c r="J320" s="10"/>
      <c r="K320" s="21"/>
      <c r="L320" s="27"/>
    </row>
    <row r="321" spans="1:12">
      <c r="A321" s="10"/>
      <c r="B321" s="16"/>
      <c r="C321" s="16"/>
      <c r="D321" s="16"/>
      <c r="E321" s="7"/>
      <c r="F321" s="18"/>
      <c r="G321" s="19"/>
      <c r="H321" s="20" t="str">
        <f t="shared" si="7"/>
        <v/>
      </c>
      <c r="I321" s="20"/>
      <c r="J321" s="10"/>
      <c r="K321" s="21"/>
      <c r="L321" s="27"/>
    </row>
    <row r="322" spans="1:12">
      <c r="A322" s="10"/>
      <c r="B322" s="16"/>
      <c r="C322" s="16"/>
      <c r="D322" s="16"/>
      <c r="E322" s="7"/>
      <c r="F322" s="18"/>
      <c r="G322" s="19"/>
      <c r="H322" s="20" t="str">
        <f t="shared" si="7"/>
        <v/>
      </c>
      <c r="I322" s="20"/>
      <c r="J322" s="10"/>
      <c r="K322" s="21"/>
      <c r="L322" s="27"/>
    </row>
    <row r="323" spans="1:12">
      <c r="A323" s="10"/>
      <c r="B323" s="16"/>
      <c r="C323" s="16"/>
      <c r="D323" s="16"/>
      <c r="E323" s="7"/>
      <c r="F323" s="18"/>
      <c r="G323" s="19"/>
      <c r="H323" s="20" t="str">
        <f t="shared" si="7"/>
        <v/>
      </c>
      <c r="I323" s="20"/>
      <c r="J323" s="10"/>
      <c r="K323" s="21"/>
      <c r="L323" s="27"/>
    </row>
    <row r="324" spans="1:12">
      <c r="A324" s="10"/>
      <c r="B324" s="16"/>
      <c r="C324" s="16"/>
      <c r="D324" s="16"/>
      <c r="E324" s="7"/>
      <c r="F324" s="18"/>
      <c r="G324" s="19"/>
      <c r="H324" s="20" t="str">
        <f t="shared" si="7"/>
        <v/>
      </c>
      <c r="I324" s="20"/>
      <c r="J324" s="10"/>
      <c r="K324" s="21"/>
      <c r="L324" s="27"/>
    </row>
    <row r="325" spans="1:12">
      <c r="A325" s="10"/>
      <c r="B325" s="16"/>
      <c r="C325" s="16"/>
      <c r="D325" s="16"/>
      <c r="E325" s="7"/>
      <c r="F325" s="18"/>
      <c r="G325" s="19"/>
      <c r="H325" s="20" t="str">
        <f t="shared" si="7"/>
        <v/>
      </c>
      <c r="I325" s="20"/>
      <c r="J325" s="10"/>
      <c r="K325" s="21"/>
      <c r="L325" s="27"/>
    </row>
    <row r="326" spans="1:12">
      <c r="A326" s="10"/>
      <c r="B326" s="16"/>
      <c r="C326" s="16"/>
      <c r="D326" s="16"/>
      <c r="E326" s="7"/>
      <c r="F326" s="18"/>
      <c r="G326" s="19"/>
      <c r="H326" s="20" t="str">
        <f t="shared" si="7"/>
        <v/>
      </c>
      <c r="I326" s="20"/>
      <c r="J326" s="10"/>
      <c r="K326" s="21"/>
      <c r="L326" s="27"/>
    </row>
    <row r="327" spans="1:12">
      <c r="A327" s="10"/>
      <c r="B327" s="16"/>
      <c r="C327" s="16"/>
      <c r="D327" s="16"/>
      <c r="E327" s="7"/>
      <c r="F327" s="18"/>
      <c r="G327" s="19"/>
      <c r="H327" s="20" t="str">
        <f t="shared" si="7"/>
        <v/>
      </c>
      <c r="I327" s="20"/>
      <c r="J327" s="10"/>
      <c r="K327" s="21"/>
      <c r="L327" s="27"/>
    </row>
    <row r="328" spans="1:12">
      <c r="A328" s="10"/>
      <c r="B328" s="16"/>
      <c r="C328" s="16"/>
      <c r="D328" s="16"/>
      <c r="E328" s="7"/>
      <c r="F328" s="18"/>
      <c r="G328" s="19"/>
      <c r="H328" s="20" t="str">
        <f t="shared" si="7"/>
        <v/>
      </c>
      <c r="I328" s="20"/>
      <c r="J328" s="10"/>
      <c r="K328" s="21"/>
      <c r="L328" s="27"/>
    </row>
    <row r="329" spans="1:12">
      <c r="A329" s="10"/>
      <c r="B329" s="16"/>
      <c r="C329" s="16"/>
      <c r="D329" s="16"/>
      <c r="E329" s="7"/>
      <c r="F329" s="18"/>
      <c r="G329" s="19"/>
      <c r="H329" s="20" t="str">
        <f t="shared" si="7"/>
        <v/>
      </c>
      <c r="I329" s="20"/>
      <c r="J329" s="10"/>
      <c r="K329" s="21"/>
      <c r="L329" s="27"/>
    </row>
    <row r="330" spans="1:12">
      <c r="A330" s="10"/>
      <c r="B330" s="16"/>
      <c r="C330" s="16"/>
      <c r="D330" s="16"/>
      <c r="E330" s="7"/>
      <c r="F330" s="18"/>
      <c r="G330" s="19"/>
      <c r="H330" s="20" t="str">
        <f t="shared" si="7"/>
        <v/>
      </c>
      <c r="I330" s="20"/>
      <c r="J330" s="10"/>
      <c r="K330" s="21"/>
      <c r="L330" s="27"/>
    </row>
    <row r="331" spans="1:12">
      <c r="A331" s="10"/>
      <c r="B331" s="16"/>
      <c r="C331" s="16"/>
      <c r="D331" s="16"/>
      <c r="E331" s="7"/>
      <c r="F331" s="18"/>
      <c r="G331" s="19"/>
      <c r="H331" s="20" t="str">
        <f t="shared" si="7"/>
        <v/>
      </c>
      <c r="I331" s="20"/>
      <c r="J331" s="10"/>
      <c r="K331" s="21"/>
      <c r="L331" s="27"/>
    </row>
    <row r="332" spans="1:12">
      <c r="A332" s="10"/>
      <c r="B332" s="16"/>
      <c r="C332" s="16"/>
      <c r="D332" s="16"/>
      <c r="E332" s="7"/>
      <c r="F332" s="18"/>
      <c r="G332" s="19"/>
      <c r="H332" s="20" t="str">
        <f t="shared" si="7"/>
        <v/>
      </c>
      <c r="I332" s="20"/>
      <c r="J332" s="10"/>
      <c r="K332" s="21"/>
      <c r="L332" s="27"/>
    </row>
    <row r="333" spans="1:12">
      <c r="A333" s="10"/>
      <c r="B333" s="16"/>
      <c r="C333" s="16"/>
      <c r="D333" s="16"/>
      <c r="E333" s="7"/>
      <c r="F333" s="18"/>
      <c r="G333" s="19"/>
      <c r="H333" s="20" t="str">
        <f t="shared" si="7"/>
        <v/>
      </c>
      <c r="I333" s="20"/>
      <c r="J333" s="10"/>
      <c r="K333" s="21"/>
      <c r="L333" s="27"/>
    </row>
    <row r="334" spans="1:12">
      <c r="A334" s="10"/>
      <c r="B334" s="16"/>
      <c r="C334" s="16"/>
      <c r="D334" s="16"/>
      <c r="E334" s="7"/>
      <c r="F334" s="18"/>
      <c r="G334" s="19"/>
      <c r="H334" s="20" t="str">
        <f t="shared" si="7"/>
        <v/>
      </c>
      <c r="I334" s="20"/>
      <c r="J334" s="10"/>
      <c r="K334" s="21"/>
      <c r="L334" s="27"/>
    </row>
    <row r="335" spans="1:12">
      <c r="A335" s="10"/>
      <c r="B335" s="16"/>
      <c r="C335" s="16"/>
      <c r="D335" s="16"/>
      <c r="E335" s="7"/>
      <c r="F335" s="18"/>
      <c r="G335" s="19"/>
      <c r="H335" s="20" t="str">
        <f t="shared" si="7"/>
        <v/>
      </c>
      <c r="I335" s="20"/>
      <c r="J335" s="10"/>
      <c r="K335" s="21"/>
      <c r="L335" s="27"/>
    </row>
    <row r="336" spans="1:12">
      <c r="A336" s="10"/>
      <c r="B336" s="16"/>
      <c r="C336" s="16"/>
      <c r="D336" s="16"/>
      <c r="E336" s="7"/>
      <c r="F336" s="18"/>
      <c r="G336" s="19"/>
      <c r="H336" s="20" t="str">
        <f t="shared" si="7"/>
        <v/>
      </c>
      <c r="I336" s="20"/>
      <c r="J336" s="10"/>
      <c r="K336" s="21"/>
      <c r="L336" s="27"/>
    </row>
    <row r="337" spans="1:12">
      <c r="A337" s="10"/>
      <c r="B337" s="16"/>
      <c r="C337" s="16"/>
      <c r="D337" s="16"/>
      <c r="E337" s="7"/>
      <c r="F337" s="18"/>
      <c r="G337" s="19"/>
      <c r="H337" s="20" t="str">
        <f t="shared" si="7"/>
        <v/>
      </c>
      <c r="I337" s="20"/>
      <c r="J337" s="10"/>
      <c r="K337" s="21"/>
      <c r="L337" s="27"/>
    </row>
    <row r="338" spans="1:12">
      <c r="A338" s="10"/>
      <c r="B338" s="16"/>
      <c r="C338" s="16"/>
      <c r="D338" s="16"/>
      <c r="E338" s="7"/>
      <c r="F338" s="18"/>
      <c r="G338" s="19"/>
      <c r="H338" s="20" t="str">
        <f t="shared" si="7"/>
        <v/>
      </c>
      <c r="I338" s="20"/>
      <c r="J338" s="10"/>
      <c r="K338" s="21"/>
      <c r="L338" s="27"/>
    </row>
    <row r="339" spans="1:12">
      <c r="A339" s="10"/>
      <c r="B339" s="16"/>
      <c r="C339" s="16"/>
      <c r="D339" s="16"/>
      <c r="E339" s="7"/>
      <c r="F339" s="18"/>
      <c r="G339" s="19"/>
      <c r="H339" s="20" t="str">
        <f t="shared" si="7"/>
        <v/>
      </c>
      <c r="I339" s="20"/>
      <c r="J339" s="10"/>
      <c r="K339" s="21"/>
      <c r="L339" s="27"/>
    </row>
    <row r="340" spans="1:12">
      <c r="A340" s="10"/>
      <c r="B340" s="16"/>
      <c r="C340" s="16"/>
      <c r="D340" s="16"/>
      <c r="E340" s="7"/>
      <c r="F340" s="23"/>
      <c r="G340" s="24"/>
      <c r="H340" s="20" t="str">
        <f t="shared" si="7"/>
        <v/>
      </c>
      <c r="I340" s="20"/>
      <c r="J340" s="10"/>
      <c r="K340" s="21"/>
      <c r="L340" s="27"/>
    </row>
    <row r="341" spans="1:12">
      <c r="A341" s="10"/>
      <c r="B341" s="16"/>
      <c r="C341" s="16"/>
      <c r="D341" s="16"/>
      <c r="E341" s="7"/>
      <c r="F341" s="23"/>
      <c r="G341" s="24"/>
      <c r="H341" s="20" t="str">
        <f t="shared" si="7"/>
        <v/>
      </c>
      <c r="I341" s="10"/>
      <c r="J341" s="10"/>
      <c r="K341" s="21"/>
      <c r="L341" s="27"/>
    </row>
    <row r="342" spans="1:12">
      <c r="A342" s="10"/>
      <c r="B342" s="16"/>
      <c r="C342" s="16"/>
      <c r="D342" s="16"/>
      <c r="E342" s="3"/>
      <c r="F342" s="18"/>
      <c r="G342" s="19"/>
      <c r="H342" s="20" t="str">
        <f t="shared" si="7"/>
        <v/>
      </c>
      <c r="I342" s="20"/>
      <c r="J342" s="10"/>
      <c r="K342" s="21"/>
      <c r="L342" s="27"/>
    </row>
    <row r="343" spans="1:12">
      <c r="A343" s="10"/>
      <c r="B343" s="16"/>
      <c r="C343" s="16"/>
      <c r="D343" s="16"/>
      <c r="E343" s="3"/>
      <c r="F343" s="23"/>
      <c r="G343" s="24"/>
      <c r="H343" s="20" t="str">
        <f t="shared" si="7"/>
        <v/>
      </c>
      <c r="I343" s="20"/>
      <c r="J343" s="10"/>
      <c r="K343" s="21"/>
      <c r="L343" s="27"/>
    </row>
    <row r="344" spans="1:12">
      <c r="A344" s="10"/>
      <c r="B344" s="16"/>
      <c r="C344" s="16"/>
      <c r="D344" s="16"/>
      <c r="E344" s="7"/>
      <c r="F344" s="23"/>
      <c r="G344" s="24"/>
      <c r="H344" s="20" t="str">
        <f t="shared" si="7"/>
        <v/>
      </c>
      <c r="I344" s="20"/>
      <c r="J344" s="10"/>
      <c r="K344" s="21"/>
      <c r="L344" s="27"/>
    </row>
    <row r="345" spans="1:12">
      <c r="A345" s="10"/>
      <c r="B345" s="16"/>
      <c r="C345" s="16"/>
      <c r="D345" s="16"/>
      <c r="E345" s="7"/>
      <c r="F345" s="23"/>
      <c r="G345" s="24"/>
      <c r="H345" s="20" t="str">
        <f t="shared" si="7"/>
        <v/>
      </c>
      <c r="I345" s="20"/>
      <c r="J345" s="10"/>
      <c r="K345" s="21"/>
      <c r="L345" s="27"/>
    </row>
    <row r="346" spans="1:12">
      <c r="A346" s="10"/>
      <c r="B346" s="16"/>
      <c r="C346" s="16"/>
      <c r="D346" s="16"/>
      <c r="E346" s="7"/>
      <c r="F346" s="23"/>
      <c r="G346" s="24"/>
      <c r="H346" s="20" t="str">
        <f t="shared" si="7"/>
        <v/>
      </c>
      <c r="I346" s="20"/>
      <c r="J346" s="10"/>
      <c r="K346" s="21"/>
      <c r="L346" s="27"/>
    </row>
    <row r="347" spans="1:12">
      <c r="A347" s="10"/>
      <c r="B347" s="16"/>
      <c r="C347" s="16"/>
      <c r="D347" s="16"/>
      <c r="E347" s="7"/>
      <c r="F347" s="23"/>
      <c r="G347" s="24"/>
      <c r="H347" s="20" t="str">
        <f t="shared" si="7"/>
        <v/>
      </c>
      <c r="I347" s="20"/>
      <c r="J347" s="10"/>
      <c r="K347" s="21"/>
      <c r="L347" s="27"/>
    </row>
    <row r="348" spans="1:12">
      <c r="A348" s="10"/>
      <c r="B348" s="16"/>
      <c r="C348" s="16"/>
      <c r="D348" s="16"/>
      <c r="E348" s="7"/>
      <c r="F348" s="23"/>
      <c r="G348" s="24"/>
      <c r="H348" s="20" t="str">
        <f t="shared" si="7"/>
        <v/>
      </c>
      <c r="I348" s="20"/>
      <c r="J348" s="10"/>
      <c r="K348" s="21"/>
      <c r="L348" s="27"/>
    </row>
    <row r="349" spans="1:12">
      <c r="A349" s="10"/>
      <c r="B349" s="16"/>
      <c r="C349" s="16"/>
      <c r="D349" s="16"/>
      <c r="E349" s="7"/>
      <c r="F349" s="23"/>
      <c r="G349" s="24"/>
      <c r="H349" s="20" t="str">
        <f t="shared" si="7"/>
        <v/>
      </c>
      <c r="I349" s="20"/>
      <c r="J349" s="10"/>
      <c r="K349" s="21"/>
      <c r="L349" s="27"/>
    </row>
    <row r="350" spans="1:12">
      <c r="A350" s="10"/>
      <c r="B350" s="16"/>
      <c r="C350" s="16"/>
      <c r="D350" s="16"/>
      <c r="E350" s="7"/>
      <c r="F350" s="23"/>
      <c r="G350" s="24"/>
      <c r="H350" s="20" t="str">
        <f t="shared" si="7"/>
        <v/>
      </c>
      <c r="I350" s="20"/>
      <c r="J350" s="10"/>
      <c r="K350" s="21"/>
      <c r="L350" s="27"/>
    </row>
    <row r="351" spans="1:12">
      <c r="A351" s="10"/>
      <c r="B351" s="16"/>
      <c r="C351" s="16"/>
      <c r="D351" s="16"/>
      <c r="E351" s="7"/>
      <c r="F351" s="23"/>
      <c r="G351" s="24"/>
      <c r="H351" s="20" t="str">
        <f>IF(G351="","",MOD(F351*100000000+G351,7))</f>
        <v/>
      </c>
      <c r="I351" s="20"/>
      <c r="J351" s="10"/>
      <c r="K351" s="21"/>
      <c r="L351" s="27"/>
    </row>
    <row r="352" spans="1:12">
      <c r="A352" s="10"/>
      <c r="B352" s="16"/>
      <c r="C352" s="16"/>
      <c r="D352" s="16"/>
      <c r="E352" s="7"/>
      <c r="F352" s="23"/>
      <c r="G352" s="24"/>
      <c r="H352" s="20" t="str">
        <f>IF(G352="","",MOD(F352*100000000+G352,7))</f>
        <v/>
      </c>
      <c r="I352" s="20"/>
      <c r="J352" s="10"/>
      <c r="K352" s="21"/>
      <c r="L352" s="27"/>
    </row>
    <row r="353" spans="1:12">
      <c r="A353" s="10"/>
      <c r="B353" s="16"/>
      <c r="C353" s="16"/>
      <c r="D353" s="16"/>
      <c r="E353" s="7"/>
      <c r="F353" s="18"/>
      <c r="G353" s="24"/>
      <c r="H353" s="20" t="str">
        <f>IF(G353="","",MOD(F353*100000000+G353,7))</f>
        <v/>
      </c>
      <c r="I353" s="20"/>
      <c r="J353" s="10"/>
      <c r="K353" s="21"/>
      <c r="L353" s="27"/>
    </row>
    <row r="354" spans="1:12">
      <c r="A354" s="10"/>
      <c r="B354" s="16"/>
      <c r="C354" s="16"/>
      <c r="D354" s="16"/>
      <c r="E354" s="7"/>
      <c r="F354" s="18"/>
      <c r="G354" s="24"/>
      <c r="H354" s="20" t="str">
        <f>IF(G354="","",MOD(F354*100000000+G354,7))</f>
        <v/>
      </c>
      <c r="I354" s="20"/>
      <c r="J354" s="10"/>
      <c r="K354" s="21"/>
      <c r="L354" s="27"/>
    </row>
    <row r="355" spans="1:12">
      <c r="A355" s="10"/>
      <c r="B355" s="16"/>
      <c r="C355" s="16"/>
      <c r="D355" s="16"/>
      <c r="E355" s="7"/>
      <c r="F355" s="18"/>
      <c r="G355" s="19"/>
      <c r="H355" s="20" t="str">
        <f>IF(G355="","",MOD(F355*100000000+G355,7))</f>
        <v/>
      </c>
      <c r="I355" s="20"/>
      <c r="J355" s="10"/>
      <c r="K355" s="21"/>
      <c r="L355" s="27"/>
    </row>
  </sheetData>
  <mergeCells count="2">
    <mergeCell ref="A1:L1"/>
    <mergeCell ref="F2:H2"/>
  </mergeCells>
  <phoneticPr fontId="1"/>
  <dataValidations count="5">
    <dataValidation imeMode="on" allowBlank="1" showInputMessage="1" showErrorMessage="1" sqref="C1:D1 C356:D439 D160 C281:E355 C52 C38 C19 C29 C31 E42:E43 C41:C49 D50:E50 C86:C99 C102:C104 C79 C81 C153:C159 C141:C151 C115:C128 C133 C217:C220 C180 C183:C185 C202:C214 C265:D280 C240 C245 C243" xr:uid="{8A575044-A5E8-4175-941D-1F425E9A3B41}"/>
    <dataValidation imeMode="disabled" allowBlank="1" showInputMessage="1" showErrorMessage="1" sqref="A3:B355 F3:K355" xr:uid="{1896039F-EFEF-48D7-A672-897BAC2EC7E0}"/>
    <dataValidation type="list" imeMode="on" allowBlank="1" showInputMessage="1" showErrorMessage="1" sqref="E155:E158 E153 E203:E205 E263:E280" xr:uid="{62D49A52-DDA7-4EE2-BF0F-2D8DC42CE72B}">
      <formula1>"ベスト電器,㈲ヤマツ津田商店,でんきのカトウ,㈲カワムラ電器,電器のオオミ"</formula1>
    </dataValidation>
    <dataValidation type="list" imeMode="on" allowBlank="1" sqref="E3:E40 E53:E85 E105:E136 E159 E161:E194 E221:E260" xr:uid="{7486ACA8-EC38-4E8B-8F37-81299C37CE51}">
      <formula1>"ベスト電器,㈲ヤマツ津田商店,でんきのカトウ,㈲カワムラ電器,電器のオオミ"</formula1>
    </dataValidation>
    <dataValidation type="list" imeMode="on" allowBlank="1" showInputMessage="1" sqref="E41 E44:E49 E51:E52 E86:E104 E137:E152 E154 E160 E195:E202 E206:E220 E261:E262" xr:uid="{2EDD856C-791E-4778-9604-37D57C0D40AA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" header="0" footer="0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A860-A4AA-488D-A56E-5FD86A045D28}">
  <sheetPr>
    <tabColor rgb="FF92D050"/>
  </sheetPr>
  <dimension ref="A1:N225"/>
  <sheetViews>
    <sheetView workbookViewId="0">
      <pane ySplit="9" topLeftCell="A33" activePane="bottomLeft" state="frozen"/>
      <selection pane="bottomLeft" activeCell="I10" sqref="I10:M48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14" customWidth="1"/>
    <col min="12" max="13" width="4.625" style="4" customWidth="1"/>
    <col min="14" max="14" width="11.625" style="4" bestFit="1" customWidth="1"/>
    <col min="15" max="16384" width="9" style="4"/>
  </cols>
  <sheetData>
    <row r="1" spans="1:14" s="1" customFormat="1" ht="19.5" customHeight="1">
      <c r="A1" s="73" t="s">
        <v>51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s="1" customFormat="1" ht="19.5" customHeight="1">
      <c r="A2" s="73" t="s">
        <v>34</v>
      </c>
      <c r="B2" s="73"/>
      <c r="C2" s="73"/>
      <c r="D2" s="78"/>
      <c r="E2" s="2" t="s">
        <v>14</v>
      </c>
      <c r="F2" s="2" t="s">
        <v>19</v>
      </c>
      <c r="K2" s="13"/>
    </row>
    <row r="3" spans="1:14" s="1" customFormat="1" ht="19.5" customHeight="1">
      <c r="A3" s="76"/>
      <c r="B3" s="76"/>
      <c r="C3" s="76"/>
      <c r="D3" s="77"/>
      <c r="E3" s="28" t="s">
        <v>18</v>
      </c>
      <c r="F3" s="9">
        <f>COUNTIF(J10:J185,10)</f>
        <v>0</v>
      </c>
      <c r="G3" s="8"/>
      <c r="K3" s="13"/>
    </row>
    <row r="4" spans="1:14" s="1" customFormat="1" ht="19.5" customHeight="1">
      <c r="A4" s="73" t="s">
        <v>10</v>
      </c>
      <c r="B4" s="73"/>
      <c r="E4" s="28" t="s">
        <v>9</v>
      </c>
      <c r="F4" s="9">
        <f>COUNTIF(J10:J185,20)+COUNTIF(J10:J185,21)+COUNTIF(J10:J185,22)+COUNTIF(J10:J185,51)+COUNTIF(J10:J185,52)+COUNTIF(J10:J185,50)</f>
        <v>0</v>
      </c>
      <c r="G4" s="8"/>
      <c r="K4" s="13"/>
    </row>
    <row r="5" spans="1:14" s="1" customFormat="1" ht="19.5" customHeight="1">
      <c r="E5" s="28" t="s">
        <v>7</v>
      </c>
      <c r="F5" s="9">
        <f>COUNTIF(J10:J185,30)+COUNTIF(J10:J185,31)+COUNTIF(J10:J185,32)</f>
        <v>0</v>
      </c>
      <c r="G5" s="8"/>
      <c r="K5" s="13"/>
      <c r="N5" s="11"/>
    </row>
    <row r="6" spans="1:14" s="1" customFormat="1" ht="19.5" customHeight="1">
      <c r="B6" s="55" t="s">
        <v>72</v>
      </c>
      <c r="E6" s="28" t="s">
        <v>8</v>
      </c>
      <c r="F6" s="9">
        <f>COUNTIF(J10:J185,40)</f>
        <v>0</v>
      </c>
      <c r="G6" s="8"/>
      <c r="K6" s="13"/>
      <c r="N6" s="11"/>
    </row>
    <row r="7" spans="1:14" s="1" customFormat="1" ht="19.5" customHeight="1">
      <c r="E7" s="2" t="s">
        <v>13</v>
      </c>
      <c r="F7" s="9">
        <f>SUM(F3:F6)</f>
        <v>0</v>
      </c>
      <c r="G7" s="8"/>
      <c r="K7" s="13"/>
    </row>
    <row r="8" spans="1:14" ht="7.5" customHeight="1">
      <c r="F8" s="17"/>
      <c r="G8" s="17"/>
    </row>
    <row r="9" spans="1:14" s="6" customFormat="1" ht="21" customHeight="1">
      <c r="A9" s="5" t="s">
        <v>1</v>
      </c>
      <c r="B9" s="5" t="s">
        <v>5</v>
      </c>
      <c r="C9" s="5" t="s">
        <v>16</v>
      </c>
      <c r="D9" s="5" t="s">
        <v>17</v>
      </c>
      <c r="E9" s="5" t="s">
        <v>6</v>
      </c>
      <c r="F9" s="74" t="s">
        <v>0</v>
      </c>
      <c r="G9" s="74"/>
      <c r="H9" s="74"/>
      <c r="I9" s="5" t="s">
        <v>2</v>
      </c>
      <c r="J9" s="5" t="s">
        <v>3</v>
      </c>
      <c r="K9" s="15" t="s">
        <v>4</v>
      </c>
      <c r="L9" s="5" t="s">
        <v>15</v>
      </c>
      <c r="M9" s="5" t="s">
        <v>39</v>
      </c>
    </row>
    <row r="10" spans="1:14" ht="21" customHeight="1">
      <c r="A10" s="10">
        <v>1</v>
      </c>
      <c r="B10" s="16"/>
      <c r="C10" s="2"/>
      <c r="D10" s="2"/>
      <c r="E10" s="53"/>
      <c r="F10" s="18"/>
      <c r="G10" s="19"/>
      <c r="H10" s="20" t="str">
        <f t="shared" ref="H10:H39" si="0">IF(G10="","",(F10*100000000+G10)-7*INT((F10*100000000+G10)/7))</f>
        <v/>
      </c>
      <c r="I10" s="20"/>
      <c r="J10" s="10"/>
      <c r="K10" s="21"/>
      <c r="L10" s="29"/>
      <c r="M10" s="54"/>
    </row>
    <row r="11" spans="1:14" ht="21" customHeight="1">
      <c r="A11" s="10">
        <v>2</v>
      </c>
      <c r="B11" s="16"/>
      <c r="C11" s="68"/>
      <c r="D11" s="2"/>
      <c r="E11" s="53"/>
      <c r="F11" s="18"/>
      <c r="G11" s="19"/>
      <c r="H11" s="20" t="str">
        <f t="shared" si="0"/>
        <v/>
      </c>
      <c r="I11" s="20"/>
      <c r="J11" s="10"/>
      <c r="K11" s="21"/>
      <c r="L11" s="29"/>
      <c r="M11" s="54"/>
    </row>
    <row r="12" spans="1:14" ht="21" customHeight="1">
      <c r="A12" s="10">
        <v>3</v>
      </c>
      <c r="B12" s="16"/>
      <c r="C12" s="68"/>
      <c r="D12" s="68"/>
      <c r="E12" s="53"/>
      <c r="F12" s="23"/>
      <c r="G12" s="24"/>
      <c r="H12" s="20" t="str">
        <f t="shared" si="0"/>
        <v/>
      </c>
      <c r="I12" s="20"/>
      <c r="J12" s="10"/>
      <c r="K12" s="21"/>
      <c r="L12" s="29"/>
      <c r="M12" s="54"/>
      <c r="N12" s="12"/>
    </row>
    <row r="13" spans="1:14" ht="21" customHeight="1">
      <c r="A13" s="10">
        <v>4</v>
      </c>
      <c r="B13" s="16"/>
      <c r="C13" s="68"/>
      <c r="D13" s="2"/>
      <c r="E13" s="53"/>
      <c r="F13" s="23"/>
      <c r="G13" s="24"/>
      <c r="H13" s="20" t="str">
        <f t="shared" si="0"/>
        <v/>
      </c>
      <c r="I13" s="20"/>
      <c r="J13" s="10"/>
      <c r="K13" s="21"/>
      <c r="L13" s="29"/>
      <c r="M13" s="54"/>
    </row>
    <row r="14" spans="1:14" ht="21" customHeight="1">
      <c r="A14" s="10">
        <v>5</v>
      </c>
      <c r="B14" s="16"/>
      <c r="C14" s="68"/>
      <c r="D14" s="2"/>
      <c r="E14" s="53"/>
      <c r="F14" s="18"/>
      <c r="G14" s="19"/>
      <c r="H14" s="20" t="str">
        <f t="shared" si="0"/>
        <v/>
      </c>
      <c r="I14" s="20"/>
      <c r="J14" s="10"/>
      <c r="K14" s="21"/>
      <c r="L14" s="29"/>
      <c r="M14" s="54"/>
    </row>
    <row r="15" spans="1:14" ht="21" customHeight="1">
      <c r="A15" s="10">
        <v>6</v>
      </c>
      <c r="B15" s="16"/>
      <c r="C15" s="68"/>
      <c r="D15" s="2"/>
      <c r="E15" s="53"/>
      <c r="F15" s="18"/>
      <c r="G15" s="24"/>
      <c r="H15" s="20" t="str">
        <f t="shared" si="0"/>
        <v/>
      </c>
      <c r="I15" s="20"/>
      <c r="J15" s="10"/>
      <c r="K15" s="21"/>
      <c r="L15" s="29"/>
      <c r="M15" s="54"/>
    </row>
    <row r="16" spans="1:14" ht="21" customHeight="1">
      <c r="A16" s="10">
        <v>7</v>
      </c>
      <c r="B16" s="16"/>
      <c r="C16" s="68"/>
      <c r="D16" s="2"/>
      <c r="E16" s="53"/>
      <c r="F16" s="18"/>
      <c r="G16" s="19"/>
      <c r="H16" s="20" t="str">
        <f t="shared" si="0"/>
        <v/>
      </c>
      <c r="I16" s="20"/>
      <c r="J16" s="10"/>
      <c r="K16" s="21"/>
      <c r="L16" s="29"/>
      <c r="M16" s="54"/>
    </row>
    <row r="17" spans="1:13" ht="21" customHeight="1">
      <c r="A17" s="10">
        <v>8</v>
      </c>
      <c r="B17" s="16"/>
      <c r="C17" s="68"/>
      <c r="D17" s="2"/>
      <c r="E17" s="53"/>
      <c r="F17" s="18"/>
      <c r="G17" s="19"/>
      <c r="H17" s="20" t="str">
        <f t="shared" si="0"/>
        <v/>
      </c>
      <c r="I17" s="20"/>
      <c r="J17" s="10"/>
      <c r="K17" s="21"/>
      <c r="L17" s="29"/>
      <c r="M17" s="54"/>
    </row>
    <row r="18" spans="1:13" ht="21" customHeight="1">
      <c r="A18" s="10">
        <v>9</v>
      </c>
      <c r="B18" s="16"/>
      <c r="C18" s="68"/>
      <c r="D18" s="2"/>
      <c r="E18" s="53"/>
      <c r="F18" s="18"/>
      <c r="G18" s="19"/>
      <c r="H18" s="20" t="str">
        <f t="shared" si="0"/>
        <v/>
      </c>
      <c r="I18" s="20"/>
      <c r="J18" s="10"/>
      <c r="K18" s="21"/>
      <c r="L18" s="29"/>
      <c r="M18" s="54"/>
    </row>
    <row r="19" spans="1:13" ht="21" customHeight="1">
      <c r="A19" s="10">
        <v>10</v>
      </c>
      <c r="B19" s="16"/>
      <c r="C19" s="2"/>
      <c r="D19" s="2"/>
      <c r="E19" s="53"/>
      <c r="F19" s="18"/>
      <c r="G19" s="19"/>
      <c r="H19" s="20" t="str">
        <f t="shared" si="0"/>
        <v/>
      </c>
      <c r="I19" s="20"/>
      <c r="J19" s="10"/>
      <c r="K19" s="21"/>
      <c r="L19" s="29"/>
      <c r="M19" s="54"/>
    </row>
    <row r="20" spans="1:13" ht="21" customHeight="1">
      <c r="A20" s="10">
        <v>11</v>
      </c>
      <c r="B20" s="16"/>
      <c r="C20" s="2"/>
      <c r="D20" s="1"/>
      <c r="E20" s="53"/>
      <c r="F20" s="18"/>
      <c r="G20" s="19"/>
      <c r="H20" s="20" t="str">
        <f t="shared" si="0"/>
        <v/>
      </c>
      <c r="I20" s="20"/>
      <c r="J20" s="10"/>
      <c r="K20" s="21"/>
      <c r="L20" s="29"/>
      <c r="M20" s="54"/>
    </row>
    <row r="21" spans="1:13" ht="21" customHeight="1">
      <c r="A21" s="10">
        <v>12</v>
      </c>
      <c r="B21" s="16"/>
      <c r="C21" s="1"/>
      <c r="D21" s="2"/>
      <c r="E21" s="53"/>
      <c r="F21" s="18"/>
      <c r="G21" s="19"/>
      <c r="H21" s="20" t="str">
        <f t="shared" si="0"/>
        <v/>
      </c>
      <c r="I21" s="20"/>
      <c r="J21" s="10"/>
      <c r="K21" s="21"/>
      <c r="L21" s="29"/>
      <c r="M21" s="54"/>
    </row>
    <row r="22" spans="1:13" ht="21" customHeight="1">
      <c r="A22" s="10">
        <v>13</v>
      </c>
      <c r="B22" s="16"/>
      <c r="C22" s="2"/>
      <c r="D22" s="2"/>
      <c r="E22" s="53"/>
      <c r="F22" s="18"/>
      <c r="G22" s="19"/>
      <c r="H22" s="20" t="str">
        <f t="shared" si="0"/>
        <v/>
      </c>
      <c r="I22" s="20"/>
      <c r="J22" s="10"/>
      <c r="K22" s="21"/>
      <c r="L22" s="29"/>
      <c r="M22" s="54"/>
    </row>
    <row r="23" spans="1:13" ht="21" customHeight="1">
      <c r="A23" s="10">
        <v>14</v>
      </c>
      <c r="B23" s="16"/>
      <c r="C23" s="2"/>
      <c r="D23" s="68"/>
      <c r="E23" s="53"/>
      <c r="F23" s="18"/>
      <c r="G23" s="19"/>
      <c r="H23" s="20" t="str">
        <f t="shared" si="0"/>
        <v/>
      </c>
      <c r="I23" s="20"/>
      <c r="J23" s="10"/>
      <c r="K23" s="21"/>
      <c r="L23" s="29"/>
      <c r="M23" s="54"/>
    </row>
    <row r="24" spans="1:13" ht="21" customHeight="1">
      <c r="A24" s="10">
        <v>15</v>
      </c>
      <c r="B24" s="16"/>
      <c r="C24" s="2"/>
      <c r="D24" s="2"/>
      <c r="E24" s="53"/>
      <c r="F24" s="18"/>
      <c r="G24" s="19"/>
      <c r="H24" s="20" t="str">
        <f t="shared" si="0"/>
        <v/>
      </c>
      <c r="I24" s="20"/>
      <c r="J24" s="10"/>
      <c r="K24" s="21"/>
      <c r="L24" s="29"/>
      <c r="M24" s="54"/>
    </row>
    <row r="25" spans="1:13" ht="21" customHeight="1">
      <c r="A25" s="10">
        <v>16</v>
      </c>
      <c r="B25" s="16"/>
      <c r="C25" s="2"/>
      <c r="D25" s="2"/>
      <c r="E25" s="53"/>
      <c r="F25" s="18"/>
      <c r="G25" s="19"/>
      <c r="H25" s="20" t="str">
        <f t="shared" si="0"/>
        <v/>
      </c>
      <c r="I25" s="20"/>
      <c r="J25" s="10"/>
      <c r="K25" s="21"/>
      <c r="L25" s="29"/>
      <c r="M25" s="54"/>
    </row>
    <row r="26" spans="1:13" ht="21" customHeight="1">
      <c r="A26" s="10">
        <v>17</v>
      </c>
      <c r="B26" s="16"/>
      <c r="C26" s="2"/>
      <c r="D26" s="2"/>
      <c r="E26" s="53"/>
      <c r="F26" s="18"/>
      <c r="G26" s="19"/>
      <c r="H26" s="20" t="str">
        <f t="shared" si="0"/>
        <v/>
      </c>
      <c r="I26" s="20"/>
      <c r="J26" s="10"/>
      <c r="K26" s="21"/>
      <c r="L26" s="29"/>
      <c r="M26" s="54"/>
    </row>
    <row r="27" spans="1:13" ht="21" customHeight="1">
      <c r="A27" s="10">
        <v>18</v>
      </c>
      <c r="B27" s="16"/>
      <c r="C27" s="2"/>
      <c r="D27" s="2"/>
      <c r="E27" s="53"/>
      <c r="F27" s="18"/>
      <c r="G27" s="19"/>
      <c r="H27" s="20" t="str">
        <f t="shared" si="0"/>
        <v/>
      </c>
      <c r="I27" s="20"/>
      <c r="J27" s="10"/>
      <c r="K27" s="21"/>
      <c r="L27" s="29"/>
      <c r="M27" s="54"/>
    </row>
    <row r="28" spans="1:13" ht="21" customHeight="1">
      <c r="A28" s="10">
        <v>19</v>
      </c>
      <c r="B28" s="16"/>
      <c r="C28" s="2"/>
      <c r="D28" s="16"/>
      <c r="E28" s="53"/>
      <c r="F28" s="18"/>
      <c r="G28" s="19"/>
      <c r="H28" s="20" t="str">
        <f t="shared" si="0"/>
        <v/>
      </c>
      <c r="I28" s="20"/>
      <c r="J28" s="10"/>
      <c r="K28" s="21"/>
      <c r="L28" s="29"/>
      <c r="M28" s="29"/>
    </row>
    <row r="29" spans="1:13" ht="21" customHeight="1">
      <c r="A29" s="10">
        <v>20</v>
      </c>
      <c r="B29" s="16"/>
      <c r="C29" s="2"/>
      <c r="D29" s="2"/>
      <c r="E29" s="53"/>
      <c r="F29" s="18"/>
      <c r="G29" s="19"/>
      <c r="H29" s="20" t="str">
        <f t="shared" si="0"/>
        <v/>
      </c>
      <c r="I29" s="20"/>
      <c r="J29" s="10"/>
      <c r="K29" s="21"/>
      <c r="L29" s="29"/>
      <c r="M29" s="29"/>
    </row>
    <row r="30" spans="1:13" ht="21" customHeight="1">
      <c r="A30" s="10">
        <v>21</v>
      </c>
      <c r="B30" s="16"/>
      <c r="C30" s="2"/>
      <c r="D30" s="2"/>
      <c r="E30" s="53"/>
      <c r="F30" s="18"/>
      <c r="G30" s="19"/>
      <c r="H30" s="20" t="str">
        <f t="shared" si="0"/>
        <v/>
      </c>
      <c r="I30" s="20"/>
      <c r="J30" s="10"/>
      <c r="K30" s="21"/>
      <c r="L30" s="29"/>
      <c r="M30" s="29"/>
    </row>
    <row r="31" spans="1:13" ht="21" customHeight="1">
      <c r="A31" s="10">
        <v>22</v>
      </c>
      <c r="B31" s="16"/>
      <c r="C31" s="2"/>
      <c r="D31" s="2"/>
      <c r="E31" s="53"/>
      <c r="F31" s="18"/>
      <c r="G31" s="19"/>
      <c r="H31" s="20" t="str">
        <f t="shared" si="0"/>
        <v/>
      </c>
      <c r="I31" s="20"/>
      <c r="J31" s="10"/>
      <c r="K31" s="21"/>
      <c r="L31" s="29"/>
      <c r="M31" s="29"/>
    </row>
    <row r="32" spans="1:13" ht="21" customHeight="1">
      <c r="A32" s="10">
        <v>23</v>
      </c>
      <c r="B32" s="16"/>
      <c r="C32" s="2"/>
      <c r="D32" s="2"/>
      <c r="E32" s="53"/>
      <c r="F32" s="18"/>
      <c r="G32" s="19"/>
      <c r="H32" s="20" t="str">
        <f t="shared" si="0"/>
        <v/>
      </c>
      <c r="I32" s="20"/>
      <c r="J32" s="10"/>
      <c r="K32" s="21"/>
      <c r="L32" s="29"/>
      <c r="M32" s="29"/>
    </row>
    <row r="33" spans="1:13" ht="21" customHeight="1">
      <c r="A33" s="10">
        <v>24</v>
      </c>
      <c r="B33" s="16"/>
      <c r="C33" s="2"/>
      <c r="D33" s="2"/>
      <c r="E33" s="53"/>
      <c r="F33" s="18"/>
      <c r="G33" s="19"/>
      <c r="H33" s="20" t="str">
        <f t="shared" si="0"/>
        <v/>
      </c>
      <c r="I33" s="20"/>
      <c r="J33" s="10"/>
      <c r="K33" s="21"/>
      <c r="L33" s="29"/>
      <c r="M33" s="29"/>
    </row>
    <row r="34" spans="1:13" ht="21" customHeight="1">
      <c r="A34" s="10">
        <v>25</v>
      </c>
      <c r="B34" s="16"/>
      <c r="C34" s="16"/>
      <c r="D34" s="2"/>
      <c r="E34" s="53"/>
      <c r="F34" s="18"/>
      <c r="G34" s="19"/>
      <c r="H34" s="20" t="str">
        <f t="shared" si="0"/>
        <v/>
      </c>
      <c r="I34" s="20"/>
      <c r="J34" s="10"/>
      <c r="K34" s="21"/>
      <c r="L34" s="29"/>
      <c r="M34" s="29"/>
    </row>
    <row r="35" spans="1:13" ht="21" customHeight="1">
      <c r="A35" s="10">
        <v>26</v>
      </c>
      <c r="B35" s="16"/>
      <c r="C35" s="16"/>
      <c r="D35" s="2"/>
      <c r="E35" s="53"/>
      <c r="F35" s="18"/>
      <c r="G35" s="19"/>
      <c r="H35" s="20" t="str">
        <f t="shared" si="0"/>
        <v/>
      </c>
      <c r="I35" s="20"/>
      <c r="J35" s="10"/>
      <c r="K35" s="21"/>
      <c r="L35" s="29"/>
      <c r="M35" s="29"/>
    </row>
    <row r="36" spans="1:13" ht="21" customHeight="1">
      <c r="A36" s="10">
        <v>27</v>
      </c>
      <c r="B36" s="16"/>
      <c r="C36" s="16"/>
      <c r="D36" s="2"/>
      <c r="E36" s="53"/>
      <c r="F36" s="18"/>
      <c r="G36" s="19"/>
      <c r="H36" s="20" t="str">
        <f t="shared" si="0"/>
        <v/>
      </c>
      <c r="I36" s="20"/>
      <c r="J36" s="10"/>
      <c r="K36" s="21"/>
      <c r="L36" s="29"/>
      <c r="M36" s="29"/>
    </row>
    <row r="37" spans="1:13" ht="21" customHeight="1">
      <c r="A37" s="10">
        <v>28</v>
      </c>
      <c r="B37" s="16"/>
      <c r="C37" s="16"/>
      <c r="D37" s="2"/>
      <c r="E37" s="53"/>
      <c r="F37" s="18"/>
      <c r="G37" s="19"/>
      <c r="H37" s="20" t="str">
        <f t="shared" si="0"/>
        <v/>
      </c>
      <c r="I37" s="20"/>
      <c r="J37" s="10"/>
      <c r="K37" s="21"/>
      <c r="L37" s="29"/>
      <c r="M37" s="29"/>
    </row>
    <row r="38" spans="1:13" ht="21" customHeight="1">
      <c r="A38" s="10">
        <v>29</v>
      </c>
      <c r="B38" s="16"/>
      <c r="C38" s="16"/>
      <c r="D38" s="2"/>
      <c r="E38" s="53"/>
      <c r="F38" s="18"/>
      <c r="G38" s="19"/>
      <c r="H38" s="20" t="str">
        <f t="shared" si="0"/>
        <v/>
      </c>
      <c r="I38" s="20"/>
      <c r="J38" s="10"/>
      <c r="K38" s="21"/>
      <c r="L38" s="29"/>
      <c r="M38" s="29"/>
    </row>
    <row r="39" spans="1:13" ht="21" customHeight="1">
      <c r="A39" s="10">
        <v>30</v>
      </c>
      <c r="B39" s="16"/>
      <c r="C39" s="16"/>
      <c r="D39" s="2"/>
      <c r="E39" s="53"/>
      <c r="F39" s="18"/>
      <c r="G39" s="19"/>
      <c r="H39" s="20" t="str">
        <f t="shared" si="0"/>
        <v/>
      </c>
      <c r="I39" s="20"/>
      <c r="J39" s="10"/>
      <c r="K39" s="21"/>
      <c r="L39" s="29"/>
      <c r="M39" s="29"/>
    </row>
    <row r="40" spans="1:13" ht="21" customHeight="1">
      <c r="A40" s="10">
        <v>31</v>
      </c>
      <c r="B40" s="16"/>
      <c r="C40" s="16"/>
      <c r="D40" s="2"/>
      <c r="E40" s="53"/>
      <c r="F40" s="18"/>
      <c r="G40" s="19"/>
      <c r="H40" s="20" t="str">
        <f>IF(G40="","",(F40*100000000+G40)-7*INT((F40*100000000+G40)/7))</f>
        <v/>
      </c>
      <c r="I40" s="20"/>
      <c r="J40" s="10"/>
      <c r="K40" s="21"/>
      <c r="L40" s="29"/>
      <c r="M40" s="29"/>
    </row>
    <row r="41" spans="1:13" ht="21" customHeight="1">
      <c r="A41" s="10">
        <v>32</v>
      </c>
      <c r="B41" s="16"/>
      <c r="C41" s="2"/>
      <c r="D41" s="2"/>
      <c r="E41" s="7"/>
      <c r="F41" s="18"/>
      <c r="G41" s="19"/>
      <c r="H41" s="20" t="str">
        <f t="shared" ref="H41:H48" si="1">IF(G41="","",(F41*100000000+G41)-7*INT((F41*100000000+G41)/7))</f>
        <v/>
      </c>
      <c r="I41" s="20"/>
      <c r="J41" s="10"/>
      <c r="K41" s="21"/>
      <c r="L41" s="29"/>
      <c r="M41" s="29"/>
    </row>
    <row r="42" spans="1:13" ht="21" customHeight="1">
      <c r="A42" s="10">
        <v>33</v>
      </c>
      <c r="B42" s="16"/>
      <c r="C42" s="2"/>
      <c r="D42" s="2"/>
      <c r="E42" s="7"/>
      <c r="F42" s="18"/>
      <c r="G42" s="19"/>
      <c r="H42" s="20" t="str">
        <f t="shared" si="1"/>
        <v/>
      </c>
      <c r="I42" s="20"/>
      <c r="J42" s="10"/>
      <c r="K42" s="21"/>
      <c r="L42" s="29"/>
      <c r="M42" s="29"/>
    </row>
    <row r="43" spans="1:13" ht="21" customHeight="1">
      <c r="A43" s="10">
        <v>34</v>
      </c>
      <c r="B43" s="16"/>
      <c r="C43" s="2"/>
      <c r="D43" s="2"/>
      <c r="E43" s="53"/>
      <c r="F43" s="18"/>
      <c r="G43" s="19"/>
      <c r="H43" s="20" t="str">
        <f t="shared" si="1"/>
        <v/>
      </c>
      <c r="I43" s="20"/>
      <c r="J43" s="10"/>
      <c r="K43" s="21"/>
      <c r="L43" s="29"/>
      <c r="M43" s="29"/>
    </row>
    <row r="44" spans="1:13" ht="21" customHeight="1">
      <c r="A44" s="10">
        <v>35</v>
      </c>
      <c r="B44" s="16"/>
      <c r="C44" s="2"/>
      <c r="D44" s="2"/>
      <c r="E44" s="7"/>
      <c r="F44" s="18"/>
      <c r="G44" s="19"/>
      <c r="H44" s="20" t="str">
        <f t="shared" si="1"/>
        <v/>
      </c>
      <c r="I44" s="20"/>
      <c r="J44" s="10"/>
      <c r="K44" s="21"/>
      <c r="L44" s="29"/>
      <c r="M44" s="29"/>
    </row>
    <row r="45" spans="1:13" ht="21" customHeight="1">
      <c r="A45" s="10">
        <v>36</v>
      </c>
      <c r="B45" s="16"/>
      <c r="C45" s="2"/>
      <c r="D45" s="2"/>
      <c r="E45" s="7"/>
      <c r="F45" s="18"/>
      <c r="G45" s="19"/>
      <c r="H45" s="20" t="str">
        <f t="shared" si="1"/>
        <v/>
      </c>
      <c r="I45" s="20"/>
      <c r="J45" s="10"/>
      <c r="K45" s="21"/>
      <c r="L45" s="29"/>
      <c r="M45" s="29"/>
    </row>
    <row r="46" spans="1:13" ht="21" customHeight="1">
      <c r="A46" s="10">
        <v>37</v>
      </c>
      <c r="B46" s="16"/>
      <c r="C46" s="2"/>
      <c r="D46" s="2"/>
      <c r="E46" s="7"/>
      <c r="F46" s="18"/>
      <c r="G46" s="19"/>
      <c r="H46" s="20" t="str">
        <f t="shared" si="1"/>
        <v/>
      </c>
      <c r="I46" s="20"/>
      <c r="J46" s="10"/>
      <c r="K46" s="21"/>
      <c r="L46" s="29"/>
      <c r="M46" s="29"/>
    </row>
    <row r="47" spans="1:13" ht="21" customHeight="1">
      <c r="A47" s="10">
        <v>38</v>
      </c>
      <c r="B47" s="16"/>
      <c r="C47" s="2"/>
      <c r="D47" s="2"/>
      <c r="E47" s="7"/>
      <c r="F47" s="18"/>
      <c r="G47" s="19"/>
      <c r="H47" s="20" t="str">
        <f t="shared" si="1"/>
        <v/>
      </c>
      <c r="I47" s="20"/>
      <c r="J47" s="10"/>
      <c r="K47" s="21"/>
      <c r="L47" s="29"/>
      <c r="M47" s="29"/>
    </row>
    <row r="48" spans="1:13" ht="21" customHeight="1">
      <c r="A48" s="10">
        <v>39</v>
      </c>
      <c r="B48" s="16"/>
      <c r="C48" s="2"/>
      <c r="D48" s="2"/>
      <c r="E48" s="7"/>
      <c r="F48" s="18"/>
      <c r="G48" s="19"/>
      <c r="H48" s="20" t="str">
        <f t="shared" si="1"/>
        <v/>
      </c>
      <c r="I48" s="20"/>
      <c r="J48" s="10"/>
      <c r="K48" s="21"/>
      <c r="L48" s="29"/>
      <c r="M48" s="29"/>
    </row>
    <row r="49" spans="1:13" ht="21" customHeight="1">
      <c r="A49" s="10">
        <v>40</v>
      </c>
      <c r="B49" s="16"/>
      <c r="C49" s="16"/>
      <c r="D49" s="2"/>
      <c r="E49" s="7"/>
      <c r="F49" s="18"/>
      <c r="G49" s="19"/>
      <c r="H49" s="20" t="str">
        <f t="shared" ref="H49:H65" si="2">IF(G49="","",(F49*100000000+G49)-7*INT((F49*100000000+G49)/7))</f>
        <v/>
      </c>
      <c r="I49" s="20"/>
      <c r="J49" s="10"/>
      <c r="K49" s="21"/>
      <c r="L49" s="29"/>
      <c r="M49" s="29"/>
    </row>
    <row r="50" spans="1:13" ht="21" customHeight="1">
      <c r="A50" s="10">
        <v>41</v>
      </c>
      <c r="B50" s="16"/>
      <c r="C50" s="16"/>
      <c r="D50" s="2"/>
      <c r="E50" s="7"/>
      <c r="F50" s="18"/>
      <c r="G50" s="19"/>
      <c r="H50" s="20" t="str">
        <f t="shared" si="2"/>
        <v/>
      </c>
      <c r="I50" s="20"/>
      <c r="J50" s="10"/>
      <c r="K50" s="21"/>
      <c r="L50" s="29"/>
      <c r="M50" s="29"/>
    </row>
    <row r="51" spans="1:13" ht="21" customHeight="1">
      <c r="A51" s="10">
        <v>42</v>
      </c>
      <c r="B51" s="16"/>
      <c r="C51" s="16"/>
      <c r="D51" s="2"/>
      <c r="E51" s="7"/>
      <c r="F51" s="18"/>
      <c r="G51" s="19"/>
      <c r="H51" s="20" t="str">
        <f t="shared" si="2"/>
        <v/>
      </c>
      <c r="I51" s="20"/>
      <c r="J51" s="10"/>
      <c r="K51" s="21"/>
      <c r="L51" s="29"/>
      <c r="M51" s="29"/>
    </row>
    <row r="52" spans="1:13" ht="21" customHeight="1">
      <c r="A52" s="10">
        <v>43</v>
      </c>
      <c r="B52" s="16"/>
      <c r="C52" s="16"/>
      <c r="D52" s="2"/>
      <c r="E52" s="7"/>
      <c r="F52" s="18"/>
      <c r="G52" s="19"/>
      <c r="H52" s="20" t="str">
        <f t="shared" si="2"/>
        <v/>
      </c>
      <c r="I52" s="20"/>
      <c r="J52" s="10"/>
      <c r="K52" s="21"/>
      <c r="L52" s="29"/>
      <c r="M52" s="29"/>
    </row>
    <row r="53" spans="1:13" ht="21" customHeight="1">
      <c r="A53" s="10">
        <v>44</v>
      </c>
      <c r="B53" s="16"/>
      <c r="C53" s="16"/>
      <c r="D53" s="2"/>
      <c r="E53" s="7"/>
      <c r="F53" s="18"/>
      <c r="G53" s="19"/>
      <c r="H53" s="20" t="str">
        <f t="shared" si="2"/>
        <v/>
      </c>
      <c r="I53" s="20"/>
      <c r="J53" s="10"/>
      <c r="K53" s="21"/>
      <c r="L53" s="29"/>
      <c r="M53" s="29"/>
    </row>
    <row r="54" spans="1:13" ht="21" customHeight="1">
      <c r="A54" s="10">
        <v>45</v>
      </c>
      <c r="B54" s="16"/>
      <c r="C54" s="16"/>
      <c r="D54" s="2"/>
      <c r="E54" s="7"/>
      <c r="F54" s="18"/>
      <c r="G54" s="19"/>
      <c r="H54" s="20" t="str">
        <f t="shared" si="2"/>
        <v/>
      </c>
      <c r="I54" s="20"/>
      <c r="J54" s="10"/>
      <c r="K54" s="21"/>
      <c r="L54" s="29"/>
      <c r="M54" s="29"/>
    </row>
    <row r="55" spans="1:13" ht="21" customHeight="1">
      <c r="A55" s="10">
        <v>46</v>
      </c>
      <c r="B55" s="16"/>
      <c r="C55" s="16"/>
      <c r="D55" s="2"/>
      <c r="E55" s="7"/>
      <c r="F55" s="18"/>
      <c r="G55" s="19"/>
      <c r="H55" s="20" t="str">
        <f t="shared" si="2"/>
        <v/>
      </c>
      <c r="I55" s="20"/>
      <c r="J55" s="10"/>
      <c r="K55" s="21"/>
      <c r="L55" s="29"/>
      <c r="M55" s="29"/>
    </row>
    <row r="56" spans="1:13" ht="21" customHeight="1">
      <c r="A56" s="10">
        <v>47</v>
      </c>
      <c r="B56" s="16"/>
      <c r="C56" s="16"/>
      <c r="D56" s="2"/>
      <c r="E56" s="7"/>
      <c r="F56" s="18"/>
      <c r="G56" s="19"/>
      <c r="H56" s="20" t="str">
        <f t="shared" si="2"/>
        <v/>
      </c>
      <c r="I56" s="20"/>
      <c r="J56" s="10"/>
      <c r="K56" s="21"/>
      <c r="L56" s="29"/>
      <c r="M56" s="29"/>
    </row>
    <row r="57" spans="1:13" ht="21" customHeight="1">
      <c r="A57" s="10">
        <v>48</v>
      </c>
      <c r="B57" s="16"/>
      <c r="C57" s="16"/>
      <c r="D57" s="2"/>
      <c r="E57" s="7"/>
      <c r="F57" s="18"/>
      <c r="G57" s="19"/>
      <c r="H57" s="20" t="str">
        <f t="shared" si="2"/>
        <v/>
      </c>
      <c r="I57" s="20"/>
      <c r="J57" s="10"/>
      <c r="K57" s="21"/>
      <c r="L57" s="29"/>
      <c r="M57" s="29"/>
    </row>
    <row r="58" spans="1:13" ht="21" customHeight="1">
      <c r="A58" s="10">
        <v>49</v>
      </c>
      <c r="B58" s="16"/>
      <c r="C58" s="2"/>
      <c r="D58" s="2"/>
      <c r="E58" s="7"/>
      <c r="F58" s="18"/>
      <c r="G58" s="19"/>
      <c r="H58" s="20" t="str">
        <f t="shared" si="2"/>
        <v/>
      </c>
      <c r="I58" s="20"/>
      <c r="J58" s="10"/>
      <c r="K58" s="21"/>
      <c r="L58" s="29"/>
      <c r="M58" s="29"/>
    </row>
    <row r="59" spans="1:13" ht="21" customHeight="1">
      <c r="A59" s="10">
        <v>50</v>
      </c>
      <c r="B59" s="16"/>
      <c r="C59" s="2"/>
      <c r="D59" s="2"/>
      <c r="E59" s="7"/>
      <c r="F59" s="18"/>
      <c r="G59" s="19"/>
      <c r="H59" s="20" t="str">
        <f t="shared" si="2"/>
        <v/>
      </c>
      <c r="I59" s="20"/>
      <c r="J59" s="10"/>
      <c r="K59" s="21"/>
      <c r="L59" s="29"/>
      <c r="M59" s="29"/>
    </row>
    <row r="60" spans="1:13" ht="21" customHeight="1">
      <c r="A60" s="10">
        <v>51</v>
      </c>
      <c r="B60" s="16"/>
      <c r="C60" s="2"/>
      <c r="D60" s="2"/>
      <c r="E60" s="7"/>
      <c r="F60" s="18"/>
      <c r="G60" s="19"/>
      <c r="H60" s="20" t="str">
        <f t="shared" si="2"/>
        <v/>
      </c>
      <c r="I60" s="20"/>
      <c r="J60" s="10"/>
      <c r="K60" s="21"/>
      <c r="L60" s="29"/>
      <c r="M60" s="29"/>
    </row>
    <row r="61" spans="1:13" ht="21" customHeight="1">
      <c r="A61" s="10">
        <v>52</v>
      </c>
      <c r="B61" s="16"/>
      <c r="C61" s="16"/>
      <c r="D61" s="2"/>
      <c r="E61" s="7"/>
      <c r="F61" s="18"/>
      <c r="G61" s="19"/>
      <c r="H61" s="20" t="str">
        <f t="shared" si="2"/>
        <v/>
      </c>
      <c r="I61" s="20"/>
      <c r="J61" s="10"/>
      <c r="K61" s="21"/>
      <c r="L61" s="29"/>
      <c r="M61" s="29"/>
    </row>
    <row r="62" spans="1:13" ht="21" customHeight="1">
      <c r="A62" s="10">
        <v>53</v>
      </c>
      <c r="B62" s="16"/>
      <c r="C62" s="16"/>
      <c r="D62" s="2"/>
      <c r="E62" s="7"/>
      <c r="F62" s="18"/>
      <c r="G62" s="19"/>
      <c r="H62" s="20" t="str">
        <f t="shared" si="2"/>
        <v/>
      </c>
      <c r="I62" s="20"/>
      <c r="J62" s="10"/>
      <c r="K62" s="21"/>
      <c r="L62" s="29"/>
      <c r="M62" s="29"/>
    </row>
    <row r="63" spans="1:13" ht="21" customHeight="1">
      <c r="A63" s="10">
        <v>54</v>
      </c>
      <c r="B63" s="16"/>
      <c r="C63" s="16"/>
      <c r="D63" s="2"/>
      <c r="E63" s="7"/>
      <c r="F63" s="18"/>
      <c r="G63" s="19"/>
      <c r="H63" s="20" t="str">
        <f t="shared" si="2"/>
        <v/>
      </c>
      <c r="I63" s="20"/>
      <c r="J63" s="10"/>
      <c r="K63" s="21"/>
      <c r="L63" s="29"/>
      <c r="M63" s="29"/>
    </row>
    <row r="64" spans="1:13" ht="21" customHeight="1">
      <c r="A64" s="10">
        <v>55</v>
      </c>
      <c r="B64" s="16"/>
      <c r="C64" s="2"/>
      <c r="D64" s="2"/>
      <c r="E64" s="53"/>
      <c r="F64" s="18"/>
      <c r="G64" s="19"/>
      <c r="H64" s="20" t="str">
        <f t="shared" si="2"/>
        <v/>
      </c>
      <c r="I64" s="20"/>
      <c r="J64" s="10"/>
      <c r="K64" s="21"/>
      <c r="L64" s="29"/>
      <c r="M64" s="29"/>
    </row>
    <row r="65" spans="1:13" ht="21" customHeight="1">
      <c r="A65" s="10">
        <v>56</v>
      </c>
      <c r="B65" s="16"/>
      <c r="C65" s="2"/>
      <c r="D65" s="2"/>
      <c r="E65" s="53"/>
      <c r="F65" s="18"/>
      <c r="G65" s="19"/>
      <c r="H65" s="20" t="str">
        <f t="shared" si="2"/>
        <v/>
      </c>
      <c r="I65" s="20"/>
      <c r="J65" s="10"/>
      <c r="K65" s="21"/>
      <c r="L65" s="29"/>
      <c r="M65" s="29"/>
    </row>
    <row r="66" spans="1:13" ht="21" customHeight="1">
      <c r="A66" s="10">
        <v>57</v>
      </c>
      <c r="B66" s="16"/>
      <c r="C66" s="16"/>
      <c r="D66" s="16"/>
      <c r="E66" s="7"/>
      <c r="F66" s="18"/>
      <c r="G66" s="19"/>
      <c r="H66" s="20"/>
      <c r="I66" s="20"/>
      <c r="J66" s="10"/>
      <c r="K66" s="21"/>
      <c r="L66" s="29"/>
      <c r="M66" s="29"/>
    </row>
    <row r="67" spans="1:13" ht="21" customHeight="1">
      <c r="A67" s="10">
        <v>58</v>
      </c>
      <c r="B67" s="16"/>
      <c r="C67" s="16"/>
      <c r="D67" s="16"/>
      <c r="E67" s="7"/>
      <c r="F67" s="18"/>
      <c r="G67" s="19"/>
      <c r="H67" s="20"/>
      <c r="I67" s="20"/>
      <c r="J67" s="10"/>
      <c r="K67" s="21"/>
      <c r="L67" s="29"/>
      <c r="M67" s="29"/>
    </row>
    <row r="68" spans="1:13" ht="21" customHeight="1">
      <c r="A68" s="10">
        <v>59</v>
      </c>
      <c r="B68" s="16"/>
      <c r="C68" s="16"/>
      <c r="D68" s="16"/>
      <c r="E68" s="7"/>
      <c r="F68" s="18"/>
      <c r="G68" s="19"/>
      <c r="H68" s="20"/>
      <c r="I68" s="20"/>
      <c r="J68" s="10"/>
      <c r="K68" s="21"/>
      <c r="L68" s="29"/>
      <c r="M68" s="29"/>
    </row>
    <row r="69" spans="1:13" ht="21" customHeight="1">
      <c r="A69" s="10">
        <v>60</v>
      </c>
      <c r="B69" s="16"/>
      <c r="C69" s="16"/>
      <c r="D69" s="16"/>
      <c r="E69" s="7"/>
      <c r="F69" s="18"/>
      <c r="G69" s="19"/>
      <c r="H69" s="20"/>
      <c r="I69" s="20"/>
      <c r="J69" s="10"/>
      <c r="K69" s="21"/>
      <c r="L69" s="29"/>
      <c r="M69" s="29"/>
    </row>
    <row r="70" spans="1:13" ht="21" customHeight="1">
      <c r="A70" s="10">
        <v>61</v>
      </c>
      <c r="B70" s="16"/>
      <c r="C70" s="16"/>
      <c r="D70" s="16"/>
      <c r="E70" s="7"/>
      <c r="F70" s="18"/>
      <c r="G70" s="19"/>
      <c r="H70" s="20"/>
      <c r="I70" s="20"/>
      <c r="J70" s="10"/>
      <c r="K70" s="21"/>
      <c r="L70" s="29"/>
      <c r="M70" s="29"/>
    </row>
    <row r="71" spans="1:13" ht="21" customHeight="1">
      <c r="A71" s="10">
        <v>62</v>
      </c>
      <c r="B71" s="16"/>
      <c r="C71" s="16"/>
      <c r="D71" s="16"/>
      <c r="E71" s="7"/>
      <c r="F71" s="18"/>
      <c r="G71" s="19"/>
      <c r="H71" s="20"/>
      <c r="I71" s="20"/>
      <c r="J71" s="10"/>
      <c r="K71" s="21"/>
      <c r="L71" s="29"/>
      <c r="M71" s="29"/>
    </row>
    <row r="72" spans="1:13" ht="21" customHeight="1">
      <c r="A72" s="10">
        <v>63</v>
      </c>
      <c r="B72" s="16"/>
      <c r="C72" s="16"/>
      <c r="D72" s="16"/>
      <c r="E72" s="7"/>
      <c r="F72" s="18"/>
      <c r="G72" s="19"/>
      <c r="H72" s="20"/>
      <c r="I72" s="20"/>
      <c r="J72" s="10"/>
      <c r="K72" s="21"/>
      <c r="L72" s="29"/>
      <c r="M72" s="29"/>
    </row>
    <row r="73" spans="1:13" ht="21" customHeight="1">
      <c r="A73" s="10">
        <v>64</v>
      </c>
      <c r="B73" s="16"/>
      <c r="C73" s="16"/>
      <c r="D73" s="16"/>
      <c r="E73" s="7"/>
      <c r="F73" s="18"/>
      <c r="G73" s="19"/>
      <c r="H73" s="20"/>
      <c r="I73" s="20"/>
      <c r="J73" s="10"/>
      <c r="K73" s="21"/>
      <c r="L73" s="29"/>
      <c r="M73" s="29"/>
    </row>
    <row r="74" spans="1:13" ht="21" customHeight="1">
      <c r="A74" s="10">
        <v>65</v>
      </c>
      <c r="B74" s="16"/>
      <c r="C74" s="16"/>
      <c r="D74" s="16"/>
      <c r="E74" s="7"/>
      <c r="F74" s="18"/>
      <c r="G74" s="19"/>
      <c r="H74" s="20"/>
      <c r="I74" s="20"/>
      <c r="J74" s="10"/>
      <c r="K74" s="21"/>
      <c r="L74" s="29"/>
      <c r="M74" s="29"/>
    </row>
    <row r="75" spans="1:13" ht="21" customHeight="1">
      <c r="A75" s="10">
        <v>66</v>
      </c>
      <c r="B75" s="16"/>
      <c r="C75" s="16"/>
      <c r="D75" s="16"/>
      <c r="E75" s="7"/>
      <c r="F75" s="18"/>
      <c r="G75" s="19"/>
      <c r="H75" s="20"/>
      <c r="I75" s="20"/>
      <c r="J75" s="10"/>
      <c r="K75" s="21"/>
      <c r="L75" s="29"/>
      <c r="M75" s="29"/>
    </row>
    <row r="76" spans="1:13" ht="21" customHeight="1">
      <c r="A76" s="10">
        <v>67</v>
      </c>
      <c r="B76" s="16"/>
      <c r="C76" s="16"/>
      <c r="D76" s="16"/>
      <c r="E76" s="7"/>
      <c r="F76" s="18"/>
      <c r="G76" s="19"/>
      <c r="H76" s="20"/>
      <c r="I76" s="20"/>
      <c r="J76" s="10"/>
      <c r="K76" s="21"/>
      <c r="L76" s="29"/>
      <c r="M76" s="29"/>
    </row>
    <row r="77" spans="1:13" ht="21" customHeight="1">
      <c r="A77" s="10">
        <v>68</v>
      </c>
      <c r="B77" s="16"/>
      <c r="C77" s="16"/>
      <c r="D77" s="16"/>
      <c r="E77" s="7"/>
      <c r="F77" s="18"/>
      <c r="G77" s="19"/>
      <c r="H77" s="20"/>
      <c r="I77" s="20"/>
      <c r="J77" s="10"/>
      <c r="K77" s="21"/>
      <c r="L77" s="29"/>
      <c r="M77" s="29"/>
    </row>
    <row r="78" spans="1:13" ht="21" customHeight="1">
      <c r="A78" s="10">
        <v>69</v>
      </c>
      <c r="B78" s="16"/>
      <c r="C78" s="16"/>
      <c r="D78" s="16"/>
      <c r="E78" s="7"/>
      <c r="F78" s="18"/>
      <c r="G78" s="19"/>
      <c r="H78" s="20"/>
      <c r="I78" s="20"/>
      <c r="J78" s="10"/>
      <c r="K78" s="21"/>
      <c r="L78" s="29"/>
      <c r="M78" s="29"/>
    </row>
    <row r="79" spans="1:13" ht="21" customHeight="1">
      <c r="A79" s="10">
        <v>70</v>
      </c>
      <c r="B79" s="16"/>
      <c r="C79" s="16"/>
      <c r="D79" s="16"/>
      <c r="E79" s="7"/>
      <c r="F79" s="18"/>
      <c r="G79" s="19"/>
      <c r="H79" s="20"/>
      <c r="I79" s="20"/>
      <c r="J79" s="10"/>
      <c r="K79" s="21"/>
      <c r="L79" s="29"/>
      <c r="M79" s="29"/>
    </row>
    <row r="80" spans="1:13" ht="21" customHeight="1">
      <c r="A80" s="10">
        <v>71</v>
      </c>
      <c r="B80" s="16"/>
      <c r="C80" s="16"/>
      <c r="D80" s="16"/>
      <c r="E80" s="7"/>
      <c r="F80" s="18"/>
      <c r="G80" s="19"/>
      <c r="H80" s="20"/>
      <c r="I80" s="20"/>
      <c r="J80" s="10"/>
      <c r="K80" s="21"/>
      <c r="L80" s="29"/>
      <c r="M80" s="29"/>
    </row>
    <row r="81" spans="1:13" ht="21" customHeight="1">
      <c r="A81" s="10">
        <v>72</v>
      </c>
      <c r="B81" s="16"/>
      <c r="C81" s="16"/>
      <c r="D81" s="16"/>
      <c r="E81" s="7"/>
      <c r="F81" s="18"/>
      <c r="G81" s="19"/>
      <c r="H81" s="20"/>
      <c r="I81" s="20"/>
      <c r="J81" s="10"/>
      <c r="K81" s="21"/>
      <c r="L81" s="29"/>
      <c r="M81" s="29"/>
    </row>
    <row r="82" spans="1:13" ht="21" customHeight="1">
      <c r="A82" s="10">
        <v>73</v>
      </c>
      <c r="B82" s="16"/>
      <c r="C82" s="16"/>
      <c r="D82" s="16"/>
      <c r="E82" s="7"/>
      <c r="F82" s="18"/>
      <c r="G82" s="19"/>
      <c r="H82" s="20"/>
      <c r="I82" s="20"/>
      <c r="J82" s="10"/>
      <c r="K82" s="21"/>
      <c r="L82" s="29"/>
      <c r="M82" s="29"/>
    </row>
    <row r="83" spans="1:13" ht="21" customHeight="1">
      <c r="A83" s="10">
        <v>74</v>
      </c>
      <c r="B83" s="16"/>
      <c r="C83" s="16"/>
      <c r="D83" s="16"/>
      <c r="E83" s="7"/>
      <c r="F83" s="18"/>
      <c r="G83" s="19"/>
      <c r="H83" s="20"/>
      <c r="I83" s="20"/>
      <c r="J83" s="10"/>
      <c r="K83" s="21"/>
      <c r="L83" s="29"/>
      <c r="M83" s="29"/>
    </row>
    <row r="84" spans="1:13" ht="21" customHeight="1">
      <c r="A84" s="10">
        <v>75</v>
      </c>
      <c r="B84" s="16"/>
      <c r="C84" s="16"/>
      <c r="D84" s="16"/>
      <c r="E84" s="7"/>
      <c r="F84" s="18"/>
      <c r="G84" s="19"/>
      <c r="H84" s="20"/>
      <c r="I84" s="20"/>
      <c r="J84" s="10"/>
      <c r="K84" s="21"/>
      <c r="L84" s="29"/>
      <c r="M84" s="29"/>
    </row>
    <row r="85" spans="1:13" ht="21" customHeight="1">
      <c r="A85" s="10">
        <v>76</v>
      </c>
      <c r="B85" s="16"/>
      <c r="C85" s="16"/>
      <c r="D85" s="16"/>
      <c r="E85" s="7"/>
      <c r="F85" s="18"/>
      <c r="G85" s="19"/>
      <c r="H85" s="20"/>
      <c r="I85" s="20"/>
      <c r="J85" s="10"/>
      <c r="K85" s="21"/>
      <c r="L85" s="29"/>
      <c r="M85" s="29"/>
    </row>
    <row r="86" spans="1:13" ht="21" customHeight="1">
      <c r="A86" s="10">
        <v>77</v>
      </c>
      <c r="B86" s="16"/>
      <c r="C86" s="16"/>
      <c r="D86" s="16"/>
      <c r="E86" s="7"/>
      <c r="F86" s="18"/>
      <c r="G86" s="19"/>
      <c r="H86" s="20"/>
      <c r="I86" s="20"/>
      <c r="J86" s="10"/>
      <c r="K86" s="21"/>
      <c r="L86" s="29"/>
      <c r="M86" s="29"/>
    </row>
    <row r="87" spans="1:13" ht="21" customHeight="1">
      <c r="A87" s="10">
        <v>78</v>
      </c>
      <c r="B87" s="16"/>
      <c r="C87" s="16"/>
      <c r="D87" s="16"/>
      <c r="E87" s="7"/>
      <c r="F87" s="18"/>
      <c r="G87" s="19"/>
      <c r="H87" s="20"/>
      <c r="I87" s="20"/>
      <c r="J87" s="10"/>
      <c r="K87" s="21"/>
      <c r="L87" s="29"/>
      <c r="M87" s="29"/>
    </row>
    <row r="88" spans="1:13" ht="21" customHeight="1">
      <c r="A88" s="10">
        <v>79</v>
      </c>
      <c r="B88" s="16"/>
      <c r="C88" s="16"/>
      <c r="D88" s="16"/>
      <c r="E88" s="7"/>
      <c r="F88" s="18"/>
      <c r="G88" s="19"/>
      <c r="H88" s="20"/>
      <c r="I88" s="20"/>
      <c r="J88" s="10"/>
      <c r="K88" s="21"/>
      <c r="L88" s="29"/>
      <c r="M88" s="29"/>
    </row>
    <row r="89" spans="1:13" ht="21" customHeight="1">
      <c r="A89" s="10">
        <v>80</v>
      </c>
      <c r="B89" s="16"/>
      <c r="C89" s="16"/>
      <c r="D89" s="16"/>
      <c r="E89" s="7"/>
      <c r="F89" s="18"/>
      <c r="G89" s="19"/>
      <c r="H89" s="20"/>
      <c r="I89" s="20"/>
      <c r="J89" s="10"/>
      <c r="K89" s="21"/>
      <c r="L89" s="29"/>
      <c r="M89" s="29"/>
    </row>
    <row r="90" spans="1:13" ht="21" customHeight="1">
      <c r="A90" s="10">
        <v>81</v>
      </c>
      <c r="B90" s="16"/>
      <c r="C90" s="16"/>
      <c r="D90" s="16"/>
      <c r="E90" s="7"/>
      <c r="F90" s="18"/>
      <c r="G90" s="19"/>
      <c r="H90" s="20"/>
      <c r="I90" s="20"/>
      <c r="J90" s="10"/>
      <c r="K90" s="21"/>
      <c r="L90" s="29"/>
      <c r="M90" s="29"/>
    </row>
    <row r="91" spans="1:13" ht="21" customHeight="1">
      <c r="A91" s="10"/>
      <c r="B91" s="16"/>
      <c r="C91" s="16"/>
      <c r="D91" s="16"/>
      <c r="E91" s="7"/>
      <c r="F91" s="18"/>
      <c r="G91" s="19"/>
      <c r="H91" s="20"/>
      <c r="I91" s="20"/>
      <c r="J91" s="10"/>
      <c r="K91" s="21"/>
      <c r="L91" s="29"/>
      <c r="M91" s="29"/>
    </row>
    <row r="92" spans="1:13" ht="21" customHeight="1">
      <c r="A92" s="10"/>
      <c r="B92" s="16"/>
      <c r="C92" s="16"/>
      <c r="D92" s="16"/>
      <c r="E92" s="7"/>
      <c r="F92" s="18"/>
      <c r="G92" s="19"/>
      <c r="H92" s="20" t="str">
        <f t="shared" ref="H92:H100" si="3">IF(G92="","",(F92*100000000+G92)-7*INT((F92*100000000+G92)/7))</f>
        <v/>
      </c>
      <c r="I92" s="20"/>
      <c r="J92" s="10"/>
      <c r="K92" s="21"/>
      <c r="L92" s="29"/>
      <c r="M92" s="29"/>
    </row>
    <row r="93" spans="1:13" ht="21" customHeight="1">
      <c r="A93" s="10"/>
      <c r="B93" s="16"/>
      <c r="C93" s="16"/>
      <c r="D93" s="16"/>
      <c r="E93" s="7"/>
      <c r="F93" s="18"/>
      <c r="G93" s="19"/>
      <c r="H93" s="20" t="str">
        <f t="shared" si="3"/>
        <v/>
      </c>
      <c r="I93" s="20"/>
      <c r="J93" s="10"/>
      <c r="K93" s="21"/>
      <c r="L93" s="29"/>
      <c r="M93" s="29"/>
    </row>
    <row r="94" spans="1:13" ht="21" customHeight="1">
      <c r="A94" s="10"/>
      <c r="B94" s="16"/>
      <c r="C94" s="16"/>
      <c r="D94" s="16"/>
      <c r="E94" s="7"/>
      <c r="F94" s="18"/>
      <c r="G94" s="19"/>
      <c r="H94" s="20" t="str">
        <f t="shared" si="3"/>
        <v/>
      </c>
      <c r="I94" s="20"/>
      <c r="J94" s="10"/>
      <c r="K94" s="21"/>
      <c r="L94" s="29"/>
      <c r="M94" s="29"/>
    </row>
    <row r="95" spans="1:13" ht="21" customHeight="1">
      <c r="A95" s="10"/>
      <c r="B95" s="16"/>
      <c r="C95" s="16"/>
      <c r="D95" s="16"/>
      <c r="E95" s="7"/>
      <c r="F95" s="18"/>
      <c r="G95" s="19"/>
      <c r="H95" s="20" t="str">
        <f t="shared" si="3"/>
        <v/>
      </c>
      <c r="I95" s="20"/>
      <c r="J95" s="10"/>
      <c r="K95" s="21"/>
      <c r="L95" s="29"/>
      <c r="M95" s="29"/>
    </row>
    <row r="96" spans="1:13" ht="21" customHeight="1">
      <c r="A96" s="10"/>
      <c r="B96" s="16"/>
      <c r="C96" s="16"/>
      <c r="D96" s="16"/>
      <c r="E96" s="7"/>
      <c r="F96" s="18"/>
      <c r="G96" s="19"/>
      <c r="H96" s="20" t="str">
        <f t="shared" si="3"/>
        <v/>
      </c>
      <c r="I96" s="20"/>
      <c r="J96" s="10"/>
      <c r="K96" s="21"/>
      <c r="L96" s="29"/>
      <c r="M96" s="29"/>
    </row>
    <row r="97" spans="1:13" ht="21" customHeight="1">
      <c r="A97" s="10"/>
      <c r="B97" s="16"/>
      <c r="C97" s="16"/>
      <c r="D97" s="16"/>
      <c r="E97" s="7"/>
      <c r="F97" s="18"/>
      <c r="G97" s="19"/>
      <c r="H97" s="20" t="str">
        <f t="shared" si="3"/>
        <v/>
      </c>
      <c r="I97" s="20"/>
      <c r="J97" s="10"/>
      <c r="K97" s="21"/>
      <c r="L97" s="29"/>
      <c r="M97" s="29"/>
    </row>
    <row r="98" spans="1:13" ht="21" customHeight="1">
      <c r="A98" s="10"/>
      <c r="B98" s="16"/>
      <c r="C98" s="16"/>
      <c r="D98" s="16"/>
      <c r="E98" s="7"/>
      <c r="F98" s="18"/>
      <c r="G98" s="19"/>
      <c r="H98" s="20" t="str">
        <f t="shared" si="3"/>
        <v/>
      </c>
      <c r="I98" s="20"/>
      <c r="J98" s="10"/>
      <c r="K98" s="21"/>
      <c r="L98" s="29"/>
      <c r="M98" s="29"/>
    </row>
    <row r="99" spans="1:13" ht="21" customHeight="1">
      <c r="A99" s="10"/>
      <c r="B99" s="16"/>
      <c r="C99" s="16"/>
      <c r="D99" s="16"/>
      <c r="E99" s="7"/>
      <c r="F99" s="18"/>
      <c r="G99" s="19"/>
      <c r="H99" s="20" t="str">
        <f t="shared" si="3"/>
        <v/>
      </c>
      <c r="I99" s="20"/>
      <c r="J99" s="10"/>
      <c r="K99" s="21"/>
      <c r="L99" s="29"/>
      <c r="M99" s="29"/>
    </row>
    <row r="100" spans="1:13" ht="21" customHeight="1">
      <c r="A100" s="10"/>
      <c r="B100" s="16"/>
      <c r="C100" s="16"/>
      <c r="D100" s="16"/>
      <c r="E100" s="7"/>
      <c r="F100" s="18"/>
      <c r="G100" s="19"/>
      <c r="H100" s="20" t="str">
        <f t="shared" si="3"/>
        <v/>
      </c>
      <c r="I100" s="20"/>
      <c r="J100" s="10"/>
      <c r="K100" s="21"/>
      <c r="L100" s="29"/>
      <c r="M100" s="29"/>
    </row>
    <row r="101" spans="1:13" ht="21" customHeight="1">
      <c r="A101" s="10"/>
      <c r="B101" s="16"/>
      <c r="C101" s="16"/>
      <c r="D101" s="16"/>
      <c r="E101" s="7"/>
      <c r="F101" s="18"/>
      <c r="G101" s="19"/>
      <c r="H101" s="20" t="str">
        <f t="shared" ref="H101:H130" si="4">IF(G101="","",(F101*100000000+G101)-7*INT((F101*100000000+G101)/7))</f>
        <v/>
      </c>
      <c r="I101" s="20"/>
      <c r="J101" s="10"/>
      <c r="K101" s="21"/>
      <c r="L101" s="29"/>
      <c r="M101" s="29"/>
    </row>
    <row r="102" spans="1:13" ht="21" customHeight="1">
      <c r="A102" s="10"/>
      <c r="B102" s="16"/>
      <c r="C102" s="16"/>
      <c r="D102" s="16"/>
      <c r="E102" s="7"/>
      <c r="F102" s="18"/>
      <c r="G102" s="19"/>
      <c r="H102" s="20" t="str">
        <f t="shared" si="4"/>
        <v/>
      </c>
      <c r="I102" s="20"/>
      <c r="J102" s="10"/>
      <c r="K102" s="21"/>
      <c r="L102" s="29"/>
      <c r="M102" s="29"/>
    </row>
    <row r="103" spans="1:13" ht="21" customHeight="1">
      <c r="A103" s="10"/>
      <c r="B103" s="16"/>
      <c r="C103" s="16"/>
      <c r="D103" s="16"/>
      <c r="E103" s="7"/>
      <c r="F103" s="18"/>
      <c r="G103" s="19"/>
      <c r="H103" s="20" t="str">
        <f t="shared" si="4"/>
        <v/>
      </c>
      <c r="I103" s="20"/>
      <c r="J103" s="10"/>
      <c r="K103" s="21"/>
      <c r="L103" s="29"/>
      <c r="M103" s="29"/>
    </row>
    <row r="104" spans="1:13" ht="21" customHeight="1">
      <c r="A104" s="10"/>
      <c r="B104" s="16"/>
      <c r="C104" s="16"/>
      <c r="D104" s="16"/>
      <c r="E104" s="7"/>
      <c r="F104" s="18"/>
      <c r="G104" s="19"/>
      <c r="H104" s="20" t="str">
        <f t="shared" si="4"/>
        <v/>
      </c>
      <c r="I104" s="20"/>
      <c r="J104" s="10"/>
      <c r="K104" s="21"/>
      <c r="L104" s="29"/>
      <c r="M104" s="29"/>
    </row>
    <row r="105" spans="1:13" ht="21" customHeight="1">
      <c r="A105" s="10"/>
      <c r="B105" s="16"/>
      <c r="C105" s="16"/>
      <c r="D105" s="16"/>
      <c r="E105" s="7"/>
      <c r="F105" s="18"/>
      <c r="G105" s="19"/>
      <c r="H105" s="20" t="str">
        <f t="shared" si="4"/>
        <v/>
      </c>
      <c r="I105" s="20"/>
      <c r="J105" s="10"/>
      <c r="K105" s="21"/>
      <c r="L105" s="29"/>
      <c r="M105" s="29"/>
    </row>
    <row r="106" spans="1:13" ht="21" customHeight="1">
      <c r="A106" s="10"/>
      <c r="B106" s="16"/>
      <c r="C106" s="16"/>
      <c r="D106" s="16"/>
      <c r="E106" s="7"/>
      <c r="F106" s="18"/>
      <c r="G106" s="19"/>
      <c r="H106" s="20" t="str">
        <f t="shared" si="4"/>
        <v/>
      </c>
      <c r="I106" s="20"/>
      <c r="J106" s="10"/>
      <c r="K106" s="21"/>
      <c r="L106" s="29"/>
      <c r="M106" s="29"/>
    </row>
    <row r="107" spans="1:13" ht="21" customHeight="1">
      <c r="A107" s="10"/>
      <c r="B107" s="16"/>
      <c r="C107" s="16"/>
      <c r="D107" s="16"/>
      <c r="E107" s="7"/>
      <c r="F107" s="18"/>
      <c r="G107" s="19"/>
      <c r="H107" s="20" t="str">
        <f t="shared" si="4"/>
        <v/>
      </c>
      <c r="I107" s="20"/>
      <c r="J107" s="10"/>
      <c r="K107" s="21"/>
      <c r="L107" s="29"/>
      <c r="M107" s="29"/>
    </row>
    <row r="108" spans="1:13" ht="21" customHeight="1">
      <c r="A108" s="10"/>
      <c r="B108" s="16"/>
      <c r="C108" s="16"/>
      <c r="D108" s="16"/>
      <c r="E108" s="7"/>
      <c r="F108" s="18"/>
      <c r="G108" s="19"/>
      <c r="H108" s="20" t="str">
        <f t="shared" si="4"/>
        <v/>
      </c>
      <c r="I108" s="20"/>
      <c r="J108" s="10"/>
      <c r="K108" s="21"/>
      <c r="L108" s="29"/>
      <c r="M108" s="29"/>
    </row>
    <row r="109" spans="1:13" ht="21" customHeight="1">
      <c r="A109" s="10"/>
      <c r="B109" s="16"/>
      <c r="C109" s="16"/>
      <c r="D109" s="16"/>
      <c r="E109" s="7"/>
      <c r="F109" s="18"/>
      <c r="G109" s="19"/>
      <c r="H109" s="20" t="str">
        <f t="shared" si="4"/>
        <v/>
      </c>
      <c r="I109" s="20"/>
      <c r="J109" s="10"/>
      <c r="K109" s="21"/>
      <c r="L109" s="29"/>
      <c r="M109" s="29"/>
    </row>
    <row r="110" spans="1:13" ht="21" customHeight="1">
      <c r="A110" s="10"/>
      <c r="B110" s="16"/>
      <c r="C110" s="16"/>
      <c r="D110" s="16"/>
      <c r="E110" s="7"/>
      <c r="F110" s="18"/>
      <c r="G110" s="19"/>
      <c r="H110" s="20" t="str">
        <f t="shared" si="4"/>
        <v/>
      </c>
      <c r="I110" s="20"/>
      <c r="J110" s="10"/>
      <c r="K110" s="21"/>
      <c r="L110" s="29"/>
      <c r="M110" s="29"/>
    </row>
    <row r="111" spans="1:13" ht="21" customHeight="1">
      <c r="A111" s="10"/>
      <c r="B111" s="16"/>
      <c r="C111" s="16"/>
      <c r="D111" s="16"/>
      <c r="E111" s="7"/>
      <c r="F111" s="18"/>
      <c r="G111" s="19"/>
      <c r="H111" s="20" t="str">
        <f t="shared" si="4"/>
        <v/>
      </c>
      <c r="I111" s="20"/>
      <c r="J111" s="10"/>
      <c r="K111" s="21"/>
      <c r="L111" s="29"/>
      <c r="M111" s="29"/>
    </row>
    <row r="112" spans="1:13" ht="21" customHeight="1">
      <c r="A112" s="10"/>
      <c r="B112" s="16"/>
      <c r="C112" s="16"/>
      <c r="D112" s="16"/>
      <c r="E112" s="7"/>
      <c r="F112" s="18"/>
      <c r="G112" s="19"/>
      <c r="H112" s="20" t="str">
        <f t="shared" si="4"/>
        <v/>
      </c>
      <c r="I112" s="20"/>
      <c r="J112" s="10"/>
      <c r="K112" s="21"/>
      <c r="L112" s="29"/>
      <c r="M112" s="29"/>
    </row>
    <row r="113" spans="1:13" ht="21" customHeight="1">
      <c r="A113" s="10"/>
      <c r="B113" s="16"/>
      <c r="C113" s="16"/>
      <c r="D113" s="16"/>
      <c r="E113" s="7"/>
      <c r="F113" s="18"/>
      <c r="G113" s="19"/>
      <c r="H113" s="20" t="str">
        <f t="shared" si="4"/>
        <v/>
      </c>
      <c r="I113" s="20"/>
      <c r="J113" s="10"/>
      <c r="K113" s="21"/>
      <c r="L113" s="29"/>
      <c r="M113" s="29"/>
    </row>
    <row r="114" spans="1:13" ht="21" customHeight="1">
      <c r="A114" s="10"/>
      <c r="B114" s="16"/>
      <c r="C114" s="16"/>
      <c r="D114" s="16"/>
      <c r="E114" s="7"/>
      <c r="F114" s="18"/>
      <c r="G114" s="19"/>
      <c r="H114" s="20" t="str">
        <f t="shared" si="4"/>
        <v/>
      </c>
      <c r="I114" s="20"/>
      <c r="J114" s="10"/>
      <c r="K114" s="21"/>
      <c r="L114" s="29"/>
      <c r="M114" s="29"/>
    </row>
    <row r="115" spans="1:13" ht="21" customHeight="1">
      <c r="A115" s="10"/>
      <c r="B115" s="16"/>
      <c r="C115" s="16"/>
      <c r="D115" s="16"/>
      <c r="E115" s="7"/>
      <c r="F115" s="18"/>
      <c r="G115" s="19"/>
      <c r="H115" s="20" t="str">
        <f t="shared" si="4"/>
        <v/>
      </c>
      <c r="I115" s="20"/>
      <c r="J115" s="10"/>
      <c r="K115" s="21"/>
      <c r="L115" s="29"/>
      <c r="M115" s="29"/>
    </row>
    <row r="116" spans="1:13" ht="21" customHeight="1">
      <c r="A116" s="10"/>
      <c r="B116" s="16"/>
      <c r="C116" s="16"/>
      <c r="D116" s="16"/>
      <c r="E116" s="7"/>
      <c r="F116" s="18"/>
      <c r="G116" s="19"/>
      <c r="H116" s="20" t="str">
        <f t="shared" si="4"/>
        <v/>
      </c>
      <c r="I116" s="20"/>
      <c r="J116" s="10"/>
      <c r="K116" s="21"/>
      <c r="L116" s="29"/>
      <c r="M116" s="29"/>
    </row>
    <row r="117" spans="1:13" ht="21" customHeight="1">
      <c r="A117" s="10"/>
      <c r="B117" s="16"/>
      <c r="C117" s="16"/>
      <c r="D117" s="16"/>
      <c r="E117" s="7"/>
      <c r="F117" s="18"/>
      <c r="G117" s="19"/>
      <c r="H117" s="20" t="str">
        <f t="shared" si="4"/>
        <v/>
      </c>
      <c r="I117" s="20"/>
      <c r="J117" s="10"/>
      <c r="K117" s="21"/>
      <c r="L117" s="29"/>
      <c r="M117" s="29"/>
    </row>
    <row r="118" spans="1:13" ht="21" customHeight="1">
      <c r="A118" s="10"/>
      <c r="B118" s="16"/>
      <c r="C118" s="16"/>
      <c r="D118" s="16"/>
      <c r="E118" s="7"/>
      <c r="F118" s="18"/>
      <c r="G118" s="19"/>
      <c r="H118" s="20" t="str">
        <f t="shared" si="4"/>
        <v/>
      </c>
      <c r="I118" s="20"/>
      <c r="J118" s="10"/>
      <c r="K118" s="21"/>
      <c r="L118" s="29"/>
      <c r="M118" s="29"/>
    </row>
    <row r="119" spans="1:13" ht="21" customHeight="1">
      <c r="A119" s="10"/>
      <c r="B119" s="16"/>
      <c r="C119" s="16"/>
      <c r="D119" s="16"/>
      <c r="E119" s="7"/>
      <c r="F119" s="18"/>
      <c r="G119" s="19"/>
      <c r="H119" s="20" t="str">
        <f t="shared" si="4"/>
        <v/>
      </c>
      <c r="I119" s="20"/>
      <c r="J119" s="10"/>
      <c r="K119" s="21"/>
      <c r="L119" s="29"/>
      <c r="M119" s="29"/>
    </row>
    <row r="120" spans="1:13" ht="21" customHeight="1">
      <c r="A120" s="10"/>
      <c r="B120" s="16"/>
      <c r="C120" s="16"/>
      <c r="D120" s="16"/>
      <c r="E120" s="7"/>
      <c r="F120" s="18"/>
      <c r="G120" s="19"/>
      <c r="H120" s="20" t="str">
        <f t="shared" si="4"/>
        <v/>
      </c>
      <c r="I120" s="20"/>
      <c r="J120" s="10"/>
      <c r="K120" s="21"/>
      <c r="L120" s="29"/>
      <c r="M120" s="29"/>
    </row>
    <row r="121" spans="1:13" ht="21" customHeight="1">
      <c r="A121" s="10"/>
      <c r="B121" s="16"/>
      <c r="C121" s="16"/>
      <c r="D121" s="16"/>
      <c r="E121" s="7"/>
      <c r="F121" s="18"/>
      <c r="G121" s="19"/>
      <c r="H121" s="20" t="str">
        <f t="shared" si="4"/>
        <v/>
      </c>
      <c r="I121" s="20"/>
      <c r="J121" s="10"/>
      <c r="K121" s="21"/>
      <c r="L121" s="29"/>
      <c r="M121" s="29"/>
    </row>
    <row r="122" spans="1:13" ht="21" customHeight="1">
      <c r="A122" s="10"/>
      <c r="B122" s="16"/>
      <c r="C122" s="16"/>
      <c r="D122" s="16"/>
      <c r="E122" s="7"/>
      <c r="F122" s="18"/>
      <c r="G122" s="19"/>
      <c r="H122" s="20" t="str">
        <f t="shared" si="4"/>
        <v/>
      </c>
      <c r="I122" s="20"/>
      <c r="J122" s="10"/>
      <c r="K122" s="21"/>
      <c r="L122" s="29"/>
      <c r="M122" s="29"/>
    </row>
    <row r="123" spans="1:13" ht="21" customHeight="1">
      <c r="A123" s="10"/>
      <c r="B123" s="16"/>
      <c r="C123" s="16"/>
      <c r="D123" s="16"/>
      <c r="E123" s="7"/>
      <c r="F123" s="18"/>
      <c r="G123" s="19"/>
      <c r="H123" s="20" t="str">
        <f t="shared" si="4"/>
        <v/>
      </c>
      <c r="I123" s="20"/>
      <c r="J123" s="10"/>
      <c r="K123" s="21"/>
      <c r="L123" s="29"/>
      <c r="M123" s="29"/>
    </row>
    <row r="124" spans="1:13" ht="21" customHeight="1">
      <c r="A124" s="10"/>
      <c r="B124" s="16"/>
      <c r="C124" s="16"/>
      <c r="D124" s="16"/>
      <c r="E124" s="7"/>
      <c r="F124" s="18"/>
      <c r="G124" s="19"/>
      <c r="H124" s="20" t="str">
        <f t="shared" si="4"/>
        <v/>
      </c>
      <c r="I124" s="20"/>
      <c r="J124" s="10"/>
      <c r="K124" s="21"/>
      <c r="L124" s="29"/>
      <c r="M124" s="29"/>
    </row>
    <row r="125" spans="1:13" ht="21" customHeight="1">
      <c r="A125" s="10"/>
      <c r="B125" s="16"/>
      <c r="C125" s="16"/>
      <c r="D125" s="16"/>
      <c r="E125" s="7"/>
      <c r="F125" s="18"/>
      <c r="G125" s="19"/>
      <c r="H125" s="20" t="str">
        <f t="shared" si="4"/>
        <v/>
      </c>
      <c r="I125" s="20"/>
      <c r="J125" s="10"/>
      <c r="K125" s="21"/>
      <c r="L125" s="29"/>
      <c r="M125" s="29"/>
    </row>
    <row r="126" spans="1:13" ht="21" customHeight="1">
      <c r="A126" s="10"/>
      <c r="B126" s="16"/>
      <c r="C126" s="16"/>
      <c r="D126" s="16"/>
      <c r="E126" s="7"/>
      <c r="F126" s="18"/>
      <c r="G126" s="19"/>
      <c r="H126" s="20" t="str">
        <f t="shared" si="4"/>
        <v/>
      </c>
      <c r="I126" s="20"/>
      <c r="J126" s="10"/>
      <c r="K126" s="21"/>
      <c r="L126" s="29"/>
      <c r="M126" s="29"/>
    </row>
    <row r="127" spans="1:13" ht="21" customHeight="1">
      <c r="A127" s="10"/>
      <c r="B127" s="16"/>
      <c r="C127" s="16"/>
      <c r="D127" s="16"/>
      <c r="E127" s="7"/>
      <c r="F127" s="18"/>
      <c r="G127" s="19"/>
      <c r="H127" s="20" t="str">
        <f t="shared" si="4"/>
        <v/>
      </c>
      <c r="I127" s="20"/>
      <c r="J127" s="10"/>
      <c r="K127" s="21"/>
      <c r="L127" s="29"/>
      <c r="M127" s="29"/>
    </row>
    <row r="128" spans="1:13" ht="21" customHeight="1">
      <c r="A128" s="10"/>
      <c r="B128" s="16"/>
      <c r="C128" s="16"/>
      <c r="D128" s="16"/>
      <c r="E128" s="7"/>
      <c r="F128" s="18"/>
      <c r="G128" s="19"/>
      <c r="H128" s="20" t="str">
        <f t="shared" si="4"/>
        <v/>
      </c>
      <c r="I128" s="20"/>
      <c r="J128" s="10"/>
      <c r="K128" s="21"/>
      <c r="L128" s="29"/>
      <c r="M128" s="29"/>
    </row>
    <row r="129" spans="1:13" ht="21" customHeight="1">
      <c r="A129" s="10"/>
      <c r="B129" s="16"/>
      <c r="C129" s="16"/>
      <c r="D129" s="16"/>
      <c r="E129" s="7"/>
      <c r="F129" s="18"/>
      <c r="G129" s="19"/>
      <c r="H129" s="20" t="str">
        <f t="shared" si="4"/>
        <v/>
      </c>
      <c r="I129" s="20"/>
      <c r="J129" s="10"/>
      <c r="K129" s="21"/>
      <c r="L129" s="29"/>
      <c r="M129" s="29"/>
    </row>
    <row r="130" spans="1:13" ht="21" customHeight="1">
      <c r="A130" s="10"/>
      <c r="B130" s="16"/>
      <c r="C130" s="16"/>
      <c r="D130" s="16"/>
      <c r="E130" s="7"/>
      <c r="F130" s="18"/>
      <c r="G130" s="19"/>
      <c r="H130" s="20" t="str">
        <f t="shared" si="4"/>
        <v/>
      </c>
      <c r="I130" s="20"/>
      <c r="J130" s="10"/>
      <c r="K130" s="21"/>
      <c r="L130" s="29"/>
      <c r="M130" s="29"/>
    </row>
    <row r="131" spans="1:13" ht="17.25" customHeight="1">
      <c r="A131" s="10"/>
      <c r="B131" s="16"/>
      <c r="C131" s="10"/>
      <c r="D131" s="16"/>
      <c r="E131" s="7"/>
      <c r="F131" s="18"/>
      <c r="G131" s="19"/>
      <c r="H131" s="20" t="str">
        <f t="shared" ref="H131:H138" si="5">IF(G131="","",(F131*100000000+G131)-7*INT((F131*100000000+G131)/7))</f>
        <v/>
      </c>
      <c r="I131" s="20"/>
      <c r="J131" s="10"/>
      <c r="K131" s="21"/>
      <c r="L131" s="22"/>
      <c r="M131" s="22"/>
    </row>
    <row r="132" spans="1:13" ht="17.25" customHeight="1">
      <c r="A132" s="10"/>
      <c r="B132" s="16"/>
      <c r="C132" s="10"/>
      <c r="D132" s="16"/>
      <c r="E132" s="7"/>
      <c r="F132" s="18"/>
      <c r="G132" s="19"/>
      <c r="H132" s="20" t="str">
        <f t="shared" si="5"/>
        <v/>
      </c>
      <c r="I132" s="20"/>
      <c r="J132" s="10"/>
      <c r="K132" s="21"/>
      <c r="L132" s="22"/>
      <c r="M132" s="22"/>
    </row>
    <row r="133" spans="1:13" ht="17.25" customHeight="1">
      <c r="A133" s="10"/>
      <c r="B133" s="16"/>
      <c r="C133" s="10"/>
      <c r="D133" s="16"/>
      <c r="E133" s="7"/>
      <c r="F133" s="18"/>
      <c r="G133" s="19"/>
      <c r="H133" s="20" t="str">
        <f t="shared" si="5"/>
        <v/>
      </c>
      <c r="I133" s="20"/>
      <c r="J133" s="10"/>
      <c r="K133" s="21"/>
      <c r="L133" s="22"/>
      <c r="M133" s="22"/>
    </row>
    <row r="134" spans="1:13" ht="17.25" customHeight="1">
      <c r="A134" s="10"/>
      <c r="B134" s="16"/>
      <c r="C134" s="10"/>
      <c r="D134" s="16"/>
      <c r="E134" s="7"/>
      <c r="F134" s="18"/>
      <c r="G134" s="19"/>
      <c r="H134" s="20" t="str">
        <f t="shared" si="5"/>
        <v/>
      </c>
      <c r="I134" s="20"/>
      <c r="J134" s="10"/>
      <c r="K134" s="21"/>
      <c r="L134" s="22"/>
      <c r="M134" s="22"/>
    </row>
    <row r="135" spans="1:13" ht="17.25" customHeight="1">
      <c r="A135" s="10"/>
      <c r="B135" s="16"/>
      <c r="C135" s="10"/>
      <c r="D135" s="16"/>
      <c r="E135" s="7"/>
      <c r="F135" s="18"/>
      <c r="G135" s="19"/>
      <c r="H135" s="20" t="str">
        <f t="shared" si="5"/>
        <v/>
      </c>
      <c r="I135" s="20"/>
      <c r="J135" s="10"/>
      <c r="K135" s="21"/>
      <c r="L135" s="22"/>
      <c r="M135" s="22"/>
    </row>
    <row r="136" spans="1:13" ht="17.25" customHeight="1">
      <c r="A136" s="10"/>
      <c r="B136" s="16"/>
      <c r="C136" s="10"/>
      <c r="D136" s="16"/>
      <c r="E136" s="7"/>
      <c r="F136" s="18"/>
      <c r="G136" s="19"/>
      <c r="H136" s="20" t="str">
        <f t="shared" si="5"/>
        <v/>
      </c>
      <c r="I136" s="20"/>
      <c r="J136" s="10"/>
      <c r="K136" s="21"/>
      <c r="L136" s="22"/>
      <c r="M136" s="22"/>
    </row>
    <row r="137" spans="1:13" ht="17.25" customHeight="1">
      <c r="A137" s="10"/>
      <c r="B137" s="16"/>
      <c r="C137" s="10"/>
      <c r="D137" s="10"/>
      <c r="E137" s="7"/>
      <c r="F137" s="18"/>
      <c r="G137" s="19"/>
      <c r="H137" s="20" t="str">
        <f t="shared" si="5"/>
        <v/>
      </c>
      <c r="I137" s="20"/>
      <c r="J137" s="10"/>
      <c r="K137" s="21"/>
      <c r="L137" s="22"/>
      <c r="M137" s="22"/>
    </row>
    <row r="138" spans="1:13" ht="17.25" customHeight="1">
      <c r="A138" s="10"/>
      <c r="B138" s="16"/>
      <c r="C138" s="10"/>
      <c r="D138" s="16"/>
      <c r="E138" s="7"/>
      <c r="F138" s="18"/>
      <c r="G138" s="19"/>
      <c r="H138" s="20" t="str">
        <f t="shared" si="5"/>
        <v/>
      </c>
      <c r="I138" s="20"/>
      <c r="J138" s="10"/>
      <c r="K138" s="21"/>
      <c r="L138" s="22"/>
      <c r="M138" s="22"/>
    </row>
    <row r="139" spans="1:13" ht="17.25" customHeight="1">
      <c r="A139" s="10"/>
      <c r="B139" s="16"/>
      <c r="C139" s="16"/>
      <c r="D139" s="16"/>
      <c r="E139" s="7"/>
      <c r="F139" s="18"/>
      <c r="G139" s="19"/>
      <c r="H139" s="20" t="str">
        <f t="shared" ref="H139:H202" si="6">IF(G139="","",(F139*100000000+G139)-7*INT((F139*100000000+G139)/7))</f>
        <v/>
      </c>
      <c r="I139" s="20"/>
      <c r="J139" s="10"/>
      <c r="K139" s="21"/>
      <c r="L139" s="22"/>
      <c r="M139" s="22"/>
    </row>
    <row r="140" spans="1:13" ht="17.25" customHeight="1">
      <c r="A140" s="10"/>
      <c r="B140" s="16"/>
      <c r="C140" s="16"/>
      <c r="D140" s="16"/>
      <c r="E140" s="7"/>
      <c r="F140" s="18"/>
      <c r="G140" s="19"/>
      <c r="H140" s="20" t="str">
        <f t="shared" si="6"/>
        <v/>
      </c>
      <c r="I140" s="20"/>
      <c r="J140" s="10"/>
      <c r="K140" s="21"/>
      <c r="L140" s="22"/>
      <c r="M140" s="22"/>
    </row>
    <row r="141" spans="1:13" ht="17.25" customHeight="1">
      <c r="A141" s="10"/>
      <c r="B141" s="16"/>
      <c r="C141" s="10"/>
      <c r="D141" s="16"/>
      <c r="E141" s="7"/>
      <c r="F141" s="18"/>
      <c r="G141" s="19"/>
      <c r="H141" s="20" t="str">
        <f t="shared" si="6"/>
        <v/>
      </c>
      <c r="I141" s="20"/>
      <c r="J141" s="10"/>
      <c r="K141" s="21"/>
      <c r="L141" s="22"/>
      <c r="M141" s="22"/>
    </row>
    <row r="142" spans="1:13" ht="17.25" customHeight="1">
      <c r="A142" s="10"/>
      <c r="B142" s="16"/>
      <c r="C142" s="10"/>
      <c r="D142" s="16"/>
      <c r="E142" s="7"/>
      <c r="F142" s="18"/>
      <c r="G142" s="19"/>
      <c r="H142" s="20" t="str">
        <f t="shared" si="6"/>
        <v/>
      </c>
      <c r="I142" s="20"/>
      <c r="J142" s="10"/>
      <c r="K142" s="21"/>
      <c r="L142" s="27"/>
      <c r="M142" s="27"/>
    </row>
    <row r="143" spans="1:13" ht="17.25" customHeight="1">
      <c r="A143" s="10"/>
      <c r="B143" s="16"/>
      <c r="C143" s="10"/>
      <c r="D143" s="16"/>
      <c r="E143" s="7"/>
      <c r="F143" s="18"/>
      <c r="G143" s="19"/>
      <c r="H143" s="20" t="str">
        <f t="shared" si="6"/>
        <v/>
      </c>
      <c r="I143" s="20"/>
      <c r="J143" s="10"/>
      <c r="K143" s="21"/>
      <c r="L143" s="27"/>
      <c r="M143" s="27"/>
    </row>
    <row r="144" spans="1:13" ht="17.25" customHeight="1">
      <c r="A144" s="10"/>
      <c r="B144" s="16"/>
      <c r="C144" s="10"/>
      <c r="D144" s="16"/>
      <c r="E144" s="7"/>
      <c r="F144" s="18"/>
      <c r="G144" s="19"/>
      <c r="H144" s="20" t="str">
        <f t="shared" si="6"/>
        <v/>
      </c>
      <c r="I144" s="20"/>
      <c r="J144" s="10"/>
      <c r="K144" s="21"/>
      <c r="L144" s="27"/>
      <c r="M144" s="27"/>
    </row>
    <row r="145" spans="1:13" ht="17.25" customHeight="1">
      <c r="A145" s="10"/>
      <c r="B145" s="16"/>
      <c r="C145" s="10"/>
      <c r="D145" s="16"/>
      <c r="E145" s="7"/>
      <c r="F145" s="18"/>
      <c r="G145" s="19"/>
      <c r="H145" s="20" t="str">
        <f t="shared" si="6"/>
        <v/>
      </c>
      <c r="I145" s="20"/>
      <c r="J145" s="10"/>
      <c r="K145" s="21"/>
      <c r="L145" s="27"/>
      <c r="M145" s="27"/>
    </row>
    <row r="146" spans="1:13" ht="17.25" customHeight="1">
      <c r="A146" s="10"/>
      <c r="B146" s="16"/>
      <c r="C146" s="10"/>
      <c r="D146" s="16"/>
      <c r="E146" s="7"/>
      <c r="F146" s="18"/>
      <c r="G146" s="19"/>
      <c r="H146" s="20" t="str">
        <f t="shared" si="6"/>
        <v/>
      </c>
      <c r="I146" s="20"/>
      <c r="J146" s="10"/>
      <c r="K146" s="21"/>
      <c r="L146" s="27"/>
      <c r="M146" s="27"/>
    </row>
    <row r="147" spans="1:13" ht="17.25" customHeight="1">
      <c r="A147" s="10"/>
      <c r="B147" s="16"/>
      <c r="C147" s="10"/>
      <c r="D147" s="16"/>
      <c r="E147" s="7"/>
      <c r="F147" s="18"/>
      <c r="G147" s="19"/>
      <c r="H147" s="20" t="str">
        <f t="shared" si="6"/>
        <v/>
      </c>
      <c r="I147" s="20"/>
      <c r="J147" s="10"/>
      <c r="K147" s="21"/>
      <c r="L147" s="27"/>
      <c r="M147" s="27"/>
    </row>
    <row r="148" spans="1:13" ht="17.25" customHeight="1">
      <c r="A148" s="10"/>
      <c r="B148" s="16"/>
      <c r="C148" s="10"/>
      <c r="D148" s="16"/>
      <c r="E148" s="7"/>
      <c r="F148" s="18"/>
      <c r="G148" s="19"/>
      <c r="H148" s="20" t="str">
        <f t="shared" si="6"/>
        <v/>
      </c>
      <c r="I148" s="20"/>
      <c r="J148" s="10"/>
      <c r="K148" s="21"/>
      <c r="L148" s="27"/>
      <c r="M148" s="27"/>
    </row>
    <row r="149" spans="1:13" ht="17.25" customHeight="1">
      <c r="A149" s="10"/>
      <c r="B149" s="16"/>
      <c r="C149" s="10"/>
      <c r="D149" s="16"/>
      <c r="E149" s="7"/>
      <c r="F149" s="18"/>
      <c r="G149" s="19"/>
      <c r="H149" s="20" t="str">
        <f t="shared" si="6"/>
        <v/>
      </c>
      <c r="I149" s="20"/>
      <c r="J149" s="10"/>
      <c r="K149" s="21"/>
      <c r="L149" s="27"/>
      <c r="M149" s="27"/>
    </row>
    <row r="150" spans="1:13" ht="17.25" customHeight="1">
      <c r="A150" s="10"/>
      <c r="B150" s="16"/>
      <c r="C150" s="10"/>
      <c r="D150" s="16"/>
      <c r="E150" s="7"/>
      <c r="F150" s="18"/>
      <c r="G150" s="19"/>
      <c r="H150" s="20" t="str">
        <f t="shared" si="6"/>
        <v/>
      </c>
      <c r="I150" s="20"/>
      <c r="J150" s="10"/>
      <c r="K150" s="21"/>
      <c r="L150" s="27"/>
      <c r="M150" s="27"/>
    </row>
    <row r="151" spans="1:13" ht="17.25" customHeight="1">
      <c r="A151" s="10"/>
      <c r="B151" s="16"/>
      <c r="C151" s="10"/>
      <c r="D151" s="16"/>
      <c r="E151" s="7"/>
      <c r="F151" s="18"/>
      <c r="G151" s="19"/>
      <c r="H151" s="20" t="str">
        <f t="shared" si="6"/>
        <v/>
      </c>
      <c r="I151" s="20"/>
      <c r="J151" s="10"/>
      <c r="K151" s="21"/>
      <c r="L151" s="27"/>
      <c r="M151" s="27"/>
    </row>
    <row r="152" spans="1:13" ht="17.25" customHeight="1">
      <c r="A152" s="10"/>
      <c r="B152" s="16"/>
      <c r="C152" s="10"/>
      <c r="D152" s="16"/>
      <c r="E152" s="7"/>
      <c r="F152" s="18"/>
      <c r="G152" s="19"/>
      <c r="H152" s="20" t="str">
        <f t="shared" si="6"/>
        <v/>
      </c>
      <c r="I152" s="20"/>
      <c r="J152" s="10"/>
      <c r="K152" s="21"/>
      <c r="L152" s="27"/>
      <c r="M152" s="27"/>
    </row>
    <row r="153" spans="1:13" ht="17.25" customHeight="1">
      <c r="A153" s="10"/>
      <c r="B153" s="16"/>
      <c r="C153" s="10"/>
      <c r="D153" s="16"/>
      <c r="E153" s="7"/>
      <c r="F153" s="18"/>
      <c r="G153" s="19"/>
      <c r="H153" s="20" t="str">
        <f t="shared" si="6"/>
        <v/>
      </c>
      <c r="I153" s="20"/>
      <c r="J153" s="10"/>
      <c r="K153" s="21"/>
      <c r="L153" s="27"/>
      <c r="M153" s="27"/>
    </row>
    <row r="154" spans="1:13" ht="17.25" customHeight="1">
      <c r="A154" s="10"/>
      <c r="B154" s="16"/>
      <c r="C154" s="10"/>
      <c r="D154" s="16"/>
      <c r="E154" s="7"/>
      <c r="F154" s="18"/>
      <c r="G154" s="19"/>
      <c r="H154" s="20" t="str">
        <f t="shared" si="6"/>
        <v/>
      </c>
      <c r="I154" s="20"/>
      <c r="J154" s="10"/>
      <c r="K154" s="21"/>
      <c r="L154" s="27"/>
      <c r="M154" s="27"/>
    </row>
    <row r="155" spans="1:13" ht="17.25" customHeight="1">
      <c r="A155" s="10"/>
      <c r="B155" s="16"/>
      <c r="C155" s="10"/>
      <c r="D155" s="16"/>
      <c r="E155" s="7"/>
      <c r="F155" s="18"/>
      <c r="G155" s="19"/>
      <c r="H155" s="20" t="str">
        <f t="shared" si="6"/>
        <v/>
      </c>
      <c r="I155" s="20"/>
      <c r="J155" s="10"/>
      <c r="K155" s="21"/>
      <c r="L155" s="27"/>
      <c r="M155" s="27"/>
    </row>
    <row r="156" spans="1:13" ht="17.25" customHeight="1">
      <c r="A156" s="10"/>
      <c r="B156" s="16"/>
      <c r="C156" s="10"/>
      <c r="D156" s="16"/>
      <c r="E156" s="7"/>
      <c r="F156" s="18"/>
      <c r="G156" s="19"/>
      <c r="H156" s="20" t="str">
        <f t="shared" si="6"/>
        <v/>
      </c>
      <c r="I156" s="20"/>
      <c r="J156" s="10"/>
      <c r="K156" s="21"/>
      <c r="L156" s="27"/>
      <c r="M156" s="27"/>
    </row>
    <row r="157" spans="1:13" ht="17.25" customHeight="1">
      <c r="A157" s="10"/>
      <c r="B157" s="16"/>
      <c r="C157" s="10"/>
      <c r="D157" s="16"/>
      <c r="E157" s="7"/>
      <c r="F157" s="18"/>
      <c r="G157" s="19"/>
      <c r="H157" s="20" t="str">
        <f t="shared" si="6"/>
        <v/>
      </c>
      <c r="I157" s="20"/>
      <c r="J157" s="10"/>
      <c r="K157" s="21"/>
      <c r="L157" s="27"/>
      <c r="M157" s="27"/>
    </row>
    <row r="158" spans="1:13" ht="17.25" customHeight="1">
      <c r="A158" s="10"/>
      <c r="B158" s="16"/>
      <c r="C158" s="10"/>
      <c r="D158" s="16"/>
      <c r="E158" s="7"/>
      <c r="F158" s="18"/>
      <c r="G158" s="19"/>
      <c r="H158" s="20" t="str">
        <f t="shared" si="6"/>
        <v/>
      </c>
      <c r="I158" s="20"/>
      <c r="J158" s="10"/>
      <c r="K158" s="21"/>
      <c r="L158" s="27"/>
      <c r="M158" s="27"/>
    </row>
    <row r="159" spans="1:13" ht="17.25" customHeight="1">
      <c r="A159" s="10"/>
      <c r="B159" s="16"/>
      <c r="C159" s="10"/>
      <c r="D159" s="16"/>
      <c r="E159" s="7"/>
      <c r="F159" s="18"/>
      <c r="G159" s="19"/>
      <c r="H159" s="20" t="str">
        <f t="shared" si="6"/>
        <v/>
      </c>
      <c r="I159" s="20"/>
      <c r="J159" s="10"/>
      <c r="K159" s="21"/>
      <c r="L159" s="27"/>
      <c r="M159" s="27"/>
    </row>
    <row r="160" spans="1:13" ht="17.25" customHeight="1">
      <c r="A160" s="10"/>
      <c r="B160" s="16"/>
      <c r="C160" s="10"/>
      <c r="D160" s="16"/>
      <c r="E160" s="7"/>
      <c r="F160" s="18"/>
      <c r="G160" s="19"/>
      <c r="H160" s="20" t="str">
        <f t="shared" si="6"/>
        <v/>
      </c>
      <c r="I160" s="20"/>
      <c r="J160" s="10"/>
      <c r="K160" s="21"/>
      <c r="L160" s="27"/>
      <c r="M160" s="27"/>
    </row>
    <row r="161" spans="1:13" ht="17.25" customHeight="1">
      <c r="A161" s="10"/>
      <c r="B161" s="16"/>
      <c r="C161" s="10"/>
      <c r="D161" s="16"/>
      <c r="E161" s="7"/>
      <c r="F161" s="18"/>
      <c r="G161" s="19"/>
      <c r="H161" s="20" t="str">
        <f t="shared" si="6"/>
        <v/>
      </c>
      <c r="I161" s="20"/>
      <c r="J161" s="10"/>
      <c r="K161" s="21"/>
      <c r="L161" s="27"/>
      <c r="M161" s="27"/>
    </row>
    <row r="162" spans="1:13" ht="17.25" customHeight="1">
      <c r="A162" s="10"/>
      <c r="B162" s="16"/>
      <c r="C162" s="10"/>
      <c r="D162" s="16"/>
      <c r="E162" s="7"/>
      <c r="F162" s="18"/>
      <c r="G162" s="19"/>
      <c r="H162" s="20" t="str">
        <f t="shared" si="6"/>
        <v/>
      </c>
      <c r="I162" s="20"/>
      <c r="J162" s="10"/>
      <c r="K162" s="21"/>
      <c r="L162" s="27"/>
      <c r="M162" s="27"/>
    </row>
    <row r="163" spans="1:13" ht="17.25" customHeight="1">
      <c r="A163" s="10"/>
      <c r="B163" s="16"/>
      <c r="C163" s="10"/>
      <c r="D163" s="16"/>
      <c r="E163" s="7"/>
      <c r="F163" s="18"/>
      <c r="G163" s="19"/>
      <c r="H163" s="20" t="str">
        <f t="shared" si="6"/>
        <v/>
      </c>
      <c r="I163" s="20"/>
      <c r="J163" s="10"/>
      <c r="K163" s="21"/>
      <c r="L163" s="27"/>
      <c r="M163" s="27"/>
    </row>
    <row r="164" spans="1:13" ht="17.25" customHeight="1">
      <c r="A164" s="10"/>
      <c r="B164" s="16"/>
      <c r="C164" s="10"/>
      <c r="D164" s="16"/>
      <c r="E164" s="7"/>
      <c r="F164" s="18"/>
      <c r="G164" s="19"/>
      <c r="H164" s="20" t="str">
        <f t="shared" si="6"/>
        <v/>
      </c>
      <c r="I164" s="20"/>
      <c r="J164" s="10"/>
      <c r="K164" s="21"/>
      <c r="L164" s="27"/>
      <c r="M164" s="27"/>
    </row>
    <row r="165" spans="1:13" ht="17.25" customHeight="1">
      <c r="A165" s="10"/>
      <c r="B165" s="16"/>
      <c r="C165" s="10"/>
      <c r="D165" s="16"/>
      <c r="E165" s="7"/>
      <c r="F165" s="18"/>
      <c r="G165" s="19"/>
      <c r="H165" s="20" t="str">
        <f t="shared" si="6"/>
        <v/>
      </c>
      <c r="I165" s="20"/>
      <c r="J165" s="10"/>
      <c r="K165" s="21"/>
      <c r="L165" s="27"/>
      <c r="M165" s="27"/>
    </row>
    <row r="166" spans="1:13" ht="17.25" customHeight="1">
      <c r="A166" s="10"/>
      <c r="B166" s="16"/>
      <c r="C166" s="10"/>
      <c r="D166" s="16"/>
      <c r="E166" s="7"/>
      <c r="F166" s="18"/>
      <c r="G166" s="19"/>
      <c r="H166" s="20" t="str">
        <f t="shared" si="6"/>
        <v/>
      </c>
      <c r="I166" s="20"/>
      <c r="J166" s="10"/>
      <c r="K166" s="21"/>
      <c r="L166" s="27"/>
      <c r="M166" s="27"/>
    </row>
    <row r="167" spans="1:13" ht="17.25" customHeight="1">
      <c r="A167" s="10"/>
      <c r="B167" s="16"/>
      <c r="C167" s="10"/>
      <c r="D167" s="16"/>
      <c r="E167" s="7"/>
      <c r="F167" s="18"/>
      <c r="G167" s="19"/>
      <c r="H167" s="20" t="str">
        <f t="shared" si="6"/>
        <v/>
      </c>
      <c r="I167" s="20"/>
      <c r="J167" s="10"/>
      <c r="K167" s="21"/>
      <c r="L167" s="27"/>
      <c r="M167" s="27"/>
    </row>
    <row r="168" spans="1:13" ht="17.25" customHeight="1">
      <c r="A168" s="10"/>
      <c r="B168" s="16"/>
      <c r="C168" s="10"/>
      <c r="D168" s="16"/>
      <c r="E168" s="7"/>
      <c r="F168" s="18"/>
      <c r="G168" s="19"/>
      <c r="H168" s="20" t="str">
        <f t="shared" si="6"/>
        <v/>
      </c>
      <c r="I168" s="20"/>
      <c r="J168" s="10"/>
      <c r="K168" s="21"/>
      <c r="L168" s="27"/>
      <c r="M168" s="27"/>
    </row>
    <row r="169" spans="1:13" ht="17.25" customHeight="1">
      <c r="A169" s="10"/>
      <c r="B169" s="16"/>
      <c r="C169" s="10"/>
      <c r="D169" s="16"/>
      <c r="E169" s="7"/>
      <c r="F169" s="18"/>
      <c r="G169" s="19"/>
      <c r="H169" s="20" t="str">
        <f t="shared" si="6"/>
        <v/>
      </c>
      <c r="I169" s="20"/>
      <c r="J169" s="10"/>
      <c r="K169" s="21"/>
      <c r="L169" s="27"/>
      <c r="M169" s="27"/>
    </row>
    <row r="170" spans="1:13" ht="17.25" customHeight="1">
      <c r="A170" s="10"/>
      <c r="B170" s="16"/>
      <c r="C170" s="10"/>
      <c r="D170" s="16"/>
      <c r="E170" s="7"/>
      <c r="F170" s="18"/>
      <c r="G170" s="19"/>
      <c r="H170" s="20" t="str">
        <f t="shared" si="6"/>
        <v/>
      </c>
      <c r="I170" s="20"/>
      <c r="J170" s="10"/>
      <c r="K170" s="21"/>
      <c r="L170" s="27"/>
      <c r="M170" s="27"/>
    </row>
    <row r="171" spans="1:13" ht="17.25" customHeight="1">
      <c r="A171" s="10"/>
      <c r="B171" s="16"/>
      <c r="C171" s="10"/>
      <c r="D171" s="16"/>
      <c r="E171" s="7"/>
      <c r="F171" s="18"/>
      <c r="G171" s="19"/>
      <c r="H171" s="20" t="str">
        <f t="shared" si="6"/>
        <v/>
      </c>
      <c r="I171" s="20"/>
      <c r="J171" s="10"/>
      <c r="K171" s="21"/>
      <c r="L171" s="27"/>
      <c r="M171" s="27"/>
    </row>
    <row r="172" spans="1:13" ht="17.25" customHeight="1">
      <c r="A172" s="10"/>
      <c r="B172" s="16"/>
      <c r="C172" s="10"/>
      <c r="D172" s="16"/>
      <c r="E172" s="7"/>
      <c r="F172" s="18"/>
      <c r="G172" s="19"/>
      <c r="H172" s="20" t="str">
        <f t="shared" si="6"/>
        <v/>
      </c>
      <c r="I172" s="20"/>
      <c r="J172" s="10"/>
      <c r="K172" s="21"/>
      <c r="L172" s="27"/>
      <c r="M172" s="27"/>
    </row>
    <row r="173" spans="1:13" ht="17.25" customHeight="1">
      <c r="A173" s="10"/>
      <c r="B173" s="16"/>
      <c r="C173" s="10"/>
      <c r="D173" s="16"/>
      <c r="E173" s="7"/>
      <c r="F173" s="18"/>
      <c r="G173" s="19"/>
      <c r="H173" s="20" t="str">
        <f t="shared" si="6"/>
        <v/>
      </c>
      <c r="I173" s="20"/>
      <c r="J173" s="10"/>
      <c r="K173" s="21"/>
      <c r="L173" s="27"/>
      <c r="M173" s="27"/>
    </row>
    <row r="174" spans="1:13" ht="17.25" customHeight="1">
      <c r="A174" s="10"/>
      <c r="B174" s="16"/>
      <c r="C174" s="10"/>
      <c r="D174" s="16"/>
      <c r="E174" s="7"/>
      <c r="F174" s="18"/>
      <c r="G174" s="19"/>
      <c r="H174" s="20" t="str">
        <f t="shared" si="6"/>
        <v/>
      </c>
      <c r="I174" s="20"/>
      <c r="J174" s="10"/>
      <c r="K174" s="21"/>
      <c r="L174" s="27"/>
      <c r="M174" s="27"/>
    </row>
    <row r="175" spans="1:13" ht="17.25" customHeight="1">
      <c r="A175" s="10"/>
      <c r="B175" s="16"/>
      <c r="C175" s="10"/>
      <c r="D175" s="16"/>
      <c r="E175" s="7"/>
      <c r="F175" s="18"/>
      <c r="G175" s="19"/>
      <c r="H175" s="20" t="str">
        <f t="shared" si="6"/>
        <v/>
      </c>
      <c r="I175" s="20"/>
      <c r="J175" s="10"/>
      <c r="K175" s="21"/>
      <c r="L175" s="27"/>
      <c r="M175" s="27"/>
    </row>
    <row r="176" spans="1:13" ht="17.25" customHeight="1">
      <c r="A176" s="10"/>
      <c r="B176" s="16"/>
      <c r="C176" s="10"/>
      <c r="D176" s="16"/>
      <c r="E176" s="7"/>
      <c r="F176" s="18"/>
      <c r="G176" s="19"/>
      <c r="H176" s="20" t="str">
        <f t="shared" si="6"/>
        <v/>
      </c>
      <c r="I176" s="20"/>
      <c r="J176" s="10"/>
      <c r="K176" s="21"/>
      <c r="L176" s="27"/>
      <c r="M176" s="27"/>
    </row>
    <row r="177" spans="1:13" ht="17.25" customHeight="1">
      <c r="A177" s="10"/>
      <c r="B177" s="16"/>
      <c r="C177" s="10"/>
      <c r="D177" s="16"/>
      <c r="E177" s="7"/>
      <c r="F177" s="18"/>
      <c r="G177" s="19"/>
      <c r="H177" s="20" t="str">
        <f t="shared" si="6"/>
        <v/>
      </c>
      <c r="I177" s="20"/>
      <c r="J177" s="10"/>
      <c r="K177" s="21"/>
      <c r="L177" s="27"/>
      <c r="M177" s="27"/>
    </row>
    <row r="178" spans="1:13" ht="17.25" customHeight="1">
      <c r="A178" s="10"/>
      <c r="B178" s="16"/>
      <c r="C178" s="10"/>
      <c r="D178" s="16"/>
      <c r="E178" s="7"/>
      <c r="F178" s="18"/>
      <c r="G178" s="19"/>
      <c r="H178" s="20" t="str">
        <f t="shared" si="6"/>
        <v/>
      </c>
      <c r="I178" s="20"/>
      <c r="J178" s="10"/>
      <c r="K178" s="21"/>
      <c r="L178" s="27"/>
      <c r="M178" s="27"/>
    </row>
    <row r="179" spans="1:13" ht="17.25" customHeight="1">
      <c r="A179" s="10"/>
      <c r="B179" s="16"/>
      <c r="C179" s="10"/>
      <c r="D179" s="16"/>
      <c r="E179" s="7"/>
      <c r="F179" s="18"/>
      <c r="G179" s="19"/>
      <c r="H179" s="20" t="str">
        <f t="shared" si="6"/>
        <v/>
      </c>
      <c r="I179" s="20"/>
      <c r="J179" s="10"/>
      <c r="K179" s="21"/>
      <c r="L179" s="27"/>
      <c r="M179" s="27"/>
    </row>
    <row r="180" spans="1:13" ht="17.25" customHeight="1">
      <c r="A180" s="10"/>
      <c r="B180" s="16"/>
      <c r="C180" s="10"/>
      <c r="D180" s="16"/>
      <c r="E180" s="7"/>
      <c r="F180" s="18"/>
      <c r="G180" s="19"/>
      <c r="H180" s="20" t="str">
        <f t="shared" si="6"/>
        <v/>
      </c>
      <c r="I180" s="20"/>
      <c r="J180" s="10"/>
      <c r="K180" s="21"/>
      <c r="L180" s="27"/>
      <c r="M180" s="27"/>
    </row>
    <row r="181" spans="1:13" ht="17.25" customHeight="1">
      <c r="A181" s="10"/>
      <c r="B181" s="16"/>
      <c r="C181" s="10"/>
      <c r="D181" s="16"/>
      <c r="E181" s="7"/>
      <c r="F181" s="18"/>
      <c r="G181" s="19"/>
      <c r="H181" s="20" t="str">
        <f t="shared" si="6"/>
        <v/>
      </c>
      <c r="I181" s="20"/>
      <c r="J181" s="10"/>
      <c r="K181" s="21"/>
      <c r="L181" s="27"/>
      <c r="M181" s="27"/>
    </row>
    <row r="182" spans="1:13" ht="17.25" customHeight="1">
      <c r="A182" s="10"/>
      <c r="B182" s="16"/>
      <c r="C182" s="10"/>
      <c r="D182" s="16"/>
      <c r="E182" s="7"/>
      <c r="F182" s="18"/>
      <c r="G182" s="19"/>
      <c r="H182" s="20" t="str">
        <f t="shared" si="6"/>
        <v/>
      </c>
      <c r="I182" s="20"/>
      <c r="J182" s="10"/>
      <c r="K182" s="21"/>
      <c r="L182" s="27"/>
      <c r="M182" s="27"/>
    </row>
    <row r="183" spans="1:13" ht="17.25" customHeight="1">
      <c r="A183" s="10"/>
      <c r="B183" s="16"/>
      <c r="C183" s="10"/>
      <c r="D183" s="16"/>
      <c r="E183" s="7"/>
      <c r="F183" s="18"/>
      <c r="G183" s="19"/>
      <c r="H183" s="20" t="str">
        <f t="shared" si="6"/>
        <v/>
      </c>
      <c r="I183" s="20"/>
      <c r="J183" s="10"/>
      <c r="K183" s="21"/>
      <c r="L183" s="27"/>
      <c r="M183" s="27"/>
    </row>
    <row r="184" spans="1:13" ht="17.25" customHeight="1">
      <c r="A184" s="10"/>
      <c r="B184" s="16"/>
      <c r="C184" s="10"/>
      <c r="D184" s="16"/>
      <c r="E184" s="7"/>
      <c r="F184" s="18"/>
      <c r="G184" s="19"/>
      <c r="H184" s="20" t="str">
        <f t="shared" si="6"/>
        <v/>
      </c>
      <c r="I184" s="20"/>
      <c r="J184" s="10"/>
      <c r="K184" s="21"/>
      <c r="L184" s="27"/>
      <c r="M184" s="27"/>
    </row>
    <row r="185" spans="1:13" ht="17.25" customHeight="1">
      <c r="A185" s="10"/>
      <c r="B185" s="16"/>
      <c r="C185" s="10"/>
      <c r="D185" s="16"/>
      <c r="E185" s="7"/>
      <c r="F185" s="18"/>
      <c r="G185" s="19"/>
      <c r="H185" s="20" t="str">
        <f t="shared" si="6"/>
        <v/>
      </c>
      <c r="I185" s="20"/>
      <c r="J185" s="10"/>
      <c r="K185" s="21"/>
      <c r="L185" s="27"/>
      <c r="M185" s="27"/>
    </row>
    <row r="186" spans="1:13" ht="17.25" customHeight="1">
      <c r="A186" s="10"/>
      <c r="B186" s="16"/>
      <c r="C186" s="10"/>
      <c r="D186" s="16"/>
      <c r="E186" s="7"/>
      <c r="F186" s="18"/>
      <c r="G186" s="19"/>
      <c r="H186" s="20" t="str">
        <f t="shared" si="6"/>
        <v/>
      </c>
      <c r="I186" s="20"/>
      <c r="J186" s="10"/>
      <c r="K186" s="21"/>
      <c r="L186" s="27"/>
      <c r="M186" s="27"/>
    </row>
    <row r="187" spans="1:13" ht="17.25" customHeight="1">
      <c r="A187" s="10"/>
      <c r="B187" s="16"/>
      <c r="C187" s="10"/>
      <c r="D187" s="16"/>
      <c r="E187" s="7"/>
      <c r="F187" s="18"/>
      <c r="G187" s="19"/>
      <c r="H187" s="20" t="str">
        <f t="shared" si="6"/>
        <v/>
      </c>
      <c r="I187" s="20"/>
      <c r="J187" s="10"/>
      <c r="K187" s="21"/>
      <c r="L187" s="27"/>
      <c r="M187" s="27"/>
    </row>
    <row r="188" spans="1:13" ht="17.25" customHeight="1">
      <c r="A188" s="10"/>
      <c r="B188" s="16"/>
      <c r="C188" s="10"/>
      <c r="D188" s="16"/>
      <c r="E188" s="7"/>
      <c r="F188" s="18"/>
      <c r="G188" s="19"/>
      <c r="H188" s="20" t="str">
        <f t="shared" si="6"/>
        <v/>
      </c>
      <c r="I188" s="20"/>
      <c r="J188" s="10"/>
      <c r="K188" s="21"/>
      <c r="L188" s="27"/>
      <c r="M188" s="27"/>
    </row>
    <row r="189" spans="1:13" ht="17.25" customHeight="1">
      <c r="A189" s="10"/>
      <c r="B189" s="16"/>
      <c r="C189" s="10"/>
      <c r="D189" s="16"/>
      <c r="E189" s="7"/>
      <c r="F189" s="18"/>
      <c r="G189" s="19"/>
      <c r="H189" s="20" t="str">
        <f t="shared" si="6"/>
        <v/>
      </c>
      <c r="I189" s="20"/>
      <c r="J189" s="10"/>
      <c r="K189" s="21"/>
      <c r="L189" s="27"/>
      <c r="M189" s="27"/>
    </row>
    <row r="190" spans="1:13" ht="17.25" customHeight="1">
      <c r="A190" s="10"/>
      <c r="B190" s="16"/>
      <c r="C190" s="10"/>
      <c r="D190" s="16"/>
      <c r="E190" s="7"/>
      <c r="F190" s="18"/>
      <c r="G190" s="19"/>
      <c r="H190" s="20" t="str">
        <f t="shared" si="6"/>
        <v/>
      </c>
      <c r="I190" s="20"/>
      <c r="J190" s="10"/>
      <c r="K190" s="21"/>
      <c r="L190" s="27"/>
      <c r="M190" s="27"/>
    </row>
    <row r="191" spans="1:13" ht="17.25" customHeight="1">
      <c r="A191" s="10"/>
      <c r="B191" s="16"/>
      <c r="C191" s="10"/>
      <c r="D191" s="16"/>
      <c r="E191" s="7"/>
      <c r="F191" s="18"/>
      <c r="G191" s="19"/>
      <c r="H191" s="20" t="str">
        <f t="shared" si="6"/>
        <v/>
      </c>
      <c r="I191" s="20"/>
      <c r="J191" s="10"/>
      <c r="K191" s="21"/>
      <c r="L191" s="27"/>
      <c r="M191" s="27"/>
    </row>
    <row r="192" spans="1:13" ht="17.25" customHeight="1">
      <c r="A192" s="10"/>
      <c r="B192" s="16"/>
      <c r="C192" s="10"/>
      <c r="D192" s="16"/>
      <c r="E192" s="7"/>
      <c r="F192" s="18"/>
      <c r="G192" s="19"/>
      <c r="H192" s="20" t="str">
        <f t="shared" si="6"/>
        <v/>
      </c>
      <c r="I192" s="20"/>
      <c r="J192" s="10"/>
      <c r="K192" s="21"/>
      <c r="L192" s="27"/>
      <c r="M192" s="27"/>
    </row>
    <row r="193" spans="1:13" ht="17.25" customHeight="1">
      <c r="A193" s="10"/>
      <c r="B193" s="16"/>
      <c r="C193" s="10"/>
      <c r="D193" s="16"/>
      <c r="E193" s="7"/>
      <c r="F193" s="18"/>
      <c r="G193" s="19"/>
      <c r="H193" s="20" t="str">
        <f t="shared" si="6"/>
        <v/>
      </c>
      <c r="I193" s="20"/>
      <c r="J193" s="10"/>
      <c r="K193" s="21"/>
      <c r="L193" s="27"/>
      <c r="M193" s="27"/>
    </row>
    <row r="194" spans="1:13" ht="17.25" customHeight="1">
      <c r="A194" s="10"/>
      <c r="B194" s="16"/>
      <c r="C194" s="10"/>
      <c r="D194" s="16"/>
      <c r="E194" s="7"/>
      <c r="F194" s="18"/>
      <c r="G194" s="19"/>
      <c r="H194" s="20" t="str">
        <f t="shared" si="6"/>
        <v/>
      </c>
      <c r="I194" s="20"/>
      <c r="J194" s="10"/>
      <c r="K194" s="21"/>
      <c r="L194" s="27"/>
      <c r="M194" s="27"/>
    </row>
    <row r="195" spans="1:13" ht="17.25" customHeight="1">
      <c r="A195" s="10"/>
      <c r="B195" s="16"/>
      <c r="C195" s="10"/>
      <c r="D195" s="16"/>
      <c r="E195" s="7"/>
      <c r="F195" s="18"/>
      <c r="G195" s="19"/>
      <c r="H195" s="20" t="str">
        <f t="shared" si="6"/>
        <v/>
      </c>
      <c r="I195" s="20"/>
      <c r="J195" s="10"/>
      <c r="K195" s="21"/>
      <c r="L195" s="27"/>
      <c r="M195" s="27"/>
    </row>
    <row r="196" spans="1:13" ht="17.25" customHeight="1">
      <c r="A196" s="10"/>
      <c r="B196" s="16"/>
      <c r="C196" s="10"/>
      <c r="D196" s="16"/>
      <c r="E196" s="7"/>
      <c r="F196" s="18"/>
      <c r="G196" s="19"/>
      <c r="H196" s="20" t="str">
        <f t="shared" si="6"/>
        <v/>
      </c>
      <c r="I196" s="20"/>
      <c r="J196" s="10"/>
      <c r="K196" s="21"/>
      <c r="L196" s="27"/>
      <c r="M196" s="27"/>
    </row>
    <row r="197" spans="1:13" ht="17.25" customHeight="1">
      <c r="A197" s="10"/>
      <c r="B197" s="16"/>
      <c r="C197" s="10"/>
      <c r="D197" s="16"/>
      <c r="E197" s="7"/>
      <c r="F197" s="18"/>
      <c r="G197" s="19"/>
      <c r="H197" s="20" t="str">
        <f t="shared" si="6"/>
        <v/>
      </c>
      <c r="I197" s="20"/>
      <c r="J197" s="10"/>
      <c r="K197" s="21"/>
      <c r="L197" s="27"/>
      <c r="M197" s="27"/>
    </row>
    <row r="198" spans="1:13" ht="17.25" customHeight="1">
      <c r="A198" s="10"/>
      <c r="B198" s="16"/>
      <c r="C198" s="10"/>
      <c r="D198" s="16"/>
      <c r="E198" s="7"/>
      <c r="F198" s="18"/>
      <c r="G198" s="19"/>
      <c r="H198" s="20" t="str">
        <f t="shared" si="6"/>
        <v/>
      </c>
      <c r="I198" s="20"/>
      <c r="J198" s="10"/>
      <c r="K198" s="21"/>
      <c r="L198" s="27"/>
      <c r="M198" s="27"/>
    </row>
    <row r="199" spans="1:13" ht="17.25" customHeight="1">
      <c r="A199" s="10"/>
      <c r="B199" s="16"/>
      <c r="C199" s="10"/>
      <c r="D199" s="16"/>
      <c r="E199" s="7"/>
      <c r="F199" s="18"/>
      <c r="G199" s="19"/>
      <c r="H199" s="20" t="str">
        <f t="shared" si="6"/>
        <v/>
      </c>
      <c r="I199" s="20"/>
      <c r="J199" s="10"/>
      <c r="K199" s="21"/>
      <c r="L199" s="27"/>
      <c r="M199" s="27"/>
    </row>
    <row r="200" spans="1:13" ht="17.25" customHeight="1">
      <c r="A200" s="10"/>
      <c r="B200" s="16"/>
      <c r="C200" s="10"/>
      <c r="D200" s="16"/>
      <c r="E200" s="7"/>
      <c r="F200" s="18"/>
      <c r="G200" s="19"/>
      <c r="H200" s="20" t="str">
        <f t="shared" si="6"/>
        <v/>
      </c>
      <c r="I200" s="20"/>
      <c r="J200" s="10"/>
      <c r="K200" s="21"/>
      <c r="L200" s="27"/>
      <c r="M200" s="27"/>
    </row>
    <row r="201" spans="1:13" ht="17.25" customHeight="1">
      <c r="A201" s="10"/>
      <c r="B201" s="16"/>
      <c r="C201" s="10"/>
      <c r="D201" s="16"/>
      <c r="E201" s="7"/>
      <c r="F201" s="18"/>
      <c r="G201" s="19"/>
      <c r="H201" s="20" t="str">
        <f t="shared" si="6"/>
        <v/>
      </c>
      <c r="I201" s="20"/>
      <c r="J201" s="10"/>
      <c r="K201" s="21"/>
      <c r="L201" s="27"/>
      <c r="M201" s="27"/>
    </row>
    <row r="202" spans="1:13" ht="17.25" customHeight="1">
      <c r="A202" s="10"/>
      <c r="B202" s="16"/>
      <c r="C202" s="10"/>
      <c r="D202" s="16"/>
      <c r="E202" s="7"/>
      <c r="F202" s="18"/>
      <c r="G202" s="19"/>
      <c r="H202" s="20" t="str">
        <f t="shared" si="6"/>
        <v/>
      </c>
      <c r="I202" s="20"/>
      <c r="J202" s="10"/>
      <c r="K202" s="21"/>
      <c r="L202" s="27"/>
      <c r="M202" s="27"/>
    </row>
    <row r="203" spans="1:13" ht="17.25" customHeight="1">
      <c r="A203" s="10"/>
      <c r="B203" s="16"/>
      <c r="C203" s="10"/>
      <c r="D203" s="16"/>
      <c r="E203" s="7"/>
      <c r="F203" s="18"/>
      <c r="G203" s="19"/>
      <c r="H203" s="20" t="str">
        <f t="shared" ref="H203:H210" si="7">IF(G203="","",(F203*100000000+G203)-7*INT((F203*100000000+G203)/7))</f>
        <v/>
      </c>
      <c r="I203" s="20"/>
      <c r="J203" s="10"/>
      <c r="K203" s="21"/>
      <c r="L203" s="27"/>
      <c r="M203" s="27"/>
    </row>
    <row r="204" spans="1:13" ht="17.25" customHeight="1">
      <c r="A204" s="10"/>
      <c r="B204" s="16"/>
      <c r="C204" s="10"/>
      <c r="D204" s="16"/>
      <c r="E204" s="7"/>
      <c r="F204" s="18"/>
      <c r="G204" s="19"/>
      <c r="H204" s="20" t="str">
        <f t="shared" si="7"/>
        <v/>
      </c>
      <c r="I204" s="20"/>
      <c r="J204" s="10"/>
      <c r="K204" s="21"/>
      <c r="L204" s="27"/>
      <c r="M204" s="27"/>
    </row>
    <row r="205" spans="1:13" ht="17.25" customHeight="1">
      <c r="A205" s="10"/>
      <c r="B205" s="16"/>
      <c r="C205" s="10"/>
      <c r="D205" s="16"/>
      <c r="E205" s="7"/>
      <c r="F205" s="18"/>
      <c r="G205" s="19"/>
      <c r="H205" s="20" t="str">
        <f t="shared" si="7"/>
        <v/>
      </c>
      <c r="I205" s="20"/>
      <c r="J205" s="10"/>
      <c r="K205" s="21"/>
      <c r="L205" s="27"/>
      <c r="M205" s="27"/>
    </row>
    <row r="206" spans="1:13" ht="17.25" customHeight="1">
      <c r="A206" s="10"/>
      <c r="B206" s="16"/>
      <c r="C206" s="10"/>
      <c r="D206" s="16"/>
      <c r="E206" s="7"/>
      <c r="F206" s="18"/>
      <c r="G206" s="19"/>
      <c r="H206" s="20" t="str">
        <f t="shared" si="7"/>
        <v/>
      </c>
      <c r="I206" s="20"/>
      <c r="J206" s="10"/>
      <c r="K206" s="21"/>
      <c r="L206" s="27"/>
      <c r="M206" s="27"/>
    </row>
    <row r="207" spans="1:13" ht="17.25" customHeight="1">
      <c r="A207" s="10"/>
      <c r="B207" s="16"/>
      <c r="C207" s="10"/>
      <c r="D207" s="16"/>
      <c r="E207" s="7"/>
      <c r="F207" s="18"/>
      <c r="G207" s="19"/>
      <c r="H207" s="20" t="str">
        <f t="shared" si="7"/>
        <v/>
      </c>
      <c r="I207" s="20"/>
      <c r="J207" s="10"/>
      <c r="K207" s="21"/>
      <c r="L207" s="27"/>
      <c r="M207" s="27"/>
    </row>
    <row r="208" spans="1:13" ht="17.25" customHeight="1">
      <c r="A208" s="10"/>
      <c r="B208" s="16"/>
      <c r="C208" s="10"/>
      <c r="D208" s="16"/>
      <c r="E208" s="7"/>
      <c r="F208" s="18"/>
      <c r="G208" s="19"/>
      <c r="H208" s="20" t="str">
        <f t="shared" si="7"/>
        <v/>
      </c>
      <c r="I208" s="20"/>
      <c r="J208" s="10"/>
      <c r="K208" s="21"/>
      <c r="L208" s="27"/>
      <c r="M208" s="27"/>
    </row>
    <row r="209" spans="1:13" ht="17.25" customHeight="1">
      <c r="A209" s="10"/>
      <c r="B209" s="16"/>
      <c r="C209" s="10"/>
      <c r="D209" s="16"/>
      <c r="E209" s="7"/>
      <c r="F209" s="18"/>
      <c r="G209" s="19"/>
      <c r="H209" s="20" t="str">
        <f t="shared" si="7"/>
        <v/>
      </c>
      <c r="I209" s="20"/>
      <c r="J209" s="10"/>
      <c r="K209" s="21"/>
      <c r="L209" s="27"/>
      <c r="M209" s="27"/>
    </row>
    <row r="210" spans="1:13" ht="17.25" customHeight="1">
      <c r="A210" s="10"/>
      <c r="B210" s="16"/>
      <c r="C210" s="10"/>
      <c r="D210" s="16"/>
      <c r="E210" s="7"/>
      <c r="F210" s="18"/>
      <c r="G210" s="19"/>
      <c r="H210" s="20" t="str">
        <f t="shared" si="7"/>
        <v/>
      </c>
      <c r="I210" s="20"/>
      <c r="J210" s="10"/>
      <c r="K210" s="21"/>
      <c r="L210" s="27"/>
      <c r="M210" s="27"/>
    </row>
    <row r="211" spans="1:13" ht="17.25" customHeight="1"/>
    <row r="212" spans="1:13" ht="17.25" customHeight="1"/>
    <row r="213" spans="1:13" ht="17.25" customHeight="1"/>
    <row r="214" spans="1:13" ht="17.25" customHeight="1"/>
    <row r="215" spans="1:13" ht="17.25" customHeight="1"/>
    <row r="216" spans="1:13" ht="17.25" customHeight="1"/>
    <row r="217" spans="1:13" ht="17.25" customHeight="1"/>
    <row r="218" spans="1:13" ht="17.25" customHeight="1"/>
    <row r="219" spans="1:13" ht="17.25" customHeight="1"/>
    <row r="220" spans="1:13" ht="17.25" customHeight="1"/>
    <row r="221" spans="1:13" ht="17.25" customHeight="1"/>
    <row r="222" spans="1:13" ht="17.25" customHeight="1"/>
    <row r="223" spans="1:13" ht="17.25" customHeight="1"/>
    <row r="224" spans="1:13" ht="17.25" customHeight="1"/>
    <row r="225" ht="17.25" customHeight="1"/>
  </sheetData>
  <mergeCells count="5">
    <mergeCell ref="F9:H9"/>
    <mergeCell ref="A4:B4"/>
    <mergeCell ref="A1:M1"/>
    <mergeCell ref="A3:D3"/>
    <mergeCell ref="A2:D2"/>
  </mergeCells>
  <phoneticPr fontId="1"/>
  <dataValidations count="5">
    <dataValidation imeMode="on" allowBlank="1" showInputMessage="1" showErrorMessage="1" sqref="D131:D136 D140:D210 D138 C140 C139:D139 C66:D130 C61:C63 C49:C57 D28 C34:C40" xr:uid="{6D80CE68-34B3-472C-821F-B7CFB88809BB}"/>
    <dataValidation imeMode="disabled" allowBlank="1" showInputMessage="1" showErrorMessage="1" sqref="C141:C210 D137 C131:C138 A10:B210 F10:K210" xr:uid="{C0A92095-E909-4FCA-9559-F5ED76FF3DC0}"/>
    <dataValidation type="list" imeMode="on" allowBlank="1" showInputMessage="1" showErrorMessage="1" sqref="E66:E210 E61:E63 E41:E42 E44:E47" xr:uid="{73B04390-91C2-483E-94AE-6CD433F42CFF}">
      <formula1>"ベスト電器,㈲ヤマツ津田商店,でんきのカトウ,㈲カワムラ電器,電器のオオミ"</formula1>
    </dataValidation>
    <dataValidation type="list" imeMode="on" allowBlank="1" showInputMessage="1" sqref="E48:E60" xr:uid="{504D490C-0B15-4EB3-9C0C-8AC241BFCCB7}">
      <formula1>"ベスト電器,㈲ヤマツ津田商店,でんきのカトウ,㈲カワムラ電器,電器のオオミ"</formula1>
    </dataValidation>
    <dataValidation type="list" imeMode="on" allowBlank="1" sqref="E64:E65 E43 E10:E40" xr:uid="{14B04140-F1AA-491E-9E98-2BF9416AF453}">
      <formula1>"ベスト電器,㈲ヤマツ津田商店,でんきのカトウ,㈲カワムラ電器,電器のオオミ"</formula1>
    </dataValidation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E013-30FC-4E6E-ABF2-454C6412A6B0}">
  <sheetPr>
    <tabColor rgb="FF92D050"/>
  </sheetPr>
  <dimension ref="A1:N210"/>
  <sheetViews>
    <sheetView workbookViewId="0">
      <pane ySplit="9" topLeftCell="A26" activePane="bottomLeft" state="frozen"/>
      <selection pane="bottomLeft" activeCell="Q55" sqref="Q55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14" customWidth="1"/>
    <col min="12" max="13" width="4.625" style="4" customWidth="1"/>
    <col min="14" max="16384" width="9" style="4"/>
  </cols>
  <sheetData>
    <row r="1" spans="1:14" s="1" customFormat="1" ht="19.5" customHeight="1">
      <c r="A1" s="73" t="s">
        <v>52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s="1" customFormat="1" ht="19.5" customHeight="1">
      <c r="A2" s="73" t="s">
        <v>34</v>
      </c>
      <c r="B2" s="73"/>
      <c r="C2" s="73"/>
      <c r="D2" s="78"/>
      <c r="E2" s="2" t="s">
        <v>14</v>
      </c>
      <c r="F2" s="2" t="s">
        <v>19</v>
      </c>
      <c r="K2" s="13"/>
    </row>
    <row r="3" spans="1:14" s="1" customFormat="1" ht="19.5" customHeight="1">
      <c r="A3" s="76"/>
      <c r="B3" s="76"/>
      <c r="C3" s="76"/>
      <c r="D3" s="77"/>
      <c r="E3" s="28" t="s">
        <v>18</v>
      </c>
      <c r="F3" s="9">
        <f>COUNTIF(J10:J157,10)</f>
        <v>0</v>
      </c>
      <c r="G3" s="8"/>
      <c r="K3" s="13"/>
    </row>
    <row r="4" spans="1:14" s="1" customFormat="1" ht="19.5" customHeight="1">
      <c r="A4" s="73" t="s">
        <v>10</v>
      </c>
      <c r="B4" s="73"/>
      <c r="E4" s="28" t="s">
        <v>9</v>
      </c>
      <c r="F4" s="9">
        <f>COUNTIF(J10:J157,20)+COUNTIF(J10:J157,21)+COUNTIF(J10:J157,22)+COUNTIF(J10:J157,51)+COUNTIF(J10:J157,52)+COUNTIF(J10:J157,50)</f>
        <v>0</v>
      </c>
      <c r="G4" s="8"/>
      <c r="K4" s="13"/>
    </row>
    <row r="5" spans="1:14" s="1" customFormat="1" ht="19.5" customHeight="1">
      <c r="E5" s="28" t="s">
        <v>7</v>
      </c>
      <c r="F5" s="9">
        <f>COUNTIF(J10:J157,30)+COUNTIF(J10:J157,31)+COUNTIF(J10:J157,32)</f>
        <v>0</v>
      </c>
      <c r="G5" s="8"/>
      <c r="K5" s="13"/>
      <c r="N5" s="11"/>
    </row>
    <row r="6" spans="1:14" s="1" customFormat="1" ht="19.5" customHeight="1">
      <c r="B6" s="55" t="s">
        <v>72</v>
      </c>
      <c r="E6" s="28" t="s">
        <v>8</v>
      </c>
      <c r="F6" s="9">
        <f>COUNTIF(J10:J157,40)</f>
        <v>0</v>
      </c>
      <c r="G6" s="8"/>
      <c r="K6" s="13"/>
      <c r="N6" s="11"/>
    </row>
    <row r="7" spans="1:14" s="1" customFormat="1" ht="19.5" customHeight="1">
      <c r="E7" s="2" t="s">
        <v>13</v>
      </c>
      <c r="F7" s="9">
        <f>SUM(F3:F6)</f>
        <v>0</v>
      </c>
      <c r="G7" s="8"/>
      <c r="K7" s="13"/>
    </row>
    <row r="8" spans="1:14" ht="7.5" customHeight="1">
      <c r="F8" s="17"/>
      <c r="G8" s="17"/>
    </row>
    <row r="9" spans="1:14" s="6" customFormat="1" ht="21" customHeight="1">
      <c r="A9" s="5" t="s">
        <v>1</v>
      </c>
      <c r="B9" s="5" t="s">
        <v>5</v>
      </c>
      <c r="C9" s="5" t="s">
        <v>16</v>
      </c>
      <c r="D9" s="5" t="s">
        <v>17</v>
      </c>
      <c r="E9" s="5" t="s">
        <v>6</v>
      </c>
      <c r="F9" s="70" t="s">
        <v>0</v>
      </c>
      <c r="G9" s="71"/>
      <c r="H9" s="72"/>
      <c r="I9" s="5" t="s">
        <v>2</v>
      </c>
      <c r="J9" s="5" t="s">
        <v>3</v>
      </c>
      <c r="K9" s="15" t="s">
        <v>4</v>
      </c>
      <c r="L9" s="5" t="s">
        <v>15</v>
      </c>
      <c r="M9" s="5" t="s">
        <v>39</v>
      </c>
    </row>
    <row r="10" spans="1:14" ht="21" customHeight="1">
      <c r="A10" s="10">
        <v>1</v>
      </c>
      <c r="B10" s="16"/>
      <c r="C10" s="1"/>
      <c r="D10" s="2"/>
      <c r="E10" s="53"/>
      <c r="F10" s="18"/>
      <c r="G10" s="19"/>
      <c r="H10" s="20" t="str">
        <f t="shared" ref="H10:H53" si="0">IF(G10="","",(F10*100000000+G10)-7*INT((F10*100000000+G10)/7))</f>
        <v/>
      </c>
      <c r="I10" s="20"/>
      <c r="J10" s="10"/>
      <c r="K10" s="21"/>
      <c r="L10" s="29"/>
      <c r="M10" s="54"/>
    </row>
    <row r="11" spans="1:14" ht="21" customHeight="1">
      <c r="A11" s="10">
        <v>2</v>
      </c>
      <c r="B11" s="16"/>
      <c r="C11" s="2"/>
      <c r="D11" s="2"/>
      <c r="E11" s="53"/>
      <c r="F11" s="18"/>
      <c r="G11" s="19"/>
      <c r="H11" s="20" t="str">
        <f t="shared" si="0"/>
        <v/>
      </c>
      <c r="I11" s="20"/>
      <c r="J11" s="10"/>
      <c r="K11" s="21"/>
      <c r="L11" s="29"/>
      <c r="M11" s="54"/>
    </row>
    <row r="12" spans="1:14" ht="21" customHeight="1">
      <c r="A12" s="10">
        <v>3</v>
      </c>
      <c r="B12" s="16"/>
      <c r="C12" s="2"/>
      <c r="D12" s="2"/>
      <c r="E12" s="53"/>
      <c r="F12" s="18"/>
      <c r="G12" s="19"/>
      <c r="H12" s="20" t="str">
        <f t="shared" si="0"/>
        <v/>
      </c>
      <c r="I12" s="20"/>
      <c r="J12" s="10"/>
      <c r="K12" s="21"/>
      <c r="L12" s="29"/>
      <c r="M12" s="54"/>
      <c r="N12" s="12"/>
    </row>
    <row r="13" spans="1:14" ht="21" customHeight="1">
      <c r="A13" s="10">
        <v>4</v>
      </c>
      <c r="B13" s="16"/>
      <c r="C13" s="2"/>
      <c r="D13" s="2"/>
      <c r="E13" s="53"/>
      <c r="F13" s="18"/>
      <c r="G13" s="19"/>
      <c r="H13" s="20" t="str">
        <f t="shared" si="0"/>
        <v/>
      </c>
      <c r="I13" s="20"/>
      <c r="J13" s="10"/>
      <c r="K13" s="21"/>
      <c r="L13" s="29"/>
      <c r="M13" s="54"/>
    </row>
    <row r="14" spans="1:14" ht="21" customHeight="1">
      <c r="A14" s="10">
        <v>5</v>
      </c>
      <c r="B14" s="16"/>
      <c r="C14" s="2"/>
      <c r="D14" s="2"/>
      <c r="E14" s="53"/>
      <c r="F14" s="18"/>
      <c r="G14" s="19"/>
      <c r="H14" s="20" t="str">
        <f t="shared" si="0"/>
        <v/>
      </c>
      <c r="I14" s="20"/>
      <c r="J14" s="10"/>
      <c r="K14" s="21"/>
      <c r="L14" s="29"/>
      <c r="M14" s="54"/>
    </row>
    <row r="15" spans="1:14" ht="21" customHeight="1">
      <c r="A15" s="10">
        <v>6</v>
      </c>
      <c r="B15" s="16"/>
      <c r="C15" s="2"/>
      <c r="D15" s="2"/>
      <c r="E15" s="53"/>
      <c r="F15" s="18"/>
      <c r="G15" s="19"/>
      <c r="H15" s="20" t="str">
        <f t="shared" si="0"/>
        <v/>
      </c>
      <c r="I15" s="20"/>
      <c r="J15" s="10"/>
      <c r="K15" s="21"/>
      <c r="L15" s="29"/>
      <c r="M15" s="54"/>
    </row>
    <row r="16" spans="1:14" ht="21" customHeight="1">
      <c r="A16" s="10">
        <v>7</v>
      </c>
      <c r="B16" s="16"/>
      <c r="C16" s="2"/>
      <c r="D16" s="2"/>
      <c r="E16" s="53"/>
      <c r="F16" s="18"/>
      <c r="G16" s="19"/>
      <c r="H16" s="20" t="str">
        <f t="shared" si="0"/>
        <v/>
      </c>
      <c r="I16" s="20"/>
      <c r="J16" s="10"/>
      <c r="K16" s="21"/>
      <c r="L16" s="29"/>
      <c r="M16" s="54"/>
    </row>
    <row r="17" spans="1:13" ht="21" customHeight="1">
      <c r="A17" s="10">
        <v>8</v>
      </c>
      <c r="B17" s="16"/>
      <c r="C17" s="2"/>
      <c r="D17" s="2"/>
      <c r="E17" s="53"/>
      <c r="F17" s="18"/>
      <c r="G17" s="19"/>
      <c r="H17" s="20" t="str">
        <f t="shared" si="0"/>
        <v/>
      </c>
      <c r="I17" s="20"/>
      <c r="J17" s="10"/>
      <c r="K17" s="21"/>
      <c r="L17" s="29"/>
      <c r="M17" s="54"/>
    </row>
    <row r="18" spans="1:13" ht="21" customHeight="1">
      <c r="A18" s="10">
        <v>9</v>
      </c>
      <c r="B18" s="16"/>
      <c r="C18" s="2"/>
      <c r="D18" s="2"/>
      <c r="E18" s="53"/>
      <c r="F18" s="18"/>
      <c r="G18" s="19"/>
      <c r="H18" s="20" t="str">
        <f t="shared" si="0"/>
        <v/>
      </c>
      <c r="I18" s="20"/>
      <c r="J18" s="10"/>
      <c r="K18" s="21"/>
      <c r="L18" s="29"/>
      <c r="M18" s="54"/>
    </row>
    <row r="19" spans="1:13" ht="21" customHeight="1">
      <c r="A19" s="10">
        <v>10</v>
      </c>
      <c r="B19" s="16"/>
      <c r="C19" s="2"/>
      <c r="D19" s="2"/>
      <c r="E19" s="53"/>
      <c r="F19" s="18"/>
      <c r="G19" s="19"/>
      <c r="H19" s="20" t="str">
        <f t="shared" si="0"/>
        <v/>
      </c>
      <c r="I19" s="20"/>
      <c r="J19" s="10"/>
      <c r="K19" s="21"/>
      <c r="L19" s="29"/>
      <c r="M19" s="54"/>
    </row>
    <row r="20" spans="1:13" ht="21" customHeight="1">
      <c r="A20" s="10">
        <v>11</v>
      </c>
      <c r="B20" s="16"/>
      <c r="C20" s="2"/>
      <c r="D20" s="2"/>
      <c r="E20" s="53"/>
      <c r="F20" s="18"/>
      <c r="G20" s="19"/>
      <c r="H20" s="20" t="str">
        <f t="shared" si="0"/>
        <v/>
      </c>
      <c r="I20" s="20"/>
      <c r="J20" s="10"/>
      <c r="K20" s="21"/>
      <c r="L20" s="29"/>
      <c r="M20" s="54"/>
    </row>
    <row r="21" spans="1:13" ht="21" customHeight="1">
      <c r="A21" s="10">
        <v>12</v>
      </c>
      <c r="B21" s="16"/>
      <c r="C21" s="2"/>
      <c r="D21" s="2"/>
      <c r="E21" s="53"/>
      <c r="F21" s="18"/>
      <c r="G21" s="19"/>
      <c r="H21" s="20" t="str">
        <f t="shared" si="0"/>
        <v/>
      </c>
      <c r="I21" s="20"/>
      <c r="J21" s="10"/>
      <c r="K21" s="21"/>
      <c r="L21" s="29"/>
      <c r="M21" s="54"/>
    </row>
    <row r="22" spans="1:13" ht="21" customHeight="1">
      <c r="A22" s="10">
        <v>13</v>
      </c>
      <c r="B22" s="16"/>
      <c r="C22" s="2"/>
      <c r="D22" s="2"/>
      <c r="E22" s="53"/>
      <c r="F22" s="18"/>
      <c r="G22" s="19"/>
      <c r="H22" s="20" t="str">
        <f t="shared" si="0"/>
        <v/>
      </c>
      <c r="I22" s="20"/>
      <c r="J22" s="10"/>
      <c r="K22" s="21"/>
      <c r="L22" s="29"/>
      <c r="M22" s="54"/>
    </row>
    <row r="23" spans="1:13" ht="21" customHeight="1">
      <c r="A23" s="10">
        <v>14</v>
      </c>
      <c r="B23" s="16"/>
      <c r="C23" s="2"/>
      <c r="D23" s="2"/>
      <c r="E23" s="53"/>
      <c r="F23" s="18"/>
      <c r="G23" s="19"/>
      <c r="H23" s="20" t="str">
        <f t="shared" si="0"/>
        <v/>
      </c>
      <c r="I23" s="20"/>
      <c r="J23" s="10"/>
      <c r="K23" s="21"/>
      <c r="L23" s="29"/>
      <c r="M23" s="54"/>
    </row>
    <row r="24" spans="1:13" ht="21" customHeight="1">
      <c r="A24" s="10">
        <v>15</v>
      </c>
      <c r="B24" s="16"/>
      <c r="C24" s="2"/>
      <c r="D24" s="2"/>
      <c r="E24" s="53"/>
      <c r="F24" s="18"/>
      <c r="G24" s="19"/>
      <c r="H24" s="20" t="str">
        <f t="shared" si="0"/>
        <v/>
      </c>
      <c r="I24" s="20"/>
      <c r="J24" s="10"/>
      <c r="K24" s="21"/>
      <c r="L24" s="29"/>
      <c r="M24" s="54"/>
    </row>
    <row r="25" spans="1:13" ht="21" customHeight="1">
      <c r="A25" s="10">
        <v>16</v>
      </c>
      <c r="B25" s="16"/>
      <c r="C25" s="2"/>
      <c r="D25" s="2"/>
      <c r="E25" s="53"/>
      <c r="F25" s="18"/>
      <c r="G25" s="19"/>
      <c r="H25" s="20" t="str">
        <f t="shared" si="0"/>
        <v/>
      </c>
      <c r="I25" s="20"/>
      <c r="J25" s="10"/>
      <c r="K25" s="21"/>
      <c r="L25" s="29"/>
      <c r="M25" s="54"/>
    </row>
    <row r="26" spans="1:13" ht="21" customHeight="1">
      <c r="A26" s="10">
        <v>17</v>
      </c>
      <c r="B26" s="16"/>
      <c r="C26" s="2"/>
      <c r="D26" s="2"/>
      <c r="E26" s="53"/>
      <c r="F26" s="18"/>
      <c r="G26" s="19"/>
      <c r="H26" s="20" t="str">
        <f t="shared" si="0"/>
        <v/>
      </c>
      <c r="I26" s="20"/>
      <c r="J26" s="10"/>
      <c r="K26" s="21"/>
      <c r="L26" s="29"/>
      <c r="M26" s="54"/>
    </row>
    <row r="27" spans="1:13" ht="21" customHeight="1">
      <c r="A27" s="10">
        <v>18</v>
      </c>
      <c r="B27" s="16"/>
      <c r="C27" s="2"/>
      <c r="D27" s="2"/>
      <c r="E27" s="53"/>
      <c r="F27" s="18"/>
      <c r="G27" s="19"/>
      <c r="H27" s="20" t="str">
        <f t="shared" si="0"/>
        <v/>
      </c>
      <c r="I27" s="20"/>
      <c r="J27" s="10"/>
      <c r="K27" s="21"/>
      <c r="L27" s="29"/>
      <c r="M27" s="54"/>
    </row>
    <row r="28" spans="1:13" ht="21" customHeight="1">
      <c r="A28" s="10">
        <v>19</v>
      </c>
      <c r="B28" s="16"/>
      <c r="C28" s="2"/>
      <c r="D28" s="2"/>
      <c r="E28" s="53"/>
      <c r="F28" s="18"/>
      <c r="G28" s="19"/>
      <c r="H28" s="20" t="str">
        <f t="shared" si="0"/>
        <v/>
      </c>
      <c r="I28" s="20"/>
      <c r="J28" s="10"/>
      <c r="K28" s="21"/>
      <c r="L28" s="29"/>
      <c r="M28" s="54"/>
    </row>
    <row r="29" spans="1:13" ht="21" customHeight="1">
      <c r="A29" s="10">
        <v>20</v>
      </c>
      <c r="B29" s="16"/>
      <c r="C29" s="16"/>
      <c r="D29" s="2"/>
      <c r="E29" s="53"/>
      <c r="F29" s="18"/>
      <c r="G29" s="19"/>
      <c r="H29" s="20" t="str">
        <f t="shared" si="0"/>
        <v/>
      </c>
      <c r="I29" s="20"/>
      <c r="J29" s="10"/>
      <c r="K29" s="21"/>
      <c r="L29" s="29"/>
      <c r="M29" s="54"/>
    </row>
    <row r="30" spans="1:13" ht="21" customHeight="1">
      <c r="A30" s="10">
        <v>21</v>
      </c>
      <c r="B30" s="16"/>
      <c r="C30" s="2"/>
      <c r="D30" s="2"/>
      <c r="E30" s="53"/>
      <c r="F30" s="18"/>
      <c r="G30" s="19"/>
      <c r="H30" s="20" t="str">
        <f t="shared" si="0"/>
        <v/>
      </c>
      <c r="I30" s="20"/>
      <c r="J30" s="10"/>
      <c r="K30" s="21"/>
      <c r="L30" s="29"/>
      <c r="M30" s="54"/>
    </row>
    <row r="31" spans="1:13" ht="21" customHeight="1">
      <c r="A31" s="10">
        <v>22</v>
      </c>
      <c r="B31" s="16"/>
      <c r="C31" s="2"/>
      <c r="D31" s="2"/>
      <c r="E31" s="53"/>
      <c r="F31" s="18"/>
      <c r="G31" s="19"/>
      <c r="H31" s="20" t="str">
        <f t="shared" si="0"/>
        <v/>
      </c>
      <c r="I31" s="20"/>
      <c r="J31" s="10"/>
      <c r="K31" s="21"/>
      <c r="L31" s="29"/>
      <c r="M31" s="54"/>
    </row>
    <row r="32" spans="1:13" ht="21" customHeight="1">
      <c r="A32" s="10">
        <v>23</v>
      </c>
      <c r="B32" s="16"/>
      <c r="C32" s="16"/>
      <c r="D32" s="2"/>
      <c r="E32" s="53"/>
      <c r="F32" s="18"/>
      <c r="G32" s="19"/>
      <c r="H32" s="20" t="str">
        <f t="shared" si="0"/>
        <v/>
      </c>
      <c r="I32" s="20"/>
      <c r="J32" s="10"/>
      <c r="K32" s="21"/>
      <c r="L32" s="29"/>
      <c r="M32" s="54"/>
    </row>
    <row r="33" spans="1:13" ht="21" customHeight="1">
      <c r="A33" s="10">
        <v>24</v>
      </c>
      <c r="B33" s="16"/>
      <c r="C33" s="2"/>
      <c r="D33" s="2"/>
      <c r="E33" s="53"/>
      <c r="F33" s="18"/>
      <c r="G33" s="19"/>
      <c r="H33" s="20" t="str">
        <f t="shared" si="0"/>
        <v/>
      </c>
      <c r="I33" s="20"/>
      <c r="J33" s="10"/>
      <c r="K33" s="21"/>
      <c r="L33" s="29"/>
      <c r="M33" s="54"/>
    </row>
    <row r="34" spans="1:13" ht="21" customHeight="1">
      <c r="A34" s="10">
        <v>25</v>
      </c>
      <c r="B34" s="16"/>
      <c r="C34" s="16"/>
      <c r="D34" s="2"/>
      <c r="E34" s="53"/>
      <c r="F34" s="18"/>
      <c r="G34" s="19"/>
      <c r="H34" s="20" t="str">
        <f t="shared" si="0"/>
        <v/>
      </c>
      <c r="I34" s="20"/>
      <c r="J34" s="10"/>
      <c r="K34" s="21"/>
      <c r="L34" s="29"/>
      <c r="M34" s="54"/>
    </row>
    <row r="35" spans="1:13" ht="21" customHeight="1">
      <c r="A35" s="10">
        <v>26</v>
      </c>
      <c r="B35" s="16"/>
      <c r="C35" s="2"/>
      <c r="D35" s="2"/>
      <c r="E35" s="53"/>
      <c r="F35" s="18"/>
      <c r="G35" s="19"/>
      <c r="H35" s="20" t="str">
        <f t="shared" si="0"/>
        <v/>
      </c>
      <c r="I35" s="20"/>
      <c r="J35" s="10"/>
      <c r="K35" s="21"/>
      <c r="L35" s="29"/>
      <c r="M35" s="54"/>
    </row>
    <row r="36" spans="1:13" ht="21" customHeight="1">
      <c r="A36" s="10">
        <v>27</v>
      </c>
      <c r="B36" s="16"/>
      <c r="C36" s="2"/>
      <c r="D36" s="2"/>
      <c r="E36" s="53"/>
      <c r="F36" s="18"/>
      <c r="G36" s="19"/>
      <c r="H36" s="20" t="str">
        <f t="shared" si="0"/>
        <v/>
      </c>
      <c r="I36" s="20"/>
      <c r="J36" s="10"/>
      <c r="K36" s="21"/>
      <c r="L36" s="29"/>
      <c r="M36" s="54"/>
    </row>
    <row r="37" spans="1:13" ht="21" customHeight="1">
      <c r="A37" s="10">
        <v>28</v>
      </c>
      <c r="B37" s="16"/>
      <c r="C37" s="2"/>
      <c r="D37" s="2"/>
      <c r="E37" s="53"/>
      <c r="F37" s="18"/>
      <c r="G37" s="19"/>
      <c r="H37" s="20" t="str">
        <f t="shared" si="0"/>
        <v/>
      </c>
      <c r="I37" s="20"/>
      <c r="J37" s="10"/>
      <c r="K37" s="21"/>
      <c r="L37" s="29"/>
      <c r="M37" s="54"/>
    </row>
    <row r="38" spans="1:13" ht="21" customHeight="1">
      <c r="A38" s="10">
        <v>29</v>
      </c>
      <c r="B38" s="16"/>
      <c r="C38" s="2"/>
      <c r="D38" s="2"/>
      <c r="E38" s="53"/>
      <c r="F38" s="18"/>
      <c r="G38" s="19"/>
      <c r="H38" s="20" t="str">
        <f t="shared" si="0"/>
        <v/>
      </c>
      <c r="I38" s="20"/>
      <c r="J38" s="10"/>
      <c r="K38" s="21"/>
      <c r="L38" s="29"/>
      <c r="M38" s="54"/>
    </row>
    <row r="39" spans="1:13" ht="21" customHeight="1">
      <c r="A39" s="10">
        <v>30</v>
      </c>
      <c r="B39" s="16"/>
      <c r="C39" s="2"/>
      <c r="D39" s="2"/>
      <c r="E39" s="53"/>
      <c r="F39" s="18"/>
      <c r="G39" s="19"/>
      <c r="H39" s="20" t="str">
        <f t="shared" si="0"/>
        <v/>
      </c>
      <c r="I39" s="20"/>
      <c r="J39" s="10"/>
      <c r="K39" s="21"/>
      <c r="L39" s="29"/>
      <c r="M39" s="54"/>
    </row>
    <row r="40" spans="1:13" ht="21" customHeight="1">
      <c r="A40" s="10">
        <v>31</v>
      </c>
      <c r="B40" s="16"/>
      <c r="C40" s="2"/>
      <c r="D40" s="2"/>
      <c r="E40" s="53"/>
      <c r="F40" s="18"/>
      <c r="G40" s="19"/>
      <c r="H40" s="20" t="str">
        <f t="shared" si="0"/>
        <v/>
      </c>
      <c r="I40" s="20"/>
      <c r="J40" s="10"/>
      <c r="K40" s="21"/>
      <c r="L40" s="29"/>
      <c r="M40" s="54"/>
    </row>
    <row r="41" spans="1:13" ht="21" customHeight="1">
      <c r="A41" s="10">
        <v>32</v>
      </c>
      <c r="B41" s="16"/>
      <c r="C41" s="2"/>
      <c r="D41" s="2"/>
      <c r="E41" s="53"/>
      <c r="F41" s="18"/>
      <c r="G41" s="19"/>
      <c r="H41" s="20" t="str">
        <f t="shared" si="0"/>
        <v/>
      </c>
      <c r="I41" s="20"/>
      <c r="J41" s="10"/>
      <c r="K41" s="21"/>
      <c r="L41" s="29"/>
      <c r="M41" s="54"/>
    </row>
    <row r="42" spans="1:13" ht="21" customHeight="1">
      <c r="A42" s="10">
        <v>33</v>
      </c>
      <c r="B42" s="16"/>
      <c r="C42" s="2"/>
      <c r="D42" s="2"/>
      <c r="E42" s="53"/>
      <c r="F42" s="18"/>
      <c r="G42" s="19"/>
      <c r="H42" s="20" t="str">
        <f>IF(G42="","",(F42*100000000+G42)-7*INT((F42*100000000+G42)/7))</f>
        <v/>
      </c>
      <c r="I42" s="20"/>
      <c r="J42" s="10"/>
      <c r="K42" s="21"/>
      <c r="L42" s="29"/>
      <c r="M42" s="54"/>
    </row>
    <row r="43" spans="1:13" ht="21" customHeight="1">
      <c r="A43" s="10">
        <v>34</v>
      </c>
      <c r="B43" s="16"/>
      <c r="C43" s="2"/>
      <c r="D43" s="2"/>
      <c r="E43" s="53"/>
      <c r="F43" s="18"/>
      <c r="G43" s="19"/>
      <c r="H43" s="20" t="str">
        <f>IF(G43="","",(F43*100000000+G43)-7*INT((F43*100000000+G43)/7))</f>
        <v/>
      </c>
      <c r="I43" s="20"/>
      <c r="J43" s="10"/>
      <c r="K43" s="21"/>
      <c r="L43" s="29"/>
      <c r="M43" s="54"/>
    </row>
    <row r="44" spans="1:13" ht="21" customHeight="1">
      <c r="A44" s="10">
        <v>35</v>
      </c>
      <c r="B44" s="16"/>
      <c r="C44" s="2"/>
      <c r="D44" s="2"/>
      <c r="E44" s="53"/>
      <c r="F44" s="18"/>
      <c r="G44" s="19"/>
      <c r="H44" s="20" t="str">
        <f t="shared" si="0"/>
        <v/>
      </c>
      <c r="I44" s="20"/>
      <c r="J44" s="10"/>
      <c r="K44" s="21"/>
      <c r="L44" s="29"/>
      <c r="M44" s="54"/>
    </row>
    <row r="45" spans="1:13" ht="21" customHeight="1">
      <c r="A45" s="10">
        <v>36</v>
      </c>
      <c r="B45" s="16"/>
      <c r="C45" s="2"/>
      <c r="D45" s="2"/>
      <c r="E45" s="53"/>
      <c r="F45" s="18"/>
      <c r="G45" s="19"/>
      <c r="H45" s="20" t="str">
        <f t="shared" si="0"/>
        <v/>
      </c>
      <c r="I45" s="20"/>
      <c r="J45" s="10"/>
      <c r="K45" s="21"/>
      <c r="L45" s="29"/>
      <c r="M45" s="54"/>
    </row>
    <row r="46" spans="1:13" ht="21" customHeight="1">
      <c r="A46" s="10">
        <v>37</v>
      </c>
      <c r="B46" s="16"/>
      <c r="C46" s="2"/>
      <c r="D46" s="2"/>
      <c r="E46" s="53"/>
      <c r="F46" s="18"/>
      <c r="G46" s="19"/>
      <c r="H46" s="20" t="str">
        <f t="shared" si="0"/>
        <v/>
      </c>
      <c r="I46" s="20"/>
      <c r="J46" s="10"/>
      <c r="K46" s="21"/>
      <c r="L46" s="29"/>
      <c r="M46" s="54"/>
    </row>
    <row r="47" spans="1:13" ht="21" customHeight="1">
      <c r="A47" s="10">
        <v>38</v>
      </c>
      <c r="B47" s="16"/>
      <c r="C47" s="2"/>
      <c r="D47" s="2"/>
      <c r="E47" s="53"/>
      <c r="F47" s="18"/>
      <c r="G47" s="19"/>
      <c r="H47" s="20" t="str">
        <f t="shared" si="0"/>
        <v/>
      </c>
      <c r="I47" s="20"/>
      <c r="J47" s="10"/>
      <c r="K47" s="21"/>
      <c r="L47" s="29"/>
      <c r="M47" s="54"/>
    </row>
    <row r="48" spans="1:13" ht="21" customHeight="1">
      <c r="A48" s="10">
        <v>39</v>
      </c>
      <c r="B48" s="16"/>
      <c r="C48" s="2"/>
      <c r="D48" s="2"/>
      <c r="E48" s="53"/>
      <c r="F48" s="18"/>
      <c r="G48" s="19"/>
      <c r="H48" s="20" t="str">
        <f t="shared" si="0"/>
        <v/>
      </c>
      <c r="I48" s="20"/>
      <c r="J48" s="10"/>
      <c r="K48" s="21"/>
      <c r="L48" s="29"/>
      <c r="M48" s="29"/>
    </row>
    <row r="49" spans="1:13" ht="21" customHeight="1">
      <c r="A49" s="10">
        <v>40</v>
      </c>
      <c r="B49" s="16"/>
      <c r="C49" s="2"/>
      <c r="D49" s="2"/>
      <c r="E49" s="53"/>
      <c r="F49" s="18"/>
      <c r="G49" s="19"/>
      <c r="H49" s="20" t="str">
        <f t="shared" si="0"/>
        <v/>
      </c>
      <c r="I49" s="20"/>
      <c r="J49" s="10"/>
      <c r="K49" s="21"/>
      <c r="L49" s="29"/>
      <c r="M49" s="29"/>
    </row>
    <row r="50" spans="1:13" ht="21" customHeight="1">
      <c r="A50" s="10">
        <v>41</v>
      </c>
      <c r="B50" s="16"/>
      <c r="C50" s="2"/>
      <c r="D50" s="2"/>
      <c r="E50" s="7"/>
      <c r="F50" s="18"/>
      <c r="G50" s="19"/>
      <c r="H50" s="20" t="str">
        <f t="shared" si="0"/>
        <v/>
      </c>
      <c r="I50" s="20"/>
      <c r="J50" s="10"/>
      <c r="K50" s="21"/>
      <c r="L50" s="29"/>
      <c r="M50" s="29"/>
    </row>
    <row r="51" spans="1:13" ht="21" customHeight="1">
      <c r="A51" s="10">
        <v>42</v>
      </c>
      <c r="B51" s="16"/>
      <c r="C51" s="2"/>
      <c r="D51" s="2"/>
      <c r="E51" s="7"/>
      <c r="F51" s="18"/>
      <c r="G51" s="19"/>
      <c r="H51" s="20" t="str">
        <f t="shared" si="0"/>
        <v/>
      </c>
      <c r="I51" s="20"/>
      <c r="J51" s="10"/>
      <c r="K51" s="21"/>
      <c r="L51" s="29"/>
      <c r="M51" s="29"/>
    </row>
    <row r="52" spans="1:13" ht="21" customHeight="1">
      <c r="A52" s="10">
        <v>43</v>
      </c>
      <c r="B52" s="16"/>
      <c r="C52" s="2"/>
      <c r="D52" s="2"/>
      <c r="E52" s="7"/>
      <c r="F52" s="18"/>
      <c r="G52" s="19"/>
      <c r="H52" s="20" t="str">
        <f t="shared" si="0"/>
        <v/>
      </c>
      <c r="I52" s="20"/>
      <c r="J52" s="10"/>
      <c r="K52" s="21"/>
      <c r="L52" s="29"/>
      <c r="M52" s="29"/>
    </row>
    <row r="53" spans="1:13" ht="21" customHeight="1">
      <c r="A53" s="10">
        <v>44</v>
      </c>
      <c r="B53" s="16"/>
      <c r="C53" s="2"/>
      <c r="D53" s="2"/>
      <c r="E53" s="7"/>
      <c r="F53" s="18"/>
      <c r="G53" s="19"/>
      <c r="H53" s="20" t="str">
        <f t="shared" si="0"/>
        <v/>
      </c>
      <c r="I53" s="20"/>
      <c r="J53" s="10"/>
      <c r="K53" s="21"/>
      <c r="L53" s="29"/>
      <c r="M53" s="29"/>
    </row>
    <row r="54" spans="1:13" ht="21" customHeight="1">
      <c r="A54" s="10">
        <v>45</v>
      </c>
      <c r="B54" s="16"/>
      <c r="C54" s="16"/>
      <c r="D54" s="2"/>
      <c r="E54" s="7"/>
      <c r="F54" s="18"/>
      <c r="G54" s="19"/>
      <c r="H54" s="20" t="str">
        <f t="shared" ref="H54:H69" si="1">IF(G54="","",(F54*100000000+G54)-7*INT((F54*100000000+G54)/7))</f>
        <v/>
      </c>
      <c r="I54" s="20"/>
      <c r="J54" s="10"/>
      <c r="K54" s="21"/>
      <c r="L54" s="29"/>
      <c r="M54" s="29"/>
    </row>
    <row r="55" spans="1:13" ht="21" customHeight="1">
      <c r="A55" s="10">
        <v>46</v>
      </c>
      <c r="B55" s="16"/>
      <c r="C55" s="16"/>
      <c r="D55" s="2"/>
      <c r="E55" s="7"/>
      <c r="F55" s="18"/>
      <c r="G55" s="19"/>
      <c r="H55" s="20" t="str">
        <f t="shared" si="1"/>
        <v/>
      </c>
      <c r="I55" s="20"/>
      <c r="J55" s="10"/>
      <c r="K55" s="21"/>
      <c r="L55" s="29"/>
      <c r="M55" s="29"/>
    </row>
    <row r="56" spans="1:13" ht="21" customHeight="1">
      <c r="A56" s="10">
        <v>47</v>
      </c>
      <c r="B56" s="16"/>
      <c r="C56" s="16"/>
      <c r="D56" s="2"/>
      <c r="E56" s="7"/>
      <c r="F56" s="18"/>
      <c r="G56" s="19"/>
      <c r="H56" s="20" t="str">
        <f t="shared" si="1"/>
        <v/>
      </c>
      <c r="I56" s="20"/>
      <c r="J56" s="10"/>
      <c r="K56" s="21"/>
      <c r="L56" s="29"/>
      <c r="M56" s="29"/>
    </row>
    <row r="57" spans="1:13" ht="21" customHeight="1">
      <c r="A57" s="10">
        <v>48</v>
      </c>
      <c r="B57" s="16"/>
      <c r="C57" s="16"/>
      <c r="D57" s="2"/>
      <c r="E57" s="7"/>
      <c r="F57" s="18"/>
      <c r="G57" s="19"/>
      <c r="H57" s="20" t="str">
        <f t="shared" si="1"/>
        <v/>
      </c>
      <c r="I57" s="20"/>
      <c r="J57" s="10"/>
      <c r="K57" s="21"/>
      <c r="L57" s="29"/>
      <c r="M57" s="29"/>
    </row>
    <row r="58" spans="1:13" ht="21" customHeight="1">
      <c r="A58" s="10">
        <v>49</v>
      </c>
      <c r="B58" s="16"/>
      <c r="C58" s="16"/>
      <c r="D58" s="2"/>
      <c r="E58" s="7"/>
      <c r="F58" s="18"/>
      <c r="G58" s="19"/>
      <c r="H58" s="20" t="str">
        <f t="shared" si="1"/>
        <v/>
      </c>
      <c r="I58" s="20"/>
      <c r="J58" s="10"/>
      <c r="K58" s="21"/>
      <c r="L58" s="29"/>
      <c r="M58" s="29"/>
    </row>
    <row r="59" spans="1:13" ht="21" customHeight="1">
      <c r="A59" s="10">
        <v>50</v>
      </c>
      <c r="B59" s="16"/>
      <c r="C59" s="16"/>
      <c r="D59" s="2"/>
      <c r="E59" s="7"/>
      <c r="F59" s="18"/>
      <c r="G59" s="19"/>
      <c r="H59" s="20" t="str">
        <f t="shared" si="1"/>
        <v/>
      </c>
      <c r="I59" s="20"/>
      <c r="J59" s="10"/>
      <c r="K59" s="21"/>
      <c r="L59" s="29"/>
      <c r="M59" s="29"/>
    </row>
    <row r="60" spans="1:13" ht="21" customHeight="1">
      <c r="A60" s="10">
        <v>51</v>
      </c>
      <c r="B60" s="16"/>
      <c r="C60" s="16"/>
      <c r="D60" s="2"/>
      <c r="E60" s="7"/>
      <c r="F60" s="18"/>
      <c r="G60" s="19"/>
      <c r="H60" s="20" t="str">
        <f t="shared" si="1"/>
        <v/>
      </c>
      <c r="I60" s="20"/>
      <c r="J60" s="10"/>
      <c r="K60" s="21"/>
      <c r="L60" s="29"/>
      <c r="M60" s="29"/>
    </row>
    <row r="61" spans="1:13" ht="21" customHeight="1">
      <c r="A61" s="10">
        <v>52</v>
      </c>
      <c r="B61" s="16"/>
      <c r="C61" s="16"/>
      <c r="D61" s="2"/>
      <c r="E61" s="7"/>
      <c r="F61" s="18"/>
      <c r="G61" s="19"/>
      <c r="H61" s="20" t="str">
        <f t="shared" si="1"/>
        <v/>
      </c>
      <c r="I61" s="20"/>
      <c r="J61" s="10"/>
      <c r="K61" s="21"/>
      <c r="L61" s="29"/>
      <c r="M61" s="29"/>
    </row>
    <row r="62" spans="1:13" ht="21" customHeight="1">
      <c r="A62" s="10">
        <v>53</v>
      </c>
      <c r="B62" s="16"/>
      <c r="C62" s="16"/>
      <c r="D62" s="2"/>
      <c r="E62" s="7"/>
      <c r="F62" s="18"/>
      <c r="G62" s="19"/>
      <c r="H62" s="20" t="str">
        <f t="shared" si="1"/>
        <v/>
      </c>
      <c r="I62" s="20"/>
      <c r="J62" s="10"/>
      <c r="K62" s="21"/>
      <c r="L62" s="29"/>
      <c r="M62" s="29"/>
    </row>
    <row r="63" spans="1:13" ht="21" customHeight="1">
      <c r="A63" s="10">
        <v>54</v>
      </c>
      <c r="B63" s="16"/>
      <c r="C63" s="16"/>
      <c r="D63" s="2"/>
      <c r="E63" s="7"/>
      <c r="F63" s="18"/>
      <c r="G63" s="19"/>
      <c r="H63" s="20" t="str">
        <f t="shared" si="1"/>
        <v/>
      </c>
      <c r="I63" s="20"/>
      <c r="J63" s="10"/>
      <c r="K63" s="21"/>
      <c r="L63" s="29"/>
      <c r="M63" s="29"/>
    </row>
    <row r="64" spans="1:13" ht="21" customHeight="1">
      <c r="A64" s="10">
        <v>55</v>
      </c>
      <c r="B64" s="16"/>
      <c r="C64" s="2"/>
      <c r="D64" s="2"/>
      <c r="E64" s="7"/>
      <c r="F64" s="18"/>
      <c r="G64" s="19"/>
      <c r="H64" s="20" t="str">
        <f t="shared" si="1"/>
        <v/>
      </c>
      <c r="I64" s="20"/>
      <c r="J64" s="10"/>
      <c r="K64" s="21"/>
      <c r="L64" s="29"/>
      <c r="M64" s="29"/>
    </row>
    <row r="65" spans="1:13" ht="21" customHeight="1">
      <c r="A65" s="10">
        <v>56</v>
      </c>
      <c r="B65" s="16"/>
      <c r="C65" s="2"/>
      <c r="D65" s="2"/>
      <c r="E65" s="7"/>
      <c r="F65" s="18"/>
      <c r="G65" s="19"/>
      <c r="H65" s="20" t="str">
        <f t="shared" si="1"/>
        <v/>
      </c>
      <c r="I65" s="20"/>
      <c r="J65" s="10"/>
      <c r="K65" s="21"/>
      <c r="L65" s="29"/>
      <c r="M65" s="29"/>
    </row>
    <row r="66" spans="1:13" ht="21" customHeight="1">
      <c r="A66" s="10">
        <v>57</v>
      </c>
      <c r="B66" s="16"/>
      <c r="C66" s="16"/>
      <c r="D66" s="2"/>
      <c r="E66" s="7"/>
      <c r="F66" s="18"/>
      <c r="G66" s="19"/>
      <c r="H66" s="20" t="str">
        <f t="shared" si="1"/>
        <v/>
      </c>
      <c r="I66" s="20"/>
      <c r="J66" s="10"/>
      <c r="K66" s="21"/>
      <c r="L66" s="29"/>
      <c r="M66" s="29"/>
    </row>
    <row r="67" spans="1:13" ht="21" customHeight="1">
      <c r="A67" s="10">
        <v>58</v>
      </c>
      <c r="B67" s="16"/>
      <c r="C67" s="16"/>
      <c r="D67" s="2"/>
      <c r="E67" s="7"/>
      <c r="F67" s="18"/>
      <c r="G67" s="19"/>
      <c r="H67" s="20" t="str">
        <f t="shared" si="1"/>
        <v/>
      </c>
      <c r="I67" s="20"/>
      <c r="J67" s="10"/>
      <c r="K67" s="21"/>
      <c r="L67" s="29"/>
      <c r="M67" s="29"/>
    </row>
    <row r="68" spans="1:13" ht="21" customHeight="1">
      <c r="A68" s="10">
        <v>59</v>
      </c>
      <c r="B68" s="16"/>
      <c r="C68" s="16"/>
      <c r="D68" s="2"/>
      <c r="E68" s="7"/>
      <c r="F68" s="18"/>
      <c r="G68" s="19"/>
      <c r="H68" s="20" t="str">
        <f t="shared" si="1"/>
        <v/>
      </c>
      <c r="I68" s="20"/>
      <c r="J68" s="10"/>
      <c r="K68" s="21"/>
      <c r="L68" s="29"/>
      <c r="M68" s="29"/>
    </row>
    <row r="69" spans="1:13" ht="21" customHeight="1">
      <c r="A69" s="10"/>
      <c r="B69" s="16"/>
      <c r="C69" s="16"/>
      <c r="D69" s="2"/>
      <c r="E69" s="7"/>
      <c r="F69" s="18"/>
      <c r="G69" s="19"/>
      <c r="H69" s="20" t="str">
        <f t="shared" si="1"/>
        <v/>
      </c>
      <c r="I69" s="20"/>
      <c r="J69" s="10"/>
      <c r="K69" s="21"/>
      <c r="L69" s="29"/>
      <c r="M69" s="29"/>
    </row>
    <row r="70" spans="1:13" ht="21" customHeight="1">
      <c r="A70" s="10"/>
      <c r="B70" s="16"/>
      <c r="C70" s="16"/>
      <c r="D70" s="16"/>
      <c r="E70" s="7"/>
      <c r="F70" s="18"/>
      <c r="G70" s="19"/>
      <c r="H70" s="20" t="str">
        <f t="shared" ref="H70:H105" si="2">IF(G70="","",(F70*100000000+G70)-7*INT((F70*100000000+G70)/7))</f>
        <v/>
      </c>
      <c r="I70" s="20"/>
      <c r="J70" s="10"/>
      <c r="K70" s="21"/>
      <c r="L70" s="22"/>
      <c r="M70" s="29"/>
    </row>
    <row r="71" spans="1:13" ht="21" customHeight="1">
      <c r="A71" s="10"/>
      <c r="B71" s="16"/>
      <c r="C71" s="16"/>
      <c r="D71" s="16"/>
      <c r="E71" s="7"/>
      <c r="F71" s="18"/>
      <c r="G71" s="19"/>
      <c r="H71" s="20" t="str">
        <f t="shared" si="2"/>
        <v/>
      </c>
      <c r="I71" s="20"/>
      <c r="J71" s="10"/>
      <c r="K71" s="21"/>
      <c r="L71" s="22"/>
      <c r="M71" s="29"/>
    </row>
    <row r="72" spans="1:13" ht="21" customHeight="1">
      <c r="A72" s="10"/>
      <c r="B72" s="16"/>
      <c r="C72" s="16"/>
      <c r="D72" s="16"/>
      <c r="E72" s="7"/>
      <c r="F72" s="18"/>
      <c r="G72" s="19"/>
      <c r="H72" s="20" t="str">
        <f t="shared" si="2"/>
        <v/>
      </c>
      <c r="I72" s="20"/>
      <c r="J72" s="10"/>
      <c r="K72" s="21"/>
      <c r="L72" s="22"/>
      <c r="M72" s="29"/>
    </row>
    <row r="73" spans="1:13" ht="21" customHeight="1">
      <c r="A73" s="10"/>
      <c r="B73" s="16"/>
      <c r="C73" s="16"/>
      <c r="D73" s="16"/>
      <c r="E73" s="7"/>
      <c r="F73" s="18"/>
      <c r="G73" s="19"/>
      <c r="H73" s="20" t="str">
        <f t="shared" si="2"/>
        <v/>
      </c>
      <c r="I73" s="20"/>
      <c r="J73" s="10"/>
      <c r="K73" s="21"/>
      <c r="L73" s="22"/>
      <c r="M73" s="29"/>
    </row>
    <row r="74" spans="1:13" ht="21" customHeight="1">
      <c r="A74" s="10"/>
      <c r="B74" s="16"/>
      <c r="C74" s="16"/>
      <c r="D74" s="16"/>
      <c r="E74" s="7"/>
      <c r="F74" s="18"/>
      <c r="G74" s="19"/>
      <c r="H74" s="20" t="str">
        <f t="shared" si="2"/>
        <v/>
      </c>
      <c r="I74" s="20"/>
      <c r="J74" s="10"/>
      <c r="K74" s="21"/>
      <c r="L74" s="22"/>
      <c r="M74" s="29"/>
    </row>
    <row r="75" spans="1:13" ht="21" customHeight="1">
      <c r="A75" s="10"/>
      <c r="B75" s="16"/>
      <c r="C75" s="16"/>
      <c r="D75" s="16"/>
      <c r="E75" s="7"/>
      <c r="F75" s="18"/>
      <c r="G75" s="19"/>
      <c r="H75" s="20" t="str">
        <f t="shared" si="2"/>
        <v/>
      </c>
      <c r="I75" s="20"/>
      <c r="J75" s="10"/>
      <c r="K75" s="21"/>
      <c r="L75" s="22"/>
      <c r="M75" s="29"/>
    </row>
    <row r="76" spans="1:13" ht="21" customHeight="1">
      <c r="A76" s="10"/>
      <c r="B76" s="16"/>
      <c r="C76" s="16"/>
      <c r="D76" s="16"/>
      <c r="E76" s="7"/>
      <c r="F76" s="18"/>
      <c r="G76" s="19"/>
      <c r="H76" s="20" t="str">
        <f t="shared" si="2"/>
        <v/>
      </c>
      <c r="I76" s="20"/>
      <c r="J76" s="10"/>
      <c r="K76" s="21"/>
      <c r="L76" s="22"/>
      <c r="M76" s="29"/>
    </row>
    <row r="77" spans="1:13" ht="21" customHeight="1">
      <c r="A77" s="10"/>
      <c r="B77" s="16"/>
      <c r="C77" s="16"/>
      <c r="D77" s="16"/>
      <c r="E77" s="7"/>
      <c r="F77" s="18"/>
      <c r="G77" s="19"/>
      <c r="H77" s="20" t="str">
        <f t="shared" si="2"/>
        <v/>
      </c>
      <c r="I77" s="20"/>
      <c r="J77" s="10"/>
      <c r="K77" s="21"/>
      <c r="L77" s="22"/>
      <c r="M77" s="29"/>
    </row>
    <row r="78" spans="1:13" ht="21" customHeight="1">
      <c r="A78" s="10"/>
      <c r="B78" s="16"/>
      <c r="C78" s="16"/>
      <c r="D78" s="16"/>
      <c r="E78" s="7"/>
      <c r="F78" s="18"/>
      <c r="G78" s="19"/>
      <c r="H78" s="20" t="str">
        <f t="shared" si="2"/>
        <v/>
      </c>
      <c r="I78" s="20"/>
      <c r="J78" s="10"/>
      <c r="K78" s="21"/>
      <c r="L78" s="22"/>
      <c r="M78" s="29"/>
    </row>
    <row r="79" spans="1:13" ht="21" customHeight="1">
      <c r="A79" s="10"/>
      <c r="B79" s="16"/>
      <c r="C79" s="16"/>
      <c r="D79" s="16"/>
      <c r="E79" s="7"/>
      <c r="F79" s="18"/>
      <c r="G79" s="19"/>
      <c r="H79" s="20" t="str">
        <f t="shared" si="2"/>
        <v/>
      </c>
      <c r="I79" s="20"/>
      <c r="J79" s="10"/>
      <c r="K79" s="21"/>
      <c r="L79" s="22"/>
      <c r="M79" s="29"/>
    </row>
    <row r="80" spans="1:13" ht="21" customHeight="1">
      <c r="A80" s="10"/>
      <c r="B80" s="16"/>
      <c r="C80" s="16"/>
      <c r="D80" s="16"/>
      <c r="E80" s="7"/>
      <c r="F80" s="18"/>
      <c r="G80" s="19"/>
      <c r="H80" s="20" t="str">
        <f t="shared" si="2"/>
        <v/>
      </c>
      <c r="I80" s="20"/>
      <c r="J80" s="10"/>
      <c r="K80" s="21"/>
      <c r="L80" s="22"/>
      <c r="M80" s="29"/>
    </row>
    <row r="81" spans="1:13" ht="21" customHeight="1">
      <c r="A81" s="10"/>
      <c r="B81" s="16"/>
      <c r="C81" s="16"/>
      <c r="D81" s="16"/>
      <c r="E81" s="7"/>
      <c r="F81" s="18"/>
      <c r="G81" s="19"/>
      <c r="H81" s="20" t="str">
        <f t="shared" si="2"/>
        <v/>
      </c>
      <c r="I81" s="20"/>
      <c r="J81" s="10"/>
      <c r="K81" s="21"/>
      <c r="L81" s="22"/>
      <c r="M81" s="29"/>
    </row>
    <row r="82" spans="1:13" ht="21" customHeight="1">
      <c r="A82" s="10"/>
      <c r="B82" s="16"/>
      <c r="C82" s="16"/>
      <c r="D82" s="16"/>
      <c r="E82" s="7"/>
      <c r="F82" s="18"/>
      <c r="G82" s="19"/>
      <c r="H82" s="20" t="str">
        <f t="shared" si="2"/>
        <v/>
      </c>
      <c r="I82" s="20"/>
      <c r="J82" s="10"/>
      <c r="K82" s="21"/>
      <c r="L82" s="22"/>
      <c r="M82" s="29"/>
    </row>
    <row r="83" spans="1:13" ht="21" customHeight="1">
      <c r="A83" s="10"/>
      <c r="B83" s="16"/>
      <c r="C83" s="16"/>
      <c r="D83" s="16"/>
      <c r="E83" s="7"/>
      <c r="F83" s="18"/>
      <c r="G83" s="19"/>
      <c r="H83" s="20" t="str">
        <f t="shared" si="2"/>
        <v/>
      </c>
      <c r="I83" s="20"/>
      <c r="J83" s="10"/>
      <c r="K83" s="21"/>
      <c r="L83" s="22"/>
      <c r="M83" s="29"/>
    </row>
    <row r="84" spans="1:13" ht="21" customHeight="1">
      <c r="A84" s="10"/>
      <c r="B84" s="16"/>
      <c r="C84" s="16"/>
      <c r="D84" s="16"/>
      <c r="E84" s="7"/>
      <c r="F84" s="18"/>
      <c r="G84" s="19"/>
      <c r="H84" s="20" t="str">
        <f t="shared" si="2"/>
        <v/>
      </c>
      <c r="I84" s="20"/>
      <c r="J84" s="10"/>
      <c r="K84" s="21"/>
      <c r="L84" s="22"/>
      <c r="M84" s="29"/>
    </row>
    <row r="85" spans="1:13" ht="21" customHeight="1">
      <c r="A85" s="10"/>
      <c r="B85" s="16"/>
      <c r="C85" s="16"/>
      <c r="D85" s="16"/>
      <c r="E85" s="7"/>
      <c r="F85" s="18"/>
      <c r="G85" s="19"/>
      <c r="H85" s="20" t="str">
        <f t="shared" si="2"/>
        <v/>
      </c>
      <c r="I85" s="20"/>
      <c r="J85" s="10"/>
      <c r="K85" s="21"/>
      <c r="L85" s="22"/>
      <c r="M85" s="29"/>
    </row>
    <row r="86" spans="1:13" ht="21" customHeight="1">
      <c r="A86" s="10"/>
      <c r="B86" s="16"/>
      <c r="C86" s="16"/>
      <c r="D86" s="16"/>
      <c r="E86" s="7"/>
      <c r="F86" s="18"/>
      <c r="G86" s="19"/>
      <c r="H86" s="20" t="str">
        <f t="shared" si="2"/>
        <v/>
      </c>
      <c r="I86" s="20"/>
      <c r="J86" s="10"/>
      <c r="K86" s="21"/>
      <c r="L86" s="22"/>
      <c r="M86" s="29"/>
    </row>
    <row r="87" spans="1:13" ht="21" customHeight="1">
      <c r="A87" s="10"/>
      <c r="B87" s="16"/>
      <c r="C87" s="16"/>
      <c r="D87" s="16"/>
      <c r="E87" s="7"/>
      <c r="F87" s="18"/>
      <c r="G87" s="19"/>
      <c r="H87" s="20" t="str">
        <f t="shared" si="2"/>
        <v/>
      </c>
      <c r="I87" s="20"/>
      <c r="J87" s="10"/>
      <c r="K87" s="21"/>
      <c r="L87" s="22"/>
      <c r="M87" s="29"/>
    </row>
    <row r="88" spans="1:13" ht="21" customHeight="1">
      <c r="A88" s="10"/>
      <c r="B88" s="16"/>
      <c r="C88" s="16"/>
      <c r="D88" s="16"/>
      <c r="E88" s="7"/>
      <c r="F88" s="18"/>
      <c r="G88" s="19"/>
      <c r="H88" s="20" t="str">
        <f t="shared" si="2"/>
        <v/>
      </c>
      <c r="I88" s="20"/>
      <c r="J88" s="10"/>
      <c r="K88" s="21"/>
      <c r="L88" s="22"/>
      <c r="M88" s="29"/>
    </row>
    <row r="89" spans="1:13" ht="21" customHeight="1">
      <c r="A89" s="10"/>
      <c r="B89" s="16"/>
      <c r="C89" s="16"/>
      <c r="D89" s="16"/>
      <c r="E89" s="7"/>
      <c r="F89" s="18"/>
      <c r="G89" s="19"/>
      <c r="H89" s="20" t="str">
        <f t="shared" si="2"/>
        <v/>
      </c>
      <c r="I89" s="20"/>
      <c r="J89" s="10"/>
      <c r="K89" s="21"/>
      <c r="L89" s="22"/>
      <c r="M89" s="29"/>
    </row>
    <row r="90" spans="1:13" ht="21" customHeight="1">
      <c r="A90" s="10"/>
      <c r="B90" s="16"/>
      <c r="C90" s="16"/>
      <c r="D90" s="16"/>
      <c r="E90" s="7"/>
      <c r="F90" s="18"/>
      <c r="G90" s="19"/>
      <c r="H90" s="20" t="str">
        <f t="shared" si="2"/>
        <v/>
      </c>
      <c r="I90" s="20"/>
      <c r="J90" s="10"/>
      <c r="K90" s="21"/>
      <c r="L90" s="22"/>
      <c r="M90" s="22"/>
    </row>
    <row r="91" spans="1:13" ht="21" customHeight="1">
      <c r="A91" s="10"/>
      <c r="B91" s="16"/>
      <c r="C91" s="16"/>
      <c r="D91" s="16"/>
      <c r="E91" s="7"/>
      <c r="F91" s="18"/>
      <c r="G91" s="19"/>
      <c r="H91" s="20" t="str">
        <f t="shared" si="2"/>
        <v/>
      </c>
      <c r="I91" s="20"/>
      <c r="J91" s="10"/>
      <c r="K91" s="21"/>
      <c r="L91" s="22"/>
      <c r="M91" s="22"/>
    </row>
    <row r="92" spans="1:13" ht="21" customHeight="1">
      <c r="A92" s="10"/>
      <c r="B92" s="16"/>
      <c r="C92" s="16"/>
      <c r="D92" s="16"/>
      <c r="E92" s="7"/>
      <c r="F92" s="18"/>
      <c r="G92" s="19"/>
      <c r="H92" s="20" t="str">
        <f t="shared" si="2"/>
        <v/>
      </c>
      <c r="I92" s="20"/>
      <c r="J92" s="10"/>
      <c r="K92" s="21"/>
      <c r="L92" s="22"/>
      <c r="M92" s="22"/>
    </row>
    <row r="93" spans="1:13" ht="21" customHeight="1">
      <c r="A93" s="10"/>
      <c r="B93" s="16"/>
      <c r="C93" s="16"/>
      <c r="D93" s="16"/>
      <c r="E93" s="7"/>
      <c r="F93" s="18"/>
      <c r="G93" s="19"/>
      <c r="H93" s="20" t="str">
        <f t="shared" si="2"/>
        <v/>
      </c>
      <c r="I93" s="20"/>
      <c r="J93" s="10"/>
      <c r="K93" s="21"/>
      <c r="L93" s="22"/>
      <c r="M93" s="22"/>
    </row>
    <row r="94" spans="1:13" ht="21" customHeight="1">
      <c r="A94" s="10"/>
      <c r="B94" s="16"/>
      <c r="C94" s="16"/>
      <c r="D94" s="16"/>
      <c r="E94" s="7"/>
      <c r="F94" s="18"/>
      <c r="G94" s="19"/>
      <c r="H94" s="20" t="str">
        <f t="shared" si="2"/>
        <v/>
      </c>
      <c r="I94" s="20"/>
      <c r="J94" s="10"/>
      <c r="K94" s="21"/>
      <c r="L94" s="22"/>
      <c r="M94" s="22"/>
    </row>
    <row r="95" spans="1:13" ht="21" customHeight="1">
      <c r="A95" s="10"/>
      <c r="B95" s="16"/>
      <c r="C95" s="16"/>
      <c r="D95" s="16"/>
      <c r="E95" s="7"/>
      <c r="F95" s="18"/>
      <c r="G95" s="19"/>
      <c r="H95" s="20" t="str">
        <f t="shared" si="2"/>
        <v/>
      </c>
      <c r="I95" s="20"/>
      <c r="J95" s="10"/>
      <c r="K95" s="21"/>
      <c r="L95" s="22"/>
      <c r="M95" s="22"/>
    </row>
    <row r="96" spans="1:13" ht="21" customHeight="1">
      <c r="A96" s="10"/>
      <c r="B96" s="16"/>
      <c r="C96" s="16"/>
      <c r="D96" s="16"/>
      <c r="E96" s="7"/>
      <c r="F96" s="18"/>
      <c r="G96" s="19"/>
      <c r="H96" s="20" t="str">
        <f t="shared" si="2"/>
        <v/>
      </c>
      <c r="I96" s="20"/>
      <c r="J96" s="10"/>
      <c r="K96" s="21"/>
      <c r="L96" s="22"/>
      <c r="M96" s="22"/>
    </row>
    <row r="97" spans="1:13" ht="21" customHeight="1">
      <c r="A97" s="10"/>
      <c r="B97" s="16"/>
      <c r="C97" s="16"/>
      <c r="D97" s="16"/>
      <c r="E97" s="7"/>
      <c r="F97" s="18"/>
      <c r="G97" s="19"/>
      <c r="H97" s="20" t="str">
        <f t="shared" si="2"/>
        <v/>
      </c>
      <c r="I97" s="20"/>
      <c r="J97" s="10"/>
      <c r="K97" s="21"/>
      <c r="L97" s="22"/>
      <c r="M97" s="22"/>
    </row>
    <row r="98" spans="1:13" ht="21" customHeight="1">
      <c r="A98" s="10"/>
      <c r="B98" s="16"/>
      <c r="C98" s="16"/>
      <c r="D98" s="16"/>
      <c r="E98" s="7"/>
      <c r="F98" s="18"/>
      <c r="G98" s="19"/>
      <c r="H98" s="20" t="str">
        <f t="shared" si="2"/>
        <v/>
      </c>
      <c r="I98" s="20"/>
      <c r="J98" s="10"/>
      <c r="K98" s="21"/>
      <c r="L98" s="22"/>
      <c r="M98" s="22"/>
    </row>
    <row r="99" spans="1:13" ht="21" customHeight="1">
      <c r="A99" s="10"/>
      <c r="B99" s="16"/>
      <c r="C99" s="16"/>
      <c r="D99" s="16"/>
      <c r="E99" s="7"/>
      <c r="F99" s="18"/>
      <c r="G99" s="19"/>
      <c r="H99" s="20" t="str">
        <f t="shared" si="2"/>
        <v/>
      </c>
      <c r="I99" s="20"/>
      <c r="J99" s="10"/>
      <c r="K99" s="21"/>
      <c r="L99" s="22"/>
      <c r="M99" s="22"/>
    </row>
    <row r="100" spans="1:13" ht="21" customHeight="1">
      <c r="A100" s="10"/>
      <c r="B100" s="16"/>
      <c r="C100" s="16"/>
      <c r="D100" s="16"/>
      <c r="E100" s="7"/>
      <c r="F100" s="18"/>
      <c r="G100" s="19"/>
      <c r="H100" s="20" t="str">
        <f t="shared" si="2"/>
        <v/>
      </c>
      <c r="I100" s="20"/>
      <c r="J100" s="10"/>
      <c r="K100" s="21"/>
      <c r="L100" s="22"/>
      <c r="M100" s="22"/>
    </row>
    <row r="101" spans="1:13" ht="15">
      <c r="A101" s="10"/>
      <c r="B101" s="16"/>
      <c r="C101" s="16"/>
      <c r="D101" s="16"/>
      <c r="E101" s="7"/>
      <c r="F101" s="18"/>
      <c r="G101" s="19"/>
      <c r="H101" s="20" t="str">
        <f t="shared" si="2"/>
        <v/>
      </c>
      <c r="I101" s="20"/>
      <c r="J101" s="10"/>
      <c r="K101" s="21"/>
      <c r="L101" s="22"/>
      <c r="M101" s="22"/>
    </row>
    <row r="102" spans="1:13" ht="15">
      <c r="A102" s="10"/>
      <c r="B102" s="16"/>
      <c r="C102" s="16"/>
      <c r="D102" s="16"/>
      <c r="E102" s="7"/>
      <c r="F102" s="18"/>
      <c r="G102" s="19"/>
      <c r="H102" s="20" t="str">
        <f t="shared" si="2"/>
        <v/>
      </c>
      <c r="I102" s="20"/>
      <c r="J102" s="10"/>
      <c r="K102" s="21"/>
      <c r="L102" s="22"/>
      <c r="M102" s="22"/>
    </row>
    <row r="103" spans="1:13" ht="15">
      <c r="A103" s="10"/>
      <c r="B103" s="16"/>
      <c r="C103" s="16"/>
      <c r="D103" s="16"/>
      <c r="E103" s="7"/>
      <c r="F103" s="18"/>
      <c r="G103" s="19"/>
      <c r="H103" s="20" t="str">
        <f t="shared" si="2"/>
        <v/>
      </c>
      <c r="I103" s="20"/>
      <c r="J103" s="10"/>
      <c r="K103" s="21"/>
      <c r="L103" s="22"/>
      <c r="M103" s="22"/>
    </row>
    <row r="104" spans="1:13" ht="15">
      <c r="A104" s="10"/>
      <c r="B104" s="16"/>
      <c r="C104" s="16"/>
      <c r="D104" s="16"/>
      <c r="E104" s="7"/>
      <c r="F104" s="18"/>
      <c r="G104" s="19"/>
      <c r="H104" s="20" t="str">
        <f t="shared" si="2"/>
        <v/>
      </c>
      <c r="I104" s="20"/>
      <c r="J104" s="10"/>
      <c r="K104" s="21"/>
      <c r="L104" s="22"/>
      <c r="M104" s="22"/>
    </row>
    <row r="105" spans="1:13" ht="15">
      <c r="A105" s="10"/>
      <c r="B105" s="16"/>
      <c r="C105" s="16"/>
      <c r="D105" s="16"/>
      <c r="E105" s="7"/>
      <c r="F105" s="18"/>
      <c r="G105" s="19"/>
      <c r="H105" s="20" t="str">
        <f t="shared" si="2"/>
        <v/>
      </c>
      <c r="I105" s="20"/>
      <c r="J105" s="10"/>
      <c r="K105" s="21"/>
      <c r="L105" s="22"/>
      <c r="M105" s="22"/>
    </row>
    <row r="106" spans="1:13" ht="15">
      <c r="A106" s="10"/>
      <c r="B106" s="16"/>
      <c r="C106" s="16"/>
      <c r="D106" s="16"/>
      <c r="E106" s="7"/>
      <c r="F106" s="18"/>
      <c r="G106" s="19"/>
      <c r="H106" s="20" t="str">
        <f t="shared" ref="H106:H169" si="3">IF(G106="","",(F106*100000000+G106)-7*INT((F106*100000000+G106)/7))</f>
        <v/>
      </c>
      <c r="I106" s="20"/>
      <c r="J106" s="10"/>
      <c r="K106" s="21"/>
      <c r="L106" s="22"/>
      <c r="M106" s="22"/>
    </row>
    <row r="107" spans="1:13" ht="15">
      <c r="A107" s="10"/>
      <c r="B107" s="16"/>
      <c r="C107" s="16"/>
      <c r="D107" s="16"/>
      <c r="E107" s="7"/>
      <c r="F107" s="18"/>
      <c r="G107" s="19"/>
      <c r="H107" s="20" t="str">
        <f t="shared" si="3"/>
        <v/>
      </c>
      <c r="I107" s="20"/>
      <c r="J107" s="10"/>
      <c r="K107" s="21"/>
      <c r="L107" s="22"/>
      <c r="M107" s="22"/>
    </row>
    <row r="108" spans="1:13" ht="15">
      <c r="A108" s="10"/>
      <c r="B108" s="16"/>
      <c r="C108" s="10"/>
      <c r="D108" s="16"/>
      <c r="E108" s="7"/>
      <c r="F108" s="18"/>
      <c r="G108" s="19"/>
      <c r="H108" s="20" t="str">
        <f t="shared" si="3"/>
        <v/>
      </c>
      <c r="I108" s="20"/>
      <c r="J108" s="10"/>
      <c r="K108" s="21"/>
      <c r="L108" s="22"/>
      <c r="M108" s="22"/>
    </row>
    <row r="109" spans="1:13" ht="15">
      <c r="A109" s="10"/>
      <c r="B109" s="16"/>
      <c r="C109" s="10"/>
      <c r="D109" s="16"/>
      <c r="E109" s="7"/>
      <c r="F109" s="18"/>
      <c r="G109" s="19"/>
      <c r="H109" s="20" t="str">
        <f t="shared" si="3"/>
        <v/>
      </c>
      <c r="I109" s="20"/>
      <c r="J109" s="10"/>
      <c r="K109" s="21"/>
      <c r="L109" s="22"/>
      <c r="M109" s="22"/>
    </row>
    <row r="110" spans="1:13" ht="15">
      <c r="A110" s="10"/>
      <c r="B110" s="16"/>
      <c r="C110" s="10"/>
      <c r="D110" s="16"/>
      <c r="E110" s="7"/>
      <c r="F110" s="18"/>
      <c r="G110" s="19"/>
      <c r="H110" s="20" t="str">
        <f t="shared" si="3"/>
        <v/>
      </c>
      <c r="I110" s="20"/>
      <c r="J110" s="10"/>
      <c r="K110" s="21"/>
      <c r="L110" s="22"/>
      <c r="M110" s="22"/>
    </row>
    <row r="111" spans="1:13" ht="15">
      <c r="A111" s="10"/>
      <c r="B111" s="16"/>
      <c r="C111" s="10"/>
      <c r="D111" s="16"/>
      <c r="E111" s="7"/>
      <c r="F111" s="18"/>
      <c r="G111" s="19"/>
      <c r="H111" s="20" t="str">
        <f t="shared" si="3"/>
        <v/>
      </c>
      <c r="I111" s="20"/>
      <c r="J111" s="10"/>
      <c r="K111" s="21"/>
      <c r="L111" s="22"/>
      <c r="M111" s="22"/>
    </row>
    <row r="112" spans="1:13" ht="15">
      <c r="A112" s="10"/>
      <c r="B112" s="16"/>
      <c r="C112" s="16"/>
      <c r="D112" s="16"/>
      <c r="E112" s="7"/>
      <c r="F112" s="18"/>
      <c r="G112" s="19"/>
      <c r="H112" s="20" t="str">
        <f t="shared" si="3"/>
        <v/>
      </c>
      <c r="I112" s="20"/>
      <c r="J112" s="10"/>
      <c r="K112" s="21"/>
      <c r="L112" s="22"/>
      <c r="M112" s="22"/>
    </row>
    <row r="113" spans="1:13" ht="15">
      <c r="A113" s="10"/>
      <c r="B113" s="16"/>
      <c r="C113" s="16"/>
      <c r="D113" s="16"/>
      <c r="E113" s="7"/>
      <c r="F113" s="18"/>
      <c r="G113" s="19"/>
      <c r="H113" s="20" t="str">
        <f t="shared" si="3"/>
        <v/>
      </c>
      <c r="I113" s="20"/>
      <c r="J113" s="10"/>
      <c r="K113" s="21"/>
      <c r="L113" s="22"/>
      <c r="M113" s="22"/>
    </row>
    <row r="114" spans="1:13" ht="15">
      <c r="A114" s="10"/>
      <c r="B114" s="16"/>
      <c r="C114" s="16"/>
      <c r="D114" s="16"/>
      <c r="E114" s="7"/>
      <c r="F114" s="18"/>
      <c r="G114" s="19"/>
      <c r="H114" s="20" t="str">
        <f t="shared" si="3"/>
        <v/>
      </c>
      <c r="I114" s="20"/>
      <c r="J114" s="10"/>
      <c r="K114" s="21"/>
      <c r="L114" s="22"/>
      <c r="M114" s="22"/>
    </row>
    <row r="115" spans="1:13" ht="15">
      <c r="A115" s="10"/>
      <c r="B115" s="16"/>
      <c r="C115" s="16"/>
      <c r="D115" s="16"/>
      <c r="E115" s="7"/>
      <c r="F115" s="18"/>
      <c r="G115" s="19"/>
      <c r="H115" s="20" t="str">
        <f t="shared" si="3"/>
        <v/>
      </c>
      <c r="I115" s="20"/>
      <c r="J115" s="10"/>
      <c r="K115" s="21"/>
      <c r="L115" s="22"/>
      <c r="M115" s="22"/>
    </row>
    <row r="116" spans="1:13" ht="15">
      <c r="A116" s="10"/>
      <c r="B116" s="16"/>
      <c r="C116" s="16"/>
      <c r="D116" s="16"/>
      <c r="E116" s="7"/>
      <c r="F116" s="18"/>
      <c r="G116" s="19"/>
      <c r="H116" s="20" t="str">
        <f t="shared" si="3"/>
        <v/>
      </c>
      <c r="I116" s="20"/>
      <c r="J116" s="10"/>
      <c r="K116" s="21"/>
      <c r="L116" s="22"/>
      <c r="M116" s="22"/>
    </row>
    <row r="117" spans="1:13" ht="15">
      <c r="A117" s="10"/>
      <c r="B117" s="16"/>
      <c r="C117" s="16"/>
      <c r="D117" s="16"/>
      <c r="E117" s="7"/>
      <c r="F117" s="18"/>
      <c r="G117" s="19"/>
      <c r="H117" s="20" t="str">
        <f t="shared" si="3"/>
        <v/>
      </c>
      <c r="I117" s="20"/>
      <c r="J117" s="10"/>
      <c r="K117" s="21"/>
      <c r="L117" s="22"/>
      <c r="M117" s="22"/>
    </row>
    <row r="118" spans="1:13" ht="15">
      <c r="A118" s="10"/>
      <c r="B118" s="16"/>
      <c r="C118" s="16"/>
      <c r="D118" s="16"/>
      <c r="E118" s="7"/>
      <c r="F118" s="18"/>
      <c r="G118" s="19"/>
      <c r="H118" s="20" t="str">
        <f t="shared" si="3"/>
        <v/>
      </c>
      <c r="I118" s="20"/>
      <c r="J118" s="10"/>
      <c r="K118" s="21"/>
      <c r="L118" s="22"/>
      <c r="M118" s="22"/>
    </row>
    <row r="119" spans="1:13" ht="15">
      <c r="A119" s="10"/>
      <c r="B119" s="16"/>
      <c r="C119" s="16"/>
      <c r="D119" s="16"/>
      <c r="E119" s="7"/>
      <c r="F119" s="18"/>
      <c r="G119" s="19"/>
      <c r="H119" s="20" t="str">
        <f t="shared" si="3"/>
        <v/>
      </c>
      <c r="I119" s="20"/>
      <c r="J119" s="10"/>
      <c r="K119" s="21"/>
      <c r="L119" s="22"/>
      <c r="M119" s="22"/>
    </row>
    <row r="120" spans="1:13" ht="15">
      <c r="A120" s="10"/>
      <c r="B120" s="16"/>
      <c r="C120" s="16"/>
      <c r="D120" s="16"/>
      <c r="E120" s="7"/>
      <c r="F120" s="18"/>
      <c r="G120" s="19"/>
      <c r="H120" s="20" t="str">
        <f t="shared" si="3"/>
        <v/>
      </c>
      <c r="I120" s="20"/>
      <c r="J120" s="10"/>
      <c r="K120" s="21"/>
      <c r="L120" s="22"/>
      <c r="M120" s="22"/>
    </row>
    <row r="121" spans="1:13" ht="15">
      <c r="A121" s="10"/>
      <c r="B121" s="16"/>
      <c r="C121" s="16"/>
      <c r="D121" s="16"/>
      <c r="E121" s="7"/>
      <c r="F121" s="18"/>
      <c r="G121" s="19"/>
      <c r="H121" s="20" t="str">
        <f t="shared" si="3"/>
        <v/>
      </c>
      <c r="I121" s="20"/>
      <c r="J121" s="10"/>
      <c r="K121" s="21"/>
      <c r="L121" s="22"/>
      <c r="M121" s="22"/>
    </row>
    <row r="122" spans="1:13" ht="15">
      <c r="A122" s="10"/>
      <c r="B122" s="16"/>
      <c r="C122" s="16"/>
      <c r="D122" s="16"/>
      <c r="E122" s="7"/>
      <c r="F122" s="18"/>
      <c r="G122" s="19"/>
      <c r="H122" s="20" t="str">
        <f t="shared" si="3"/>
        <v/>
      </c>
      <c r="I122" s="20"/>
      <c r="J122" s="10"/>
      <c r="K122" s="21"/>
      <c r="L122" s="22"/>
      <c r="M122" s="22"/>
    </row>
    <row r="123" spans="1:13" ht="15">
      <c r="A123" s="10"/>
      <c r="B123" s="16"/>
      <c r="C123" s="16"/>
      <c r="D123" s="16"/>
      <c r="E123" s="7"/>
      <c r="F123" s="18"/>
      <c r="G123" s="19"/>
      <c r="H123" s="20" t="str">
        <f t="shared" si="3"/>
        <v/>
      </c>
      <c r="I123" s="20"/>
      <c r="J123" s="10"/>
      <c r="K123" s="21"/>
      <c r="L123" s="22"/>
      <c r="M123" s="22"/>
    </row>
    <row r="124" spans="1:13" ht="15">
      <c r="A124" s="10"/>
      <c r="B124" s="16"/>
      <c r="C124" s="16"/>
      <c r="D124" s="16"/>
      <c r="E124" s="7"/>
      <c r="F124" s="18"/>
      <c r="G124" s="19"/>
      <c r="H124" s="20" t="str">
        <f t="shared" si="3"/>
        <v/>
      </c>
      <c r="I124" s="20"/>
      <c r="J124" s="10"/>
      <c r="K124" s="21"/>
      <c r="L124" s="22"/>
      <c r="M124" s="22"/>
    </row>
    <row r="125" spans="1:13" ht="15">
      <c r="A125" s="10"/>
      <c r="B125" s="16"/>
      <c r="C125" s="16"/>
      <c r="D125" s="16"/>
      <c r="E125" s="7"/>
      <c r="F125" s="18"/>
      <c r="G125" s="19"/>
      <c r="H125" s="20" t="str">
        <f t="shared" si="3"/>
        <v/>
      </c>
      <c r="I125" s="20"/>
      <c r="J125" s="10"/>
      <c r="K125" s="21"/>
      <c r="L125" s="22"/>
      <c r="M125" s="22"/>
    </row>
    <row r="126" spans="1:13" ht="15">
      <c r="A126" s="10"/>
      <c r="B126" s="16"/>
      <c r="C126" s="16"/>
      <c r="D126" s="16"/>
      <c r="E126" s="7"/>
      <c r="F126" s="18"/>
      <c r="G126" s="19"/>
      <c r="H126" s="20" t="str">
        <f t="shared" si="3"/>
        <v/>
      </c>
      <c r="I126" s="20"/>
      <c r="J126" s="10"/>
      <c r="K126" s="21"/>
      <c r="L126" s="22"/>
      <c r="M126" s="22"/>
    </row>
    <row r="127" spans="1:13" ht="15">
      <c r="A127" s="10"/>
      <c r="B127" s="16"/>
      <c r="C127" s="16"/>
      <c r="D127" s="16"/>
      <c r="E127" s="7"/>
      <c r="F127" s="18"/>
      <c r="G127" s="19"/>
      <c r="H127" s="20" t="str">
        <f t="shared" si="3"/>
        <v/>
      </c>
      <c r="I127" s="20"/>
      <c r="J127" s="10"/>
      <c r="K127" s="21"/>
      <c r="L127" s="22"/>
      <c r="M127" s="22"/>
    </row>
    <row r="128" spans="1:13" ht="15">
      <c r="A128" s="10"/>
      <c r="B128" s="16"/>
      <c r="C128" s="16"/>
      <c r="D128" s="16"/>
      <c r="E128" s="7"/>
      <c r="F128" s="18"/>
      <c r="G128" s="19"/>
      <c r="H128" s="20" t="str">
        <f t="shared" si="3"/>
        <v/>
      </c>
      <c r="I128" s="20"/>
      <c r="J128" s="10"/>
      <c r="K128" s="21"/>
      <c r="L128" s="22"/>
      <c r="M128" s="22"/>
    </row>
    <row r="129" spans="1:13" ht="15">
      <c r="A129" s="10"/>
      <c r="B129" s="16"/>
      <c r="C129" s="16"/>
      <c r="D129" s="16"/>
      <c r="E129" s="7"/>
      <c r="F129" s="18"/>
      <c r="G129" s="19"/>
      <c r="H129" s="20" t="str">
        <f t="shared" si="3"/>
        <v/>
      </c>
      <c r="I129" s="20"/>
      <c r="J129" s="10"/>
      <c r="K129" s="21"/>
      <c r="L129" s="22"/>
      <c r="M129" s="22"/>
    </row>
    <row r="130" spans="1:13" ht="15">
      <c r="A130" s="10"/>
      <c r="B130" s="16"/>
      <c r="C130" s="16"/>
      <c r="D130" s="16"/>
      <c r="E130" s="7"/>
      <c r="F130" s="18"/>
      <c r="G130" s="19"/>
      <c r="H130" s="20" t="str">
        <f t="shared" si="3"/>
        <v/>
      </c>
      <c r="I130" s="20"/>
      <c r="J130" s="10"/>
      <c r="K130" s="21"/>
      <c r="L130" s="22"/>
      <c r="M130" s="22"/>
    </row>
    <row r="131" spans="1:13" ht="15">
      <c r="A131" s="10"/>
      <c r="B131" s="16"/>
      <c r="C131" s="16"/>
      <c r="D131" s="16"/>
      <c r="E131" s="7"/>
      <c r="F131" s="18"/>
      <c r="G131" s="19"/>
      <c r="H131" s="20" t="str">
        <f t="shared" si="3"/>
        <v/>
      </c>
      <c r="I131" s="20"/>
      <c r="J131" s="10"/>
      <c r="K131" s="21"/>
      <c r="L131" s="22"/>
      <c r="M131" s="22"/>
    </row>
    <row r="132" spans="1:13" ht="15">
      <c r="A132" s="10"/>
      <c r="B132" s="16"/>
      <c r="C132" s="16"/>
      <c r="D132" s="16"/>
      <c r="E132" s="7"/>
      <c r="F132" s="18"/>
      <c r="G132" s="19"/>
      <c r="H132" s="20" t="str">
        <f t="shared" si="3"/>
        <v/>
      </c>
      <c r="I132" s="20"/>
      <c r="J132" s="10"/>
      <c r="K132" s="21"/>
      <c r="L132" s="22"/>
      <c r="M132" s="22"/>
    </row>
    <row r="133" spans="1:13" ht="15">
      <c r="A133" s="10"/>
      <c r="B133" s="16"/>
      <c r="C133" s="16"/>
      <c r="D133" s="16"/>
      <c r="E133" s="7"/>
      <c r="F133" s="18"/>
      <c r="G133" s="19"/>
      <c r="H133" s="20" t="str">
        <f t="shared" si="3"/>
        <v/>
      </c>
      <c r="I133" s="20"/>
      <c r="J133" s="10"/>
      <c r="K133" s="21"/>
      <c r="L133" s="22"/>
      <c r="M133" s="22"/>
    </row>
    <row r="134" spans="1:13" ht="15">
      <c r="A134" s="10"/>
      <c r="B134" s="16"/>
      <c r="C134" s="16"/>
      <c r="D134" s="16"/>
      <c r="E134" s="7"/>
      <c r="F134" s="18"/>
      <c r="G134" s="19"/>
      <c r="H134" s="20" t="str">
        <f t="shared" si="3"/>
        <v/>
      </c>
      <c r="I134" s="20"/>
      <c r="J134" s="10"/>
      <c r="K134" s="21"/>
      <c r="L134" s="22"/>
      <c r="M134" s="22"/>
    </row>
    <row r="135" spans="1:13" ht="15">
      <c r="A135" s="10"/>
      <c r="B135" s="16"/>
      <c r="C135" s="16"/>
      <c r="D135" s="16"/>
      <c r="E135" s="7"/>
      <c r="F135" s="18"/>
      <c r="G135" s="19"/>
      <c r="H135" s="20" t="str">
        <f t="shared" si="3"/>
        <v/>
      </c>
      <c r="I135" s="20"/>
      <c r="J135" s="10"/>
      <c r="K135" s="21"/>
      <c r="L135" s="22"/>
      <c r="M135" s="22"/>
    </row>
    <row r="136" spans="1:13" ht="15">
      <c r="A136" s="10"/>
      <c r="B136" s="16"/>
      <c r="C136" s="16"/>
      <c r="D136" s="16"/>
      <c r="E136" s="7"/>
      <c r="F136" s="18"/>
      <c r="G136" s="19"/>
      <c r="H136" s="20" t="str">
        <f t="shared" si="3"/>
        <v/>
      </c>
      <c r="I136" s="20"/>
      <c r="J136" s="10"/>
      <c r="K136" s="21"/>
      <c r="L136" s="22"/>
      <c r="M136" s="22"/>
    </row>
    <row r="137" spans="1:13" ht="15">
      <c r="A137" s="10"/>
      <c r="B137" s="16"/>
      <c r="C137" s="16"/>
      <c r="D137" s="16"/>
      <c r="E137" s="7"/>
      <c r="F137" s="18"/>
      <c r="G137" s="19"/>
      <c r="H137" s="20" t="str">
        <f t="shared" si="3"/>
        <v/>
      </c>
      <c r="I137" s="20"/>
      <c r="J137" s="10"/>
      <c r="K137" s="21"/>
      <c r="L137" s="22"/>
      <c r="M137" s="22"/>
    </row>
    <row r="138" spans="1:13" ht="15">
      <c r="A138" s="10"/>
      <c r="B138" s="16"/>
      <c r="C138" s="16"/>
      <c r="D138" s="16"/>
      <c r="E138" s="7"/>
      <c r="F138" s="18"/>
      <c r="G138" s="19"/>
      <c r="H138" s="20" t="str">
        <f t="shared" si="3"/>
        <v/>
      </c>
      <c r="I138" s="20"/>
      <c r="J138" s="10"/>
      <c r="K138" s="21"/>
      <c r="L138" s="22"/>
      <c r="M138" s="22"/>
    </row>
    <row r="139" spans="1:13" ht="15">
      <c r="A139" s="10"/>
      <c r="B139" s="16"/>
      <c r="C139" s="16"/>
      <c r="D139" s="16"/>
      <c r="E139" s="7"/>
      <c r="F139" s="18"/>
      <c r="G139" s="19"/>
      <c r="H139" s="20" t="str">
        <f t="shared" si="3"/>
        <v/>
      </c>
      <c r="I139" s="20"/>
      <c r="J139" s="10"/>
      <c r="K139" s="21"/>
      <c r="L139" s="22"/>
      <c r="M139" s="22"/>
    </row>
    <row r="140" spans="1:13" ht="15">
      <c r="A140" s="10"/>
      <c r="B140" s="16"/>
      <c r="C140" s="16"/>
      <c r="D140" s="16"/>
      <c r="E140" s="7"/>
      <c r="F140" s="18"/>
      <c r="G140" s="19"/>
      <c r="H140" s="20" t="str">
        <f t="shared" si="3"/>
        <v/>
      </c>
      <c r="I140" s="20"/>
      <c r="J140" s="10"/>
      <c r="K140" s="21"/>
      <c r="L140" s="22"/>
      <c r="M140" s="22"/>
    </row>
    <row r="141" spans="1:13" ht="15">
      <c r="A141" s="10"/>
      <c r="B141" s="16"/>
      <c r="C141" s="16"/>
      <c r="D141" s="16"/>
      <c r="E141" s="7"/>
      <c r="F141" s="18"/>
      <c r="G141" s="19"/>
      <c r="H141" s="20" t="str">
        <f t="shared" si="3"/>
        <v/>
      </c>
      <c r="I141" s="20"/>
      <c r="J141" s="10"/>
      <c r="K141" s="21"/>
      <c r="L141" s="22"/>
      <c r="M141" s="22"/>
    </row>
    <row r="142" spans="1:13" ht="15">
      <c r="A142" s="10"/>
      <c r="B142" s="16"/>
      <c r="C142" s="16"/>
      <c r="D142" s="16"/>
      <c r="E142" s="7"/>
      <c r="F142" s="18"/>
      <c r="G142" s="19"/>
      <c r="H142" s="20" t="str">
        <f t="shared" si="3"/>
        <v/>
      </c>
      <c r="I142" s="20"/>
      <c r="J142" s="10"/>
      <c r="K142" s="21"/>
      <c r="L142" s="22"/>
      <c r="M142" s="22"/>
    </row>
    <row r="143" spans="1:13" ht="15">
      <c r="A143" s="10"/>
      <c r="B143" s="16"/>
      <c r="C143" s="16"/>
      <c r="D143" s="16"/>
      <c r="E143" s="7"/>
      <c r="F143" s="18"/>
      <c r="G143" s="19"/>
      <c r="H143" s="20" t="str">
        <f t="shared" si="3"/>
        <v/>
      </c>
      <c r="I143" s="20"/>
      <c r="J143" s="10"/>
      <c r="K143" s="21"/>
      <c r="L143" s="22"/>
      <c r="M143" s="22"/>
    </row>
    <row r="144" spans="1:13" ht="15">
      <c r="A144" s="10"/>
      <c r="B144" s="16"/>
      <c r="C144" s="16"/>
      <c r="D144" s="16"/>
      <c r="E144" s="7"/>
      <c r="F144" s="18"/>
      <c r="G144" s="19"/>
      <c r="H144" s="20" t="str">
        <f t="shared" si="3"/>
        <v/>
      </c>
      <c r="I144" s="20"/>
      <c r="J144" s="10"/>
      <c r="K144" s="21"/>
      <c r="L144" s="22"/>
      <c r="M144" s="22"/>
    </row>
    <row r="145" spans="1:13" ht="15">
      <c r="A145" s="10"/>
      <c r="B145" s="16"/>
      <c r="C145" s="16"/>
      <c r="D145" s="16"/>
      <c r="E145" s="7"/>
      <c r="F145" s="18"/>
      <c r="G145" s="19"/>
      <c r="H145" s="20" t="str">
        <f t="shared" si="3"/>
        <v/>
      </c>
      <c r="I145" s="20"/>
      <c r="J145" s="10"/>
      <c r="K145" s="21"/>
      <c r="L145" s="22"/>
      <c r="M145" s="22"/>
    </row>
    <row r="146" spans="1:13" ht="15">
      <c r="A146" s="10"/>
      <c r="B146" s="16"/>
      <c r="C146" s="16"/>
      <c r="D146" s="16"/>
      <c r="E146" s="7"/>
      <c r="F146" s="18"/>
      <c r="G146" s="19"/>
      <c r="H146" s="20" t="str">
        <f t="shared" si="3"/>
        <v/>
      </c>
      <c r="I146" s="20"/>
      <c r="J146" s="10"/>
      <c r="K146" s="21"/>
      <c r="L146" s="22"/>
      <c r="M146" s="22"/>
    </row>
    <row r="147" spans="1:13" ht="15">
      <c r="A147" s="10"/>
      <c r="B147" s="16"/>
      <c r="C147" s="16"/>
      <c r="D147" s="16"/>
      <c r="E147" s="7"/>
      <c r="F147" s="18"/>
      <c r="G147" s="19"/>
      <c r="H147" s="20" t="str">
        <f t="shared" si="3"/>
        <v/>
      </c>
      <c r="I147" s="20"/>
      <c r="J147" s="10"/>
      <c r="K147" s="21"/>
      <c r="L147" s="22"/>
      <c r="M147" s="22"/>
    </row>
    <row r="148" spans="1:13" ht="15">
      <c r="A148" s="10"/>
      <c r="B148" s="16"/>
      <c r="C148" s="16"/>
      <c r="D148" s="16"/>
      <c r="E148" s="7"/>
      <c r="F148" s="18"/>
      <c r="G148" s="19"/>
      <c r="H148" s="20" t="str">
        <f t="shared" si="3"/>
        <v/>
      </c>
      <c r="I148" s="20"/>
      <c r="J148" s="10"/>
      <c r="K148" s="21"/>
      <c r="L148" s="22"/>
      <c r="M148" s="22"/>
    </row>
    <row r="149" spans="1:13" ht="15">
      <c r="A149" s="10"/>
      <c r="B149" s="16"/>
      <c r="C149" s="16"/>
      <c r="D149" s="16"/>
      <c r="E149" s="7"/>
      <c r="F149" s="18"/>
      <c r="G149" s="19"/>
      <c r="H149" s="20" t="str">
        <f t="shared" si="3"/>
        <v/>
      </c>
      <c r="I149" s="20"/>
      <c r="J149" s="10"/>
      <c r="K149" s="21"/>
      <c r="L149" s="22"/>
      <c r="M149" s="22"/>
    </row>
    <row r="150" spans="1:13" ht="15">
      <c r="A150" s="10"/>
      <c r="B150" s="16"/>
      <c r="C150" s="16"/>
      <c r="D150" s="16"/>
      <c r="E150" s="7"/>
      <c r="F150" s="18"/>
      <c r="G150" s="19"/>
      <c r="H150" s="20" t="str">
        <f t="shared" si="3"/>
        <v/>
      </c>
      <c r="I150" s="20"/>
      <c r="J150" s="10"/>
      <c r="K150" s="21"/>
      <c r="L150" s="22"/>
      <c r="M150" s="22"/>
    </row>
    <row r="151" spans="1:13" ht="15">
      <c r="A151" s="10"/>
      <c r="B151" s="16"/>
      <c r="C151" s="16"/>
      <c r="D151" s="16"/>
      <c r="E151" s="7"/>
      <c r="F151" s="18"/>
      <c r="G151" s="19"/>
      <c r="H151" s="20" t="str">
        <f t="shared" si="3"/>
        <v/>
      </c>
      <c r="I151" s="20"/>
      <c r="J151" s="10"/>
      <c r="K151" s="21"/>
      <c r="L151" s="27"/>
      <c r="M151" s="22"/>
    </row>
    <row r="152" spans="1:13" ht="15">
      <c r="A152" s="10"/>
      <c r="B152" s="16"/>
      <c r="C152" s="16"/>
      <c r="D152" s="16"/>
      <c r="E152" s="7"/>
      <c r="F152" s="18"/>
      <c r="G152" s="19"/>
      <c r="H152" s="20" t="str">
        <f t="shared" si="3"/>
        <v/>
      </c>
      <c r="I152" s="20"/>
      <c r="J152" s="10"/>
      <c r="K152" s="21"/>
      <c r="L152" s="27"/>
      <c r="M152" s="22"/>
    </row>
    <row r="153" spans="1:13" ht="15">
      <c r="A153" s="10"/>
      <c r="B153" s="16"/>
      <c r="C153" s="16"/>
      <c r="D153" s="16"/>
      <c r="E153" s="7"/>
      <c r="F153" s="18"/>
      <c r="G153" s="19"/>
      <c r="H153" s="20" t="str">
        <f t="shared" si="3"/>
        <v/>
      </c>
      <c r="I153" s="20"/>
      <c r="J153" s="10"/>
      <c r="K153" s="21"/>
      <c r="L153" s="27"/>
      <c r="M153" s="22"/>
    </row>
    <row r="154" spans="1:13" ht="15">
      <c r="A154" s="10"/>
      <c r="B154" s="16"/>
      <c r="C154" s="16"/>
      <c r="D154" s="16"/>
      <c r="E154" s="7"/>
      <c r="F154" s="18"/>
      <c r="G154" s="19"/>
      <c r="H154" s="20" t="str">
        <f t="shared" si="3"/>
        <v/>
      </c>
      <c r="I154" s="20"/>
      <c r="J154" s="10"/>
      <c r="K154" s="21"/>
      <c r="L154" s="27"/>
      <c r="M154" s="22"/>
    </row>
    <row r="155" spans="1:13" ht="15">
      <c r="A155" s="10"/>
      <c r="B155" s="16"/>
      <c r="C155" s="16"/>
      <c r="D155" s="16"/>
      <c r="E155" s="7"/>
      <c r="F155" s="18"/>
      <c r="G155" s="19"/>
      <c r="H155" s="20" t="str">
        <f t="shared" si="3"/>
        <v/>
      </c>
      <c r="I155" s="20"/>
      <c r="J155" s="10"/>
      <c r="K155" s="21"/>
      <c r="L155" s="27"/>
      <c r="M155" s="22"/>
    </row>
    <row r="156" spans="1:13" ht="15">
      <c r="A156" s="10"/>
      <c r="B156" s="16"/>
      <c r="C156" s="16"/>
      <c r="D156" s="16"/>
      <c r="E156" s="7"/>
      <c r="F156" s="18"/>
      <c r="G156" s="19"/>
      <c r="H156" s="20" t="str">
        <f t="shared" si="3"/>
        <v/>
      </c>
      <c r="I156" s="20"/>
      <c r="J156" s="10"/>
      <c r="K156" s="21"/>
      <c r="L156" s="27"/>
      <c r="M156" s="22"/>
    </row>
    <row r="157" spans="1:13" ht="15">
      <c r="A157" s="10"/>
      <c r="B157" s="16"/>
      <c r="C157" s="16"/>
      <c r="D157" s="16"/>
      <c r="E157" s="7"/>
      <c r="F157" s="18"/>
      <c r="G157" s="19"/>
      <c r="H157" s="20" t="str">
        <f t="shared" si="3"/>
        <v/>
      </c>
      <c r="I157" s="20"/>
      <c r="J157" s="10"/>
      <c r="K157" s="21"/>
      <c r="L157" s="27"/>
      <c r="M157" s="22"/>
    </row>
    <row r="158" spans="1:13" ht="15">
      <c r="A158" s="10"/>
      <c r="B158" s="16"/>
      <c r="C158" s="16"/>
      <c r="D158" s="16"/>
      <c r="E158" s="7"/>
      <c r="F158" s="18"/>
      <c r="G158" s="19"/>
      <c r="H158" s="20" t="str">
        <f t="shared" si="3"/>
        <v/>
      </c>
      <c r="I158" s="20"/>
      <c r="J158" s="10"/>
      <c r="K158" s="21"/>
      <c r="L158" s="27"/>
      <c r="M158" s="22"/>
    </row>
    <row r="159" spans="1:13" ht="15">
      <c r="A159" s="10"/>
      <c r="B159" s="16"/>
      <c r="C159" s="16"/>
      <c r="D159" s="16"/>
      <c r="E159" s="7"/>
      <c r="F159" s="18"/>
      <c r="G159" s="19"/>
      <c r="H159" s="20" t="str">
        <f t="shared" si="3"/>
        <v/>
      </c>
      <c r="I159" s="20"/>
      <c r="J159" s="10"/>
      <c r="K159" s="21"/>
      <c r="L159" s="27"/>
      <c r="M159" s="22"/>
    </row>
    <row r="160" spans="1:13" ht="15">
      <c r="A160" s="10"/>
      <c r="B160" s="16"/>
      <c r="C160" s="16"/>
      <c r="D160" s="16"/>
      <c r="E160" s="7"/>
      <c r="F160" s="18"/>
      <c r="G160" s="19"/>
      <c r="H160" s="20" t="str">
        <f t="shared" si="3"/>
        <v/>
      </c>
      <c r="I160" s="20"/>
      <c r="J160" s="10"/>
      <c r="K160" s="21"/>
      <c r="L160" s="27"/>
      <c r="M160" s="22"/>
    </row>
    <row r="161" spans="1:13" ht="15">
      <c r="A161" s="10"/>
      <c r="B161" s="16"/>
      <c r="C161" s="16"/>
      <c r="D161" s="16"/>
      <c r="E161" s="7"/>
      <c r="F161" s="18"/>
      <c r="G161" s="19"/>
      <c r="H161" s="20" t="str">
        <f t="shared" si="3"/>
        <v/>
      </c>
      <c r="I161" s="20"/>
      <c r="J161" s="10"/>
      <c r="K161" s="21"/>
      <c r="L161" s="27"/>
      <c r="M161" s="22"/>
    </row>
    <row r="162" spans="1:13" ht="15">
      <c r="A162" s="10"/>
      <c r="B162" s="16"/>
      <c r="C162" s="16"/>
      <c r="D162" s="16"/>
      <c r="E162" s="7"/>
      <c r="F162" s="18"/>
      <c r="G162" s="19"/>
      <c r="H162" s="20" t="str">
        <f t="shared" si="3"/>
        <v/>
      </c>
      <c r="I162" s="20"/>
      <c r="J162" s="10"/>
      <c r="K162" s="21"/>
      <c r="L162" s="27"/>
      <c r="M162" s="22"/>
    </row>
    <row r="163" spans="1:13" ht="15">
      <c r="A163" s="10"/>
      <c r="B163" s="16"/>
      <c r="C163" s="16"/>
      <c r="D163" s="16"/>
      <c r="E163" s="7"/>
      <c r="F163" s="18"/>
      <c r="G163" s="19"/>
      <c r="H163" s="20" t="str">
        <f t="shared" si="3"/>
        <v/>
      </c>
      <c r="I163" s="20"/>
      <c r="J163" s="10"/>
      <c r="K163" s="21"/>
      <c r="L163" s="27"/>
      <c r="M163" s="22"/>
    </row>
    <row r="164" spans="1:13" ht="15">
      <c r="A164" s="10"/>
      <c r="B164" s="16"/>
      <c r="C164" s="16"/>
      <c r="D164" s="16"/>
      <c r="E164" s="7"/>
      <c r="F164" s="18"/>
      <c r="G164" s="19"/>
      <c r="H164" s="20" t="str">
        <f t="shared" si="3"/>
        <v/>
      </c>
      <c r="I164" s="20"/>
      <c r="J164" s="10"/>
      <c r="K164" s="21"/>
      <c r="L164" s="27"/>
      <c r="M164" s="22"/>
    </row>
    <row r="165" spans="1:13" ht="15">
      <c r="A165" s="10"/>
      <c r="B165" s="16"/>
      <c r="C165" s="16"/>
      <c r="D165" s="16"/>
      <c r="E165" s="7"/>
      <c r="F165" s="18"/>
      <c r="G165" s="19"/>
      <c r="H165" s="20" t="str">
        <f t="shared" si="3"/>
        <v/>
      </c>
      <c r="I165" s="20"/>
      <c r="J165" s="10"/>
      <c r="K165" s="21"/>
      <c r="L165" s="27"/>
      <c r="M165" s="22"/>
    </row>
    <row r="166" spans="1:13" ht="15">
      <c r="A166" s="10"/>
      <c r="B166" s="16"/>
      <c r="C166" s="16"/>
      <c r="D166" s="16"/>
      <c r="E166" s="7"/>
      <c r="F166" s="18"/>
      <c r="G166" s="19"/>
      <c r="H166" s="20" t="str">
        <f t="shared" si="3"/>
        <v/>
      </c>
      <c r="I166" s="20"/>
      <c r="J166" s="10"/>
      <c r="K166" s="21"/>
      <c r="L166" s="27"/>
      <c r="M166" s="22"/>
    </row>
    <row r="167" spans="1:13" ht="15">
      <c r="A167" s="10"/>
      <c r="B167" s="16"/>
      <c r="C167" s="16"/>
      <c r="D167" s="16"/>
      <c r="E167" s="7"/>
      <c r="F167" s="18"/>
      <c r="G167" s="19"/>
      <c r="H167" s="20" t="str">
        <f t="shared" si="3"/>
        <v/>
      </c>
      <c r="I167" s="20"/>
      <c r="J167" s="10"/>
      <c r="K167" s="21"/>
      <c r="L167" s="27"/>
      <c r="M167" s="22"/>
    </row>
    <row r="168" spans="1:13" ht="15">
      <c r="A168" s="10"/>
      <c r="B168" s="16"/>
      <c r="C168" s="16"/>
      <c r="D168" s="16"/>
      <c r="E168" s="7"/>
      <c r="F168" s="18"/>
      <c r="G168" s="19"/>
      <c r="H168" s="20" t="str">
        <f t="shared" si="3"/>
        <v/>
      </c>
      <c r="I168" s="20"/>
      <c r="J168" s="10"/>
      <c r="K168" s="21"/>
      <c r="L168" s="27"/>
      <c r="M168" s="22"/>
    </row>
    <row r="169" spans="1:13" ht="15">
      <c r="A169" s="10"/>
      <c r="B169" s="16"/>
      <c r="C169" s="16"/>
      <c r="D169" s="16"/>
      <c r="E169" s="7"/>
      <c r="F169" s="18"/>
      <c r="G169" s="19"/>
      <c r="H169" s="20" t="str">
        <f t="shared" si="3"/>
        <v/>
      </c>
      <c r="I169" s="20"/>
      <c r="J169" s="10"/>
      <c r="K169" s="21"/>
      <c r="L169" s="27"/>
      <c r="M169" s="22"/>
    </row>
    <row r="170" spans="1:13" ht="15">
      <c r="A170" s="10"/>
      <c r="B170" s="16"/>
      <c r="C170" s="16"/>
      <c r="D170" s="16"/>
      <c r="E170" s="7"/>
      <c r="F170" s="18"/>
      <c r="G170" s="19"/>
      <c r="H170" s="20" t="str">
        <f t="shared" ref="H170:H177" si="4">IF(G170="","",(F170*100000000+G170)-7*INT((F170*100000000+G170)/7))</f>
        <v/>
      </c>
      <c r="I170" s="20"/>
      <c r="J170" s="10"/>
      <c r="K170" s="21"/>
      <c r="L170" s="27"/>
      <c r="M170" s="22"/>
    </row>
    <row r="171" spans="1:13" ht="15">
      <c r="A171" s="10"/>
      <c r="B171" s="16"/>
      <c r="C171" s="16"/>
      <c r="D171" s="16"/>
      <c r="E171" s="7"/>
      <c r="F171" s="18"/>
      <c r="G171" s="19"/>
      <c r="H171" s="20" t="str">
        <f t="shared" si="4"/>
        <v/>
      </c>
      <c r="I171" s="20"/>
      <c r="J171" s="10"/>
      <c r="K171" s="21"/>
      <c r="L171" s="27"/>
      <c r="M171" s="22"/>
    </row>
    <row r="172" spans="1:13" ht="15">
      <c r="A172" s="10"/>
      <c r="B172" s="16"/>
      <c r="C172" s="16"/>
      <c r="D172" s="16"/>
      <c r="E172" s="7"/>
      <c r="F172" s="18"/>
      <c r="G172" s="19"/>
      <c r="H172" s="20" t="str">
        <f t="shared" si="4"/>
        <v/>
      </c>
      <c r="I172" s="20"/>
      <c r="J172" s="10"/>
      <c r="K172" s="21"/>
      <c r="L172" s="27"/>
      <c r="M172" s="22"/>
    </row>
    <row r="173" spans="1:13" ht="15">
      <c r="A173" s="10"/>
      <c r="B173" s="16"/>
      <c r="C173" s="16"/>
      <c r="D173" s="16"/>
      <c r="E173" s="7"/>
      <c r="F173" s="18"/>
      <c r="G173" s="19"/>
      <c r="H173" s="20" t="str">
        <f t="shared" si="4"/>
        <v/>
      </c>
      <c r="I173" s="20"/>
      <c r="J173" s="10"/>
      <c r="K173" s="21"/>
      <c r="L173" s="27"/>
      <c r="M173" s="22"/>
    </row>
    <row r="174" spans="1:13" ht="15">
      <c r="A174" s="10"/>
      <c r="B174" s="16"/>
      <c r="C174" s="16"/>
      <c r="D174" s="16"/>
      <c r="E174" s="7"/>
      <c r="F174" s="18"/>
      <c r="G174" s="19"/>
      <c r="H174" s="20" t="str">
        <f t="shared" si="4"/>
        <v/>
      </c>
      <c r="I174" s="20"/>
      <c r="J174" s="10"/>
      <c r="K174" s="21"/>
      <c r="L174" s="27"/>
      <c r="M174" s="22"/>
    </row>
    <row r="175" spans="1:13" ht="15">
      <c r="A175" s="10"/>
      <c r="B175" s="16"/>
      <c r="C175" s="16"/>
      <c r="D175" s="16"/>
      <c r="E175" s="7"/>
      <c r="F175" s="18"/>
      <c r="G175" s="19"/>
      <c r="H175" s="20" t="str">
        <f t="shared" si="4"/>
        <v/>
      </c>
      <c r="I175" s="20"/>
      <c r="J175" s="10"/>
      <c r="K175" s="21"/>
      <c r="L175" s="27"/>
      <c r="M175" s="22"/>
    </row>
    <row r="176" spans="1:13" ht="15">
      <c r="A176" s="10"/>
      <c r="B176" s="16"/>
      <c r="C176" s="16"/>
      <c r="D176" s="16"/>
      <c r="E176" s="7"/>
      <c r="F176" s="18"/>
      <c r="G176" s="19"/>
      <c r="H176" s="20" t="str">
        <f t="shared" si="4"/>
        <v/>
      </c>
      <c r="I176" s="20"/>
      <c r="J176" s="10"/>
      <c r="K176" s="21"/>
      <c r="L176" s="27"/>
      <c r="M176" s="22"/>
    </row>
    <row r="177" spans="1:13" ht="15">
      <c r="A177" s="10"/>
      <c r="B177" s="16"/>
      <c r="C177" s="16"/>
      <c r="D177" s="16"/>
      <c r="E177" s="7"/>
      <c r="F177" s="18"/>
      <c r="G177" s="19"/>
      <c r="H177" s="20" t="str">
        <f t="shared" si="4"/>
        <v/>
      </c>
      <c r="I177" s="20"/>
      <c r="J177" s="10"/>
      <c r="K177" s="21"/>
      <c r="L177" s="27"/>
      <c r="M177" s="22"/>
    </row>
    <row r="178" spans="1:13" ht="15">
      <c r="M178" s="22"/>
    </row>
    <row r="179" spans="1:13" ht="15">
      <c r="M179" s="22"/>
    </row>
    <row r="180" spans="1:13" ht="15">
      <c r="M180" s="22"/>
    </row>
    <row r="181" spans="1:13" ht="15">
      <c r="M181" s="22"/>
    </row>
    <row r="182" spans="1:13" ht="15">
      <c r="M182" s="22"/>
    </row>
    <row r="183" spans="1:13" ht="15">
      <c r="M183" s="22"/>
    </row>
    <row r="184" spans="1:13">
      <c r="M184" s="27"/>
    </row>
    <row r="185" spans="1:13">
      <c r="M185" s="27"/>
    </row>
    <row r="186" spans="1:13">
      <c r="M186" s="27"/>
    </row>
    <row r="187" spans="1:13">
      <c r="M187" s="27"/>
    </row>
    <row r="188" spans="1:13">
      <c r="M188" s="27"/>
    </row>
    <row r="189" spans="1:13">
      <c r="M189" s="27"/>
    </row>
    <row r="190" spans="1:13">
      <c r="M190" s="27"/>
    </row>
    <row r="191" spans="1:13">
      <c r="M191" s="27"/>
    </row>
    <row r="192" spans="1:13">
      <c r="M192" s="27"/>
    </row>
    <row r="193" spans="13:13">
      <c r="M193" s="27"/>
    </row>
    <row r="194" spans="13:13">
      <c r="M194" s="27"/>
    </row>
    <row r="195" spans="13:13">
      <c r="M195" s="27"/>
    </row>
    <row r="196" spans="13:13">
      <c r="M196" s="27"/>
    </row>
    <row r="197" spans="13:13">
      <c r="M197" s="27"/>
    </row>
    <row r="198" spans="13:13">
      <c r="M198" s="27"/>
    </row>
    <row r="199" spans="13:13">
      <c r="M199" s="27"/>
    </row>
    <row r="200" spans="13:13">
      <c r="M200" s="27"/>
    </row>
    <row r="201" spans="13:13">
      <c r="M201" s="27"/>
    </row>
    <row r="202" spans="13:13">
      <c r="M202" s="27"/>
    </row>
    <row r="203" spans="13:13">
      <c r="M203" s="27"/>
    </row>
    <row r="204" spans="13:13">
      <c r="M204" s="27"/>
    </row>
    <row r="205" spans="13:13">
      <c r="M205" s="27"/>
    </row>
    <row r="206" spans="13:13">
      <c r="M206" s="27"/>
    </row>
    <row r="207" spans="13:13">
      <c r="M207" s="27"/>
    </row>
    <row r="208" spans="13:13">
      <c r="M208" s="27"/>
    </row>
    <row r="209" spans="13:13">
      <c r="M209" s="27"/>
    </row>
    <row r="210" spans="13:13">
      <c r="M210" s="27"/>
    </row>
  </sheetData>
  <mergeCells count="5">
    <mergeCell ref="F9:H9"/>
    <mergeCell ref="A4:B4"/>
    <mergeCell ref="A1:M1"/>
    <mergeCell ref="A3:D3"/>
    <mergeCell ref="A2:D2"/>
  </mergeCells>
  <phoneticPr fontId="1"/>
  <dataValidations count="5">
    <dataValidation imeMode="on" allowBlank="1" showInputMessage="1" showErrorMessage="1" sqref="D108:D111 C112:D254 C70:D107 C66:C69 C54:C63 C29 C34 C32" xr:uid="{64E7EE7C-476B-4785-9064-3E8CCEA6522A}"/>
    <dataValidation imeMode="disabled" allowBlank="1" showInputMessage="1" showErrorMessage="1" sqref="C108 A109:C111 A112:B177 F10:K177 A10:B108" xr:uid="{ABD54D97-A81F-40B3-B535-DF98FE6E72AA}"/>
    <dataValidation type="list" imeMode="on" allowBlank="1" showInputMessage="1" showErrorMessage="1" sqref="E70:E177 E52:E54" xr:uid="{DDEB394B-07EE-4870-9C52-1E6073FA4F55}">
      <formula1>"ベスト電器,㈲ヤマツ津田商店,でんきのカトウ,㈲カワムラ電器,電器のオオミ"</formula1>
    </dataValidation>
    <dataValidation type="list" imeMode="on" allowBlank="1" sqref="E10:E49" xr:uid="{739325F9-4A1B-442B-95FA-79EBCC37A569}">
      <formula1>"ベスト電器,㈲ヤマツ津田商店,でんきのカトウ,㈲カワムラ電器,電器のオオミ"</formula1>
    </dataValidation>
    <dataValidation type="list" imeMode="on" allowBlank="1" showInputMessage="1" sqref="E55:E69 E50:E51" xr:uid="{CD2241D0-FDB4-41E9-BAB7-9BF1A5FF3E91}">
      <formula1>"ベスト電器,㈲ヤマツ津田商店,でんきのカトウ,㈲カワムラ電器,電器のオオミ"</formula1>
    </dataValidation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7B7-6CB1-4C87-BDB5-229F85824C7E}">
  <sheetPr>
    <tabColor rgb="FF00B0F0"/>
  </sheetPr>
  <dimension ref="A1:N225"/>
  <sheetViews>
    <sheetView workbookViewId="0">
      <pane ySplit="9" topLeftCell="A10" activePane="bottomLeft" state="frozen"/>
      <selection pane="bottomLeft" activeCell="P19" sqref="P19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14" customWidth="1"/>
    <col min="12" max="13" width="4.625" style="4" customWidth="1"/>
    <col min="14" max="14" width="11.625" style="4" bestFit="1" customWidth="1"/>
    <col min="15" max="16384" width="9" style="4"/>
  </cols>
  <sheetData>
    <row r="1" spans="1:14" s="1" customFormat="1" ht="19.5" customHeight="1">
      <c r="A1" s="73" t="s">
        <v>48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s="1" customFormat="1" ht="19.5" customHeight="1">
      <c r="E2" s="2" t="s">
        <v>14</v>
      </c>
      <c r="F2" s="2" t="s">
        <v>19</v>
      </c>
      <c r="K2" s="13"/>
    </row>
    <row r="3" spans="1:14" s="1" customFormat="1" ht="19.5" customHeight="1">
      <c r="A3" s="73" t="s">
        <v>11</v>
      </c>
      <c r="B3" s="73"/>
      <c r="E3" s="28" t="s">
        <v>40</v>
      </c>
      <c r="F3" s="9">
        <f>COUNTIF(J10:J185,10)</f>
        <v>0</v>
      </c>
      <c r="G3" s="8"/>
      <c r="K3" s="13"/>
    </row>
    <row r="4" spans="1:14" s="1" customFormat="1" ht="19.5" customHeight="1">
      <c r="A4" s="73" t="s">
        <v>10</v>
      </c>
      <c r="B4" s="73"/>
      <c r="E4" s="28" t="s">
        <v>9</v>
      </c>
      <c r="F4" s="9">
        <f>COUNTIF(J10:J185,20)+COUNTIF(J10:J185,21)+COUNTIF(J10:J185,22)+COUNTIF(J10:J185,51)+COUNTIF(J10:J185,52)+COUNTIF(J10:J185,50)</f>
        <v>0</v>
      </c>
      <c r="G4" s="8"/>
      <c r="K4" s="13"/>
    </row>
    <row r="5" spans="1:14" s="1" customFormat="1" ht="19.5" customHeight="1">
      <c r="B5" s="1" t="s">
        <v>44</v>
      </c>
      <c r="E5" s="28" t="s">
        <v>7</v>
      </c>
      <c r="F5" s="9">
        <f>COUNTIF(J10:J185,30)+COUNTIF(J10:J185,31)+COUNTIF(J10:J185,32)</f>
        <v>0</v>
      </c>
      <c r="G5" s="8"/>
      <c r="K5" s="13"/>
      <c r="N5" s="11"/>
    </row>
    <row r="6" spans="1:14" s="1" customFormat="1" ht="19.5" customHeight="1">
      <c r="E6" s="28" t="s">
        <v>8</v>
      </c>
      <c r="F6" s="9">
        <f>COUNTIF(J10:J185,40)</f>
        <v>2</v>
      </c>
      <c r="G6" s="8"/>
      <c r="K6" s="13"/>
      <c r="N6" s="11"/>
    </row>
    <row r="7" spans="1:14" s="1" customFormat="1" ht="19.5" customHeight="1">
      <c r="E7" s="2" t="s">
        <v>13</v>
      </c>
      <c r="F7" s="9">
        <f>SUM(F3:F6)</f>
        <v>2</v>
      </c>
      <c r="G7" s="8"/>
      <c r="K7" s="13"/>
    </row>
    <row r="8" spans="1:14" ht="7.5" customHeight="1">
      <c r="F8" s="17"/>
      <c r="G8" s="17"/>
    </row>
    <row r="9" spans="1:14" s="6" customFormat="1" ht="21" customHeight="1">
      <c r="A9" s="5" t="s">
        <v>1</v>
      </c>
      <c r="B9" s="5" t="s">
        <v>5</v>
      </c>
      <c r="C9" s="5" t="s">
        <v>16</v>
      </c>
      <c r="D9" s="5" t="s">
        <v>17</v>
      </c>
      <c r="E9" s="5" t="s">
        <v>6</v>
      </c>
      <c r="F9" s="74" t="s">
        <v>0</v>
      </c>
      <c r="G9" s="74"/>
      <c r="H9" s="74"/>
      <c r="I9" s="5" t="s">
        <v>2</v>
      </c>
      <c r="J9" s="5" t="s">
        <v>3</v>
      </c>
      <c r="K9" s="15" t="s">
        <v>4</v>
      </c>
      <c r="L9" s="5" t="s">
        <v>15</v>
      </c>
      <c r="M9" s="5" t="s">
        <v>39</v>
      </c>
    </row>
    <row r="10" spans="1:14" ht="21" customHeight="1">
      <c r="A10" s="10">
        <v>1</v>
      </c>
      <c r="B10" s="16">
        <v>46106</v>
      </c>
      <c r="C10" s="2"/>
      <c r="D10" s="2" t="s">
        <v>44</v>
      </c>
      <c r="E10" s="53" t="s">
        <v>146</v>
      </c>
      <c r="F10" s="18">
        <v>25</v>
      </c>
      <c r="G10" s="19">
        <v>10084253</v>
      </c>
      <c r="H10" s="20">
        <f t="shared" ref="H10:H27" si="0">IF(G10="","",(F10*100000000+G10)-7*INT((F10*100000000+G10)/7))</f>
        <v>5</v>
      </c>
      <c r="I10" s="20">
        <v>100</v>
      </c>
      <c r="J10" s="10">
        <v>40</v>
      </c>
      <c r="K10" s="21">
        <v>46106</v>
      </c>
      <c r="L10" s="29" t="s">
        <v>54</v>
      </c>
      <c r="M10" s="54"/>
    </row>
    <row r="11" spans="1:14" ht="21" customHeight="1">
      <c r="A11" s="10">
        <v>2</v>
      </c>
      <c r="B11" s="16">
        <v>46106</v>
      </c>
      <c r="C11" s="2"/>
      <c r="D11" s="68" t="s">
        <v>44</v>
      </c>
      <c r="E11" s="53" t="s">
        <v>146</v>
      </c>
      <c r="F11" s="18">
        <v>25</v>
      </c>
      <c r="G11" s="19">
        <v>10084252</v>
      </c>
      <c r="H11" s="20">
        <f t="shared" si="0"/>
        <v>4</v>
      </c>
      <c r="I11" s="20">
        <v>100</v>
      </c>
      <c r="J11" s="10">
        <v>40</v>
      </c>
      <c r="K11" s="21">
        <v>46106</v>
      </c>
      <c r="L11" s="29" t="s">
        <v>54</v>
      </c>
      <c r="M11" s="54"/>
    </row>
    <row r="12" spans="1:14" ht="21" customHeight="1">
      <c r="A12" s="10">
        <v>3</v>
      </c>
      <c r="B12" s="16"/>
      <c r="C12" s="68"/>
      <c r="D12" s="68"/>
      <c r="E12" s="53"/>
      <c r="F12" s="23"/>
      <c r="G12" s="24"/>
      <c r="H12" s="20" t="str">
        <f t="shared" si="0"/>
        <v/>
      </c>
      <c r="I12" s="20"/>
      <c r="J12" s="10"/>
      <c r="K12" s="21"/>
      <c r="L12" s="29"/>
      <c r="M12" s="54"/>
      <c r="N12" s="12"/>
    </row>
    <row r="13" spans="1:14" ht="21" customHeight="1">
      <c r="A13" s="10">
        <v>4</v>
      </c>
      <c r="B13" s="16"/>
      <c r="C13" s="68"/>
      <c r="D13" s="2"/>
      <c r="E13" s="53"/>
      <c r="F13" s="23"/>
      <c r="G13" s="24"/>
      <c r="H13" s="20" t="str">
        <f t="shared" si="0"/>
        <v/>
      </c>
      <c r="I13" s="20"/>
      <c r="J13" s="10"/>
      <c r="K13" s="21"/>
      <c r="L13" s="29"/>
      <c r="M13" s="54"/>
    </row>
    <row r="14" spans="1:14" ht="21" customHeight="1">
      <c r="A14" s="10">
        <v>5</v>
      </c>
      <c r="B14" s="16"/>
      <c r="C14" s="68"/>
      <c r="D14" s="2"/>
      <c r="E14" s="53"/>
      <c r="F14" s="18"/>
      <c r="G14" s="19"/>
      <c r="H14" s="20" t="str">
        <f t="shared" si="0"/>
        <v/>
      </c>
      <c r="I14" s="20"/>
      <c r="J14" s="10"/>
      <c r="K14" s="21"/>
      <c r="L14" s="29"/>
      <c r="M14" s="54"/>
    </row>
    <row r="15" spans="1:14" ht="21" customHeight="1">
      <c r="A15" s="10">
        <v>6</v>
      </c>
      <c r="B15" s="16"/>
      <c r="C15" s="68"/>
      <c r="D15" s="2"/>
      <c r="E15" s="53"/>
      <c r="F15" s="18"/>
      <c r="G15" s="24"/>
      <c r="H15" s="20" t="str">
        <f t="shared" si="0"/>
        <v/>
      </c>
      <c r="I15" s="20"/>
      <c r="J15" s="10"/>
      <c r="K15" s="21"/>
      <c r="L15" s="29"/>
      <c r="M15" s="54"/>
    </row>
    <row r="16" spans="1:14" ht="21" customHeight="1">
      <c r="A16" s="10">
        <v>7</v>
      </c>
      <c r="B16" s="16"/>
      <c r="C16" s="68"/>
      <c r="D16" s="2"/>
      <c r="E16" s="53"/>
      <c r="F16" s="18"/>
      <c r="G16" s="19"/>
      <c r="H16" s="20" t="str">
        <f t="shared" si="0"/>
        <v/>
      </c>
      <c r="I16" s="20"/>
      <c r="J16" s="10"/>
      <c r="K16" s="21"/>
      <c r="L16" s="29"/>
      <c r="M16" s="54"/>
    </row>
    <row r="17" spans="1:13" ht="21" customHeight="1">
      <c r="A17" s="10">
        <v>8</v>
      </c>
      <c r="B17" s="16"/>
      <c r="C17" s="68"/>
      <c r="D17" s="2"/>
      <c r="E17" s="53"/>
      <c r="F17" s="18"/>
      <c r="G17" s="19"/>
      <c r="H17" s="20" t="str">
        <f t="shared" si="0"/>
        <v/>
      </c>
      <c r="I17" s="20"/>
      <c r="J17" s="10"/>
      <c r="K17" s="21"/>
      <c r="L17" s="29"/>
      <c r="M17" s="54"/>
    </row>
    <row r="18" spans="1:13" ht="21" customHeight="1">
      <c r="A18" s="10">
        <v>9</v>
      </c>
      <c r="B18" s="16"/>
      <c r="C18" s="68"/>
      <c r="D18" s="2"/>
      <c r="E18" s="53"/>
      <c r="F18" s="18"/>
      <c r="G18" s="19"/>
      <c r="H18" s="20" t="str">
        <f t="shared" si="0"/>
        <v/>
      </c>
      <c r="I18" s="20"/>
      <c r="J18" s="10"/>
      <c r="K18" s="21"/>
      <c r="L18" s="29"/>
      <c r="M18" s="54"/>
    </row>
    <row r="19" spans="1:13" ht="21" customHeight="1">
      <c r="A19" s="10">
        <v>10</v>
      </c>
      <c r="B19" s="16"/>
      <c r="C19" s="2"/>
      <c r="D19" s="2"/>
      <c r="E19" s="53"/>
      <c r="F19" s="18"/>
      <c r="G19" s="19"/>
      <c r="H19" s="20" t="str">
        <f t="shared" si="0"/>
        <v/>
      </c>
      <c r="I19" s="20"/>
      <c r="J19" s="10"/>
      <c r="K19" s="21"/>
      <c r="L19" s="29"/>
      <c r="M19" s="54"/>
    </row>
    <row r="20" spans="1:13" ht="21" customHeight="1">
      <c r="A20" s="10">
        <v>11</v>
      </c>
      <c r="B20" s="16"/>
      <c r="C20" s="2"/>
      <c r="D20" s="1"/>
      <c r="E20" s="53"/>
      <c r="F20" s="18"/>
      <c r="G20" s="19"/>
      <c r="H20" s="20" t="str">
        <f t="shared" si="0"/>
        <v/>
      </c>
      <c r="I20" s="20"/>
      <c r="J20" s="10"/>
      <c r="K20" s="21"/>
      <c r="L20" s="29"/>
      <c r="M20" s="54"/>
    </row>
    <row r="21" spans="1:13" ht="21" customHeight="1">
      <c r="A21" s="10">
        <v>12</v>
      </c>
      <c r="B21" s="16"/>
      <c r="C21" s="1"/>
      <c r="D21" s="2"/>
      <c r="E21" s="53"/>
      <c r="F21" s="18"/>
      <c r="G21" s="19"/>
      <c r="H21" s="20" t="str">
        <f t="shared" si="0"/>
        <v/>
      </c>
      <c r="I21" s="20"/>
      <c r="J21" s="10"/>
      <c r="K21" s="21"/>
      <c r="L21" s="29"/>
      <c r="M21" s="54"/>
    </row>
    <row r="22" spans="1:13" ht="21" customHeight="1">
      <c r="A22" s="10">
        <v>13</v>
      </c>
      <c r="B22" s="16"/>
      <c r="C22" s="2"/>
      <c r="D22" s="2"/>
      <c r="E22" s="53"/>
      <c r="F22" s="18"/>
      <c r="G22" s="19"/>
      <c r="H22" s="20" t="str">
        <f t="shared" si="0"/>
        <v/>
      </c>
      <c r="I22" s="20"/>
      <c r="J22" s="10"/>
      <c r="K22" s="21"/>
      <c r="L22" s="29"/>
      <c r="M22" s="54"/>
    </row>
    <row r="23" spans="1:13" ht="21" customHeight="1">
      <c r="A23" s="10">
        <v>14</v>
      </c>
      <c r="B23" s="16"/>
      <c r="C23" s="2"/>
      <c r="D23" s="68"/>
      <c r="E23" s="53"/>
      <c r="F23" s="18"/>
      <c r="G23" s="19"/>
      <c r="H23" s="20" t="str">
        <f t="shared" si="0"/>
        <v/>
      </c>
      <c r="I23" s="20"/>
      <c r="J23" s="10"/>
      <c r="K23" s="21"/>
      <c r="L23" s="29"/>
      <c r="M23" s="54"/>
    </row>
    <row r="24" spans="1:13" ht="21" customHeight="1">
      <c r="A24" s="10">
        <v>15</v>
      </c>
      <c r="B24" s="16"/>
      <c r="C24" s="2"/>
      <c r="D24" s="2"/>
      <c r="E24" s="53"/>
      <c r="F24" s="18"/>
      <c r="G24" s="19"/>
      <c r="H24" s="20" t="str">
        <f t="shared" si="0"/>
        <v/>
      </c>
      <c r="I24" s="20"/>
      <c r="J24" s="10"/>
      <c r="K24" s="21"/>
      <c r="L24" s="29"/>
      <c r="M24" s="54"/>
    </row>
    <row r="25" spans="1:13" ht="21" customHeight="1">
      <c r="A25" s="10">
        <v>16</v>
      </c>
      <c r="B25" s="16"/>
      <c r="C25" s="2"/>
      <c r="D25" s="2"/>
      <c r="E25" s="53"/>
      <c r="F25" s="18"/>
      <c r="G25" s="19"/>
      <c r="H25" s="20" t="str">
        <f t="shared" si="0"/>
        <v/>
      </c>
      <c r="I25" s="20"/>
      <c r="J25" s="10"/>
      <c r="K25" s="21"/>
      <c r="L25" s="29"/>
      <c r="M25" s="54"/>
    </row>
    <row r="26" spans="1:13" ht="21" customHeight="1">
      <c r="A26" s="10">
        <v>17</v>
      </c>
      <c r="B26" s="16"/>
      <c r="C26" s="2"/>
      <c r="D26" s="2"/>
      <c r="E26" s="53"/>
      <c r="F26" s="18"/>
      <c r="G26" s="19"/>
      <c r="H26" s="20" t="str">
        <f t="shared" si="0"/>
        <v/>
      </c>
      <c r="I26" s="20"/>
      <c r="J26" s="10"/>
      <c r="K26" s="21"/>
      <c r="L26" s="29"/>
      <c r="M26" s="54"/>
    </row>
    <row r="27" spans="1:13" ht="21" customHeight="1">
      <c r="A27" s="10">
        <v>18</v>
      </c>
      <c r="B27" s="16"/>
      <c r="C27" s="2"/>
      <c r="D27" s="2"/>
      <c r="E27" s="53"/>
      <c r="F27" s="18"/>
      <c r="G27" s="19"/>
      <c r="H27" s="20" t="str">
        <f t="shared" si="0"/>
        <v/>
      </c>
      <c r="I27" s="20"/>
      <c r="J27" s="10"/>
      <c r="K27" s="21"/>
      <c r="L27" s="29"/>
      <c r="M27" s="54"/>
    </row>
    <row r="28" spans="1:13" ht="21" customHeight="1">
      <c r="A28" s="10">
        <v>19</v>
      </c>
      <c r="B28" s="16"/>
      <c r="C28" s="2"/>
      <c r="D28" s="16"/>
      <c r="E28" s="53"/>
      <c r="F28" s="18"/>
      <c r="G28" s="19"/>
      <c r="H28" s="20" t="str">
        <f t="shared" ref="H28:H92" si="1">IF(G28="","",(F28*100000000+G28)-7*INT((F28*100000000+G28)/7))</f>
        <v/>
      </c>
      <c r="I28" s="20"/>
      <c r="J28" s="10"/>
      <c r="K28" s="21"/>
      <c r="L28" s="29"/>
      <c r="M28" s="29"/>
    </row>
    <row r="29" spans="1:13" ht="21" customHeight="1">
      <c r="A29" s="10">
        <v>20</v>
      </c>
      <c r="B29" s="16"/>
      <c r="C29" s="2"/>
      <c r="D29" s="2"/>
      <c r="E29" s="53"/>
      <c r="F29" s="18"/>
      <c r="G29" s="19"/>
      <c r="H29" s="20" t="str">
        <f t="shared" si="1"/>
        <v/>
      </c>
      <c r="I29" s="20"/>
      <c r="J29" s="10"/>
      <c r="K29" s="21"/>
      <c r="L29" s="29"/>
      <c r="M29" s="29"/>
    </row>
    <row r="30" spans="1:13" ht="21" customHeight="1">
      <c r="A30" s="10">
        <v>21</v>
      </c>
      <c r="B30" s="16"/>
      <c r="C30" s="2"/>
      <c r="D30" s="2"/>
      <c r="E30" s="53"/>
      <c r="F30" s="18"/>
      <c r="G30" s="19"/>
      <c r="H30" s="20" t="str">
        <f t="shared" si="1"/>
        <v/>
      </c>
      <c r="I30" s="20"/>
      <c r="J30" s="10"/>
      <c r="K30" s="21"/>
      <c r="L30" s="29"/>
      <c r="M30" s="29"/>
    </row>
    <row r="31" spans="1:13" ht="21" customHeight="1">
      <c r="A31" s="10">
        <v>22</v>
      </c>
      <c r="B31" s="16"/>
      <c r="C31" s="2"/>
      <c r="D31" s="2"/>
      <c r="E31" s="53"/>
      <c r="F31" s="18"/>
      <c r="G31" s="19"/>
      <c r="H31" s="20" t="str">
        <f t="shared" si="1"/>
        <v/>
      </c>
      <c r="I31" s="20"/>
      <c r="J31" s="10"/>
      <c r="K31" s="21"/>
      <c r="L31" s="29"/>
      <c r="M31" s="29"/>
    </row>
    <row r="32" spans="1:13" ht="21" customHeight="1">
      <c r="A32" s="10">
        <v>23</v>
      </c>
      <c r="B32" s="16"/>
      <c r="C32" s="2"/>
      <c r="D32" s="2"/>
      <c r="E32" s="53"/>
      <c r="F32" s="18"/>
      <c r="G32" s="19"/>
      <c r="H32" s="20" t="str">
        <f t="shared" si="1"/>
        <v/>
      </c>
      <c r="I32" s="20"/>
      <c r="J32" s="10"/>
      <c r="K32" s="21"/>
      <c r="L32" s="29"/>
      <c r="M32" s="29"/>
    </row>
    <row r="33" spans="1:13" ht="21" customHeight="1">
      <c r="A33" s="10">
        <v>24</v>
      </c>
      <c r="B33" s="16"/>
      <c r="C33" s="2"/>
      <c r="D33" s="2"/>
      <c r="E33" s="53"/>
      <c r="F33" s="18"/>
      <c r="G33" s="19"/>
      <c r="H33" s="20" t="str">
        <f t="shared" si="1"/>
        <v/>
      </c>
      <c r="I33" s="20"/>
      <c r="J33" s="10"/>
      <c r="K33" s="21"/>
      <c r="L33" s="29"/>
      <c r="M33" s="29"/>
    </row>
    <row r="34" spans="1:13" ht="21" customHeight="1">
      <c r="A34" s="10">
        <v>25</v>
      </c>
      <c r="B34" s="16"/>
      <c r="C34" s="16"/>
      <c r="D34" s="2"/>
      <c r="E34" s="53"/>
      <c r="F34" s="18"/>
      <c r="G34" s="19"/>
      <c r="H34" s="20" t="str">
        <f t="shared" si="1"/>
        <v/>
      </c>
      <c r="I34" s="20"/>
      <c r="J34" s="10"/>
      <c r="K34" s="21"/>
      <c r="L34" s="29"/>
      <c r="M34" s="29"/>
    </row>
    <row r="35" spans="1:13" ht="21" customHeight="1">
      <c r="A35" s="10">
        <v>26</v>
      </c>
      <c r="B35" s="16"/>
      <c r="C35" s="16"/>
      <c r="D35" s="2"/>
      <c r="E35" s="53"/>
      <c r="F35" s="18"/>
      <c r="G35" s="19"/>
      <c r="H35" s="20" t="str">
        <f t="shared" si="1"/>
        <v/>
      </c>
      <c r="I35" s="20"/>
      <c r="J35" s="10"/>
      <c r="K35" s="21"/>
      <c r="L35" s="29"/>
      <c r="M35" s="29"/>
    </row>
    <row r="36" spans="1:13" ht="21" customHeight="1">
      <c r="A36" s="10">
        <v>27</v>
      </c>
      <c r="B36" s="16"/>
      <c r="C36" s="16"/>
      <c r="D36" s="2"/>
      <c r="E36" s="53"/>
      <c r="F36" s="18"/>
      <c r="G36" s="19"/>
      <c r="H36" s="20" t="str">
        <f t="shared" si="1"/>
        <v/>
      </c>
      <c r="I36" s="20"/>
      <c r="J36" s="10"/>
      <c r="K36" s="21"/>
      <c r="L36" s="29"/>
      <c r="M36" s="29"/>
    </row>
    <row r="37" spans="1:13" ht="21" customHeight="1">
      <c r="A37" s="10">
        <v>28</v>
      </c>
      <c r="B37" s="16"/>
      <c r="C37" s="16"/>
      <c r="D37" s="2"/>
      <c r="E37" s="53"/>
      <c r="F37" s="18"/>
      <c r="G37" s="19"/>
      <c r="H37" s="20" t="str">
        <f t="shared" si="1"/>
        <v/>
      </c>
      <c r="I37" s="20"/>
      <c r="J37" s="10"/>
      <c r="K37" s="21"/>
      <c r="L37" s="29"/>
      <c r="M37" s="29"/>
    </row>
    <row r="38" spans="1:13" ht="21" customHeight="1">
      <c r="A38" s="10">
        <v>29</v>
      </c>
      <c r="B38" s="16"/>
      <c r="C38" s="16"/>
      <c r="D38" s="2"/>
      <c r="E38" s="53"/>
      <c r="F38" s="18"/>
      <c r="G38" s="19"/>
      <c r="H38" s="20" t="str">
        <f t="shared" si="1"/>
        <v/>
      </c>
      <c r="I38" s="20"/>
      <c r="J38" s="10"/>
      <c r="K38" s="21"/>
      <c r="L38" s="29"/>
      <c r="M38" s="29"/>
    </row>
    <row r="39" spans="1:13" ht="21" customHeight="1">
      <c r="A39" s="10">
        <v>30</v>
      </c>
      <c r="B39" s="16"/>
      <c r="C39" s="16"/>
      <c r="D39" s="2"/>
      <c r="E39" s="53"/>
      <c r="F39" s="18"/>
      <c r="G39" s="19"/>
      <c r="H39" s="20" t="str">
        <f t="shared" si="1"/>
        <v/>
      </c>
      <c r="I39" s="20"/>
      <c r="J39" s="10"/>
      <c r="K39" s="21"/>
      <c r="L39" s="29"/>
      <c r="M39" s="29"/>
    </row>
    <row r="40" spans="1:13" ht="21" customHeight="1">
      <c r="A40" s="10">
        <v>31</v>
      </c>
      <c r="B40" s="16"/>
      <c r="C40" s="16"/>
      <c r="D40" s="2"/>
      <c r="E40" s="53"/>
      <c r="F40" s="18"/>
      <c r="G40" s="19"/>
      <c r="H40" s="20" t="str">
        <f>IF(G40="","",(F40*100000000+G40)-7*INT((F40*100000000+G40)/7))</f>
        <v/>
      </c>
      <c r="I40" s="20"/>
      <c r="J40" s="10"/>
      <c r="K40" s="21"/>
      <c r="L40" s="29"/>
      <c r="M40" s="29"/>
    </row>
    <row r="41" spans="1:13" ht="21" customHeight="1">
      <c r="A41" s="10">
        <v>32</v>
      </c>
      <c r="B41" s="16"/>
      <c r="C41" s="2"/>
      <c r="D41" s="2"/>
      <c r="E41" s="7"/>
      <c r="F41" s="18"/>
      <c r="G41" s="19"/>
      <c r="H41" s="20" t="str">
        <f t="shared" ref="H41" si="2">IF(G41="","",(F41*100000000+G41)-7*INT((F41*100000000+G41)/7))</f>
        <v/>
      </c>
      <c r="I41" s="20"/>
      <c r="J41" s="10"/>
      <c r="K41" s="21"/>
      <c r="L41" s="29"/>
      <c r="M41" s="29"/>
    </row>
    <row r="42" spans="1:13" ht="21" customHeight="1">
      <c r="A42" s="10">
        <v>33</v>
      </c>
      <c r="B42" s="16"/>
      <c r="C42" s="2"/>
      <c r="D42" s="2"/>
      <c r="E42" s="7"/>
      <c r="F42" s="18"/>
      <c r="G42" s="19"/>
      <c r="H42" s="20" t="str">
        <f t="shared" ref="H42:H48" si="3">IF(G42="","",(F42*100000000+G42)-7*INT((F42*100000000+G42)/7))</f>
        <v/>
      </c>
      <c r="I42" s="20"/>
      <c r="J42" s="10"/>
      <c r="K42" s="21"/>
      <c r="L42" s="29"/>
      <c r="M42" s="29"/>
    </row>
    <row r="43" spans="1:13" ht="21" customHeight="1">
      <c r="A43" s="10">
        <v>34</v>
      </c>
      <c r="B43" s="16"/>
      <c r="C43" s="2"/>
      <c r="D43" s="2"/>
      <c r="E43" s="53"/>
      <c r="F43" s="18"/>
      <c r="G43" s="19"/>
      <c r="H43" s="20" t="str">
        <f t="shared" si="3"/>
        <v/>
      </c>
      <c r="I43" s="20"/>
      <c r="J43" s="10"/>
      <c r="K43" s="21"/>
      <c r="L43" s="29"/>
      <c r="M43" s="29"/>
    </row>
    <row r="44" spans="1:13" ht="21" customHeight="1">
      <c r="A44" s="10">
        <v>35</v>
      </c>
      <c r="B44" s="16"/>
      <c r="C44" s="2"/>
      <c r="D44" s="2"/>
      <c r="E44" s="7"/>
      <c r="F44" s="18"/>
      <c r="G44" s="19"/>
      <c r="H44" s="20" t="str">
        <f t="shared" si="3"/>
        <v/>
      </c>
      <c r="I44" s="20"/>
      <c r="J44" s="10"/>
      <c r="K44" s="21"/>
      <c r="L44" s="29"/>
      <c r="M44" s="29"/>
    </row>
    <row r="45" spans="1:13" ht="21" customHeight="1">
      <c r="A45" s="10">
        <v>36</v>
      </c>
      <c r="B45" s="16"/>
      <c r="C45" s="2"/>
      <c r="D45" s="2"/>
      <c r="E45" s="7"/>
      <c r="F45" s="18"/>
      <c r="G45" s="19"/>
      <c r="H45" s="20" t="str">
        <f t="shared" si="3"/>
        <v/>
      </c>
      <c r="I45" s="20"/>
      <c r="J45" s="10"/>
      <c r="K45" s="21"/>
      <c r="L45" s="29"/>
      <c r="M45" s="29"/>
    </row>
    <row r="46" spans="1:13" ht="21" customHeight="1">
      <c r="A46" s="10">
        <v>37</v>
      </c>
      <c r="B46" s="16"/>
      <c r="C46" s="2"/>
      <c r="D46" s="2"/>
      <c r="E46" s="7"/>
      <c r="F46" s="18"/>
      <c r="G46" s="19"/>
      <c r="H46" s="20" t="str">
        <f t="shared" si="3"/>
        <v/>
      </c>
      <c r="I46" s="20"/>
      <c r="J46" s="10"/>
      <c r="K46" s="21"/>
      <c r="L46" s="29"/>
      <c r="M46" s="29"/>
    </row>
    <row r="47" spans="1:13" ht="21" customHeight="1">
      <c r="A47" s="10">
        <v>38</v>
      </c>
      <c r="B47" s="16"/>
      <c r="C47" s="2"/>
      <c r="D47" s="2"/>
      <c r="E47" s="7"/>
      <c r="F47" s="18"/>
      <c r="G47" s="19"/>
      <c r="H47" s="20" t="str">
        <f t="shared" si="3"/>
        <v/>
      </c>
      <c r="I47" s="20"/>
      <c r="J47" s="10"/>
      <c r="K47" s="21"/>
      <c r="L47" s="29"/>
      <c r="M47" s="29"/>
    </row>
    <row r="48" spans="1:13" ht="21" customHeight="1">
      <c r="A48" s="10">
        <v>39</v>
      </c>
      <c r="B48" s="16"/>
      <c r="C48" s="2"/>
      <c r="D48" s="2"/>
      <c r="E48" s="7"/>
      <c r="F48" s="18"/>
      <c r="G48" s="19"/>
      <c r="H48" s="20" t="str">
        <f t="shared" si="3"/>
        <v/>
      </c>
      <c r="I48" s="20"/>
      <c r="J48" s="10"/>
      <c r="K48" s="21"/>
      <c r="L48" s="29"/>
      <c r="M48" s="29"/>
    </row>
    <row r="49" spans="1:13" ht="21" customHeight="1">
      <c r="A49" s="10">
        <v>40</v>
      </c>
      <c r="B49" s="16"/>
      <c r="C49" s="16"/>
      <c r="D49" s="2"/>
      <c r="E49" s="7"/>
      <c r="F49" s="18"/>
      <c r="G49" s="19"/>
      <c r="H49" s="20" t="str">
        <f t="shared" si="1"/>
        <v/>
      </c>
      <c r="I49" s="20"/>
      <c r="J49" s="10"/>
      <c r="K49" s="21"/>
      <c r="L49" s="29"/>
      <c r="M49" s="29"/>
    </row>
    <row r="50" spans="1:13" ht="21" customHeight="1">
      <c r="A50" s="10">
        <v>41</v>
      </c>
      <c r="B50" s="16"/>
      <c r="C50" s="16"/>
      <c r="D50" s="2"/>
      <c r="E50" s="7"/>
      <c r="F50" s="18"/>
      <c r="G50" s="19"/>
      <c r="H50" s="20" t="str">
        <f t="shared" si="1"/>
        <v/>
      </c>
      <c r="I50" s="20"/>
      <c r="J50" s="10"/>
      <c r="K50" s="21"/>
      <c r="L50" s="29"/>
      <c r="M50" s="29"/>
    </row>
    <row r="51" spans="1:13" ht="21" customHeight="1">
      <c r="A51" s="10">
        <v>42</v>
      </c>
      <c r="B51" s="16"/>
      <c r="C51" s="16"/>
      <c r="D51" s="2"/>
      <c r="E51" s="7"/>
      <c r="F51" s="18"/>
      <c r="G51" s="19"/>
      <c r="H51" s="20" t="str">
        <f t="shared" si="1"/>
        <v/>
      </c>
      <c r="I51" s="20"/>
      <c r="J51" s="10"/>
      <c r="K51" s="21"/>
      <c r="L51" s="29"/>
      <c r="M51" s="29"/>
    </row>
    <row r="52" spans="1:13" ht="21" customHeight="1">
      <c r="A52" s="10">
        <v>43</v>
      </c>
      <c r="B52" s="16"/>
      <c r="C52" s="16"/>
      <c r="D52" s="2"/>
      <c r="E52" s="7"/>
      <c r="F52" s="18"/>
      <c r="G52" s="19"/>
      <c r="H52" s="20" t="str">
        <f t="shared" si="1"/>
        <v/>
      </c>
      <c r="I52" s="20"/>
      <c r="J52" s="10"/>
      <c r="K52" s="21"/>
      <c r="L52" s="29"/>
      <c r="M52" s="29"/>
    </row>
    <row r="53" spans="1:13" ht="21" customHeight="1">
      <c r="A53" s="10">
        <v>44</v>
      </c>
      <c r="B53" s="16"/>
      <c r="C53" s="16"/>
      <c r="D53" s="2"/>
      <c r="E53" s="7"/>
      <c r="F53" s="18"/>
      <c r="G53" s="19"/>
      <c r="H53" s="20" t="str">
        <f t="shared" si="1"/>
        <v/>
      </c>
      <c r="I53" s="20"/>
      <c r="J53" s="10"/>
      <c r="K53" s="21"/>
      <c r="L53" s="29"/>
      <c r="M53" s="29"/>
    </row>
    <row r="54" spans="1:13" ht="21" customHeight="1">
      <c r="A54" s="10">
        <v>45</v>
      </c>
      <c r="B54" s="16"/>
      <c r="C54" s="16"/>
      <c r="D54" s="2"/>
      <c r="E54" s="7"/>
      <c r="F54" s="18"/>
      <c r="G54" s="19"/>
      <c r="H54" s="20" t="str">
        <f t="shared" si="1"/>
        <v/>
      </c>
      <c r="I54" s="20"/>
      <c r="J54" s="10"/>
      <c r="K54" s="21"/>
      <c r="L54" s="29"/>
      <c r="M54" s="29"/>
    </row>
    <row r="55" spans="1:13" ht="21" customHeight="1">
      <c r="A55" s="10">
        <v>46</v>
      </c>
      <c r="B55" s="16"/>
      <c r="C55" s="16"/>
      <c r="D55" s="2"/>
      <c r="E55" s="7"/>
      <c r="F55" s="18"/>
      <c r="G55" s="19"/>
      <c r="H55" s="20" t="str">
        <f t="shared" si="1"/>
        <v/>
      </c>
      <c r="I55" s="20"/>
      <c r="J55" s="10"/>
      <c r="K55" s="21"/>
      <c r="L55" s="29"/>
      <c r="M55" s="29"/>
    </row>
    <row r="56" spans="1:13" ht="21" customHeight="1">
      <c r="A56" s="10">
        <v>47</v>
      </c>
      <c r="B56" s="16"/>
      <c r="C56" s="16"/>
      <c r="D56" s="2"/>
      <c r="E56" s="7"/>
      <c r="F56" s="18"/>
      <c r="G56" s="19"/>
      <c r="H56" s="20" t="str">
        <f t="shared" si="1"/>
        <v/>
      </c>
      <c r="I56" s="20"/>
      <c r="J56" s="10"/>
      <c r="K56" s="21"/>
      <c r="L56" s="29"/>
      <c r="M56" s="29"/>
    </row>
    <row r="57" spans="1:13" ht="21" customHeight="1">
      <c r="A57" s="10">
        <v>48</v>
      </c>
      <c r="B57" s="16"/>
      <c r="C57" s="16"/>
      <c r="D57" s="2"/>
      <c r="E57" s="7"/>
      <c r="F57" s="18"/>
      <c r="G57" s="19"/>
      <c r="H57" s="20" t="str">
        <f t="shared" si="1"/>
        <v/>
      </c>
      <c r="I57" s="20"/>
      <c r="J57" s="10"/>
      <c r="K57" s="21"/>
      <c r="L57" s="29"/>
      <c r="M57" s="29"/>
    </row>
    <row r="58" spans="1:13" ht="21" customHeight="1">
      <c r="A58" s="10">
        <v>49</v>
      </c>
      <c r="B58" s="16"/>
      <c r="C58" s="2"/>
      <c r="D58" s="2"/>
      <c r="E58" s="7"/>
      <c r="F58" s="18"/>
      <c r="G58" s="19"/>
      <c r="H58" s="20" t="str">
        <f t="shared" si="1"/>
        <v/>
      </c>
      <c r="I58" s="20"/>
      <c r="J58" s="10"/>
      <c r="K58" s="21"/>
      <c r="L58" s="29"/>
      <c r="M58" s="29"/>
    </row>
    <row r="59" spans="1:13" ht="21" customHeight="1">
      <c r="A59" s="10">
        <v>50</v>
      </c>
      <c r="B59" s="16"/>
      <c r="C59" s="2"/>
      <c r="D59" s="2"/>
      <c r="E59" s="7"/>
      <c r="F59" s="18"/>
      <c r="G59" s="19"/>
      <c r="H59" s="20" t="str">
        <f t="shared" si="1"/>
        <v/>
      </c>
      <c r="I59" s="20"/>
      <c r="J59" s="10"/>
      <c r="K59" s="21"/>
      <c r="L59" s="29"/>
      <c r="M59" s="29"/>
    </row>
    <row r="60" spans="1:13" ht="21" customHeight="1">
      <c r="A60" s="10">
        <v>51</v>
      </c>
      <c r="B60" s="16"/>
      <c r="C60" s="2"/>
      <c r="D60" s="2"/>
      <c r="E60" s="7"/>
      <c r="F60" s="18"/>
      <c r="G60" s="19"/>
      <c r="H60" s="20" t="str">
        <f t="shared" si="1"/>
        <v/>
      </c>
      <c r="I60" s="20"/>
      <c r="J60" s="10"/>
      <c r="K60" s="21"/>
      <c r="L60" s="29"/>
      <c r="M60" s="29"/>
    </row>
    <row r="61" spans="1:13" ht="21" customHeight="1">
      <c r="A61" s="10">
        <v>52</v>
      </c>
      <c r="B61" s="16"/>
      <c r="C61" s="16"/>
      <c r="D61" s="2"/>
      <c r="E61" s="7"/>
      <c r="F61" s="18"/>
      <c r="G61" s="19"/>
      <c r="H61" s="20" t="str">
        <f t="shared" si="1"/>
        <v/>
      </c>
      <c r="I61" s="20"/>
      <c r="J61" s="10"/>
      <c r="K61" s="21"/>
      <c r="L61" s="29"/>
      <c r="M61" s="29"/>
    </row>
    <row r="62" spans="1:13" ht="21" customHeight="1">
      <c r="A62" s="10">
        <v>53</v>
      </c>
      <c r="B62" s="16"/>
      <c r="C62" s="16"/>
      <c r="D62" s="2"/>
      <c r="E62" s="7"/>
      <c r="F62" s="18"/>
      <c r="G62" s="19"/>
      <c r="H62" s="20" t="str">
        <f t="shared" si="1"/>
        <v/>
      </c>
      <c r="I62" s="20"/>
      <c r="J62" s="10"/>
      <c r="K62" s="21"/>
      <c r="L62" s="29"/>
      <c r="M62" s="29"/>
    </row>
    <row r="63" spans="1:13" ht="21" customHeight="1">
      <c r="A63" s="10">
        <v>54</v>
      </c>
      <c r="B63" s="16"/>
      <c r="C63" s="16"/>
      <c r="D63" s="2"/>
      <c r="E63" s="7"/>
      <c r="F63" s="18"/>
      <c r="G63" s="19"/>
      <c r="H63" s="20" t="str">
        <f t="shared" si="1"/>
        <v/>
      </c>
      <c r="I63" s="20"/>
      <c r="J63" s="10"/>
      <c r="K63" s="21"/>
      <c r="L63" s="29"/>
      <c r="M63" s="29"/>
    </row>
    <row r="64" spans="1:13" ht="21" customHeight="1">
      <c r="A64" s="10">
        <v>55</v>
      </c>
      <c r="B64" s="16"/>
      <c r="C64" s="2"/>
      <c r="D64" s="2"/>
      <c r="E64" s="53"/>
      <c r="F64" s="18"/>
      <c r="G64" s="19"/>
      <c r="H64" s="20" t="str">
        <f t="shared" si="1"/>
        <v/>
      </c>
      <c r="I64" s="20"/>
      <c r="J64" s="10"/>
      <c r="K64" s="21"/>
      <c r="L64" s="29"/>
      <c r="M64" s="29"/>
    </row>
    <row r="65" spans="1:13" ht="21" customHeight="1">
      <c r="A65" s="10">
        <v>56</v>
      </c>
      <c r="B65" s="16"/>
      <c r="C65" s="2"/>
      <c r="D65" s="2"/>
      <c r="E65" s="53"/>
      <c r="F65" s="18"/>
      <c r="G65" s="19"/>
      <c r="H65" s="20" t="str">
        <f t="shared" si="1"/>
        <v/>
      </c>
      <c r="I65" s="20"/>
      <c r="J65" s="10"/>
      <c r="K65" s="21"/>
      <c r="L65" s="29"/>
      <c r="M65" s="29"/>
    </row>
    <row r="66" spans="1:13" ht="21" customHeight="1">
      <c r="A66" s="10">
        <v>57</v>
      </c>
      <c r="B66" s="16"/>
      <c r="C66" s="16"/>
      <c r="D66" s="16"/>
      <c r="E66" s="7"/>
      <c r="F66" s="18"/>
      <c r="G66" s="19"/>
      <c r="H66" s="20" t="str">
        <f t="shared" si="1"/>
        <v/>
      </c>
      <c r="I66" s="20"/>
      <c r="J66" s="10"/>
      <c r="K66" s="21"/>
      <c r="L66" s="29"/>
      <c r="M66" s="29"/>
    </row>
    <row r="67" spans="1:13" ht="21" customHeight="1">
      <c r="A67" s="10">
        <v>58</v>
      </c>
      <c r="B67" s="16"/>
      <c r="C67" s="16"/>
      <c r="D67" s="16"/>
      <c r="E67" s="7"/>
      <c r="F67" s="18"/>
      <c r="G67" s="19"/>
      <c r="H67" s="20" t="str">
        <f t="shared" si="1"/>
        <v/>
      </c>
      <c r="I67" s="20"/>
      <c r="J67" s="10"/>
      <c r="K67" s="21"/>
      <c r="L67" s="29"/>
      <c r="M67" s="29"/>
    </row>
    <row r="68" spans="1:13" ht="21" customHeight="1">
      <c r="A68" s="10">
        <v>59</v>
      </c>
      <c r="B68" s="16"/>
      <c r="C68" s="16"/>
      <c r="D68" s="16"/>
      <c r="E68" s="7"/>
      <c r="F68" s="18"/>
      <c r="G68" s="19"/>
      <c r="H68" s="20" t="str">
        <f t="shared" si="1"/>
        <v/>
      </c>
      <c r="I68" s="20"/>
      <c r="J68" s="10"/>
      <c r="K68" s="21"/>
      <c r="L68" s="29"/>
      <c r="M68" s="29"/>
    </row>
    <row r="69" spans="1:13" ht="21" customHeight="1">
      <c r="A69" s="10">
        <v>60</v>
      </c>
      <c r="B69" s="16"/>
      <c r="C69" s="16"/>
      <c r="D69" s="16"/>
      <c r="E69" s="7"/>
      <c r="F69" s="18"/>
      <c r="G69" s="19"/>
      <c r="H69" s="20" t="str">
        <f t="shared" si="1"/>
        <v/>
      </c>
      <c r="I69" s="20"/>
      <c r="J69" s="10"/>
      <c r="K69" s="21"/>
      <c r="L69" s="29"/>
      <c r="M69" s="29"/>
    </row>
    <row r="70" spans="1:13" ht="21" customHeight="1">
      <c r="A70" s="10">
        <v>61</v>
      </c>
      <c r="B70" s="16"/>
      <c r="C70" s="16"/>
      <c r="D70" s="16"/>
      <c r="E70" s="7"/>
      <c r="F70" s="18"/>
      <c r="G70" s="19"/>
      <c r="H70" s="20" t="str">
        <f t="shared" si="1"/>
        <v/>
      </c>
      <c r="I70" s="20"/>
      <c r="J70" s="10"/>
      <c r="K70" s="21"/>
      <c r="L70" s="29"/>
      <c r="M70" s="29"/>
    </row>
    <row r="71" spans="1:13" ht="21" customHeight="1">
      <c r="A71" s="10">
        <v>62</v>
      </c>
      <c r="B71" s="16"/>
      <c r="C71" s="16"/>
      <c r="D71" s="16"/>
      <c r="E71" s="7"/>
      <c r="F71" s="18"/>
      <c r="G71" s="19"/>
      <c r="H71" s="20" t="str">
        <f t="shared" si="1"/>
        <v/>
      </c>
      <c r="I71" s="20"/>
      <c r="J71" s="10"/>
      <c r="K71" s="21"/>
      <c r="L71" s="29"/>
      <c r="M71" s="29"/>
    </row>
    <row r="72" spans="1:13" ht="21" customHeight="1">
      <c r="A72" s="10">
        <v>63</v>
      </c>
      <c r="B72" s="16"/>
      <c r="C72" s="16"/>
      <c r="D72" s="16"/>
      <c r="E72" s="7"/>
      <c r="F72" s="18"/>
      <c r="G72" s="19"/>
      <c r="H72" s="20" t="str">
        <f t="shared" si="1"/>
        <v/>
      </c>
      <c r="I72" s="20"/>
      <c r="J72" s="10"/>
      <c r="K72" s="21"/>
      <c r="L72" s="29"/>
      <c r="M72" s="29"/>
    </row>
    <row r="73" spans="1:13" ht="21" customHeight="1">
      <c r="A73" s="10">
        <v>64</v>
      </c>
      <c r="B73" s="16"/>
      <c r="C73" s="16"/>
      <c r="D73" s="16"/>
      <c r="E73" s="7"/>
      <c r="F73" s="18"/>
      <c r="G73" s="19"/>
      <c r="H73" s="20" t="str">
        <f t="shared" si="1"/>
        <v/>
      </c>
      <c r="I73" s="20"/>
      <c r="J73" s="10"/>
      <c r="K73" s="21"/>
      <c r="L73" s="29"/>
      <c r="M73" s="29"/>
    </row>
    <row r="74" spans="1:13" ht="21" customHeight="1">
      <c r="A74" s="10">
        <v>65</v>
      </c>
      <c r="B74" s="16"/>
      <c r="C74" s="16"/>
      <c r="D74" s="16"/>
      <c r="E74" s="7"/>
      <c r="F74" s="18"/>
      <c r="G74" s="19"/>
      <c r="H74" s="20" t="str">
        <f t="shared" si="1"/>
        <v/>
      </c>
      <c r="I74" s="20"/>
      <c r="J74" s="10"/>
      <c r="K74" s="21"/>
      <c r="L74" s="29"/>
      <c r="M74" s="29"/>
    </row>
    <row r="75" spans="1:13" ht="21" customHeight="1">
      <c r="A75" s="10">
        <v>66</v>
      </c>
      <c r="B75" s="16"/>
      <c r="C75" s="16"/>
      <c r="D75" s="16"/>
      <c r="E75" s="7"/>
      <c r="F75" s="18"/>
      <c r="G75" s="19"/>
      <c r="H75" s="20" t="str">
        <f t="shared" si="1"/>
        <v/>
      </c>
      <c r="I75" s="20"/>
      <c r="J75" s="10"/>
      <c r="K75" s="21"/>
      <c r="L75" s="29"/>
      <c r="M75" s="29"/>
    </row>
    <row r="76" spans="1:13" ht="21" customHeight="1">
      <c r="A76" s="10">
        <v>67</v>
      </c>
      <c r="B76" s="16"/>
      <c r="C76" s="16"/>
      <c r="D76" s="16"/>
      <c r="E76" s="7"/>
      <c r="F76" s="18"/>
      <c r="G76" s="19"/>
      <c r="H76" s="20" t="str">
        <f t="shared" si="1"/>
        <v/>
      </c>
      <c r="I76" s="20"/>
      <c r="J76" s="10"/>
      <c r="K76" s="21"/>
      <c r="L76" s="29"/>
      <c r="M76" s="29"/>
    </row>
    <row r="77" spans="1:13" ht="21" customHeight="1">
      <c r="A77" s="10">
        <v>68</v>
      </c>
      <c r="B77" s="16"/>
      <c r="C77" s="16"/>
      <c r="D77" s="16"/>
      <c r="E77" s="7"/>
      <c r="F77" s="18"/>
      <c r="G77" s="19"/>
      <c r="H77" s="20" t="str">
        <f t="shared" si="1"/>
        <v/>
      </c>
      <c r="I77" s="20"/>
      <c r="J77" s="10"/>
      <c r="K77" s="21"/>
      <c r="L77" s="29"/>
      <c r="M77" s="29"/>
    </row>
    <row r="78" spans="1:13" ht="21" customHeight="1">
      <c r="A78" s="10">
        <v>69</v>
      </c>
      <c r="B78" s="16"/>
      <c r="C78" s="16"/>
      <c r="D78" s="16"/>
      <c r="E78" s="7"/>
      <c r="F78" s="18"/>
      <c r="G78" s="19"/>
      <c r="H78" s="20" t="str">
        <f t="shared" si="1"/>
        <v/>
      </c>
      <c r="I78" s="20"/>
      <c r="J78" s="10"/>
      <c r="K78" s="21"/>
      <c r="L78" s="29"/>
      <c r="M78" s="29"/>
    </row>
    <row r="79" spans="1:13" ht="21" customHeight="1">
      <c r="A79" s="10">
        <v>70</v>
      </c>
      <c r="B79" s="16"/>
      <c r="C79" s="16"/>
      <c r="D79" s="16"/>
      <c r="E79" s="7"/>
      <c r="F79" s="18"/>
      <c r="G79" s="19"/>
      <c r="H79" s="20" t="str">
        <f t="shared" si="1"/>
        <v/>
      </c>
      <c r="I79" s="20"/>
      <c r="J79" s="10"/>
      <c r="K79" s="21"/>
      <c r="L79" s="29"/>
      <c r="M79" s="29"/>
    </row>
    <row r="80" spans="1:13" ht="21" customHeight="1">
      <c r="A80" s="10">
        <v>71</v>
      </c>
      <c r="B80" s="16"/>
      <c r="C80" s="16"/>
      <c r="D80" s="16"/>
      <c r="E80" s="7"/>
      <c r="F80" s="18"/>
      <c r="G80" s="19"/>
      <c r="H80" s="20" t="str">
        <f t="shared" si="1"/>
        <v/>
      </c>
      <c r="I80" s="20"/>
      <c r="J80" s="10"/>
      <c r="K80" s="21"/>
      <c r="L80" s="29"/>
      <c r="M80" s="29"/>
    </row>
    <row r="81" spans="1:13" ht="21" customHeight="1">
      <c r="A81" s="10">
        <v>72</v>
      </c>
      <c r="B81" s="16"/>
      <c r="C81" s="16"/>
      <c r="D81" s="16"/>
      <c r="E81" s="7"/>
      <c r="F81" s="18"/>
      <c r="G81" s="19"/>
      <c r="H81" s="20" t="str">
        <f t="shared" si="1"/>
        <v/>
      </c>
      <c r="I81" s="20"/>
      <c r="J81" s="10"/>
      <c r="K81" s="21"/>
      <c r="L81" s="29"/>
      <c r="M81" s="29"/>
    </row>
    <row r="82" spans="1:13" ht="21" customHeight="1">
      <c r="A82" s="10">
        <v>73</v>
      </c>
      <c r="B82" s="16"/>
      <c r="C82" s="16"/>
      <c r="D82" s="16"/>
      <c r="E82" s="7"/>
      <c r="F82" s="18"/>
      <c r="G82" s="19"/>
      <c r="H82" s="20" t="str">
        <f t="shared" si="1"/>
        <v/>
      </c>
      <c r="I82" s="20"/>
      <c r="J82" s="10"/>
      <c r="K82" s="21"/>
      <c r="L82" s="29"/>
      <c r="M82" s="29"/>
    </row>
    <row r="83" spans="1:13" ht="21" customHeight="1">
      <c r="A83" s="10">
        <v>74</v>
      </c>
      <c r="B83" s="16"/>
      <c r="C83" s="16"/>
      <c r="D83" s="16"/>
      <c r="E83" s="7"/>
      <c r="F83" s="18"/>
      <c r="G83" s="19"/>
      <c r="H83" s="20" t="str">
        <f t="shared" si="1"/>
        <v/>
      </c>
      <c r="I83" s="20"/>
      <c r="J83" s="10"/>
      <c r="K83" s="21"/>
      <c r="L83" s="29"/>
      <c r="M83" s="29"/>
    </row>
    <row r="84" spans="1:13" ht="21" customHeight="1">
      <c r="A84" s="10">
        <v>75</v>
      </c>
      <c r="B84" s="16"/>
      <c r="C84" s="16"/>
      <c r="D84" s="16"/>
      <c r="E84" s="7"/>
      <c r="F84" s="18"/>
      <c r="G84" s="19"/>
      <c r="H84" s="20" t="str">
        <f t="shared" si="1"/>
        <v/>
      </c>
      <c r="I84" s="20"/>
      <c r="J84" s="10"/>
      <c r="K84" s="21"/>
      <c r="L84" s="29"/>
      <c r="M84" s="29"/>
    </row>
    <row r="85" spans="1:13" ht="21" customHeight="1">
      <c r="A85" s="10">
        <v>76</v>
      </c>
      <c r="B85" s="16"/>
      <c r="C85" s="16"/>
      <c r="D85" s="16"/>
      <c r="E85" s="7"/>
      <c r="F85" s="18"/>
      <c r="G85" s="19"/>
      <c r="H85" s="20" t="str">
        <f t="shared" si="1"/>
        <v/>
      </c>
      <c r="I85" s="20"/>
      <c r="J85" s="10"/>
      <c r="K85" s="21"/>
      <c r="L85" s="29"/>
      <c r="M85" s="29"/>
    </row>
    <row r="86" spans="1:13" ht="21" customHeight="1">
      <c r="A86" s="10">
        <v>77</v>
      </c>
      <c r="B86" s="16"/>
      <c r="C86" s="16"/>
      <c r="D86" s="16"/>
      <c r="E86" s="7"/>
      <c r="F86" s="18"/>
      <c r="G86" s="19"/>
      <c r="H86" s="20" t="str">
        <f t="shared" si="1"/>
        <v/>
      </c>
      <c r="I86" s="20"/>
      <c r="J86" s="10"/>
      <c r="K86" s="21"/>
      <c r="L86" s="29"/>
      <c r="M86" s="29"/>
    </row>
    <row r="87" spans="1:13" ht="21" customHeight="1">
      <c r="A87" s="10">
        <v>78</v>
      </c>
      <c r="B87" s="16"/>
      <c r="C87" s="16"/>
      <c r="D87" s="16"/>
      <c r="E87" s="7"/>
      <c r="F87" s="18"/>
      <c r="G87" s="19"/>
      <c r="H87" s="20" t="str">
        <f t="shared" si="1"/>
        <v/>
      </c>
      <c r="I87" s="20"/>
      <c r="J87" s="10"/>
      <c r="K87" s="21"/>
      <c r="L87" s="29"/>
      <c r="M87" s="29"/>
    </row>
    <row r="88" spans="1:13" ht="21" customHeight="1">
      <c r="A88" s="10">
        <v>79</v>
      </c>
      <c r="B88" s="16"/>
      <c r="C88" s="16"/>
      <c r="D88" s="16"/>
      <c r="E88" s="7"/>
      <c r="F88" s="18"/>
      <c r="G88" s="19"/>
      <c r="H88" s="20" t="str">
        <f t="shared" si="1"/>
        <v/>
      </c>
      <c r="I88" s="20"/>
      <c r="J88" s="10"/>
      <c r="K88" s="21"/>
      <c r="L88" s="29"/>
      <c r="M88" s="29"/>
    </row>
    <row r="89" spans="1:13" ht="21" customHeight="1">
      <c r="A89" s="10">
        <v>80</v>
      </c>
      <c r="B89" s="16"/>
      <c r="C89" s="16"/>
      <c r="D89" s="16"/>
      <c r="E89" s="7"/>
      <c r="F89" s="18"/>
      <c r="G89" s="19"/>
      <c r="H89" s="20" t="str">
        <f t="shared" si="1"/>
        <v/>
      </c>
      <c r="I89" s="20"/>
      <c r="J89" s="10"/>
      <c r="K89" s="21"/>
      <c r="L89" s="29"/>
      <c r="M89" s="29"/>
    </row>
    <row r="90" spans="1:13" ht="21" customHeight="1">
      <c r="A90" s="10">
        <v>81</v>
      </c>
      <c r="B90" s="16"/>
      <c r="C90" s="16"/>
      <c r="D90" s="16"/>
      <c r="E90" s="7"/>
      <c r="F90" s="18"/>
      <c r="G90" s="19"/>
      <c r="H90" s="20" t="str">
        <f t="shared" si="1"/>
        <v/>
      </c>
      <c r="I90" s="20"/>
      <c r="J90" s="10"/>
      <c r="K90" s="21"/>
      <c r="L90" s="29"/>
      <c r="M90" s="29"/>
    </row>
    <row r="91" spans="1:13" ht="21" customHeight="1">
      <c r="A91" s="10">
        <v>82</v>
      </c>
      <c r="B91" s="16"/>
      <c r="C91" s="16"/>
      <c r="D91" s="16"/>
      <c r="E91" s="7"/>
      <c r="F91" s="18"/>
      <c r="G91" s="19"/>
      <c r="H91" s="20" t="str">
        <f t="shared" si="1"/>
        <v/>
      </c>
      <c r="I91" s="20"/>
      <c r="J91" s="10"/>
      <c r="K91" s="21"/>
      <c r="L91" s="29"/>
      <c r="M91" s="29"/>
    </row>
    <row r="92" spans="1:13" ht="21" customHeight="1">
      <c r="A92" s="10">
        <v>83</v>
      </c>
      <c r="B92" s="16"/>
      <c r="C92" s="16"/>
      <c r="D92" s="16"/>
      <c r="E92" s="7"/>
      <c r="F92" s="18"/>
      <c r="G92" s="19"/>
      <c r="H92" s="20" t="str">
        <f t="shared" si="1"/>
        <v/>
      </c>
      <c r="I92" s="20"/>
      <c r="J92" s="10"/>
      <c r="K92" s="21"/>
      <c r="L92" s="29"/>
      <c r="M92" s="29"/>
    </row>
    <row r="93" spans="1:13" ht="21" customHeight="1">
      <c r="A93" s="10">
        <v>84</v>
      </c>
      <c r="B93" s="16"/>
      <c r="C93" s="16"/>
      <c r="D93" s="16"/>
      <c r="E93" s="7"/>
      <c r="F93" s="18"/>
      <c r="G93" s="19"/>
      <c r="H93" s="20"/>
      <c r="I93" s="20"/>
      <c r="J93" s="10"/>
      <c r="K93" s="21"/>
      <c r="L93" s="29"/>
      <c r="M93" s="29"/>
    </row>
    <row r="94" spans="1:13" ht="21" customHeight="1">
      <c r="A94" s="10">
        <v>85</v>
      </c>
      <c r="B94" s="16"/>
      <c r="C94" s="16"/>
      <c r="D94" s="16"/>
      <c r="E94" s="7"/>
      <c r="F94" s="18"/>
      <c r="G94" s="19"/>
      <c r="H94" s="20"/>
      <c r="I94" s="20"/>
      <c r="J94" s="10"/>
      <c r="K94" s="21"/>
      <c r="L94" s="29"/>
      <c r="M94" s="29"/>
    </row>
    <row r="95" spans="1:13" ht="21" customHeight="1">
      <c r="A95" s="10">
        <v>86</v>
      </c>
      <c r="B95" s="16"/>
      <c r="C95" s="16"/>
      <c r="D95" s="16"/>
      <c r="E95" s="7"/>
      <c r="F95" s="18"/>
      <c r="G95" s="19"/>
      <c r="H95" s="20"/>
      <c r="I95" s="20"/>
      <c r="J95" s="10"/>
      <c r="K95" s="21"/>
      <c r="L95" s="29"/>
      <c r="M95" s="29"/>
    </row>
    <row r="96" spans="1:13" ht="21" customHeight="1">
      <c r="A96" s="10">
        <v>87</v>
      </c>
      <c r="B96" s="16"/>
      <c r="C96" s="16"/>
      <c r="D96" s="16"/>
      <c r="E96" s="7"/>
      <c r="F96" s="18"/>
      <c r="G96" s="19"/>
      <c r="H96" s="20"/>
      <c r="I96" s="20"/>
      <c r="J96" s="10"/>
      <c r="K96" s="21"/>
      <c r="L96" s="29"/>
      <c r="M96" s="29"/>
    </row>
    <row r="97" spans="1:13" ht="21" customHeight="1">
      <c r="A97" s="10">
        <v>88</v>
      </c>
      <c r="B97" s="16"/>
      <c r="C97" s="16"/>
      <c r="D97" s="16"/>
      <c r="E97" s="7"/>
      <c r="F97" s="18"/>
      <c r="G97" s="19"/>
      <c r="H97" s="20"/>
      <c r="I97" s="20"/>
      <c r="J97" s="10"/>
      <c r="K97" s="21"/>
      <c r="L97" s="29"/>
      <c r="M97" s="29"/>
    </row>
    <row r="98" spans="1:13" ht="21" customHeight="1">
      <c r="A98" s="10">
        <v>89</v>
      </c>
      <c r="B98" s="16"/>
      <c r="C98" s="16"/>
      <c r="D98" s="16"/>
      <c r="E98" s="7"/>
      <c r="F98" s="18"/>
      <c r="G98" s="19"/>
      <c r="H98" s="20"/>
      <c r="I98" s="20"/>
      <c r="J98" s="10"/>
      <c r="K98" s="21"/>
      <c r="L98" s="29"/>
      <c r="M98" s="29"/>
    </row>
    <row r="99" spans="1:13" ht="21" customHeight="1">
      <c r="A99" s="10">
        <v>90</v>
      </c>
      <c r="B99" s="16"/>
      <c r="C99" s="16"/>
      <c r="D99" s="16"/>
      <c r="E99" s="7"/>
      <c r="F99" s="18"/>
      <c r="G99" s="19"/>
      <c r="H99" s="20"/>
      <c r="I99" s="20"/>
      <c r="J99" s="10"/>
      <c r="K99" s="21"/>
      <c r="L99" s="29"/>
      <c r="M99" s="29"/>
    </row>
    <row r="100" spans="1:13" ht="21" customHeight="1">
      <c r="A100" s="10">
        <v>91</v>
      </c>
      <c r="B100" s="16"/>
      <c r="C100" s="16"/>
      <c r="D100" s="16"/>
      <c r="E100" s="7"/>
      <c r="F100" s="18"/>
      <c r="G100" s="19"/>
      <c r="H100" s="20"/>
      <c r="I100" s="20"/>
      <c r="J100" s="10"/>
      <c r="K100" s="21"/>
      <c r="L100" s="29"/>
      <c r="M100" s="29"/>
    </row>
    <row r="101" spans="1:13" ht="21" customHeight="1">
      <c r="A101" s="10">
        <v>92</v>
      </c>
      <c r="B101" s="16"/>
      <c r="C101" s="16"/>
      <c r="D101" s="16"/>
      <c r="E101" s="7"/>
      <c r="F101" s="18"/>
      <c r="G101" s="19"/>
      <c r="H101" s="20"/>
      <c r="I101" s="20"/>
      <c r="J101" s="10"/>
      <c r="K101" s="21"/>
      <c r="L101" s="29"/>
      <c r="M101" s="29"/>
    </row>
    <row r="102" spans="1:13" ht="21" customHeight="1">
      <c r="A102" s="10">
        <v>93</v>
      </c>
      <c r="B102" s="16"/>
      <c r="C102" s="16"/>
      <c r="D102" s="16"/>
      <c r="E102" s="7"/>
      <c r="F102" s="18"/>
      <c r="G102" s="19"/>
      <c r="H102" s="20"/>
      <c r="I102" s="20"/>
      <c r="J102" s="10"/>
      <c r="K102" s="21"/>
      <c r="L102" s="29"/>
      <c r="M102" s="29"/>
    </row>
    <row r="103" spans="1:13" ht="21" customHeight="1">
      <c r="A103" s="10">
        <v>94</v>
      </c>
      <c r="B103" s="16"/>
      <c r="C103" s="16"/>
      <c r="D103" s="16"/>
      <c r="E103" s="7"/>
      <c r="F103" s="18"/>
      <c r="G103" s="19"/>
      <c r="H103" s="20"/>
      <c r="I103" s="20"/>
      <c r="J103" s="10"/>
      <c r="K103" s="21"/>
      <c r="L103" s="29"/>
      <c r="M103" s="29"/>
    </row>
    <row r="104" spans="1:13" ht="21" customHeight="1">
      <c r="A104" s="10">
        <v>95</v>
      </c>
      <c r="B104" s="16"/>
      <c r="C104" s="16"/>
      <c r="D104" s="16"/>
      <c r="E104" s="7"/>
      <c r="F104" s="18"/>
      <c r="G104" s="19"/>
      <c r="H104" s="20"/>
      <c r="I104" s="20"/>
      <c r="J104" s="10"/>
      <c r="K104" s="21"/>
      <c r="L104" s="29"/>
      <c r="M104" s="29"/>
    </row>
    <row r="105" spans="1:13" ht="21" customHeight="1">
      <c r="A105" s="10">
        <v>96</v>
      </c>
      <c r="B105" s="16"/>
      <c r="C105" s="16"/>
      <c r="D105" s="16"/>
      <c r="E105" s="7"/>
      <c r="F105" s="18"/>
      <c r="G105" s="19"/>
      <c r="H105" s="20"/>
      <c r="I105" s="20"/>
      <c r="J105" s="10"/>
      <c r="K105" s="21"/>
      <c r="L105" s="29"/>
      <c r="M105" s="29"/>
    </row>
    <row r="106" spans="1:13" ht="21" customHeight="1">
      <c r="A106" s="10">
        <v>97</v>
      </c>
      <c r="B106" s="16"/>
      <c r="C106" s="16"/>
      <c r="D106" s="16"/>
      <c r="E106" s="7"/>
      <c r="F106" s="18"/>
      <c r="G106" s="19"/>
      <c r="H106" s="20"/>
      <c r="I106" s="20"/>
      <c r="J106" s="10"/>
      <c r="K106" s="21"/>
      <c r="L106" s="29"/>
      <c r="M106" s="29"/>
    </row>
    <row r="107" spans="1:13" ht="21" customHeight="1">
      <c r="A107" s="10">
        <v>98</v>
      </c>
      <c r="B107" s="16"/>
      <c r="C107" s="16"/>
      <c r="D107" s="16"/>
      <c r="E107" s="7"/>
      <c r="F107" s="18"/>
      <c r="G107" s="19"/>
      <c r="H107" s="20"/>
      <c r="I107" s="20"/>
      <c r="J107" s="10"/>
      <c r="K107" s="21"/>
      <c r="L107" s="29"/>
      <c r="M107" s="29"/>
    </row>
    <row r="108" spans="1:13" ht="21" customHeight="1">
      <c r="A108" s="10">
        <v>99</v>
      </c>
      <c r="B108" s="16"/>
      <c r="C108" s="16"/>
      <c r="D108" s="16"/>
      <c r="E108" s="7"/>
      <c r="F108" s="18"/>
      <c r="G108" s="19"/>
      <c r="H108" s="20"/>
      <c r="I108" s="20"/>
      <c r="J108" s="10"/>
      <c r="K108" s="21"/>
      <c r="L108" s="29"/>
      <c r="M108" s="29"/>
    </row>
    <row r="109" spans="1:13" ht="21" customHeight="1">
      <c r="A109" s="10">
        <v>100</v>
      </c>
      <c r="B109" s="16"/>
      <c r="C109" s="16"/>
      <c r="D109" s="16"/>
      <c r="E109" s="7"/>
      <c r="F109" s="18"/>
      <c r="G109" s="19"/>
      <c r="H109" s="20"/>
      <c r="I109" s="20"/>
      <c r="J109" s="10"/>
      <c r="K109" s="21"/>
      <c r="L109" s="29"/>
      <c r="M109" s="29"/>
    </row>
    <row r="110" spans="1:13" ht="21" customHeight="1">
      <c r="A110" s="10">
        <v>101</v>
      </c>
      <c r="B110" s="16"/>
      <c r="C110" s="16"/>
      <c r="D110" s="16"/>
      <c r="E110" s="7"/>
      <c r="F110" s="18"/>
      <c r="G110" s="19"/>
      <c r="H110" s="20"/>
      <c r="I110" s="20"/>
      <c r="J110" s="10"/>
      <c r="K110" s="21"/>
      <c r="L110" s="29"/>
      <c r="M110" s="29"/>
    </row>
    <row r="111" spans="1:13" ht="21" customHeight="1">
      <c r="A111" s="10">
        <v>102</v>
      </c>
      <c r="B111" s="16"/>
      <c r="C111" s="16"/>
      <c r="D111" s="16"/>
      <c r="E111" s="7"/>
      <c r="F111" s="18"/>
      <c r="G111" s="19"/>
      <c r="H111" s="20"/>
      <c r="I111" s="20"/>
      <c r="J111" s="10"/>
      <c r="K111" s="21"/>
      <c r="L111" s="29"/>
      <c r="M111" s="29"/>
    </row>
    <row r="112" spans="1:13" ht="21" customHeight="1">
      <c r="A112" s="10"/>
      <c r="B112" s="16"/>
      <c r="C112" s="16"/>
      <c r="D112" s="16"/>
      <c r="E112" s="7"/>
      <c r="F112" s="18"/>
      <c r="G112" s="19"/>
      <c r="H112" s="20" t="str">
        <f t="shared" ref="H112:H123" si="4">IF(G112="","",(F112*100000000+G112)-7*INT((F112*100000000+G112)/7))</f>
        <v/>
      </c>
      <c r="I112" s="20"/>
      <c r="J112" s="10"/>
      <c r="K112" s="21"/>
      <c r="L112" s="29"/>
      <c r="M112" s="29"/>
    </row>
    <row r="113" spans="1:13" ht="21" customHeight="1">
      <c r="A113" s="10"/>
      <c r="B113" s="16"/>
      <c r="C113" s="16"/>
      <c r="D113" s="16"/>
      <c r="E113" s="7"/>
      <c r="F113" s="18"/>
      <c r="G113" s="19"/>
      <c r="H113" s="20" t="str">
        <f t="shared" si="4"/>
        <v/>
      </c>
      <c r="I113" s="20"/>
      <c r="J113" s="10"/>
      <c r="K113" s="21"/>
      <c r="L113" s="29"/>
      <c r="M113" s="29"/>
    </row>
    <row r="114" spans="1:13" ht="21" customHeight="1">
      <c r="A114" s="10"/>
      <c r="B114" s="16"/>
      <c r="C114" s="16"/>
      <c r="D114" s="16"/>
      <c r="E114" s="7"/>
      <c r="F114" s="18"/>
      <c r="G114" s="19"/>
      <c r="H114" s="20" t="str">
        <f t="shared" si="4"/>
        <v/>
      </c>
      <c r="I114" s="20"/>
      <c r="J114" s="10"/>
      <c r="K114" s="21"/>
      <c r="L114" s="29"/>
      <c r="M114" s="29"/>
    </row>
    <row r="115" spans="1:13" ht="21" customHeight="1">
      <c r="A115" s="10"/>
      <c r="B115" s="16"/>
      <c r="C115" s="16"/>
      <c r="D115" s="16"/>
      <c r="E115" s="7"/>
      <c r="F115" s="18"/>
      <c r="G115" s="19"/>
      <c r="H115" s="20" t="str">
        <f t="shared" si="4"/>
        <v/>
      </c>
      <c r="I115" s="20"/>
      <c r="J115" s="10"/>
      <c r="K115" s="21"/>
      <c r="L115" s="29"/>
      <c r="M115" s="29"/>
    </row>
    <row r="116" spans="1:13" ht="21" customHeight="1">
      <c r="A116" s="10"/>
      <c r="B116" s="16"/>
      <c r="C116" s="16"/>
      <c r="D116" s="16"/>
      <c r="E116" s="7"/>
      <c r="F116" s="18"/>
      <c r="G116" s="19"/>
      <c r="H116" s="20" t="str">
        <f t="shared" si="4"/>
        <v/>
      </c>
      <c r="I116" s="20"/>
      <c r="J116" s="10"/>
      <c r="K116" s="21"/>
      <c r="L116" s="29"/>
      <c r="M116" s="29"/>
    </row>
    <row r="117" spans="1:13" ht="21" customHeight="1">
      <c r="A117" s="10"/>
      <c r="B117" s="16"/>
      <c r="C117" s="16"/>
      <c r="D117" s="16"/>
      <c r="E117" s="7"/>
      <c r="F117" s="18"/>
      <c r="G117" s="19"/>
      <c r="H117" s="20" t="str">
        <f t="shared" si="4"/>
        <v/>
      </c>
      <c r="I117" s="20"/>
      <c r="J117" s="10"/>
      <c r="K117" s="21"/>
      <c r="L117" s="29"/>
      <c r="M117" s="29"/>
    </row>
    <row r="118" spans="1:13" ht="21" customHeight="1">
      <c r="A118" s="10"/>
      <c r="B118" s="16"/>
      <c r="C118" s="16"/>
      <c r="D118" s="16"/>
      <c r="E118" s="7"/>
      <c r="F118" s="18"/>
      <c r="G118" s="19"/>
      <c r="H118" s="20" t="str">
        <f t="shared" si="4"/>
        <v/>
      </c>
      <c r="I118" s="20"/>
      <c r="J118" s="10"/>
      <c r="K118" s="21"/>
      <c r="L118" s="29"/>
      <c r="M118" s="29"/>
    </row>
    <row r="119" spans="1:13" ht="21" customHeight="1">
      <c r="A119" s="10"/>
      <c r="B119" s="16"/>
      <c r="C119" s="16"/>
      <c r="D119" s="16"/>
      <c r="E119" s="7"/>
      <c r="F119" s="18"/>
      <c r="G119" s="19"/>
      <c r="H119" s="20" t="str">
        <f t="shared" si="4"/>
        <v/>
      </c>
      <c r="I119" s="20"/>
      <c r="J119" s="10"/>
      <c r="K119" s="21"/>
      <c r="L119" s="29"/>
      <c r="M119" s="29"/>
    </row>
    <row r="120" spans="1:13" ht="21" customHeight="1">
      <c r="A120" s="10"/>
      <c r="B120" s="16"/>
      <c r="C120" s="16"/>
      <c r="D120" s="16"/>
      <c r="E120" s="7"/>
      <c r="F120" s="18"/>
      <c r="G120" s="19"/>
      <c r="H120" s="20" t="str">
        <f t="shared" si="4"/>
        <v/>
      </c>
      <c r="I120" s="20"/>
      <c r="J120" s="10"/>
      <c r="K120" s="21"/>
      <c r="L120" s="29"/>
      <c r="M120" s="29"/>
    </row>
    <row r="121" spans="1:13" ht="21" customHeight="1">
      <c r="A121" s="10"/>
      <c r="B121" s="16"/>
      <c r="C121" s="16"/>
      <c r="D121" s="16"/>
      <c r="E121" s="7"/>
      <c r="F121" s="18"/>
      <c r="G121" s="19"/>
      <c r="H121" s="20" t="str">
        <f t="shared" si="4"/>
        <v/>
      </c>
      <c r="I121" s="20"/>
      <c r="J121" s="10"/>
      <c r="K121" s="21"/>
      <c r="L121" s="29"/>
      <c r="M121" s="29"/>
    </row>
    <row r="122" spans="1:13" ht="21" customHeight="1">
      <c r="A122" s="10"/>
      <c r="B122" s="16"/>
      <c r="C122" s="16"/>
      <c r="D122" s="16"/>
      <c r="E122" s="7"/>
      <c r="F122" s="18"/>
      <c r="G122" s="19"/>
      <c r="H122" s="20" t="str">
        <f t="shared" si="4"/>
        <v/>
      </c>
      <c r="I122" s="20"/>
      <c r="J122" s="10"/>
      <c r="K122" s="21"/>
      <c r="L122" s="29"/>
      <c r="M122" s="29"/>
    </row>
    <row r="123" spans="1:13" ht="21" customHeight="1">
      <c r="A123" s="10"/>
      <c r="B123" s="16"/>
      <c r="C123" s="16"/>
      <c r="D123" s="16"/>
      <c r="E123" s="7"/>
      <c r="F123" s="18"/>
      <c r="G123" s="19"/>
      <c r="H123" s="20" t="str">
        <f t="shared" si="4"/>
        <v/>
      </c>
      <c r="I123" s="20"/>
      <c r="J123" s="10"/>
      <c r="K123" s="21"/>
      <c r="L123" s="29"/>
      <c r="M123" s="29"/>
    </row>
    <row r="124" spans="1:13" ht="21" customHeight="1">
      <c r="A124" s="10"/>
      <c r="B124" s="16"/>
      <c r="C124" s="16"/>
      <c r="D124" s="16"/>
      <c r="E124" s="7"/>
      <c r="F124" s="18"/>
      <c r="G124" s="19"/>
      <c r="H124" s="20" t="str">
        <f t="shared" ref="H124:H155" si="5">IF(G124="","",(F124*100000000+G124)-7*INT((F124*100000000+G124)/7))</f>
        <v/>
      </c>
      <c r="I124" s="20"/>
      <c r="J124" s="10"/>
      <c r="K124" s="21"/>
      <c r="L124" s="29"/>
      <c r="M124" s="29"/>
    </row>
    <row r="125" spans="1:13" ht="21" customHeight="1">
      <c r="A125" s="10"/>
      <c r="B125" s="16"/>
      <c r="C125" s="16"/>
      <c r="D125" s="16"/>
      <c r="E125" s="7"/>
      <c r="F125" s="18"/>
      <c r="G125" s="19"/>
      <c r="H125" s="20" t="str">
        <f t="shared" si="5"/>
        <v/>
      </c>
      <c r="I125" s="20"/>
      <c r="J125" s="10"/>
      <c r="K125" s="21"/>
      <c r="L125" s="29"/>
      <c r="M125" s="29"/>
    </row>
    <row r="126" spans="1:13" ht="21" customHeight="1">
      <c r="A126" s="10"/>
      <c r="B126" s="16"/>
      <c r="C126" s="16"/>
      <c r="D126" s="16"/>
      <c r="E126" s="7"/>
      <c r="F126" s="18"/>
      <c r="G126" s="19"/>
      <c r="H126" s="20" t="str">
        <f t="shared" si="5"/>
        <v/>
      </c>
      <c r="I126" s="20"/>
      <c r="J126" s="10"/>
      <c r="K126" s="21"/>
      <c r="L126" s="29"/>
      <c r="M126" s="29"/>
    </row>
    <row r="127" spans="1:13" ht="21" customHeight="1">
      <c r="A127" s="10"/>
      <c r="B127" s="16"/>
      <c r="C127" s="16"/>
      <c r="D127" s="16"/>
      <c r="E127" s="7"/>
      <c r="F127" s="18"/>
      <c r="G127" s="19"/>
      <c r="H127" s="20" t="str">
        <f t="shared" si="5"/>
        <v/>
      </c>
      <c r="I127" s="20"/>
      <c r="J127" s="10"/>
      <c r="K127" s="21"/>
      <c r="L127" s="29"/>
      <c r="M127" s="29"/>
    </row>
    <row r="128" spans="1:13" ht="21" customHeight="1">
      <c r="A128" s="10"/>
      <c r="B128" s="16"/>
      <c r="C128" s="16"/>
      <c r="D128" s="16"/>
      <c r="E128" s="7"/>
      <c r="F128" s="18"/>
      <c r="G128" s="19"/>
      <c r="H128" s="20" t="str">
        <f t="shared" si="5"/>
        <v/>
      </c>
      <c r="I128" s="20"/>
      <c r="J128" s="10"/>
      <c r="K128" s="21"/>
      <c r="L128" s="29"/>
      <c r="M128" s="29"/>
    </row>
    <row r="129" spans="1:13" ht="21" customHeight="1">
      <c r="A129" s="10"/>
      <c r="B129" s="16"/>
      <c r="C129" s="16"/>
      <c r="D129" s="16"/>
      <c r="E129" s="7"/>
      <c r="F129" s="18"/>
      <c r="G129" s="19"/>
      <c r="H129" s="20" t="str">
        <f t="shared" si="5"/>
        <v/>
      </c>
      <c r="I129" s="20"/>
      <c r="J129" s="10"/>
      <c r="K129" s="21"/>
      <c r="L129" s="29"/>
      <c r="M129" s="29"/>
    </row>
    <row r="130" spans="1:13" ht="21" customHeight="1">
      <c r="A130" s="10"/>
      <c r="B130" s="16"/>
      <c r="C130" s="16"/>
      <c r="D130" s="16"/>
      <c r="E130" s="7"/>
      <c r="F130" s="18"/>
      <c r="G130" s="19"/>
      <c r="H130" s="20" t="str">
        <f t="shared" si="5"/>
        <v/>
      </c>
      <c r="I130" s="20"/>
      <c r="J130" s="10"/>
      <c r="K130" s="21"/>
      <c r="L130" s="29"/>
      <c r="M130" s="29"/>
    </row>
    <row r="131" spans="1:13" ht="17.25" customHeight="1">
      <c r="A131" s="10"/>
      <c r="B131" s="16"/>
      <c r="C131" s="10"/>
      <c r="D131" s="16"/>
      <c r="E131" s="7"/>
      <c r="F131" s="18"/>
      <c r="G131" s="19"/>
      <c r="H131" s="20" t="str">
        <f t="shared" si="5"/>
        <v/>
      </c>
      <c r="I131" s="20"/>
      <c r="J131" s="10"/>
      <c r="K131" s="21"/>
      <c r="L131" s="22"/>
      <c r="M131" s="22"/>
    </row>
    <row r="132" spans="1:13" ht="17.25" customHeight="1">
      <c r="A132" s="10"/>
      <c r="B132" s="16"/>
      <c r="C132" s="10"/>
      <c r="D132" s="16"/>
      <c r="E132" s="7"/>
      <c r="F132" s="18"/>
      <c r="G132" s="19"/>
      <c r="H132" s="20" t="str">
        <f t="shared" si="5"/>
        <v/>
      </c>
      <c r="I132" s="20"/>
      <c r="J132" s="10"/>
      <c r="K132" s="21"/>
      <c r="L132" s="22"/>
      <c r="M132" s="22"/>
    </row>
    <row r="133" spans="1:13" ht="17.25" customHeight="1">
      <c r="A133" s="10"/>
      <c r="B133" s="16"/>
      <c r="C133" s="10"/>
      <c r="D133" s="16"/>
      <c r="E133" s="7"/>
      <c r="F133" s="18"/>
      <c r="G133" s="19"/>
      <c r="H133" s="20" t="str">
        <f t="shared" si="5"/>
        <v/>
      </c>
      <c r="I133" s="20"/>
      <c r="J133" s="10"/>
      <c r="K133" s="21"/>
      <c r="L133" s="22"/>
      <c r="M133" s="22"/>
    </row>
    <row r="134" spans="1:13" ht="17.25" customHeight="1">
      <c r="A134" s="10"/>
      <c r="B134" s="16"/>
      <c r="C134" s="10"/>
      <c r="D134" s="16"/>
      <c r="E134" s="7"/>
      <c r="F134" s="18"/>
      <c r="G134" s="19"/>
      <c r="H134" s="20" t="str">
        <f t="shared" si="5"/>
        <v/>
      </c>
      <c r="I134" s="20"/>
      <c r="J134" s="10"/>
      <c r="K134" s="21"/>
      <c r="L134" s="22"/>
      <c r="M134" s="22"/>
    </row>
    <row r="135" spans="1:13" ht="17.25" customHeight="1">
      <c r="A135" s="10"/>
      <c r="B135" s="16"/>
      <c r="C135" s="10"/>
      <c r="D135" s="16"/>
      <c r="E135" s="7"/>
      <c r="F135" s="18"/>
      <c r="G135" s="19"/>
      <c r="H135" s="20" t="str">
        <f t="shared" si="5"/>
        <v/>
      </c>
      <c r="I135" s="20"/>
      <c r="J135" s="10"/>
      <c r="K135" s="21"/>
      <c r="L135" s="22"/>
      <c r="M135" s="22"/>
    </row>
    <row r="136" spans="1:13" ht="17.25" customHeight="1">
      <c r="A136" s="10"/>
      <c r="B136" s="16"/>
      <c r="C136" s="10"/>
      <c r="D136" s="16"/>
      <c r="E136" s="7"/>
      <c r="F136" s="18"/>
      <c r="G136" s="19"/>
      <c r="H136" s="20" t="str">
        <f t="shared" si="5"/>
        <v/>
      </c>
      <c r="I136" s="20"/>
      <c r="J136" s="10"/>
      <c r="K136" s="21"/>
      <c r="L136" s="22"/>
      <c r="M136" s="22"/>
    </row>
    <row r="137" spans="1:13" ht="17.25" customHeight="1">
      <c r="A137" s="10"/>
      <c r="B137" s="16"/>
      <c r="C137" s="10"/>
      <c r="D137" s="10"/>
      <c r="E137" s="7"/>
      <c r="F137" s="18"/>
      <c r="G137" s="19"/>
      <c r="H137" s="20" t="str">
        <f t="shared" si="5"/>
        <v/>
      </c>
      <c r="I137" s="20"/>
      <c r="J137" s="10"/>
      <c r="K137" s="21"/>
      <c r="L137" s="22"/>
      <c r="M137" s="22"/>
    </row>
    <row r="138" spans="1:13" ht="17.25" customHeight="1">
      <c r="A138" s="10"/>
      <c r="B138" s="16"/>
      <c r="C138" s="10"/>
      <c r="D138" s="16"/>
      <c r="E138" s="7"/>
      <c r="F138" s="18"/>
      <c r="G138" s="19"/>
      <c r="H138" s="20" t="str">
        <f t="shared" si="5"/>
        <v/>
      </c>
      <c r="I138" s="20"/>
      <c r="J138" s="10"/>
      <c r="K138" s="21"/>
      <c r="L138" s="22"/>
      <c r="M138" s="22"/>
    </row>
    <row r="139" spans="1:13" ht="17.25" customHeight="1">
      <c r="A139" s="10"/>
      <c r="B139" s="16"/>
      <c r="C139" s="16"/>
      <c r="D139" s="16"/>
      <c r="E139" s="7"/>
      <c r="F139" s="18"/>
      <c r="G139" s="19"/>
      <c r="H139" s="20" t="str">
        <f t="shared" si="5"/>
        <v/>
      </c>
      <c r="I139" s="20"/>
      <c r="J139" s="10"/>
      <c r="K139" s="21"/>
      <c r="L139" s="22"/>
      <c r="M139" s="22"/>
    </row>
    <row r="140" spans="1:13" ht="17.25" customHeight="1">
      <c r="A140" s="10"/>
      <c r="B140" s="16"/>
      <c r="C140" s="16"/>
      <c r="D140" s="16"/>
      <c r="E140" s="7"/>
      <c r="F140" s="18"/>
      <c r="G140" s="19"/>
      <c r="H140" s="20" t="str">
        <f t="shared" si="5"/>
        <v/>
      </c>
      <c r="I140" s="20"/>
      <c r="J140" s="10"/>
      <c r="K140" s="21"/>
      <c r="L140" s="22"/>
      <c r="M140" s="22"/>
    </row>
    <row r="141" spans="1:13" ht="17.25" customHeight="1">
      <c r="A141" s="10"/>
      <c r="B141" s="16"/>
      <c r="C141" s="10"/>
      <c r="D141" s="16"/>
      <c r="E141" s="7"/>
      <c r="F141" s="18"/>
      <c r="G141" s="19"/>
      <c r="H141" s="20" t="str">
        <f t="shared" si="5"/>
        <v/>
      </c>
      <c r="I141" s="20"/>
      <c r="J141" s="10"/>
      <c r="K141" s="21"/>
      <c r="L141" s="22"/>
      <c r="M141" s="22"/>
    </row>
    <row r="142" spans="1:13" ht="17.25" customHeight="1">
      <c r="A142" s="10"/>
      <c r="B142" s="16"/>
      <c r="C142" s="10"/>
      <c r="D142" s="16"/>
      <c r="E142" s="7"/>
      <c r="F142" s="18"/>
      <c r="G142" s="19"/>
      <c r="H142" s="20" t="str">
        <f t="shared" si="5"/>
        <v/>
      </c>
      <c r="I142" s="20"/>
      <c r="J142" s="10"/>
      <c r="K142" s="21"/>
      <c r="L142" s="27"/>
      <c r="M142" s="27"/>
    </row>
    <row r="143" spans="1:13" ht="17.25" customHeight="1">
      <c r="A143" s="10"/>
      <c r="B143" s="16"/>
      <c r="C143" s="10"/>
      <c r="D143" s="16"/>
      <c r="E143" s="7"/>
      <c r="F143" s="18"/>
      <c r="G143" s="19"/>
      <c r="H143" s="20" t="str">
        <f t="shared" si="5"/>
        <v/>
      </c>
      <c r="I143" s="20"/>
      <c r="J143" s="10"/>
      <c r="K143" s="21"/>
      <c r="L143" s="27"/>
      <c r="M143" s="27"/>
    </row>
    <row r="144" spans="1:13" ht="17.25" customHeight="1">
      <c r="A144" s="10"/>
      <c r="B144" s="16"/>
      <c r="C144" s="10"/>
      <c r="D144" s="16"/>
      <c r="E144" s="7"/>
      <c r="F144" s="18"/>
      <c r="G144" s="19"/>
      <c r="H144" s="20" t="str">
        <f t="shared" si="5"/>
        <v/>
      </c>
      <c r="I144" s="20"/>
      <c r="J144" s="10"/>
      <c r="K144" s="21"/>
      <c r="L144" s="27"/>
      <c r="M144" s="27"/>
    </row>
    <row r="145" spans="1:13" ht="17.25" customHeight="1">
      <c r="A145" s="10"/>
      <c r="B145" s="16"/>
      <c r="C145" s="10"/>
      <c r="D145" s="16"/>
      <c r="E145" s="7"/>
      <c r="F145" s="18"/>
      <c r="G145" s="19"/>
      <c r="H145" s="20" t="str">
        <f t="shared" si="5"/>
        <v/>
      </c>
      <c r="I145" s="20"/>
      <c r="J145" s="10"/>
      <c r="K145" s="21"/>
      <c r="L145" s="27"/>
      <c r="M145" s="27"/>
    </row>
    <row r="146" spans="1:13" ht="17.25" customHeight="1">
      <c r="A146" s="10"/>
      <c r="B146" s="16"/>
      <c r="C146" s="10"/>
      <c r="D146" s="16"/>
      <c r="E146" s="7"/>
      <c r="F146" s="18"/>
      <c r="G146" s="19"/>
      <c r="H146" s="20" t="str">
        <f t="shared" si="5"/>
        <v/>
      </c>
      <c r="I146" s="20"/>
      <c r="J146" s="10"/>
      <c r="K146" s="21"/>
      <c r="L146" s="27"/>
      <c r="M146" s="27"/>
    </row>
    <row r="147" spans="1:13" ht="17.25" customHeight="1">
      <c r="A147" s="10"/>
      <c r="B147" s="16"/>
      <c r="C147" s="10"/>
      <c r="D147" s="16"/>
      <c r="E147" s="7"/>
      <c r="F147" s="18"/>
      <c r="G147" s="19"/>
      <c r="H147" s="20" t="str">
        <f t="shared" si="5"/>
        <v/>
      </c>
      <c r="I147" s="20"/>
      <c r="J147" s="10"/>
      <c r="K147" s="21"/>
      <c r="L147" s="27"/>
      <c r="M147" s="27"/>
    </row>
    <row r="148" spans="1:13" ht="17.25" customHeight="1">
      <c r="A148" s="10"/>
      <c r="B148" s="16"/>
      <c r="C148" s="10"/>
      <c r="D148" s="16"/>
      <c r="E148" s="7"/>
      <c r="F148" s="18"/>
      <c r="G148" s="19"/>
      <c r="H148" s="20" t="str">
        <f t="shared" si="5"/>
        <v/>
      </c>
      <c r="I148" s="20"/>
      <c r="J148" s="10"/>
      <c r="K148" s="21"/>
      <c r="L148" s="27"/>
      <c r="M148" s="27"/>
    </row>
    <row r="149" spans="1:13" ht="17.25" customHeight="1">
      <c r="A149" s="10"/>
      <c r="B149" s="16"/>
      <c r="C149" s="10"/>
      <c r="D149" s="16"/>
      <c r="E149" s="7"/>
      <c r="F149" s="18"/>
      <c r="G149" s="19"/>
      <c r="H149" s="20" t="str">
        <f t="shared" si="5"/>
        <v/>
      </c>
      <c r="I149" s="20"/>
      <c r="J149" s="10"/>
      <c r="K149" s="21"/>
      <c r="L149" s="27"/>
      <c r="M149" s="27"/>
    </row>
    <row r="150" spans="1:13" ht="17.25" customHeight="1">
      <c r="A150" s="10"/>
      <c r="B150" s="16"/>
      <c r="C150" s="10"/>
      <c r="D150" s="16"/>
      <c r="E150" s="7"/>
      <c r="F150" s="18"/>
      <c r="G150" s="19"/>
      <c r="H150" s="20" t="str">
        <f t="shared" si="5"/>
        <v/>
      </c>
      <c r="I150" s="20"/>
      <c r="J150" s="10"/>
      <c r="K150" s="21"/>
      <c r="L150" s="27"/>
      <c r="M150" s="27"/>
    </row>
    <row r="151" spans="1:13" ht="17.25" customHeight="1">
      <c r="A151" s="10"/>
      <c r="B151" s="16"/>
      <c r="C151" s="10"/>
      <c r="D151" s="16"/>
      <c r="E151" s="7"/>
      <c r="F151" s="18"/>
      <c r="G151" s="19"/>
      <c r="H151" s="20" t="str">
        <f t="shared" si="5"/>
        <v/>
      </c>
      <c r="I151" s="20"/>
      <c r="J151" s="10"/>
      <c r="K151" s="21"/>
      <c r="L151" s="27"/>
      <c r="M151" s="27"/>
    </row>
    <row r="152" spans="1:13" ht="17.25" customHeight="1">
      <c r="A152" s="10"/>
      <c r="B152" s="16"/>
      <c r="C152" s="10"/>
      <c r="D152" s="16"/>
      <c r="E152" s="7"/>
      <c r="F152" s="18"/>
      <c r="G152" s="19"/>
      <c r="H152" s="20" t="str">
        <f t="shared" si="5"/>
        <v/>
      </c>
      <c r="I152" s="20"/>
      <c r="J152" s="10"/>
      <c r="K152" s="21"/>
      <c r="L152" s="27"/>
      <c r="M152" s="27"/>
    </row>
    <row r="153" spans="1:13" ht="17.25" customHeight="1">
      <c r="A153" s="10"/>
      <c r="B153" s="16"/>
      <c r="C153" s="10"/>
      <c r="D153" s="16"/>
      <c r="E153" s="7"/>
      <c r="F153" s="18"/>
      <c r="G153" s="19"/>
      <c r="H153" s="20" t="str">
        <f t="shared" si="5"/>
        <v/>
      </c>
      <c r="I153" s="20"/>
      <c r="J153" s="10"/>
      <c r="K153" s="21"/>
      <c r="L153" s="27"/>
      <c r="M153" s="27"/>
    </row>
    <row r="154" spans="1:13" ht="17.25" customHeight="1">
      <c r="A154" s="10"/>
      <c r="B154" s="16"/>
      <c r="C154" s="10"/>
      <c r="D154" s="16"/>
      <c r="E154" s="7"/>
      <c r="F154" s="18"/>
      <c r="G154" s="19"/>
      <c r="H154" s="20" t="str">
        <f t="shared" si="5"/>
        <v/>
      </c>
      <c r="I154" s="20"/>
      <c r="J154" s="10"/>
      <c r="K154" s="21"/>
      <c r="L154" s="27"/>
      <c r="M154" s="27"/>
    </row>
    <row r="155" spans="1:13" ht="17.25" customHeight="1">
      <c r="A155" s="10"/>
      <c r="B155" s="16"/>
      <c r="C155" s="10"/>
      <c r="D155" s="16"/>
      <c r="E155" s="7"/>
      <c r="F155" s="18"/>
      <c r="G155" s="19"/>
      <c r="H155" s="20" t="str">
        <f t="shared" si="5"/>
        <v/>
      </c>
      <c r="I155" s="20"/>
      <c r="J155" s="10"/>
      <c r="K155" s="21"/>
      <c r="L155" s="27"/>
      <c r="M155" s="27"/>
    </row>
    <row r="156" spans="1:13" ht="17.25" customHeight="1">
      <c r="A156" s="10"/>
      <c r="B156" s="16"/>
      <c r="C156" s="10"/>
      <c r="D156" s="16"/>
      <c r="E156" s="7"/>
      <c r="F156" s="18"/>
      <c r="G156" s="19"/>
      <c r="H156" s="20" t="str">
        <f t="shared" ref="H156:H187" si="6">IF(G156="","",(F156*100000000+G156)-7*INT((F156*100000000+G156)/7))</f>
        <v/>
      </c>
      <c r="I156" s="20"/>
      <c r="J156" s="10"/>
      <c r="K156" s="21"/>
      <c r="L156" s="27"/>
      <c r="M156" s="27"/>
    </row>
    <row r="157" spans="1:13" ht="17.25" customHeight="1">
      <c r="A157" s="10"/>
      <c r="B157" s="16"/>
      <c r="C157" s="10"/>
      <c r="D157" s="16"/>
      <c r="E157" s="7"/>
      <c r="F157" s="18"/>
      <c r="G157" s="19"/>
      <c r="H157" s="20" t="str">
        <f t="shared" si="6"/>
        <v/>
      </c>
      <c r="I157" s="20"/>
      <c r="J157" s="10"/>
      <c r="K157" s="21"/>
      <c r="L157" s="27"/>
      <c r="M157" s="27"/>
    </row>
    <row r="158" spans="1:13" ht="17.25" customHeight="1">
      <c r="A158" s="10"/>
      <c r="B158" s="16"/>
      <c r="C158" s="10"/>
      <c r="D158" s="16"/>
      <c r="E158" s="7"/>
      <c r="F158" s="18"/>
      <c r="G158" s="19"/>
      <c r="H158" s="20" t="str">
        <f t="shared" si="6"/>
        <v/>
      </c>
      <c r="I158" s="20"/>
      <c r="J158" s="10"/>
      <c r="K158" s="21"/>
      <c r="L158" s="27"/>
      <c r="M158" s="27"/>
    </row>
    <row r="159" spans="1:13" ht="17.25" customHeight="1">
      <c r="A159" s="10"/>
      <c r="B159" s="16"/>
      <c r="C159" s="10"/>
      <c r="D159" s="16"/>
      <c r="E159" s="7"/>
      <c r="F159" s="18"/>
      <c r="G159" s="19"/>
      <c r="H159" s="20" t="str">
        <f t="shared" si="6"/>
        <v/>
      </c>
      <c r="I159" s="20"/>
      <c r="J159" s="10"/>
      <c r="K159" s="21"/>
      <c r="L159" s="27"/>
      <c r="M159" s="27"/>
    </row>
    <row r="160" spans="1:13" ht="17.25" customHeight="1">
      <c r="A160" s="10"/>
      <c r="B160" s="16"/>
      <c r="C160" s="10"/>
      <c r="D160" s="16"/>
      <c r="E160" s="7"/>
      <c r="F160" s="18"/>
      <c r="G160" s="19"/>
      <c r="H160" s="20" t="str">
        <f t="shared" si="6"/>
        <v/>
      </c>
      <c r="I160" s="20"/>
      <c r="J160" s="10"/>
      <c r="K160" s="21"/>
      <c r="L160" s="27"/>
      <c r="M160" s="27"/>
    </row>
    <row r="161" spans="1:13" ht="17.25" customHeight="1">
      <c r="A161" s="10"/>
      <c r="B161" s="16"/>
      <c r="C161" s="10"/>
      <c r="D161" s="16"/>
      <c r="E161" s="7"/>
      <c r="F161" s="18"/>
      <c r="G161" s="19"/>
      <c r="H161" s="20" t="str">
        <f t="shared" si="6"/>
        <v/>
      </c>
      <c r="I161" s="20"/>
      <c r="J161" s="10"/>
      <c r="K161" s="21"/>
      <c r="L161" s="27"/>
      <c r="M161" s="27"/>
    </row>
    <row r="162" spans="1:13" ht="17.25" customHeight="1">
      <c r="A162" s="10"/>
      <c r="B162" s="16"/>
      <c r="C162" s="10"/>
      <c r="D162" s="16"/>
      <c r="E162" s="7"/>
      <c r="F162" s="18"/>
      <c r="G162" s="19"/>
      <c r="H162" s="20" t="str">
        <f t="shared" si="6"/>
        <v/>
      </c>
      <c r="I162" s="20"/>
      <c r="J162" s="10"/>
      <c r="K162" s="21"/>
      <c r="L162" s="27"/>
      <c r="M162" s="27"/>
    </row>
    <row r="163" spans="1:13" ht="17.25" customHeight="1">
      <c r="A163" s="10"/>
      <c r="B163" s="16"/>
      <c r="C163" s="10"/>
      <c r="D163" s="16"/>
      <c r="E163" s="7"/>
      <c r="F163" s="18"/>
      <c r="G163" s="19"/>
      <c r="H163" s="20" t="str">
        <f t="shared" si="6"/>
        <v/>
      </c>
      <c r="I163" s="20"/>
      <c r="J163" s="10"/>
      <c r="K163" s="21"/>
      <c r="L163" s="27"/>
      <c r="M163" s="27"/>
    </row>
    <row r="164" spans="1:13" ht="17.25" customHeight="1">
      <c r="A164" s="10"/>
      <c r="B164" s="16"/>
      <c r="C164" s="10"/>
      <c r="D164" s="16"/>
      <c r="E164" s="7"/>
      <c r="F164" s="18"/>
      <c r="G164" s="19"/>
      <c r="H164" s="20" t="str">
        <f t="shared" si="6"/>
        <v/>
      </c>
      <c r="I164" s="20"/>
      <c r="J164" s="10"/>
      <c r="K164" s="21"/>
      <c r="L164" s="27"/>
      <c r="M164" s="27"/>
    </row>
    <row r="165" spans="1:13" ht="17.25" customHeight="1">
      <c r="A165" s="10"/>
      <c r="B165" s="16"/>
      <c r="C165" s="10"/>
      <c r="D165" s="16"/>
      <c r="E165" s="7"/>
      <c r="F165" s="18"/>
      <c r="G165" s="19"/>
      <c r="H165" s="20" t="str">
        <f t="shared" si="6"/>
        <v/>
      </c>
      <c r="I165" s="20"/>
      <c r="J165" s="10"/>
      <c r="K165" s="21"/>
      <c r="L165" s="27"/>
      <c r="M165" s="27"/>
    </row>
    <row r="166" spans="1:13" ht="17.25" customHeight="1">
      <c r="A166" s="10"/>
      <c r="B166" s="16"/>
      <c r="C166" s="10"/>
      <c r="D166" s="16"/>
      <c r="E166" s="7"/>
      <c r="F166" s="18"/>
      <c r="G166" s="19"/>
      <c r="H166" s="20" t="str">
        <f t="shared" si="6"/>
        <v/>
      </c>
      <c r="I166" s="20"/>
      <c r="J166" s="10"/>
      <c r="K166" s="21"/>
      <c r="L166" s="27"/>
      <c r="M166" s="27"/>
    </row>
    <row r="167" spans="1:13" ht="17.25" customHeight="1">
      <c r="A167" s="10"/>
      <c r="B167" s="16"/>
      <c r="C167" s="10"/>
      <c r="D167" s="16"/>
      <c r="E167" s="7"/>
      <c r="F167" s="18"/>
      <c r="G167" s="19"/>
      <c r="H167" s="20" t="str">
        <f t="shared" si="6"/>
        <v/>
      </c>
      <c r="I167" s="20"/>
      <c r="J167" s="10"/>
      <c r="K167" s="21"/>
      <c r="L167" s="27"/>
      <c r="M167" s="27"/>
    </row>
    <row r="168" spans="1:13" ht="17.25" customHeight="1">
      <c r="A168" s="10"/>
      <c r="B168" s="16"/>
      <c r="C168" s="10"/>
      <c r="D168" s="16"/>
      <c r="E168" s="7"/>
      <c r="F168" s="18"/>
      <c r="G168" s="19"/>
      <c r="H168" s="20" t="str">
        <f t="shared" si="6"/>
        <v/>
      </c>
      <c r="I168" s="20"/>
      <c r="J168" s="10"/>
      <c r="K168" s="21"/>
      <c r="L168" s="27"/>
      <c r="M168" s="27"/>
    </row>
    <row r="169" spans="1:13" ht="17.25" customHeight="1">
      <c r="A169" s="10"/>
      <c r="B169" s="16"/>
      <c r="C169" s="10"/>
      <c r="D169" s="16"/>
      <c r="E169" s="7"/>
      <c r="F169" s="18"/>
      <c r="G169" s="19"/>
      <c r="H169" s="20" t="str">
        <f t="shared" si="6"/>
        <v/>
      </c>
      <c r="I169" s="20"/>
      <c r="J169" s="10"/>
      <c r="K169" s="21"/>
      <c r="L169" s="27"/>
      <c r="M169" s="27"/>
    </row>
    <row r="170" spans="1:13" ht="17.25" customHeight="1">
      <c r="A170" s="10"/>
      <c r="B170" s="16"/>
      <c r="C170" s="10"/>
      <c r="D170" s="16"/>
      <c r="E170" s="7"/>
      <c r="F170" s="18"/>
      <c r="G170" s="19"/>
      <c r="H170" s="20" t="str">
        <f t="shared" si="6"/>
        <v/>
      </c>
      <c r="I170" s="20"/>
      <c r="J170" s="10"/>
      <c r="K170" s="21"/>
      <c r="L170" s="27"/>
      <c r="M170" s="27"/>
    </row>
    <row r="171" spans="1:13" ht="17.25" customHeight="1">
      <c r="A171" s="10"/>
      <c r="B171" s="16"/>
      <c r="C171" s="10"/>
      <c r="D171" s="16"/>
      <c r="E171" s="7"/>
      <c r="F171" s="18"/>
      <c r="G171" s="19"/>
      <c r="H171" s="20" t="str">
        <f t="shared" si="6"/>
        <v/>
      </c>
      <c r="I171" s="20"/>
      <c r="J171" s="10"/>
      <c r="K171" s="21"/>
      <c r="L171" s="27"/>
      <c r="M171" s="27"/>
    </row>
    <row r="172" spans="1:13" ht="17.25" customHeight="1">
      <c r="A172" s="10"/>
      <c r="B172" s="16"/>
      <c r="C172" s="10"/>
      <c r="D172" s="16"/>
      <c r="E172" s="7"/>
      <c r="F172" s="18"/>
      <c r="G172" s="19"/>
      <c r="H172" s="20" t="str">
        <f t="shared" si="6"/>
        <v/>
      </c>
      <c r="I172" s="20"/>
      <c r="J172" s="10"/>
      <c r="K172" s="21"/>
      <c r="L172" s="27"/>
      <c r="M172" s="27"/>
    </row>
    <row r="173" spans="1:13" ht="17.25" customHeight="1">
      <c r="A173" s="10"/>
      <c r="B173" s="16"/>
      <c r="C173" s="10"/>
      <c r="D173" s="16"/>
      <c r="E173" s="7"/>
      <c r="F173" s="18"/>
      <c r="G173" s="19"/>
      <c r="H173" s="20" t="str">
        <f t="shared" si="6"/>
        <v/>
      </c>
      <c r="I173" s="20"/>
      <c r="J173" s="10"/>
      <c r="K173" s="21"/>
      <c r="L173" s="27"/>
      <c r="M173" s="27"/>
    </row>
    <row r="174" spans="1:13" ht="17.25" customHeight="1">
      <c r="A174" s="10"/>
      <c r="B174" s="16"/>
      <c r="C174" s="10"/>
      <c r="D174" s="16"/>
      <c r="E174" s="7"/>
      <c r="F174" s="18"/>
      <c r="G174" s="19"/>
      <c r="H174" s="20" t="str">
        <f t="shared" si="6"/>
        <v/>
      </c>
      <c r="I174" s="20"/>
      <c r="J174" s="10"/>
      <c r="K174" s="21"/>
      <c r="L174" s="27"/>
      <c r="M174" s="27"/>
    </row>
    <row r="175" spans="1:13" ht="17.25" customHeight="1">
      <c r="A175" s="10"/>
      <c r="B175" s="16"/>
      <c r="C175" s="10"/>
      <c r="D175" s="16"/>
      <c r="E175" s="7"/>
      <c r="F175" s="18"/>
      <c r="G175" s="19"/>
      <c r="H175" s="20" t="str">
        <f t="shared" si="6"/>
        <v/>
      </c>
      <c r="I175" s="20"/>
      <c r="J175" s="10"/>
      <c r="K175" s="21"/>
      <c r="L175" s="27"/>
      <c r="M175" s="27"/>
    </row>
    <row r="176" spans="1:13" ht="17.25" customHeight="1">
      <c r="A176" s="10"/>
      <c r="B176" s="16"/>
      <c r="C176" s="10"/>
      <c r="D176" s="16"/>
      <c r="E176" s="7"/>
      <c r="F176" s="18"/>
      <c r="G176" s="19"/>
      <c r="H176" s="20" t="str">
        <f t="shared" si="6"/>
        <v/>
      </c>
      <c r="I176" s="20"/>
      <c r="J176" s="10"/>
      <c r="K176" s="21"/>
      <c r="L176" s="27"/>
      <c r="M176" s="27"/>
    </row>
    <row r="177" spans="1:13" ht="17.25" customHeight="1">
      <c r="A177" s="10"/>
      <c r="B177" s="16"/>
      <c r="C177" s="10"/>
      <c r="D177" s="16"/>
      <c r="E177" s="7"/>
      <c r="F177" s="18"/>
      <c r="G177" s="19"/>
      <c r="H177" s="20" t="str">
        <f t="shared" si="6"/>
        <v/>
      </c>
      <c r="I177" s="20"/>
      <c r="J177" s="10"/>
      <c r="K177" s="21"/>
      <c r="L177" s="27"/>
      <c r="M177" s="27"/>
    </row>
    <row r="178" spans="1:13" ht="17.25" customHeight="1">
      <c r="A178" s="10"/>
      <c r="B178" s="16"/>
      <c r="C178" s="10"/>
      <c r="D178" s="16"/>
      <c r="E178" s="7"/>
      <c r="F178" s="18"/>
      <c r="G178" s="19"/>
      <c r="H178" s="20" t="str">
        <f t="shared" si="6"/>
        <v/>
      </c>
      <c r="I178" s="20"/>
      <c r="J178" s="10"/>
      <c r="K178" s="21"/>
      <c r="L178" s="27"/>
      <c r="M178" s="27"/>
    </row>
    <row r="179" spans="1:13" ht="17.25" customHeight="1">
      <c r="A179" s="10"/>
      <c r="B179" s="16"/>
      <c r="C179" s="10"/>
      <c r="D179" s="16"/>
      <c r="E179" s="7"/>
      <c r="F179" s="18"/>
      <c r="G179" s="19"/>
      <c r="H179" s="20" t="str">
        <f t="shared" si="6"/>
        <v/>
      </c>
      <c r="I179" s="20"/>
      <c r="J179" s="10"/>
      <c r="K179" s="21"/>
      <c r="L179" s="27"/>
      <c r="M179" s="27"/>
    </row>
    <row r="180" spans="1:13" ht="17.25" customHeight="1">
      <c r="A180" s="10"/>
      <c r="B180" s="16"/>
      <c r="C180" s="10"/>
      <c r="D180" s="16"/>
      <c r="E180" s="7"/>
      <c r="F180" s="18"/>
      <c r="G180" s="19"/>
      <c r="H180" s="20" t="str">
        <f t="shared" si="6"/>
        <v/>
      </c>
      <c r="I180" s="20"/>
      <c r="J180" s="10"/>
      <c r="K180" s="21"/>
      <c r="L180" s="27"/>
      <c r="M180" s="27"/>
    </row>
    <row r="181" spans="1:13" ht="17.25" customHeight="1">
      <c r="A181" s="10"/>
      <c r="B181" s="16"/>
      <c r="C181" s="10"/>
      <c r="D181" s="16"/>
      <c r="E181" s="7"/>
      <c r="F181" s="18"/>
      <c r="G181" s="19"/>
      <c r="H181" s="20" t="str">
        <f t="shared" si="6"/>
        <v/>
      </c>
      <c r="I181" s="20"/>
      <c r="J181" s="10"/>
      <c r="K181" s="21"/>
      <c r="L181" s="27"/>
      <c r="M181" s="27"/>
    </row>
    <row r="182" spans="1:13" ht="17.25" customHeight="1">
      <c r="A182" s="10"/>
      <c r="B182" s="16"/>
      <c r="C182" s="10"/>
      <c r="D182" s="16"/>
      <c r="E182" s="7"/>
      <c r="F182" s="18"/>
      <c r="G182" s="19"/>
      <c r="H182" s="20" t="str">
        <f t="shared" si="6"/>
        <v/>
      </c>
      <c r="I182" s="20"/>
      <c r="J182" s="10"/>
      <c r="K182" s="21"/>
      <c r="L182" s="27"/>
      <c r="M182" s="27"/>
    </row>
    <row r="183" spans="1:13" ht="17.25" customHeight="1">
      <c r="A183" s="10"/>
      <c r="B183" s="16"/>
      <c r="C183" s="10"/>
      <c r="D183" s="16"/>
      <c r="E183" s="7"/>
      <c r="F183" s="18"/>
      <c r="G183" s="19"/>
      <c r="H183" s="20" t="str">
        <f t="shared" si="6"/>
        <v/>
      </c>
      <c r="I183" s="20"/>
      <c r="J183" s="10"/>
      <c r="K183" s="21"/>
      <c r="L183" s="27"/>
      <c r="M183" s="27"/>
    </row>
    <row r="184" spans="1:13" ht="17.25" customHeight="1">
      <c r="A184" s="10"/>
      <c r="B184" s="16"/>
      <c r="C184" s="10"/>
      <c r="D184" s="16"/>
      <c r="E184" s="7"/>
      <c r="F184" s="18"/>
      <c r="G184" s="19"/>
      <c r="H184" s="20" t="str">
        <f t="shared" si="6"/>
        <v/>
      </c>
      <c r="I184" s="20"/>
      <c r="J184" s="10"/>
      <c r="K184" s="21"/>
      <c r="L184" s="27"/>
      <c r="M184" s="27"/>
    </row>
    <row r="185" spans="1:13" ht="17.25" customHeight="1">
      <c r="A185" s="10"/>
      <c r="B185" s="16"/>
      <c r="C185" s="10"/>
      <c r="D185" s="16"/>
      <c r="E185" s="7"/>
      <c r="F185" s="18"/>
      <c r="G185" s="19"/>
      <c r="H185" s="20" t="str">
        <f t="shared" si="6"/>
        <v/>
      </c>
      <c r="I185" s="20"/>
      <c r="J185" s="10"/>
      <c r="K185" s="21"/>
      <c r="L185" s="27"/>
      <c r="M185" s="27"/>
    </row>
    <row r="186" spans="1:13" ht="17.25" customHeight="1">
      <c r="A186" s="10"/>
      <c r="B186" s="16"/>
      <c r="C186" s="10"/>
      <c r="D186" s="16"/>
      <c r="E186" s="7"/>
      <c r="F186" s="18"/>
      <c r="G186" s="19"/>
      <c r="H186" s="20" t="str">
        <f t="shared" si="6"/>
        <v/>
      </c>
      <c r="I186" s="20"/>
      <c r="J186" s="10"/>
      <c r="K186" s="21"/>
      <c r="L186" s="27"/>
      <c r="M186" s="27"/>
    </row>
    <row r="187" spans="1:13" ht="17.25" customHeight="1">
      <c r="A187" s="10"/>
      <c r="B187" s="16"/>
      <c r="C187" s="10"/>
      <c r="D187" s="16"/>
      <c r="E187" s="7"/>
      <c r="F187" s="18"/>
      <c r="G187" s="19"/>
      <c r="H187" s="20" t="str">
        <f t="shared" si="6"/>
        <v/>
      </c>
      <c r="I187" s="20"/>
      <c r="J187" s="10"/>
      <c r="K187" s="21"/>
      <c r="L187" s="27"/>
      <c r="M187" s="27"/>
    </row>
    <row r="188" spans="1:13" ht="17.25" customHeight="1">
      <c r="A188" s="10"/>
      <c r="B188" s="16"/>
      <c r="C188" s="10"/>
      <c r="D188" s="16"/>
      <c r="E188" s="7"/>
      <c r="F188" s="18"/>
      <c r="G188" s="19"/>
      <c r="H188" s="20" t="str">
        <f t="shared" ref="H188:H210" si="7">IF(G188="","",(F188*100000000+G188)-7*INT((F188*100000000+G188)/7))</f>
        <v/>
      </c>
      <c r="I188" s="20"/>
      <c r="J188" s="10"/>
      <c r="K188" s="21"/>
      <c r="L188" s="27"/>
      <c r="M188" s="27"/>
    </row>
    <row r="189" spans="1:13" ht="17.25" customHeight="1">
      <c r="A189" s="10"/>
      <c r="B189" s="16"/>
      <c r="C189" s="10"/>
      <c r="D189" s="16"/>
      <c r="E189" s="7"/>
      <c r="F189" s="18"/>
      <c r="G189" s="19"/>
      <c r="H189" s="20" t="str">
        <f t="shared" si="7"/>
        <v/>
      </c>
      <c r="I189" s="20"/>
      <c r="J189" s="10"/>
      <c r="K189" s="21"/>
      <c r="L189" s="27"/>
      <c r="M189" s="27"/>
    </row>
    <row r="190" spans="1:13" ht="17.25" customHeight="1">
      <c r="A190" s="10"/>
      <c r="B190" s="16"/>
      <c r="C190" s="10"/>
      <c r="D190" s="16"/>
      <c r="E190" s="7"/>
      <c r="F190" s="18"/>
      <c r="G190" s="19"/>
      <c r="H190" s="20" t="str">
        <f t="shared" si="7"/>
        <v/>
      </c>
      <c r="I190" s="20"/>
      <c r="J190" s="10"/>
      <c r="K190" s="21"/>
      <c r="L190" s="27"/>
      <c r="M190" s="27"/>
    </row>
    <row r="191" spans="1:13" ht="17.25" customHeight="1">
      <c r="A191" s="10"/>
      <c r="B191" s="16"/>
      <c r="C191" s="10"/>
      <c r="D191" s="16"/>
      <c r="E191" s="7"/>
      <c r="F191" s="18"/>
      <c r="G191" s="19"/>
      <c r="H191" s="20" t="str">
        <f t="shared" si="7"/>
        <v/>
      </c>
      <c r="I191" s="20"/>
      <c r="J191" s="10"/>
      <c r="K191" s="21"/>
      <c r="L191" s="27"/>
      <c r="M191" s="27"/>
    </row>
    <row r="192" spans="1:13" ht="17.25" customHeight="1">
      <c r="A192" s="10"/>
      <c r="B192" s="16"/>
      <c r="C192" s="10"/>
      <c r="D192" s="16"/>
      <c r="E192" s="7"/>
      <c r="F192" s="18"/>
      <c r="G192" s="19"/>
      <c r="H192" s="20" t="str">
        <f t="shared" si="7"/>
        <v/>
      </c>
      <c r="I192" s="20"/>
      <c r="J192" s="10"/>
      <c r="K192" s="21"/>
      <c r="L192" s="27"/>
      <c r="M192" s="27"/>
    </row>
    <row r="193" spans="1:13" ht="17.25" customHeight="1">
      <c r="A193" s="10"/>
      <c r="B193" s="16"/>
      <c r="C193" s="10"/>
      <c r="D193" s="16"/>
      <c r="E193" s="7"/>
      <c r="F193" s="18"/>
      <c r="G193" s="19"/>
      <c r="H193" s="20" t="str">
        <f t="shared" si="7"/>
        <v/>
      </c>
      <c r="I193" s="20"/>
      <c r="J193" s="10"/>
      <c r="K193" s="21"/>
      <c r="L193" s="27"/>
      <c r="M193" s="27"/>
    </row>
    <row r="194" spans="1:13" ht="17.25" customHeight="1">
      <c r="A194" s="10"/>
      <c r="B194" s="16"/>
      <c r="C194" s="10"/>
      <c r="D194" s="16"/>
      <c r="E194" s="7"/>
      <c r="F194" s="18"/>
      <c r="G194" s="19"/>
      <c r="H194" s="20" t="str">
        <f t="shared" si="7"/>
        <v/>
      </c>
      <c r="I194" s="20"/>
      <c r="J194" s="10"/>
      <c r="K194" s="21"/>
      <c r="L194" s="27"/>
      <c r="M194" s="27"/>
    </row>
    <row r="195" spans="1:13" ht="17.25" customHeight="1">
      <c r="A195" s="10"/>
      <c r="B195" s="16"/>
      <c r="C195" s="10"/>
      <c r="D195" s="16"/>
      <c r="E195" s="7"/>
      <c r="F195" s="18"/>
      <c r="G195" s="19"/>
      <c r="H195" s="20" t="str">
        <f t="shared" si="7"/>
        <v/>
      </c>
      <c r="I195" s="20"/>
      <c r="J195" s="10"/>
      <c r="K195" s="21"/>
      <c r="L195" s="27"/>
      <c r="M195" s="27"/>
    </row>
    <row r="196" spans="1:13" ht="17.25" customHeight="1">
      <c r="A196" s="10"/>
      <c r="B196" s="16"/>
      <c r="C196" s="10"/>
      <c r="D196" s="16"/>
      <c r="E196" s="7"/>
      <c r="F196" s="18"/>
      <c r="G196" s="19"/>
      <c r="H196" s="20" t="str">
        <f t="shared" si="7"/>
        <v/>
      </c>
      <c r="I196" s="20"/>
      <c r="J196" s="10"/>
      <c r="K196" s="21"/>
      <c r="L196" s="27"/>
      <c r="M196" s="27"/>
    </row>
    <row r="197" spans="1:13" ht="17.25" customHeight="1">
      <c r="A197" s="10"/>
      <c r="B197" s="16"/>
      <c r="C197" s="10"/>
      <c r="D197" s="16"/>
      <c r="E197" s="7"/>
      <c r="F197" s="18"/>
      <c r="G197" s="19"/>
      <c r="H197" s="20" t="str">
        <f t="shared" si="7"/>
        <v/>
      </c>
      <c r="I197" s="20"/>
      <c r="J197" s="10"/>
      <c r="K197" s="21"/>
      <c r="L197" s="27"/>
      <c r="M197" s="27"/>
    </row>
    <row r="198" spans="1:13" ht="17.25" customHeight="1">
      <c r="A198" s="10"/>
      <c r="B198" s="16"/>
      <c r="C198" s="10"/>
      <c r="D198" s="16"/>
      <c r="E198" s="7"/>
      <c r="F198" s="18"/>
      <c r="G198" s="19"/>
      <c r="H198" s="20" t="str">
        <f t="shared" si="7"/>
        <v/>
      </c>
      <c r="I198" s="20"/>
      <c r="J198" s="10"/>
      <c r="K198" s="21"/>
      <c r="L198" s="27"/>
      <c r="M198" s="27"/>
    </row>
    <row r="199" spans="1:13" ht="17.25" customHeight="1">
      <c r="A199" s="10"/>
      <c r="B199" s="16"/>
      <c r="C199" s="10"/>
      <c r="D199" s="16"/>
      <c r="E199" s="7"/>
      <c r="F199" s="18"/>
      <c r="G199" s="19"/>
      <c r="H199" s="20" t="str">
        <f t="shared" si="7"/>
        <v/>
      </c>
      <c r="I199" s="20"/>
      <c r="J199" s="10"/>
      <c r="K199" s="21"/>
      <c r="L199" s="27"/>
      <c r="M199" s="27"/>
    </row>
    <row r="200" spans="1:13" ht="17.25" customHeight="1">
      <c r="A200" s="10"/>
      <c r="B200" s="16"/>
      <c r="C200" s="10"/>
      <c r="D200" s="16"/>
      <c r="E200" s="7"/>
      <c r="F200" s="18"/>
      <c r="G200" s="19"/>
      <c r="H200" s="20" t="str">
        <f t="shared" si="7"/>
        <v/>
      </c>
      <c r="I200" s="20"/>
      <c r="J200" s="10"/>
      <c r="K200" s="21"/>
      <c r="L200" s="27"/>
      <c r="M200" s="27"/>
    </row>
    <row r="201" spans="1:13" ht="17.25" customHeight="1">
      <c r="A201" s="10"/>
      <c r="B201" s="16"/>
      <c r="C201" s="10"/>
      <c r="D201" s="16"/>
      <c r="E201" s="7"/>
      <c r="F201" s="18"/>
      <c r="G201" s="19"/>
      <c r="H201" s="20" t="str">
        <f t="shared" si="7"/>
        <v/>
      </c>
      <c r="I201" s="20"/>
      <c r="J201" s="10"/>
      <c r="K201" s="21"/>
      <c r="L201" s="27"/>
      <c r="M201" s="27"/>
    </row>
    <row r="202" spans="1:13" ht="17.25" customHeight="1">
      <c r="A202" s="10"/>
      <c r="B202" s="16"/>
      <c r="C202" s="10"/>
      <c r="D202" s="16"/>
      <c r="E202" s="7"/>
      <c r="F202" s="18"/>
      <c r="G202" s="19"/>
      <c r="H202" s="20" t="str">
        <f t="shared" si="7"/>
        <v/>
      </c>
      <c r="I202" s="20"/>
      <c r="J202" s="10"/>
      <c r="K202" s="21"/>
      <c r="L202" s="27"/>
      <c r="M202" s="27"/>
    </row>
    <row r="203" spans="1:13" ht="17.25" customHeight="1">
      <c r="A203" s="10"/>
      <c r="B203" s="16"/>
      <c r="C203" s="10"/>
      <c r="D203" s="16"/>
      <c r="E203" s="7"/>
      <c r="F203" s="18"/>
      <c r="G203" s="19"/>
      <c r="H203" s="20" t="str">
        <f t="shared" si="7"/>
        <v/>
      </c>
      <c r="I203" s="20"/>
      <c r="J203" s="10"/>
      <c r="K203" s="21"/>
      <c r="L203" s="27"/>
      <c r="M203" s="27"/>
    </row>
    <row r="204" spans="1:13" ht="17.25" customHeight="1">
      <c r="A204" s="10"/>
      <c r="B204" s="16"/>
      <c r="C204" s="10"/>
      <c r="D204" s="16"/>
      <c r="E204" s="7"/>
      <c r="F204" s="18"/>
      <c r="G204" s="19"/>
      <c r="H204" s="20" t="str">
        <f t="shared" si="7"/>
        <v/>
      </c>
      <c r="I204" s="20"/>
      <c r="J204" s="10"/>
      <c r="K204" s="21"/>
      <c r="L204" s="27"/>
      <c r="M204" s="27"/>
    </row>
    <row r="205" spans="1:13" ht="17.25" customHeight="1">
      <c r="A205" s="10"/>
      <c r="B205" s="16"/>
      <c r="C205" s="10"/>
      <c r="D205" s="16"/>
      <c r="E205" s="7"/>
      <c r="F205" s="18"/>
      <c r="G205" s="19"/>
      <c r="H205" s="20" t="str">
        <f t="shared" si="7"/>
        <v/>
      </c>
      <c r="I205" s="20"/>
      <c r="J205" s="10"/>
      <c r="K205" s="21"/>
      <c r="L205" s="27"/>
      <c r="M205" s="27"/>
    </row>
    <row r="206" spans="1:13" ht="17.25" customHeight="1">
      <c r="A206" s="10"/>
      <c r="B206" s="16"/>
      <c r="C206" s="10"/>
      <c r="D206" s="16"/>
      <c r="E206" s="7"/>
      <c r="F206" s="18"/>
      <c r="G206" s="19"/>
      <c r="H206" s="20" t="str">
        <f t="shared" si="7"/>
        <v/>
      </c>
      <c r="I206" s="20"/>
      <c r="J206" s="10"/>
      <c r="K206" s="21"/>
      <c r="L206" s="27"/>
      <c r="M206" s="27"/>
    </row>
    <row r="207" spans="1:13" ht="17.25" customHeight="1">
      <c r="A207" s="10"/>
      <c r="B207" s="16"/>
      <c r="C207" s="10"/>
      <c r="D207" s="16"/>
      <c r="E207" s="7"/>
      <c r="F207" s="18"/>
      <c r="G207" s="19"/>
      <c r="H207" s="20" t="str">
        <f t="shared" si="7"/>
        <v/>
      </c>
      <c r="I207" s="20"/>
      <c r="J207" s="10"/>
      <c r="K207" s="21"/>
      <c r="L207" s="27"/>
      <c r="M207" s="27"/>
    </row>
    <row r="208" spans="1:13" ht="17.25" customHeight="1">
      <c r="A208" s="10"/>
      <c r="B208" s="16"/>
      <c r="C208" s="10"/>
      <c r="D208" s="16"/>
      <c r="E208" s="7"/>
      <c r="F208" s="18"/>
      <c r="G208" s="19"/>
      <c r="H208" s="20" t="str">
        <f t="shared" si="7"/>
        <v/>
      </c>
      <c r="I208" s="20"/>
      <c r="J208" s="10"/>
      <c r="K208" s="21"/>
      <c r="L208" s="27"/>
      <c r="M208" s="27"/>
    </row>
    <row r="209" spans="1:13" ht="17.25" customHeight="1">
      <c r="A209" s="10"/>
      <c r="B209" s="16"/>
      <c r="C209" s="10"/>
      <c r="D209" s="16"/>
      <c r="E209" s="7"/>
      <c r="F209" s="18"/>
      <c r="G209" s="19"/>
      <c r="H209" s="20" t="str">
        <f t="shared" si="7"/>
        <v/>
      </c>
      <c r="I209" s="20"/>
      <c r="J209" s="10"/>
      <c r="K209" s="21"/>
      <c r="L209" s="27"/>
      <c r="M209" s="27"/>
    </row>
    <row r="210" spans="1:13" ht="17.25" customHeight="1">
      <c r="A210" s="10"/>
      <c r="B210" s="16"/>
      <c r="C210" s="10"/>
      <c r="D210" s="16"/>
      <c r="E210" s="7"/>
      <c r="F210" s="18"/>
      <c r="G210" s="19"/>
      <c r="H210" s="20" t="str">
        <f t="shared" si="7"/>
        <v/>
      </c>
      <c r="I210" s="20"/>
      <c r="J210" s="10"/>
      <c r="K210" s="21"/>
      <c r="L210" s="27"/>
      <c r="M210" s="27"/>
    </row>
    <row r="211" spans="1:13" ht="17.25" customHeight="1"/>
    <row r="212" spans="1:13" ht="17.25" customHeight="1"/>
    <row r="213" spans="1:13" ht="17.25" customHeight="1"/>
    <row r="214" spans="1:13" ht="17.25" customHeight="1"/>
    <row r="215" spans="1:13" ht="17.25" customHeight="1"/>
    <row r="216" spans="1:13" ht="17.25" customHeight="1"/>
    <row r="217" spans="1:13" ht="17.25" customHeight="1"/>
    <row r="218" spans="1:13" ht="17.25" customHeight="1"/>
    <row r="219" spans="1:13" ht="17.25" customHeight="1"/>
    <row r="220" spans="1:13" ht="17.25" customHeight="1"/>
    <row r="221" spans="1:13" ht="17.25" customHeight="1"/>
    <row r="222" spans="1:13" ht="17.25" customHeight="1"/>
    <row r="223" spans="1:13" ht="17.25" customHeight="1"/>
    <row r="224" spans="1:13" ht="17.25" customHeight="1"/>
    <row r="225" ht="17.25" customHeight="1"/>
  </sheetData>
  <mergeCells count="4">
    <mergeCell ref="F9:H9"/>
    <mergeCell ref="A3:B3"/>
    <mergeCell ref="A4:B4"/>
    <mergeCell ref="A1:M1"/>
  </mergeCells>
  <phoneticPr fontId="1"/>
  <dataValidations count="5">
    <dataValidation imeMode="on" allowBlank="1" showInputMessage="1" showErrorMessage="1" sqref="D140:D210 D138 C140 C139:D139 D28 D66:D136 C34:C40 C66:C130 C61:C63 C49:C57" xr:uid="{56C0B5A4-7063-40BD-B033-90FC57789019}"/>
    <dataValidation imeMode="disabled" allowBlank="1" showInputMessage="1" showErrorMessage="1" sqref="C141:C210 D137 C131:C138 F10:K210 A10:B210" xr:uid="{1E842792-E9EB-4F13-AB42-7051D2B4021C}"/>
    <dataValidation type="list" imeMode="on" allowBlank="1" showInputMessage="1" showErrorMessage="1" sqref="E66:E210 E61:E63 E41:E42 E44:E47" xr:uid="{E7A44245-BC84-4EF0-9328-E77582865E7B}">
      <formula1>"ベスト電器,㈲ヤマツ津田商店,でんきのカトウ,㈲カワムラ電器,電器のオオミ"</formula1>
    </dataValidation>
    <dataValidation type="list" imeMode="on" allowBlank="1" sqref="E43 E64:E65 E10:E40" xr:uid="{E070BF0E-D726-4188-9DED-49CF4E132A8F}">
      <formula1>"ベスト電器,㈲ヤマツ津田商店,でんきのカトウ,㈲カワムラ電器,電器のオオミ"</formula1>
    </dataValidation>
    <dataValidation type="list" imeMode="on" allowBlank="1" showInputMessage="1" sqref="E48:E60" xr:uid="{0627368D-DB3F-4CC3-B2F0-9CFA7AB7ACC7}">
      <formula1>"ベスト電器,㈲ヤマツ津田商店,でんきのカトウ,㈲カワムラ電器,電器のオオミ"</formula1>
    </dataValidation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1A2E-9571-4EBB-8A29-632873B29BD9}">
  <sheetPr>
    <tabColor rgb="FF00B0F0"/>
  </sheetPr>
  <dimension ref="A1:Q210"/>
  <sheetViews>
    <sheetView tabSelected="1" workbookViewId="0">
      <pane ySplit="9" topLeftCell="A10" activePane="bottomLeft" state="frozen"/>
      <selection pane="bottomLeft" activeCell="R16" sqref="R15:S16"/>
    </sheetView>
  </sheetViews>
  <sheetFormatPr defaultRowHeight="14.25"/>
  <cols>
    <col min="1" max="1" width="5.25" style="4" customWidth="1"/>
    <col min="2" max="2" width="7" style="4" customWidth="1"/>
    <col min="3" max="4" width="4" style="4" customWidth="1"/>
    <col min="5" max="5" width="23.5" style="4" customWidth="1"/>
    <col min="6" max="6" width="6.25" style="4" customWidth="1"/>
    <col min="7" max="7" width="10.5" style="4" customWidth="1"/>
    <col min="8" max="8" width="2.125" style="4" customWidth="1"/>
    <col min="9" max="9" width="7" style="4" customWidth="1"/>
    <col min="10" max="10" width="5" style="4" customWidth="1"/>
    <col min="11" max="11" width="10.375" style="14" customWidth="1"/>
    <col min="12" max="13" width="4.625" style="4" customWidth="1"/>
    <col min="14" max="16384" width="9" style="4"/>
  </cols>
  <sheetData>
    <row r="1" spans="1:14" s="1" customFormat="1" ht="19.5" customHeight="1">
      <c r="A1" s="73" t="s">
        <v>52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4" s="1" customFormat="1" ht="19.5" customHeight="1">
      <c r="E2" s="2" t="s">
        <v>14</v>
      </c>
      <c r="F2" s="2" t="s">
        <v>19</v>
      </c>
      <c r="K2" s="13"/>
    </row>
    <row r="3" spans="1:14" s="1" customFormat="1" ht="19.5" customHeight="1">
      <c r="A3" s="73" t="s">
        <v>11</v>
      </c>
      <c r="B3" s="73"/>
      <c r="E3" s="28" t="s">
        <v>18</v>
      </c>
      <c r="F3" s="9">
        <f>COUNTIF(J10:J157,10)</f>
        <v>0</v>
      </c>
      <c r="G3" s="8"/>
      <c r="K3" s="13"/>
    </row>
    <row r="4" spans="1:14" s="1" customFormat="1" ht="19.5" customHeight="1">
      <c r="A4" s="73" t="s">
        <v>10</v>
      </c>
      <c r="B4" s="73"/>
      <c r="E4" s="28" t="s">
        <v>9</v>
      </c>
      <c r="F4" s="9">
        <f>COUNTIF(J10:J157,20)+COUNTIF(J10:J157,21)+COUNTIF(J10:J157,22)+COUNTIF(J10:J157,51)+COUNTIF(J10:J157,52)+COUNTIF(J10:J157,50)</f>
        <v>3</v>
      </c>
      <c r="G4" s="8"/>
      <c r="K4" s="13"/>
    </row>
    <row r="5" spans="1:14" s="1" customFormat="1" ht="19.5" customHeight="1">
      <c r="B5" s="1" t="s">
        <v>44</v>
      </c>
      <c r="E5" s="28" t="s">
        <v>7</v>
      </c>
      <c r="F5" s="9">
        <f>COUNTIF(J10:J157,30)+COUNTIF(J10:J157,31)+COUNTIF(J10:J157,32)</f>
        <v>1</v>
      </c>
      <c r="G5" s="8"/>
      <c r="K5" s="13"/>
      <c r="N5" s="11"/>
    </row>
    <row r="6" spans="1:14" s="1" customFormat="1" ht="19.5" customHeight="1">
      <c r="E6" s="28" t="s">
        <v>8</v>
      </c>
      <c r="F6" s="9">
        <f>COUNTIF(J10:J157,40)</f>
        <v>2</v>
      </c>
      <c r="G6" s="8"/>
      <c r="K6" s="13"/>
      <c r="N6" s="11"/>
    </row>
    <row r="7" spans="1:14" s="1" customFormat="1" ht="19.5" customHeight="1">
      <c r="E7" s="2" t="s">
        <v>13</v>
      </c>
      <c r="F7" s="9">
        <f>SUM(F3:F6)</f>
        <v>6</v>
      </c>
      <c r="G7" s="8"/>
      <c r="K7" s="13"/>
    </row>
    <row r="8" spans="1:14" ht="7.5" customHeight="1">
      <c r="F8" s="17"/>
      <c r="G8" s="17"/>
    </row>
    <row r="9" spans="1:14" s="6" customFormat="1" ht="21" customHeight="1">
      <c r="A9" s="5" t="s">
        <v>1</v>
      </c>
      <c r="B9" s="5" t="s">
        <v>5</v>
      </c>
      <c r="C9" s="5" t="s">
        <v>16</v>
      </c>
      <c r="D9" s="5" t="s">
        <v>17</v>
      </c>
      <c r="E9" s="5" t="s">
        <v>6</v>
      </c>
      <c r="F9" s="70" t="s">
        <v>0</v>
      </c>
      <c r="G9" s="71"/>
      <c r="H9" s="72"/>
      <c r="I9" s="5" t="s">
        <v>2</v>
      </c>
      <c r="J9" s="5" t="s">
        <v>3</v>
      </c>
      <c r="K9" s="15" t="s">
        <v>4</v>
      </c>
      <c r="L9" s="5" t="s">
        <v>15</v>
      </c>
      <c r="M9" s="5" t="s">
        <v>39</v>
      </c>
    </row>
    <row r="10" spans="1:14" ht="21" customHeight="1">
      <c r="A10" s="10">
        <v>1</v>
      </c>
      <c r="B10" s="16">
        <v>46106</v>
      </c>
      <c r="C10" s="1"/>
      <c r="D10" s="2" t="s">
        <v>44</v>
      </c>
      <c r="E10" s="53" t="s">
        <v>145</v>
      </c>
      <c r="F10" s="18">
        <v>24</v>
      </c>
      <c r="G10" s="19">
        <v>20361162</v>
      </c>
      <c r="H10" s="20">
        <f t="shared" ref="H10:H47" si="0">IF(G10="","",(F10*100000000+G10)-7*INT((F10*100000000+G10)/7))</f>
        <v>2</v>
      </c>
      <c r="I10" s="20">
        <v>310</v>
      </c>
      <c r="J10" s="10">
        <v>52</v>
      </c>
      <c r="K10" s="21">
        <v>46106</v>
      </c>
      <c r="L10" s="29" t="s">
        <v>54</v>
      </c>
      <c r="M10" s="54"/>
    </row>
    <row r="11" spans="1:14" ht="21" customHeight="1">
      <c r="A11" s="10">
        <v>2</v>
      </c>
      <c r="B11" s="16">
        <v>46106</v>
      </c>
      <c r="C11" s="2"/>
      <c r="D11" s="2" t="s">
        <v>44</v>
      </c>
      <c r="E11" s="53" t="s">
        <v>145</v>
      </c>
      <c r="F11" s="18">
        <v>24</v>
      </c>
      <c r="G11" s="19">
        <v>20361161</v>
      </c>
      <c r="H11" s="20">
        <f t="shared" si="0"/>
        <v>1</v>
      </c>
      <c r="I11" s="20">
        <v>340</v>
      </c>
      <c r="J11" s="10">
        <v>52</v>
      </c>
      <c r="K11" s="21">
        <v>46106</v>
      </c>
      <c r="L11" s="29" t="s">
        <v>54</v>
      </c>
      <c r="M11" s="54"/>
    </row>
    <row r="12" spans="1:14" ht="21" customHeight="1">
      <c r="A12" s="10">
        <v>3</v>
      </c>
      <c r="B12" s="16">
        <v>46106</v>
      </c>
      <c r="C12" s="2"/>
      <c r="D12" s="2" t="s">
        <v>44</v>
      </c>
      <c r="E12" s="53" t="s">
        <v>146</v>
      </c>
      <c r="F12" s="18">
        <v>25</v>
      </c>
      <c r="G12" s="19">
        <v>10084254</v>
      </c>
      <c r="H12" s="20">
        <f t="shared" si="0"/>
        <v>6</v>
      </c>
      <c r="I12" s="20">
        <v>300</v>
      </c>
      <c r="J12" s="10">
        <v>40</v>
      </c>
      <c r="K12" s="21">
        <v>46106</v>
      </c>
      <c r="L12" s="29" t="s">
        <v>54</v>
      </c>
      <c r="M12" s="54"/>
      <c r="N12" s="12"/>
    </row>
    <row r="13" spans="1:14" ht="21" customHeight="1">
      <c r="A13" s="10">
        <v>4</v>
      </c>
      <c r="B13" s="16">
        <v>46108</v>
      </c>
      <c r="C13" s="2"/>
      <c r="D13" s="1" t="s">
        <v>44</v>
      </c>
      <c r="E13" s="53" t="s">
        <v>147</v>
      </c>
      <c r="F13" s="18">
        <v>25</v>
      </c>
      <c r="G13" s="19">
        <v>10084255</v>
      </c>
      <c r="H13" s="20">
        <f t="shared" si="0"/>
        <v>0</v>
      </c>
      <c r="I13" s="20">
        <v>320</v>
      </c>
      <c r="J13" s="10">
        <v>32</v>
      </c>
      <c r="K13" s="21">
        <v>46108</v>
      </c>
      <c r="L13" s="29" t="s">
        <v>54</v>
      </c>
      <c r="M13" s="54"/>
    </row>
    <row r="14" spans="1:14" ht="21" customHeight="1">
      <c r="A14" s="10">
        <v>5</v>
      </c>
      <c r="B14" s="16">
        <v>46111</v>
      </c>
      <c r="C14" s="2" t="s">
        <v>44</v>
      </c>
      <c r="D14" s="2"/>
      <c r="E14" s="53" t="s">
        <v>148</v>
      </c>
      <c r="F14" s="18">
        <v>25</v>
      </c>
      <c r="G14" s="19">
        <v>10584411</v>
      </c>
      <c r="H14" s="20">
        <f t="shared" si="0"/>
        <v>6</v>
      </c>
      <c r="I14" s="20">
        <v>392</v>
      </c>
      <c r="J14" s="10">
        <v>40</v>
      </c>
      <c r="K14" s="21">
        <v>46111</v>
      </c>
      <c r="L14" s="29" t="s">
        <v>54</v>
      </c>
      <c r="M14" s="54"/>
    </row>
    <row r="15" spans="1:14" ht="21" customHeight="1">
      <c r="A15" s="10">
        <v>6</v>
      </c>
      <c r="B15" s="16">
        <v>46111</v>
      </c>
      <c r="C15" s="1" t="s">
        <v>44</v>
      </c>
      <c r="D15" s="2"/>
      <c r="E15" s="53" t="s">
        <v>149</v>
      </c>
      <c r="F15" s="18">
        <v>21</v>
      </c>
      <c r="G15" s="19">
        <v>11172689</v>
      </c>
      <c r="H15" s="20">
        <f t="shared" si="0"/>
        <v>3</v>
      </c>
      <c r="I15" s="20">
        <v>310</v>
      </c>
      <c r="J15" s="10">
        <v>52</v>
      </c>
      <c r="K15" s="21">
        <v>46111</v>
      </c>
      <c r="L15" s="29" t="s">
        <v>54</v>
      </c>
      <c r="M15" s="54"/>
    </row>
    <row r="16" spans="1:14" ht="21" customHeight="1">
      <c r="A16" s="10">
        <v>7</v>
      </c>
      <c r="B16" s="16"/>
      <c r="C16" s="2"/>
      <c r="D16" s="2"/>
      <c r="E16" s="53"/>
      <c r="F16" s="18"/>
      <c r="G16" s="19"/>
      <c r="H16" s="20" t="str">
        <f t="shared" si="0"/>
        <v/>
      </c>
      <c r="I16" s="20"/>
      <c r="J16" s="10"/>
      <c r="K16" s="21"/>
      <c r="L16" s="29"/>
      <c r="M16" s="54"/>
    </row>
    <row r="17" spans="1:13" ht="21" customHeight="1">
      <c r="A17" s="10">
        <v>8</v>
      </c>
      <c r="B17" s="16"/>
      <c r="C17" s="2"/>
      <c r="D17" s="2"/>
      <c r="E17" s="53"/>
      <c r="F17" s="18"/>
      <c r="G17" s="19"/>
      <c r="H17" s="20" t="str">
        <f t="shared" si="0"/>
        <v/>
      </c>
      <c r="I17" s="20"/>
      <c r="J17" s="10"/>
      <c r="K17" s="21"/>
      <c r="L17" s="29"/>
      <c r="M17" s="54"/>
    </row>
    <row r="18" spans="1:13" ht="21" customHeight="1">
      <c r="A18" s="10">
        <v>9</v>
      </c>
      <c r="B18" s="16"/>
      <c r="C18" s="2"/>
      <c r="D18" s="2"/>
      <c r="E18" s="53"/>
      <c r="F18" s="18"/>
      <c r="G18" s="19"/>
      <c r="H18" s="20" t="str">
        <f t="shared" si="0"/>
        <v/>
      </c>
      <c r="I18" s="20"/>
      <c r="J18" s="10"/>
      <c r="K18" s="21"/>
      <c r="L18" s="29"/>
      <c r="M18" s="54"/>
    </row>
    <row r="19" spans="1:13" ht="21" customHeight="1">
      <c r="A19" s="10">
        <v>10</v>
      </c>
      <c r="B19" s="16"/>
      <c r="C19" s="2"/>
      <c r="D19" s="2"/>
      <c r="E19" s="53"/>
      <c r="F19" s="18"/>
      <c r="G19" s="19"/>
      <c r="H19" s="20" t="str">
        <f t="shared" si="0"/>
        <v/>
      </c>
      <c r="I19" s="20"/>
      <c r="J19" s="10"/>
      <c r="K19" s="21"/>
      <c r="L19" s="29"/>
      <c r="M19" s="54"/>
    </row>
    <row r="20" spans="1:13" ht="21" customHeight="1">
      <c r="A20" s="10">
        <v>11</v>
      </c>
      <c r="B20" s="16"/>
      <c r="C20" s="2"/>
      <c r="D20" s="2"/>
      <c r="E20" s="53"/>
      <c r="F20" s="18"/>
      <c r="G20" s="19"/>
      <c r="H20" s="20" t="str">
        <f t="shared" si="0"/>
        <v/>
      </c>
      <c r="I20" s="20"/>
      <c r="J20" s="10"/>
      <c r="K20" s="21"/>
      <c r="L20" s="29"/>
      <c r="M20" s="54"/>
    </row>
    <row r="21" spans="1:13" ht="21" customHeight="1">
      <c r="A21" s="10">
        <v>12</v>
      </c>
      <c r="B21" s="16"/>
      <c r="C21" s="2"/>
      <c r="D21" s="2"/>
      <c r="E21" s="53"/>
      <c r="F21" s="18"/>
      <c r="G21" s="19"/>
      <c r="H21" s="20" t="str">
        <f t="shared" si="0"/>
        <v/>
      </c>
      <c r="I21" s="20"/>
      <c r="J21" s="10"/>
      <c r="K21" s="21"/>
      <c r="L21" s="29"/>
      <c r="M21" s="54"/>
    </row>
    <row r="22" spans="1:13" ht="21" customHeight="1">
      <c r="A22" s="10">
        <v>13</v>
      </c>
      <c r="B22" s="16"/>
      <c r="C22" s="2"/>
      <c r="D22" s="2"/>
      <c r="E22" s="53"/>
      <c r="F22" s="18"/>
      <c r="G22" s="19"/>
      <c r="H22" s="20" t="str">
        <f t="shared" si="0"/>
        <v/>
      </c>
      <c r="I22" s="20"/>
      <c r="J22" s="10"/>
      <c r="K22" s="21"/>
      <c r="L22" s="29"/>
      <c r="M22" s="54"/>
    </row>
    <row r="23" spans="1:13" ht="21" customHeight="1">
      <c r="A23" s="10">
        <v>14</v>
      </c>
      <c r="B23" s="16"/>
      <c r="C23" s="2"/>
      <c r="D23" s="2"/>
      <c r="E23" s="53"/>
      <c r="F23" s="18"/>
      <c r="G23" s="19"/>
      <c r="H23" s="20" t="str">
        <f t="shared" si="0"/>
        <v/>
      </c>
      <c r="I23" s="20"/>
      <c r="J23" s="10"/>
      <c r="K23" s="21"/>
      <c r="L23" s="29"/>
      <c r="M23" s="54"/>
    </row>
    <row r="24" spans="1:13" ht="21" customHeight="1">
      <c r="A24" s="10">
        <v>15</v>
      </c>
      <c r="B24" s="16"/>
      <c r="C24" s="2"/>
      <c r="D24" s="2"/>
      <c r="E24" s="53"/>
      <c r="F24" s="18"/>
      <c r="G24" s="19"/>
      <c r="H24" s="20" t="str">
        <f t="shared" si="0"/>
        <v/>
      </c>
      <c r="I24" s="20"/>
      <c r="J24" s="10"/>
      <c r="K24" s="21"/>
      <c r="L24" s="29"/>
      <c r="M24" s="54"/>
    </row>
    <row r="25" spans="1:13" ht="21" customHeight="1">
      <c r="A25" s="10">
        <v>16</v>
      </c>
      <c r="B25" s="16"/>
      <c r="C25" s="2"/>
      <c r="D25" s="2"/>
      <c r="E25" s="53"/>
      <c r="F25" s="18"/>
      <c r="G25" s="19"/>
      <c r="H25" s="20" t="str">
        <f t="shared" si="0"/>
        <v/>
      </c>
      <c r="I25" s="20"/>
      <c r="J25" s="10"/>
      <c r="K25" s="21"/>
      <c r="L25" s="29"/>
      <c r="M25" s="54"/>
    </row>
    <row r="26" spans="1:13" ht="21" customHeight="1">
      <c r="A26" s="10">
        <v>17</v>
      </c>
      <c r="B26" s="16"/>
      <c r="C26" s="2"/>
      <c r="D26" s="2"/>
      <c r="E26" s="53"/>
      <c r="F26" s="18"/>
      <c r="G26" s="19"/>
      <c r="H26" s="20" t="str">
        <f t="shared" si="0"/>
        <v/>
      </c>
      <c r="I26" s="20"/>
      <c r="J26" s="10"/>
      <c r="K26" s="21"/>
      <c r="L26" s="29"/>
      <c r="M26" s="54"/>
    </row>
    <row r="27" spans="1:13" ht="21" customHeight="1">
      <c r="A27" s="10">
        <v>18</v>
      </c>
      <c r="B27" s="16"/>
      <c r="C27" s="2"/>
      <c r="D27" s="2"/>
      <c r="E27" s="53"/>
      <c r="F27" s="18"/>
      <c r="G27" s="19"/>
      <c r="H27" s="20" t="str">
        <f t="shared" si="0"/>
        <v/>
      </c>
      <c r="I27" s="20"/>
      <c r="J27" s="10"/>
      <c r="K27" s="21"/>
      <c r="L27" s="29"/>
      <c r="M27" s="54"/>
    </row>
    <row r="28" spans="1:13" ht="21" customHeight="1">
      <c r="A28" s="10">
        <v>19</v>
      </c>
      <c r="B28" s="16"/>
      <c r="C28" s="2"/>
      <c r="D28" s="2"/>
      <c r="E28" s="53"/>
      <c r="F28" s="18"/>
      <c r="G28" s="19"/>
      <c r="H28" s="20" t="str">
        <f t="shared" si="0"/>
        <v/>
      </c>
      <c r="I28" s="20"/>
      <c r="J28" s="10"/>
      <c r="K28" s="21"/>
      <c r="L28" s="29"/>
      <c r="M28" s="54"/>
    </row>
    <row r="29" spans="1:13" ht="21" customHeight="1">
      <c r="A29" s="10">
        <v>20</v>
      </c>
      <c r="B29" s="16"/>
      <c r="C29" s="16"/>
      <c r="D29" s="2"/>
      <c r="E29" s="53"/>
      <c r="F29" s="18"/>
      <c r="G29" s="19"/>
      <c r="H29" s="20" t="str">
        <f t="shared" si="0"/>
        <v/>
      </c>
      <c r="I29" s="20"/>
      <c r="J29" s="10"/>
      <c r="K29" s="21"/>
      <c r="L29" s="29"/>
      <c r="M29" s="54"/>
    </row>
    <row r="30" spans="1:13" ht="21" customHeight="1">
      <c r="A30" s="10">
        <v>21</v>
      </c>
      <c r="B30" s="16"/>
      <c r="C30" s="2"/>
      <c r="D30" s="2"/>
      <c r="E30" s="53"/>
      <c r="F30" s="18"/>
      <c r="G30" s="19"/>
      <c r="H30" s="20" t="str">
        <f t="shared" si="0"/>
        <v/>
      </c>
      <c r="I30" s="20"/>
      <c r="J30" s="10"/>
      <c r="K30" s="21"/>
      <c r="L30" s="29"/>
      <c r="M30" s="54"/>
    </row>
    <row r="31" spans="1:13" ht="21" customHeight="1">
      <c r="A31" s="10">
        <v>22</v>
      </c>
      <c r="B31" s="16"/>
      <c r="C31" s="2"/>
      <c r="D31" s="2"/>
      <c r="E31" s="53"/>
      <c r="F31" s="18"/>
      <c r="G31" s="19"/>
      <c r="H31" s="20" t="str">
        <f t="shared" si="0"/>
        <v/>
      </c>
      <c r="I31" s="20"/>
      <c r="J31" s="10"/>
      <c r="K31" s="21"/>
      <c r="L31" s="29"/>
      <c r="M31" s="54"/>
    </row>
    <row r="32" spans="1:13" ht="21" customHeight="1">
      <c r="A32" s="10">
        <v>23</v>
      </c>
      <c r="B32" s="16"/>
      <c r="C32" s="16"/>
      <c r="D32" s="2"/>
      <c r="E32" s="53"/>
      <c r="F32" s="18"/>
      <c r="G32" s="19"/>
      <c r="H32" s="20" t="str">
        <f t="shared" si="0"/>
        <v/>
      </c>
      <c r="I32" s="20"/>
      <c r="J32" s="10"/>
      <c r="K32" s="21"/>
      <c r="L32" s="29"/>
      <c r="M32" s="54"/>
    </row>
    <row r="33" spans="1:13" ht="21" customHeight="1">
      <c r="A33" s="10">
        <v>24</v>
      </c>
      <c r="B33" s="16"/>
      <c r="C33" s="2"/>
      <c r="D33" s="2"/>
      <c r="E33" s="53"/>
      <c r="F33" s="18"/>
      <c r="G33" s="19"/>
      <c r="H33" s="20" t="str">
        <f t="shared" si="0"/>
        <v/>
      </c>
      <c r="I33" s="20"/>
      <c r="J33" s="10"/>
      <c r="K33" s="21"/>
      <c r="L33" s="29"/>
      <c r="M33" s="54"/>
    </row>
    <row r="34" spans="1:13" ht="21" customHeight="1">
      <c r="A34" s="10">
        <v>25</v>
      </c>
      <c r="B34" s="16"/>
      <c r="C34" s="16"/>
      <c r="D34" s="2"/>
      <c r="E34" s="53"/>
      <c r="F34" s="18"/>
      <c r="G34" s="19"/>
      <c r="H34" s="20" t="str">
        <f t="shared" si="0"/>
        <v/>
      </c>
      <c r="I34" s="20"/>
      <c r="J34" s="10"/>
      <c r="K34" s="21"/>
      <c r="L34" s="29"/>
      <c r="M34" s="54"/>
    </row>
    <row r="35" spans="1:13" ht="21" customHeight="1">
      <c r="A35" s="10">
        <v>26</v>
      </c>
      <c r="B35" s="16"/>
      <c r="C35" s="2"/>
      <c r="D35" s="2"/>
      <c r="E35" s="53"/>
      <c r="F35" s="18"/>
      <c r="G35" s="19"/>
      <c r="H35" s="20" t="str">
        <f t="shared" si="0"/>
        <v/>
      </c>
      <c r="I35" s="20"/>
      <c r="J35" s="10"/>
      <c r="K35" s="21"/>
      <c r="L35" s="29"/>
      <c r="M35" s="54"/>
    </row>
    <row r="36" spans="1:13" ht="21" customHeight="1">
      <c r="A36" s="10">
        <v>27</v>
      </c>
      <c r="B36" s="16"/>
      <c r="C36" s="2"/>
      <c r="D36" s="2"/>
      <c r="E36" s="53"/>
      <c r="F36" s="18"/>
      <c r="G36" s="19"/>
      <c r="H36" s="20" t="str">
        <f t="shared" si="0"/>
        <v/>
      </c>
      <c r="I36" s="20"/>
      <c r="J36" s="10"/>
      <c r="K36" s="21"/>
      <c r="L36" s="29"/>
      <c r="M36" s="54"/>
    </row>
    <row r="37" spans="1:13" ht="21" customHeight="1">
      <c r="A37" s="10">
        <v>28</v>
      </c>
      <c r="B37" s="16"/>
      <c r="C37" s="2"/>
      <c r="D37" s="2"/>
      <c r="E37" s="53"/>
      <c r="F37" s="18"/>
      <c r="G37" s="19"/>
      <c r="H37" s="20" t="str">
        <f t="shared" si="0"/>
        <v/>
      </c>
      <c r="I37" s="20"/>
      <c r="J37" s="10"/>
      <c r="K37" s="21"/>
      <c r="L37" s="29"/>
      <c r="M37" s="54"/>
    </row>
    <row r="38" spans="1:13" ht="21" customHeight="1">
      <c r="A38" s="10">
        <v>29</v>
      </c>
      <c r="B38" s="16"/>
      <c r="C38" s="2"/>
      <c r="D38" s="2"/>
      <c r="E38" s="53"/>
      <c r="F38" s="18"/>
      <c r="G38" s="19"/>
      <c r="H38" s="20" t="str">
        <f t="shared" si="0"/>
        <v/>
      </c>
      <c r="I38" s="20"/>
      <c r="J38" s="10"/>
      <c r="K38" s="21"/>
      <c r="L38" s="29"/>
      <c r="M38" s="54"/>
    </row>
    <row r="39" spans="1:13" ht="21" customHeight="1">
      <c r="A39" s="10">
        <v>30</v>
      </c>
      <c r="B39" s="16"/>
      <c r="C39" s="2"/>
      <c r="D39" s="2"/>
      <c r="E39" s="53"/>
      <c r="F39" s="18"/>
      <c r="G39" s="19"/>
      <c r="H39" s="20" t="str">
        <f t="shared" si="0"/>
        <v/>
      </c>
      <c r="I39" s="20"/>
      <c r="J39" s="10"/>
      <c r="K39" s="21"/>
      <c r="L39" s="29"/>
      <c r="M39" s="54"/>
    </row>
    <row r="40" spans="1:13" ht="21" customHeight="1">
      <c r="A40" s="10">
        <v>31</v>
      </c>
      <c r="B40" s="16"/>
      <c r="C40" s="2"/>
      <c r="D40" s="2"/>
      <c r="E40" s="53"/>
      <c r="F40" s="18"/>
      <c r="G40" s="19"/>
      <c r="H40" s="20" t="str">
        <f t="shared" si="0"/>
        <v/>
      </c>
      <c r="I40" s="20"/>
      <c r="J40" s="10"/>
      <c r="K40" s="21"/>
      <c r="L40" s="29"/>
      <c r="M40" s="54"/>
    </row>
    <row r="41" spans="1:13" ht="21" customHeight="1">
      <c r="A41" s="10">
        <v>32</v>
      </c>
      <c r="B41" s="16"/>
      <c r="C41" s="2"/>
      <c r="D41" s="2"/>
      <c r="E41" s="53"/>
      <c r="F41" s="18"/>
      <c r="G41" s="19"/>
      <c r="H41" s="20" t="str">
        <f t="shared" si="0"/>
        <v/>
      </c>
      <c r="I41" s="20"/>
      <c r="J41" s="10"/>
      <c r="K41" s="21"/>
      <c r="L41" s="29"/>
      <c r="M41" s="54"/>
    </row>
    <row r="42" spans="1:13" ht="21" customHeight="1">
      <c r="A42" s="10">
        <v>33</v>
      </c>
      <c r="B42" s="16"/>
      <c r="C42" s="2"/>
      <c r="D42" s="2"/>
      <c r="E42" s="53"/>
      <c r="F42" s="18"/>
      <c r="G42" s="19"/>
      <c r="H42" s="20" t="str">
        <f>IF(G42="","",(F42*100000000+G42)-7*INT((F42*100000000+G42)/7))</f>
        <v/>
      </c>
      <c r="I42" s="20"/>
      <c r="J42" s="10"/>
      <c r="K42" s="21"/>
      <c r="L42" s="29"/>
      <c r="M42" s="54"/>
    </row>
    <row r="43" spans="1:13" ht="21" customHeight="1">
      <c r="A43" s="10">
        <v>34</v>
      </c>
      <c r="B43" s="16"/>
      <c r="C43" s="2"/>
      <c r="D43" s="2"/>
      <c r="E43" s="53"/>
      <c r="F43" s="18"/>
      <c r="G43" s="19"/>
      <c r="H43" s="20" t="str">
        <f>IF(G43="","",(F43*100000000+G43)-7*INT((F43*100000000+G43)/7))</f>
        <v/>
      </c>
      <c r="I43" s="20"/>
      <c r="J43" s="10"/>
      <c r="K43" s="21"/>
      <c r="L43" s="29"/>
      <c r="M43" s="54"/>
    </row>
    <row r="44" spans="1:13" ht="21" customHeight="1">
      <c r="A44" s="10">
        <v>35</v>
      </c>
      <c r="B44" s="16"/>
      <c r="C44" s="2"/>
      <c r="D44" s="2"/>
      <c r="E44" s="53"/>
      <c r="F44" s="18"/>
      <c r="G44" s="19"/>
      <c r="H44" s="20" t="str">
        <f t="shared" si="0"/>
        <v/>
      </c>
      <c r="I44" s="20"/>
      <c r="J44" s="10"/>
      <c r="K44" s="21"/>
      <c r="L44" s="29"/>
      <c r="M44" s="54"/>
    </row>
    <row r="45" spans="1:13" ht="21" customHeight="1">
      <c r="A45" s="10">
        <v>36</v>
      </c>
      <c r="B45" s="16"/>
      <c r="C45" s="2"/>
      <c r="D45" s="2"/>
      <c r="E45" s="53"/>
      <c r="F45" s="18"/>
      <c r="G45" s="19"/>
      <c r="H45" s="20" t="str">
        <f t="shared" si="0"/>
        <v/>
      </c>
      <c r="I45" s="20"/>
      <c r="J45" s="10"/>
      <c r="K45" s="21"/>
      <c r="L45" s="29"/>
      <c r="M45" s="54"/>
    </row>
    <row r="46" spans="1:13" ht="21" customHeight="1">
      <c r="A46" s="10">
        <v>37</v>
      </c>
      <c r="B46" s="16"/>
      <c r="C46" s="2"/>
      <c r="D46" s="2"/>
      <c r="E46" s="53"/>
      <c r="F46" s="18"/>
      <c r="G46" s="19"/>
      <c r="H46" s="20" t="str">
        <f t="shared" si="0"/>
        <v/>
      </c>
      <c r="I46" s="20"/>
      <c r="J46" s="10"/>
      <c r="K46" s="21"/>
      <c r="L46" s="29"/>
      <c r="M46" s="54"/>
    </row>
    <row r="47" spans="1:13" ht="21" customHeight="1">
      <c r="A47" s="10">
        <v>38</v>
      </c>
      <c r="B47" s="16"/>
      <c r="C47" s="2"/>
      <c r="D47" s="2"/>
      <c r="E47" s="53"/>
      <c r="F47" s="18"/>
      <c r="G47" s="19"/>
      <c r="H47" s="20" t="str">
        <f t="shared" si="0"/>
        <v/>
      </c>
      <c r="I47" s="20"/>
      <c r="J47" s="10"/>
      <c r="K47" s="21"/>
      <c r="L47" s="29"/>
      <c r="M47" s="54"/>
    </row>
    <row r="48" spans="1:13" ht="21" customHeight="1">
      <c r="A48" s="10">
        <v>39</v>
      </c>
      <c r="B48" s="16"/>
      <c r="C48" s="2"/>
      <c r="D48" s="2"/>
      <c r="E48" s="53"/>
      <c r="F48" s="18"/>
      <c r="G48" s="19"/>
      <c r="H48" s="20" t="str">
        <f t="shared" ref="H48:H69" si="1">IF(G48="","",(F48*100000000+G48)-7*INT((F48*100000000+G48)/7))</f>
        <v/>
      </c>
      <c r="I48" s="20"/>
      <c r="J48" s="10"/>
      <c r="K48" s="21"/>
      <c r="L48" s="29"/>
      <c r="M48" s="29"/>
    </row>
    <row r="49" spans="1:13" ht="21" customHeight="1">
      <c r="A49" s="10">
        <v>40</v>
      </c>
      <c r="B49" s="16"/>
      <c r="C49" s="2"/>
      <c r="D49" s="2"/>
      <c r="E49" s="53"/>
      <c r="F49" s="18"/>
      <c r="G49" s="19"/>
      <c r="H49" s="20" t="str">
        <f t="shared" si="1"/>
        <v/>
      </c>
      <c r="I49" s="20"/>
      <c r="J49" s="10"/>
      <c r="K49" s="21"/>
      <c r="L49" s="29"/>
      <c r="M49" s="29"/>
    </row>
    <row r="50" spans="1:13" ht="21" customHeight="1">
      <c r="A50" s="10">
        <v>41</v>
      </c>
      <c r="B50" s="16"/>
      <c r="C50" s="2"/>
      <c r="D50" s="2"/>
      <c r="E50" s="7"/>
      <c r="F50" s="18"/>
      <c r="G50" s="19"/>
      <c r="H50" s="20" t="str">
        <f t="shared" si="1"/>
        <v/>
      </c>
      <c r="I50" s="20"/>
      <c r="J50" s="10"/>
      <c r="K50" s="21"/>
      <c r="L50" s="29"/>
      <c r="M50" s="29"/>
    </row>
    <row r="51" spans="1:13" ht="21" customHeight="1">
      <c r="A51" s="10">
        <v>42</v>
      </c>
      <c r="B51" s="16"/>
      <c r="C51" s="2"/>
      <c r="D51" s="2"/>
      <c r="E51" s="7"/>
      <c r="F51" s="18"/>
      <c r="G51" s="19"/>
      <c r="H51" s="20" t="str">
        <f t="shared" si="1"/>
        <v/>
      </c>
      <c r="I51" s="20"/>
      <c r="J51" s="10"/>
      <c r="K51" s="21"/>
      <c r="L51" s="29"/>
      <c r="M51" s="29"/>
    </row>
    <row r="52" spans="1:13" ht="21" customHeight="1">
      <c r="A52" s="10">
        <v>43</v>
      </c>
      <c r="B52" s="16"/>
      <c r="C52" s="2"/>
      <c r="D52" s="2"/>
      <c r="E52" s="7"/>
      <c r="F52" s="18"/>
      <c r="G52" s="19"/>
      <c r="H52" s="20" t="str">
        <f t="shared" si="1"/>
        <v/>
      </c>
      <c r="I52" s="20"/>
      <c r="J52" s="10"/>
      <c r="K52" s="21"/>
      <c r="L52" s="29"/>
      <c r="M52" s="29"/>
    </row>
    <row r="53" spans="1:13" ht="21" customHeight="1">
      <c r="A53" s="10">
        <v>44</v>
      </c>
      <c r="B53" s="16"/>
      <c r="C53" s="2"/>
      <c r="D53" s="2"/>
      <c r="E53" s="7"/>
      <c r="F53" s="18"/>
      <c r="G53" s="19"/>
      <c r="H53" s="20" t="str">
        <f t="shared" si="1"/>
        <v/>
      </c>
      <c r="I53" s="20"/>
      <c r="J53" s="10"/>
      <c r="K53" s="21"/>
      <c r="L53" s="29"/>
      <c r="M53" s="29"/>
    </row>
    <row r="54" spans="1:13" ht="21" customHeight="1">
      <c r="A54" s="10">
        <v>45</v>
      </c>
      <c r="B54" s="16"/>
      <c r="C54" s="2"/>
      <c r="D54" s="2"/>
      <c r="E54" s="7"/>
      <c r="F54" s="18"/>
      <c r="G54" s="19"/>
      <c r="H54" s="20" t="str">
        <f t="shared" si="1"/>
        <v/>
      </c>
      <c r="I54" s="20"/>
      <c r="J54" s="10"/>
      <c r="K54" s="21"/>
      <c r="L54" s="29"/>
      <c r="M54" s="29"/>
    </row>
    <row r="55" spans="1:13" ht="21" customHeight="1">
      <c r="A55" s="10">
        <v>46</v>
      </c>
      <c r="B55" s="16"/>
      <c r="C55" s="16"/>
      <c r="D55" s="2"/>
      <c r="E55" s="7"/>
      <c r="F55" s="18"/>
      <c r="G55" s="19"/>
      <c r="H55" s="20" t="str">
        <f t="shared" si="1"/>
        <v/>
      </c>
      <c r="I55" s="20"/>
      <c r="J55" s="10"/>
      <c r="K55" s="21"/>
      <c r="L55" s="29"/>
      <c r="M55" s="29"/>
    </row>
    <row r="56" spans="1:13" ht="21" customHeight="1">
      <c r="A56" s="10">
        <v>47</v>
      </c>
      <c r="B56" s="16"/>
      <c r="C56" s="16"/>
      <c r="D56" s="2"/>
      <c r="E56" s="7"/>
      <c r="F56" s="18"/>
      <c r="G56" s="19"/>
      <c r="H56" s="20" t="str">
        <f t="shared" si="1"/>
        <v/>
      </c>
      <c r="I56" s="20"/>
      <c r="J56" s="10"/>
      <c r="K56" s="21"/>
      <c r="L56" s="29"/>
      <c r="M56" s="29"/>
    </row>
    <row r="57" spans="1:13" ht="21" customHeight="1">
      <c r="A57" s="10">
        <v>48</v>
      </c>
      <c r="B57" s="16"/>
      <c r="C57" s="16"/>
      <c r="D57" s="2"/>
      <c r="E57" s="7"/>
      <c r="F57" s="18"/>
      <c r="G57" s="19"/>
      <c r="H57" s="20" t="str">
        <f t="shared" si="1"/>
        <v/>
      </c>
      <c r="I57" s="20"/>
      <c r="J57" s="10"/>
      <c r="K57" s="21"/>
      <c r="L57" s="29"/>
      <c r="M57" s="29"/>
    </row>
    <row r="58" spans="1:13" ht="21" customHeight="1">
      <c r="A58" s="10">
        <v>49</v>
      </c>
      <c r="B58" s="16"/>
      <c r="C58" s="16"/>
      <c r="D58" s="2"/>
      <c r="E58" s="7"/>
      <c r="F58" s="18"/>
      <c r="G58" s="19"/>
      <c r="H58" s="20" t="str">
        <f t="shared" si="1"/>
        <v/>
      </c>
      <c r="I58" s="20"/>
      <c r="J58" s="10"/>
      <c r="K58" s="21"/>
      <c r="L58" s="29"/>
      <c r="M58" s="29"/>
    </row>
    <row r="59" spans="1:13" ht="21" customHeight="1">
      <c r="A59" s="10">
        <v>50</v>
      </c>
      <c r="B59" s="16"/>
      <c r="C59" s="16"/>
      <c r="D59" s="2"/>
      <c r="E59" s="7"/>
      <c r="F59" s="18"/>
      <c r="G59" s="19"/>
      <c r="H59" s="20" t="str">
        <f t="shared" si="1"/>
        <v/>
      </c>
      <c r="I59" s="20"/>
      <c r="J59" s="10"/>
      <c r="K59" s="21"/>
      <c r="L59" s="29"/>
      <c r="M59" s="29"/>
    </row>
    <row r="60" spans="1:13" ht="21" customHeight="1">
      <c r="A60" s="10">
        <v>51</v>
      </c>
      <c r="B60" s="16"/>
      <c r="C60" s="16"/>
      <c r="D60" s="2"/>
      <c r="E60" s="7"/>
      <c r="F60" s="18"/>
      <c r="G60" s="19"/>
      <c r="H60" s="20" t="str">
        <f t="shared" si="1"/>
        <v/>
      </c>
      <c r="I60" s="20"/>
      <c r="J60" s="10"/>
      <c r="K60" s="21"/>
      <c r="L60" s="29"/>
      <c r="M60" s="29"/>
    </row>
    <row r="61" spans="1:13" ht="21" customHeight="1">
      <c r="A61" s="10">
        <v>52</v>
      </c>
      <c r="B61" s="16"/>
      <c r="C61" s="16"/>
      <c r="D61" s="2"/>
      <c r="E61" s="7"/>
      <c r="F61" s="18"/>
      <c r="G61" s="19"/>
      <c r="H61" s="20" t="str">
        <f t="shared" si="1"/>
        <v/>
      </c>
      <c r="I61" s="20"/>
      <c r="J61" s="10"/>
      <c r="K61" s="21"/>
      <c r="L61" s="29"/>
      <c r="M61" s="29"/>
    </row>
    <row r="62" spans="1:13" ht="21" customHeight="1">
      <c r="A62" s="10">
        <v>53</v>
      </c>
      <c r="B62" s="16"/>
      <c r="C62" s="16"/>
      <c r="D62" s="2"/>
      <c r="E62" s="7"/>
      <c r="F62" s="18"/>
      <c r="G62" s="19"/>
      <c r="H62" s="20" t="str">
        <f t="shared" si="1"/>
        <v/>
      </c>
      <c r="I62" s="20"/>
      <c r="J62" s="10"/>
      <c r="K62" s="21"/>
      <c r="L62" s="29"/>
      <c r="M62" s="29"/>
    </row>
    <row r="63" spans="1:13" ht="21" customHeight="1">
      <c r="A63" s="10">
        <v>54</v>
      </c>
      <c r="B63" s="16"/>
      <c r="C63" s="16"/>
      <c r="D63" s="2"/>
      <c r="E63" s="7"/>
      <c r="F63" s="18"/>
      <c r="G63" s="19"/>
      <c r="H63" s="20" t="str">
        <f t="shared" si="1"/>
        <v/>
      </c>
      <c r="I63" s="20"/>
      <c r="J63" s="10"/>
      <c r="K63" s="21"/>
      <c r="L63" s="29"/>
      <c r="M63" s="29"/>
    </row>
    <row r="64" spans="1:13" ht="21" customHeight="1">
      <c r="A64" s="10">
        <v>55</v>
      </c>
      <c r="B64" s="16"/>
      <c r="C64" s="2"/>
      <c r="D64" s="2"/>
      <c r="E64" s="7"/>
      <c r="F64" s="18"/>
      <c r="G64" s="19"/>
      <c r="H64" s="20" t="str">
        <f t="shared" si="1"/>
        <v/>
      </c>
      <c r="I64" s="20"/>
      <c r="J64" s="10"/>
      <c r="K64" s="21"/>
      <c r="L64" s="29"/>
      <c r="M64" s="29"/>
    </row>
    <row r="65" spans="1:17" ht="21" customHeight="1">
      <c r="A65" s="10">
        <v>56</v>
      </c>
      <c r="B65" s="16"/>
      <c r="C65" s="2"/>
      <c r="D65" s="2"/>
      <c r="E65" s="7"/>
      <c r="F65" s="18"/>
      <c r="G65" s="19"/>
      <c r="H65" s="20" t="str">
        <f t="shared" si="1"/>
        <v/>
      </c>
      <c r="I65" s="20"/>
      <c r="J65" s="10"/>
      <c r="K65" s="21"/>
      <c r="L65" s="29"/>
      <c r="M65" s="29"/>
    </row>
    <row r="66" spans="1:17" ht="21" customHeight="1">
      <c r="A66" s="10">
        <v>57</v>
      </c>
      <c r="B66" s="16"/>
      <c r="C66" s="16"/>
      <c r="D66" s="2"/>
      <c r="E66" s="7"/>
      <c r="F66" s="18"/>
      <c r="G66" s="19"/>
      <c r="H66" s="20" t="str">
        <f t="shared" si="1"/>
        <v/>
      </c>
      <c r="I66" s="20"/>
      <c r="J66" s="10"/>
      <c r="K66" s="21"/>
      <c r="L66" s="29"/>
      <c r="M66" s="29"/>
    </row>
    <row r="67" spans="1:17" ht="21" customHeight="1">
      <c r="A67" s="10">
        <v>58</v>
      </c>
      <c r="B67" s="16"/>
      <c r="C67" s="16"/>
      <c r="D67" s="2"/>
      <c r="E67" s="7"/>
      <c r="F67" s="18"/>
      <c r="G67" s="19"/>
      <c r="H67" s="20" t="str">
        <f t="shared" si="1"/>
        <v/>
      </c>
      <c r="I67" s="20"/>
      <c r="J67" s="10"/>
      <c r="K67" s="21"/>
      <c r="L67" s="29"/>
      <c r="M67" s="29"/>
    </row>
    <row r="68" spans="1:17" ht="21" customHeight="1">
      <c r="A68" s="10">
        <v>59</v>
      </c>
      <c r="B68" s="16"/>
      <c r="C68" s="16"/>
      <c r="D68" s="2"/>
      <c r="E68" s="7"/>
      <c r="F68" s="18"/>
      <c r="G68" s="19"/>
      <c r="H68" s="20" t="str">
        <f t="shared" si="1"/>
        <v/>
      </c>
      <c r="I68" s="20"/>
      <c r="J68" s="10"/>
      <c r="K68" s="21"/>
      <c r="L68" s="29"/>
      <c r="M68" s="29"/>
      <c r="Q68" s="4" t="s">
        <v>43</v>
      </c>
    </row>
    <row r="69" spans="1:17" ht="21" customHeight="1">
      <c r="A69" s="10">
        <v>60</v>
      </c>
      <c r="B69" s="16"/>
      <c r="C69" s="16"/>
      <c r="D69" s="2"/>
      <c r="E69" s="7"/>
      <c r="F69" s="18"/>
      <c r="G69" s="19"/>
      <c r="H69" s="20" t="str">
        <f t="shared" si="1"/>
        <v/>
      </c>
      <c r="I69" s="20"/>
      <c r="J69" s="10"/>
      <c r="K69" s="21"/>
      <c r="L69" s="29"/>
      <c r="M69" s="29"/>
    </row>
    <row r="70" spans="1:17" ht="21" customHeight="1">
      <c r="A70" s="10">
        <v>61</v>
      </c>
      <c r="B70" s="16"/>
      <c r="C70" s="16"/>
      <c r="D70" s="16"/>
      <c r="E70" s="7"/>
      <c r="F70" s="18"/>
      <c r="G70" s="19"/>
      <c r="H70" s="20"/>
      <c r="I70" s="20"/>
      <c r="J70" s="10"/>
      <c r="K70" s="21"/>
      <c r="L70" s="29"/>
      <c r="M70" s="29"/>
    </row>
    <row r="71" spans="1:17" ht="21" customHeight="1">
      <c r="A71" s="10">
        <v>62</v>
      </c>
      <c r="B71" s="16"/>
      <c r="C71" s="16"/>
      <c r="D71" s="16"/>
      <c r="E71" s="7"/>
      <c r="F71" s="18"/>
      <c r="G71" s="19"/>
      <c r="H71" s="20"/>
      <c r="I71" s="20"/>
      <c r="J71" s="10"/>
      <c r="K71" s="21"/>
      <c r="L71" s="29"/>
      <c r="M71" s="29"/>
    </row>
    <row r="72" spans="1:17" ht="21" customHeight="1">
      <c r="A72" s="10">
        <v>63</v>
      </c>
      <c r="B72" s="16"/>
      <c r="C72" s="16"/>
      <c r="D72" s="16"/>
      <c r="E72" s="7"/>
      <c r="F72" s="18"/>
      <c r="G72" s="19"/>
      <c r="H72" s="20"/>
      <c r="I72" s="20"/>
      <c r="J72" s="10"/>
      <c r="K72" s="21"/>
      <c r="L72" s="29"/>
      <c r="M72" s="29"/>
    </row>
    <row r="73" spans="1:17" ht="21" customHeight="1">
      <c r="A73" s="10">
        <v>64</v>
      </c>
      <c r="B73" s="16"/>
      <c r="C73" s="16"/>
      <c r="D73" s="16"/>
      <c r="E73" s="7"/>
      <c r="F73" s="18"/>
      <c r="G73" s="19"/>
      <c r="H73" s="20"/>
      <c r="I73" s="20"/>
      <c r="J73" s="10"/>
      <c r="K73" s="21"/>
      <c r="L73" s="29"/>
      <c r="M73" s="29"/>
    </row>
    <row r="74" spans="1:17" ht="21" customHeight="1">
      <c r="A74" s="10">
        <v>65</v>
      </c>
      <c r="B74" s="16"/>
      <c r="C74" s="16"/>
      <c r="D74" s="16"/>
      <c r="E74" s="7"/>
      <c r="F74" s="18"/>
      <c r="G74" s="19"/>
      <c r="H74" s="20"/>
      <c r="I74" s="20"/>
      <c r="J74" s="10"/>
      <c r="K74" s="21"/>
      <c r="L74" s="29"/>
      <c r="M74" s="29"/>
    </row>
    <row r="75" spans="1:17" ht="21" customHeight="1">
      <c r="A75" s="10">
        <v>66</v>
      </c>
      <c r="B75" s="16"/>
      <c r="C75" s="16"/>
      <c r="D75" s="16"/>
      <c r="E75" s="7"/>
      <c r="F75" s="18"/>
      <c r="G75" s="19"/>
      <c r="H75" s="20"/>
      <c r="I75" s="20"/>
      <c r="J75" s="10"/>
      <c r="K75" s="21"/>
      <c r="L75" s="29"/>
      <c r="M75" s="29"/>
    </row>
    <row r="76" spans="1:17" ht="21" customHeight="1">
      <c r="A76" s="10">
        <v>67</v>
      </c>
      <c r="B76" s="16"/>
      <c r="C76" s="16"/>
      <c r="D76" s="16"/>
      <c r="E76" s="7"/>
      <c r="F76" s="18"/>
      <c r="G76" s="19"/>
      <c r="H76" s="20"/>
      <c r="I76" s="20"/>
      <c r="J76" s="10"/>
      <c r="K76" s="21"/>
      <c r="L76" s="29"/>
      <c r="M76" s="29"/>
    </row>
    <row r="77" spans="1:17" ht="21" customHeight="1">
      <c r="A77" s="10">
        <v>68</v>
      </c>
      <c r="B77" s="16"/>
      <c r="C77" s="16"/>
      <c r="D77" s="16"/>
      <c r="E77" s="7"/>
      <c r="F77" s="18"/>
      <c r="G77" s="19"/>
      <c r="H77" s="20"/>
      <c r="I77" s="20"/>
      <c r="J77" s="10"/>
      <c r="K77" s="21"/>
      <c r="L77" s="29"/>
      <c r="M77" s="29"/>
    </row>
    <row r="78" spans="1:17" ht="21" customHeight="1">
      <c r="A78" s="10">
        <v>69</v>
      </c>
      <c r="B78" s="16"/>
      <c r="C78" s="16"/>
      <c r="D78" s="16"/>
      <c r="E78" s="7"/>
      <c r="F78" s="18"/>
      <c r="G78" s="19"/>
      <c r="H78" s="20"/>
      <c r="I78" s="20"/>
      <c r="J78" s="10"/>
      <c r="K78" s="21"/>
      <c r="L78" s="29"/>
      <c r="M78" s="29"/>
    </row>
    <row r="79" spans="1:17" ht="21" customHeight="1">
      <c r="A79" s="10">
        <v>70</v>
      </c>
      <c r="B79" s="16"/>
      <c r="C79" s="16"/>
      <c r="D79" s="16"/>
      <c r="E79" s="7"/>
      <c r="F79" s="18"/>
      <c r="G79" s="19"/>
      <c r="H79" s="20"/>
      <c r="I79" s="20"/>
      <c r="J79" s="10"/>
      <c r="K79" s="21"/>
      <c r="L79" s="29"/>
      <c r="M79" s="29"/>
    </row>
    <row r="80" spans="1:17" ht="21" customHeight="1">
      <c r="A80" s="10">
        <v>71</v>
      </c>
      <c r="B80" s="16"/>
      <c r="C80" s="16"/>
      <c r="D80" s="16"/>
      <c r="E80" s="7"/>
      <c r="F80" s="18"/>
      <c r="G80" s="19"/>
      <c r="H80" s="20"/>
      <c r="I80" s="20"/>
      <c r="J80" s="10"/>
      <c r="K80" s="21"/>
      <c r="L80" s="29"/>
      <c r="M80" s="29"/>
    </row>
    <row r="81" spans="1:13" ht="21" customHeight="1">
      <c r="A81" s="10">
        <v>72</v>
      </c>
      <c r="B81" s="16"/>
      <c r="C81" s="16"/>
      <c r="D81" s="16"/>
      <c r="E81" s="7"/>
      <c r="F81" s="18"/>
      <c r="G81" s="19"/>
      <c r="H81" s="20"/>
      <c r="I81" s="20"/>
      <c r="J81" s="10"/>
      <c r="K81" s="21"/>
      <c r="L81" s="29"/>
      <c r="M81" s="29"/>
    </row>
    <row r="82" spans="1:13" ht="21" customHeight="1">
      <c r="A82" s="10">
        <v>73</v>
      </c>
      <c r="B82" s="16"/>
      <c r="C82" s="16"/>
      <c r="D82" s="16"/>
      <c r="E82" s="7"/>
      <c r="F82" s="18"/>
      <c r="G82" s="19"/>
      <c r="H82" s="20"/>
      <c r="I82" s="20"/>
      <c r="J82" s="10"/>
      <c r="K82" s="21"/>
      <c r="L82" s="29"/>
      <c r="M82" s="29"/>
    </row>
    <row r="83" spans="1:13" ht="21" customHeight="1">
      <c r="A83" s="10">
        <v>74</v>
      </c>
      <c r="B83" s="16"/>
      <c r="C83" s="16"/>
      <c r="D83" s="16"/>
      <c r="E83" s="7"/>
      <c r="F83" s="18"/>
      <c r="G83" s="19"/>
      <c r="H83" s="20"/>
      <c r="I83" s="20"/>
      <c r="J83" s="10"/>
      <c r="K83" s="21"/>
      <c r="L83" s="29"/>
      <c r="M83" s="29"/>
    </row>
    <row r="84" spans="1:13" ht="21" customHeight="1">
      <c r="A84" s="10">
        <v>75</v>
      </c>
      <c r="B84" s="16"/>
      <c r="C84" s="16"/>
      <c r="D84" s="16"/>
      <c r="E84" s="7"/>
      <c r="F84" s="18"/>
      <c r="G84" s="19"/>
      <c r="H84" s="20"/>
      <c r="I84" s="20"/>
      <c r="J84" s="10"/>
      <c r="K84" s="21"/>
      <c r="L84" s="29"/>
      <c r="M84" s="29"/>
    </row>
    <row r="85" spans="1:13" ht="21" customHeight="1">
      <c r="A85" s="10">
        <v>76</v>
      </c>
      <c r="B85" s="16"/>
      <c r="C85" s="16"/>
      <c r="D85" s="16"/>
      <c r="E85" s="7"/>
      <c r="F85" s="18"/>
      <c r="G85" s="19"/>
      <c r="H85" s="20"/>
      <c r="I85" s="20"/>
      <c r="J85" s="10"/>
      <c r="K85" s="21"/>
      <c r="L85" s="29"/>
      <c r="M85" s="29"/>
    </row>
    <row r="86" spans="1:13" ht="21" customHeight="1">
      <c r="A86" s="10">
        <v>77</v>
      </c>
      <c r="B86" s="16"/>
      <c r="C86" s="16"/>
      <c r="D86" s="16"/>
      <c r="E86" s="7"/>
      <c r="F86" s="18"/>
      <c r="G86" s="19"/>
      <c r="H86" s="20"/>
      <c r="I86" s="20"/>
      <c r="J86" s="10"/>
      <c r="K86" s="21"/>
      <c r="L86" s="29"/>
      <c r="M86" s="29"/>
    </row>
    <row r="87" spans="1:13" ht="21" customHeight="1">
      <c r="A87" s="10">
        <v>78</v>
      </c>
      <c r="B87" s="16"/>
      <c r="C87" s="16"/>
      <c r="D87" s="16"/>
      <c r="E87" s="7"/>
      <c r="F87" s="18"/>
      <c r="G87" s="19"/>
      <c r="H87" s="20"/>
      <c r="I87" s="20"/>
      <c r="J87" s="10"/>
      <c r="K87" s="21"/>
      <c r="L87" s="29"/>
      <c r="M87" s="29"/>
    </row>
    <row r="88" spans="1:13" ht="21" customHeight="1">
      <c r="A88" s="10">
        <v>79</v>
      </c>
      <c r="B88" s="16"/>
      <c r="C88" s="16"/>
      <c r="D88" s="16"/>
      <c r="E88" s="7"/>
      <c r="F88" s="18"/>
      <c r="G88" s="19"/>
      <c r="H88" s="20"/>
      <c r="I88" s="20"/>
      <c r="J88" s="10"/>
      <c r="K88" s="21"/>
      <c r="L88" s="29"/>
      <c r="M88" s="29"/>
    </row>
    <row r="89" spans="1:13" ht="21" customHeight="1">
      <c r="A89" s="10">
        <v>80</v>
      </c>
      <c r="B89" s="16"/>
      <c r="C89" s="16"/>
      <c r="D89" s="16"/>
      <c r="E89" s="7"/>
      <c r="F89" s="18"/>
      <c r="G89" s="19"/>
      <c r="H89" s="20"/>
      <c r="I89" s="20"/>
      <c r="J89" s="10"/>
      <c r="K89" s="21"/>
      <c r="L89" s="29"/>
      <c r="M89" s="29"/>
    </row>
    <row r="90" spans="1:13" ht="21" customHeight="1">
      <c r="A90" s="10">
        <v>81</v>
      </c>
      <c r="B90" s="16"/>
      <c r="C90" s="16"/>
      <c r="D90" s="16"/>
      <c r="E90" s="7"/>
      <c r="F90" s="18"/>
      <c r="G90" s="19"/>
      <c r="H90" s="20"/>
      <c r="I90" s="20"/>
      <c r="J90" s="10"/>
      <c r="K90" s="21"/>
      <c r="L90" s="29"/>
      <c r="M90" s="22"/>
    </row>
    <row r="91" spans="1:13" ht="21" customHeight="1">
      <c r="A91" s="10">
        <v>82</v>
      </c>
      <c r="B91" s="16"/>
      <c r="C91" s="16"/>
      <c r="D91" s="16"/>
      <c r="E91" s="7"/>
      <c r="F91" s="18"/>
      <c r="G91" s="19"/>
      <c r="H91" s="20"/>
      <c r="I91" s="20"/>
      <c r="J91" s="10"/>
      <c r="K91" s="21"/>
      <c r="L91" s="29"/>
      <c r="M91" s="22"/>
    </row>
    <row r="92" spans="1:13" ht="21" customHeight="1">
      <c r="A92" s="10">
        <v>83</v>
      </c>
      <c r="B92" s="16"/>
      <c r="C92" s="16"/>
      <c r="D92" s="16"/>
      <c r="E92" s="7"/>
      <c r="F92" s="18"/>
      <c r="G92" s="19"/>
      <c r="H92" s="20"/>
      <c r="I92" s="20"/>
      <c r="J92" s="10"/>
      <c r="K92" s="21"/>
      <c r="L92" s="29"/>
      <c r="M92" s="22"/>
    </row>
    <row r="93" spans="1:13" ht="21" customHeight="1">
      <c r="A93" s="10">
        <v>84</v>
      </c>
      <c r="B93" s="16"/>
      <c r="C93" s="16"/>
      <c r="D93" s="16"/>
      <c r="E93" s="7"/>
      <c r="F93" s="18"/>
      <c r="G93" s="19"/>
      <c r="H93" s="20" t="str">
        <f t="shared" ref="H93:H100" si="2">IF(G93="","",(F93*100000000+G93)-7*INT((F93*100000000+G93)/7))</f>
        <v/>
      </c>
      <c r="I93" s="20"/>
      <c r="J93" s="10"/>
      <c r="K93" s="21"/>
      <c r="L93" s="29"/>
      <c r="M93" s="22"/>
    </row>
    <row r="94" spans="1:13" ht="21" customHeight="1">
      <c r="A94" s="10">
        <v>85</v>
      </c>
      <c r="B94" s="16"/>
      <c r="C94" s="16"/>
      <c r="D94" s="16"/>
      <c r="E94" s="7"/>
      <c r="F94" s="18"/>
      <c r="G94" s="19"/>
      <c r="H94" s="20" t="str">
        <f t="shared" si="2"/>
        <v/>
      </c>
      <c r="I94" s="20"/>
      <c r="J94" s="10"/>
      <c r="K94" s="21"/>
      <c r="L94" s="29"/>
      <c r="M94" s="22"/>
    </row>
    <row r="95" spans="1:13" ht="21" customHeight="1">
      <c r="A95" s="10">
        <v>86</v>
      </c>
      <c r="B95" s="16"/>
      <c r="C95" s="16"/>
      <c r="D95" s="16"/>
      <c r="E95" s="7"/>
      <c r="F95" s="18"/>
      <c r="G95" s="19"/>
      <c r="H95" s="20" t="str">
        <f t="shared" si="2"/>
        <v/>
      </c>
      <c r="I95" s="20"/>
      <c r="J95" s="10"/>
      <c r="K95" s="21"/>
      <c r="L95" s="29"/>
      <c r="M95" s="22"/>
    </row>
    <row r="96" spans="1:13" ht="21" customHeight="1">
      <c r="A96" s="10">
        <v>87</v>
      </c>
      <c r="B96" s="16"/>
      <c r="C96" s="16"/>
      <c r="D96" s="16"/>
      <c r="E96" s="7"/>
      <c r="F96" s="18"/>
      <c r="G96" s="19"/>
      <c r="H96" s="20" t="str">
        <f t="shared" si="2"/>
        <v/>
      </c>
      <c r="I96" s="20"/>
      <c r="J96" s="10"/>
      <c r="K96" s="21"/>
      <c r="L96" s="29"/>
      <c r="M96" s="22"/>
    </row>
    <row r="97" spans="1:13" ht="21" customHeight="1">
      <c r="A97" s="10">
        <v>88</v>
      </c>
      <c r="B97" s="16"/>
      <c r="C97" s="16"/>
      <c r="D97" s="16"/>
      <c r="E97" s="7"/>
      <c r="F97" s="18"/>
      <c r="G97" s="19"/>
      <c r="H97" s="20" t="str">
        <f t="shared" si="2"/>
        <v/>
      </c>
      <c r="I97" s="20"/>
      <c r="J97" s="10"/>
      <c r="K97" s="21"/>
      <c r="L97" s="29"/>
      <c r="M97" s="22"/>
    </row>
    <row r="98" spans="1:13" ht="21" customHeight="1">
      <c r="A98" s="10">
        <v>89</v>
      </c>
      <c r="B98" s="16"/>
      <c r="C98" s="16"/>
      <c r="D98" s="16"/>
      <c r="E98" s="7"/>
      <c r="F98" s="18"/>
      <c r="G98" s="19"/>
      <c r="H98" s="20" t="str">
        <f t="shared" si="2"/>
        <v/>
      </c>
      <c r="I98" s="20"/>
      <c r="J98" s="10"/>
      <c r="K98" s="21"/>
      <c r="L98" s="29"/>
      <c r="M98" s="22"/>
    </row>
    <row r="99" spans="1:13" ht="21" customHeight="1">
      <c r="A99" s="10">
        <v>90</v>
      </c>
      <c r="B99" s="16"/>
      <c r="C99" s="16"/>
      <c r="D99" s="16"/>
      <c r="E99" s="7"/>
      <c r="F99" s="18"/>
      <c r="G99" s="19"/>
      <c r="H99" s="20" t="str">
        <f t="shared" si="2"/>
        <v/>
      </c>
      <c r="I99" s="20"/>
      <c r="J99" s="10"/>
      <c r="K99" s="21"/>
      <c r="L99" s="29"/>
      <c r="M99" s="22"/>
    </row>
    <row r="100" spans="1:13" ht="21" customHeight="1">
      <c r="A100" s="10">
        <v>91</v>
      </c>
      <c r="B100" s="16"/>
      <c r="C100" s="16"/>
      <c r="D100" s="16"/>
      <c r="E100" s="7"/>
      <c r="F100" s="18"/>
      <c r="G100" s="19"/>
      <c r="H100" s="20" t="str">
        <f t="shared" si="2"/>
        <v/>
      </c>
      <c r="I100" s="20"/>
      <c r="J100" s="10"/>
      <c r="K100" s="21"/>
      <c r="L100" s="29"/>
      <c r="M100" s="22"/>
    </row>
    <row r="101" spans="1:13" ht="21" customHeight="1">
      <c r="A101" s="10">
        <v>92</v>
      </c>
      <c r="B101" s="16"/>
      <c r="C101" s="16"/>
      <c r="D101" s="16"/>
      <c r="E101" s="7"/>
      <c r="F101" s="18"/>
      <c r="G101" s="19"/>
      <c r="H101" s="20" t="str">
        <f t="shared" ref="H101:H118" si="3">IF(G101="","",(F101*100000000+G101)-7*INT((F101*100000000+G101)/7))</f>
        <v/>
      </c>
      <c r="I101" s="20"/>
      <c r="J101" s="10"/>
      <c r="K101" s="21"/>
      <c r="L101" s="29"/>
      <c r="M101" s="22"/>
    </row>
    <row r="102" spans="1:13" ht="21" customHeight="1">
      <c r="A102" s="10">
        <v>93</v>
      </c>
      <c r="B102" s="16"/>
      <c r="C102" s="16"/>
      <c r="D102" s="16"/>
      <c r="E102" s="7"/>
      <c r="F102" s="18"/>
      <c r="G102" s="19"/>
      <c r="H102" s="20" t="str">
        <f t="shared" si="3"/>
        <v/>
      </c>
      <c r="I102" s="20"/>
      <c r="J102" s="10"/>
      <c r="K102" s="21"/>
      <c r="L102" s="29"/>
      <c r="M102" s="22"/>
    </row>
    <row r="103" spans="1:13" ht="21" customHeight="1">
      <c r="A103" s="10">
        <v>94</v>
      </c>
      <c r="B103" s="16"/>
      <c r="C103" s="16"/>
      <c r="D103" s="16"/>
      <c r="E103" s="7"/>
      <c r="F103" s="18"/>
      <c r="G103" s="19"/>
      <c r="H103" s="20" t="str">
        <f t="shared" si="3"/>
        <v/>
      </c>
      <c r="I103" s="20"/>
      <c r="J103" s="10"/>
      <c r="K103" s="21"/>
      <c r="L103" s="29"/>
      <c r="M103" s="22"/>
    </row>
    <row r="104" spans="1:13" ht="21" customHeight="1">
      <c r="A104" s="10">
        <v>95</v>
      </c>
      <c r="B104" s="16"/>
      <c r="C104" s="16"/>
      <c r="D104" s="16"/>
      <c r="E104" s="7"/>
      <c r="F104" s="18"/>
      <c r="G104" s="19"/>
      <c r="H104" s="20" t="str">
        <f t="shared" si="3"/>
        <v/>
      </c>
      <c r="I104" s="20"/>
      <c r="J104" s="10"/>
      <c r="K104" s="21"/>
      <c r="L104" s="29"/>
      <c r="M104" s="22"/>
    </row>
    <row r="105" spans="1:13" ht="21" customHeight="1">
      <c r="A105" s="10">
        <v>96</v>
      </c>
      <c r="B105" s="16"/>
      <c r="C105" s="16"/>
      <c r="D105" s="16"/>
      <c r="E105" s="7"/>
      <c r="F105" s="18"/>
      <c r="G105" s="19"/>
      <c r="H105" s="20" t="str">
        <f t="shared" si="3"/>
        <v/>
      </c>
      <c r="I105" s="20"/>
      <c r="J105" s="10"/>
      <c r="K105" s="21"/>
      <c r="L105" s="29"/>
      <c r="M105" s="22"/>
    </row>
    <row r="106" spans="1:13" ht="21" customHeight="1">
      <c r="A106" s="10">
        <v>97</v>
      </c>
      <c r="B106" s="16"/>
      <c r="C106" s="16"/>
      <c r="D106" s="16"/>
      <c r="E106" s="7"/>
      <c r="F106" s="18"/>
      <c r="G106" s="19"/>
      <c r="H106" s="20" t="str">
        <f t="shared" si="3"/>
        <v/>
      </c>
      <c r="I106" s="20"/>
      <c r="J106" s="10"/>
      <c r="K106" s="21"/>
      <c r="L106" s="29"/>
      <c r="M106" s="22"/>
    </row>
    <row r="107" spans="1:13" ht="21" customHeight="1">
      <c r="A107" s="10">
        <v>98</v>
      </c>
      <c r="B107" s="16"/>
      <c r="C107" s="16"/>
      <c r="D107" s="16"/>
      <c r="E107" s="7"/>
      <c r="F107" s="18"/>
      <c r="G107" s="19"/>
      <c r="H107" s="20" t="str">
        <f t="shared" si="3"/>
        <v/>
      </c>
      <c r="I107" s="20"/>
      <c r="J107" s="10"/>
      <c r="K107" s="21"/>
      <c r="L107" s="29"/>
      <c r="M107" s="22"/>
    </row>
    <row r="108" spans="1:13" ht="21" customHeight="1">
      <c r="A108" s="10">
        <v>99</v>
      </c>
      <c r="B108" s="16"/>
      <c r="C108" s="16"/>
      <c r="D108" s="16"/>
      <c r="E108" s="7"/>
      <c r="F108" s="18"/>
      <c r="G108" s="19"/>
      <c r="H108" s="20" t="str">
        <f t="shared" si="3"/>
        <v/>
      </c>
      <c r="I108" s="20"/>
      <c r="J108" s="10"/>
      <c r="K108" s="21"/>
      <c r="L108" s="29"/>
      <c r="M108" s="22"/>
    </row>
    <row r="109" spans="1:13" ht="21" customHeight="1">
      <c r="A109" s="10">
        <v>100</v>
      </c>
      <c r="B109" s="16"/>
      <c r="C109" s="16"/>
      <c r="D109" s="16"/>
      <c r="E109" s="7"/>
      <c r="F109" s="18"/>
      <c r="G109" s="19"/>
      <c r="H109" s="20" t="str">
        <f t="shared" si="3"/>
        <v/>
      </c>
      <c r="I109" s="20"/>
      <c r="J109" s="10"/>
      <c r="K109" s="21"/>
      <c r="L109" s="29"/>
      <c r="M109" s="22"/>
    </row>
    <row r="110" spans="1:13" ht="21" customHeight="1">
      <c r="A110" s="10"/>
      <c r="B110" s="16"/>
      <c r="C110" s="16"/>
      <c r="D110" s="16"/>
      <c r="E110" s="7"/>
      <c r="F110" s="18"/>
      <c r="G110" s="19"/>
      <c r="H110" s="20" t="str">
        <f t="shared" si="3"/>
        <v/>
      </c>
      <c r="I110" s="20"/>
      <c r="J110" s="10"/>
      <c r="K110" s="21"/>
      <c r="L110" s="22"/>
      <c r="M110" s="22"/>
    </row>
    <row r="111" spans="1:13" ht="21" customHeight="1">
      <c r="A111" s="10"/>
      <c r="B111" s="16"/>
      <c r="C111" s="16"/>
      <c r="D111" s="16"/>
      <c r="E111" s="7"/>
      <c r="F111" s="18"/>
      <c r="G111" s="19"/>
      <c r="H111" s="20" t="str">
        <f t="shared" si="3"/>
        <v/>
      </c>
      <c r="I111" s="20"/>
      <c r="J111" s="10"/>
      <c r="K111" s="21"/>
      <c r="L111" s="22"/>
      <c r="M111" s="22"/>
    </row>
    <row r="112" spans="1:13" ht="21" customHeight="1">
      <c r="A112" s="10"/>
      <c r="B112" s="16"/>
      <c r="C112" s="16"/>
      <c r="D112" s="16"/>
      <c r="E112" s="7"/>
      <c r="F112" s="18"/>
      <c r="G112" s="19"/>
      <c r="H112" s="20" t="str">
        <f t="shared" si="3"/>
        <v/>
      </c>
      <c r="I112" s="20"/>
      <c r="J112" s="10"/>
      <c r="K112" s="21"/>
      <c r="L112" s="22"/>
      <c r="M112" s="22"/>
    </row>
    <row r="113" spans="1:13" ht="21" customHeight="1">
      <c r="A113" s="10"/>
      <c r="B113" s="16"/>
      <c r="C113" s="16"/>
      <c r="D113" s="16"/>
      <c r="E113" s="7"/>
      <c r="F113" s="18"/>
      <c r="G113" s="19"/>
      <c r="H113" s="20" t="str">
        <f t="shared" si="3"/>
        <v/>
      </c>
      <c r="I113" s="20"/>
      <c r="J113" s="10"/>
      <c r="K113" s="21"/>
      <c r="L113" s="22"/>
      <c r="M113" s="22"/>
    </row>
    <row r="114" spans="1:13" ht="21" customHeight="1">
      <c r="A114" s="10"/>
      <c r="B114" s="16"/>
      <c r="C114" s="16"/>
      <c r="D114" s="16"/>
      <c r="E114" s="7"/>
      <c r="F114" s="18"/>
      <c r="G114" s="19"/>
      <c r="H114" s="20" t="str">
        <f t="shared" si="3"/>
        <v/>
      </c>
      <c r="I114" s="20"/>
      <c r="J114" s="10"/>
      <c r="K114" s="21"/>
      <c r="L114" s="22"/>
      <c r="M114" s="22"/>
    </row>
    <row r="115" spans="1:13" ht="21" customHeight="1">
      <c r="A115" s="10"/>
      <c r="B115" s="16"/>
      <c r="C115" s="16"/>
      <c r="D115" s="16"/>
      <c r="E115" s="7"/>
      <c r="F115" s="18"/>
      <c r="G115" s="19"/>
      <c r="H115" s="20" t="str">
        <f t="shared" si="3"/>
        <v/>
      </c>
      <c r="I115" s="20"/>
      <c r="J115" s="10"/>
      <c r="K115" s="21"/>
      <c r="L115" s="22"/>
      <c r="M115" s="22"/>
    </row>
    <row r="116" spans="1:13" ht="21" customHeight="1">
      <c r="A116" s="10"/>
      <c r="B116" s="16"/>
      <c r="C116" s="16"/>
      <c r="D116" s="16"/>
      <c r="E116" s="7"/>
      <c r="F116" s="18"/>
      <c r="G116" s="19"/>
      <c r="H116" s="20" t="str">
        <f t="shared" si="3"/>
        <v/>
      </c>
      <c r="I116" s="20"/>
      <c r="J116" s="10"/>
      <c r="K116" s="21"/>
      <c r="L116" s="22"/>
      <c r="M116" s="22"/>
    </row>
    <row r="117" spans="1:13" ht="21" customHeight="1">
      <c r="A117" s="10"/>
      <c r="B117" s="16"/>
      <c r="C117" s="16"/>
      <c r="D117" s="16"/>
      <c r="E117" s="7"/>
      <c r="F117" s="18"/>
      <c r="G117" s="19"/>
      <c r="H117" s="20" t="str">
        <f t="shared" si="3"/>
        <v/>
      </c>
      <c r="I117" s="20"/>
      <c r="J117" s="10"/>
      <c r="K117" s="21"/>
      <c r="L117" s="22"/>
      <c r="M117" s="22"/>
    </row>
    <row r="118" spans="1:13" ht="21" customHeight="1">
      <c r="A118" s="10"/>
      <c r="B118" s="16"/>
      <c r="C118" s="16"/>
      <c r="D118" s="16"/>
      <c r="E118" s="7"/>
      <c r="F118" s="18"/>
      <c r="G118" s="19"/>
      <c r="H118" s="20" t="str">
        <f t="shared" si="3"/>
        <v/>
      </c>
      <c r="I118" s="20"/>
      <c r="J118" s="10"/>
      <c r="K118" s="21"/>
      <c r="L118" s="22"/>
      <c r="M118" s="22"/>
    </row>
    <row r="119" spans="1:13" ht="15">
      <c r="A119" s="10"/>
      <c r="B119" s="16"/>
      <c r="C119" s="16"/>
      <c r="D119" s="16"/>
      <c r="E119" s="7"/>
      <c r="F119" s="18"/>
      <c r="G119" s="19"/>
      <c r="H119" s="20" t="str">
        <f t="shared" ref="H119:H137" si="4">IF(G119="","",(F119*100000000+G119)-7*INT((F119*100000000+G119)/7))</f>
        <v/>
      </c>
      <c r="I119" s="20"/>
      <c r="J119" s="10"/>
      <c r="K119" s="21"/>
      <c r="L119" s="22"/>
      <c r="M119" s="22"/>
    </row>
    <row r="120" spans="1:13" ht="15">
      <c r="A120" s="10"/>
      <c r="B120" s="16"/>
      <c r="C120" s="16"/>
      <c r="D120" s="16"/>
      <c r="E120" s="7"/>
      <c r="F120" s="18"/>
      <c r="G120" s="19"/>
      <c r="H120" s="20" t="str">
        <f t="shared" si="4"/>
        <v/>
      </c>
      <c r="I120" s="20"/>
      <c r="J120" s="10"/>
      <c r="K120" s="21"/>
      <c r="L120" s="22"/>
      <c r="M120" s="22"/>
    </row>
    <row r="121" spans="1:13" ht="15">
      <c r="A121" s="10"/>
      <c r="B121" s="16"/>
      <c r="C121" s="16"/>
      <c r="D121" s="16"/>
      <c r="E121" s="7"/>
      <c r="F121" s="18"/>
      <c r="G121" s="19"/>
      <c r="H121" s="20" t="str">
        <f t="shared" si="4"/>
        <v/>
      </c>
      <c r="I121" s="20"/>
      <c r="J121" s="10"/>
      <c r="K121" s="21"/>
      <c r="L121" s="22"/>
      <c r="M121" s="22"/>
    </row>
    <row r="122" spans="1:13" ht="15">
      <c r="A122" s="10"/>
      <c r="B122" s="16"/>
      <c r="C122" s="16"/>
      <c r="D122" s="16"/>
      <c r="E122" s="7"/>
      <c r="F122" s="18"/>
      <c r="G122" s="19"/>
      <c r="H122" s="20" t="str">
        <f t="shared" si="4"/>
        <v/>
      </c>
      <c r="I122" s="20"/>
      <c r="J122" s="10"/>
      <c r="K122" s="21"/>
      <c r="L122" s="22"/>
      <c r="M122" s="22"/>
    </row>
    <row r="123" spans="1:13" ht="15">
      <c r="A123" s="10"/>
      <c r="B123" s="16"/>
      <c r="C123" s="16"/>
      <c r="D123" s="16"/>
      <c r="E123" s="7"/>
      <c r="F123" s="18"/>
      <c r="G123" s="19"/>
      <c r="H123" s="20" t="str">
        <f t="shared" si="4"/>
        <v/>
      </c>
      <c r="I123" s="20"/>
      <c r="J123" s="10"/>
      <c r="K123" s="21"/>
      <c r="L123" s="22"/>
      <c r="M123" s="22"/>
    </row>
    <row r="124" spans="1:13" ht="15">
      <c r="A124" s="10"/>
      <c r="B124" s="16"/>
      <c r="C124" s="16"/>
      <c r="D124" s="16"/>
      <c r="E124" s="7"/>
      <c r="F124" s="18"/>
      <c r="G124" s="19"/>
      <c r="H124" s="20" t="str">
        <f t="shared" si="4"/>
        <v/>
      </c>
      <c r="I124" s="20"/>
      <c r="J124" s="10"/>
      <c r="K124" s="21"/>
      <c r="L124" s="22"/>
      <c r="M124" s="22"/>
    </row>
    <row r="125" spans="1:13" ht="15">
      <c r="A125" s="10"/>
      <c r="B125" s="16"/>
      <c r="C125" s="16"/>
      <c r="D125" s="16"/>
      <c r="E125" s="7"/>
      <c r="F125" s="18"/>
      <c r="G125" s="19"/>
      <c r="H125" s="20" t="str">
        <f t="shared" si="4"/>
        <v/>
      </c>
      <c r="I125" s="20"/>
      <c r="J125" s="10"/>
      <c r="K125" s="21"/>
      <c r="L125" s="22"/>
      <c r="M125" s="22"/>
    </row>
    <row r="126" spans="1:13" ht="15">
      <c r="A126" s="10"/>
      <c r="B126" s="16"/>
      <c r="C126" s="16"/>
      <c r="D126" s="16"/>
      <c r="E126" s="7"/>
      <c r="F126" s="18"/>
      <c r="G126" s="19"/>
      <c r="H126" s="20" t="str">
        <f t="shared" si="4"/>
        <v/>
      </c>
      <c r="I126" s="20"/>
      <c r="J126" s="10"/>
      <c r="K126" s="21"/>
      <c r="L126" s="22"/>
      <c r="M126" s="22"/>
    </row>
    <row r="127" spans="1:13" ht="15">
      <c r="A127" s="10"/>
      <c r="B127" s="16"/>
      <c r="C127" s="16"/>
      <c r="D127" s="16"/>
      <c r="E127" s="7"/>
      <c r="F127" s="18"/>
      <c r="G127" s="19"/>
      <c r="H127" s="20" t="str">
        <f t="shared" si="4"/>
        <v/>
      </c>
      <c r="I127" s="20"/>
      <c r="J127" s="10"/>
      <c r="K127" s="21"/>
      <c r="L127" s="22"/>
      <c r="M127" s="22"/>
    </row>
    <row r="128" spans="1:13" ht="15">
      <c r="A128" s="10"/>
      <c r="B128" s="16"/>
      <c r="C128" s="16"/>
      <c r="D128" s="16"/>
      <c r="E128" s="7"/>
      <c r="F128" s="18"/>
      <c r="G128" s="19"/>
      <c r="H128" s="20" t="str">
        <f t="shared" si="4"/>
        <v/>
      </c>
      <c r="I128" s="20"/>
      <c r="J128" s="10"/>
      <c r="K128" s="21"/>
      <c r="L128" s="22"/>
      <c r="M128" s="22"/>
    </row>
    <row r="129" spans="1:13" ht="15">
      <c r="A129" s="10"/>
      <c r="B129" s="16"/>
      <c r="C129" s="16"/>
      <c r="D129" s="16"/>
      <c r="E129" s="7"/>
      <c r="F129" s="18"/>
      <c r="G129" s="19"/>
      <c r="H129" s="20" t="str">
        <f t="shared" si="4"/>
        <v/>
      </c>
      <c r="I129" s="20"/>
      <c r="J129" s="10"/>
      <c r="K129" s="21"/>
      <c r="L129" s="22"/>
      <c r="M129" s="22"/>
    </row>
    <row r="130" spans="1:13" ht="15">
      <c r="A130" s="10"/>
      <c r="B130" s="16"/>
      <c r="C130" s="16"/>
      <c r="D130" s="16"/>
      <c r="E130" s="7"/>
      <c r="F130" s="18"/>
      <c r="G130" s="19"/>
      <c r="H130" s="20" t="str">
        <f t="shared" si="4"/>
        <v/>
      </c>
      <c r="I130" s="20"/>
      <c r="J130" s="10"/>
      <c r="K130" s="21"/>
      <c r="L130" s="22"/>
      <c r="M130" s="22"/>
    </row>
    <row r="131" spans="1:13" ht="15">
      <c r="A131" s="10"/>
      <c r="B131" s="16"/>
      <c r="C131" s="16"/>
      <c r="D131" s="16"/>
      <c r="E131" s="7"/>
      <c r="F131" s="18"/>
      <c r="G131" s="19"/>
      <c r="H131" s="20" t="str">
        <f t="shared" si="4"/>
        <v/>
      </c>
      <c r="I131" s="20"/>
      <c r="J131" s="10"/>
      <c r="K131" s="21"/>
      <c r="L131" s="22"/>
      <c r="M131" s="22"/>
    </row>
    <row r="132" spans="1:13" ht="15">
      <c r="A132" s="10"/>
      <c r="B132" s="16"/>
      <c r="C132" s="16"/>
      <c r="D132" s="16"/>
      <c r="E132" s="7"/>
      <c r="F132" s="18"/>
      <c r="G132" s="19"/>
      <c r="H132" s="20" t="str">
        <f t="shared" si="4"/>
        <v/>
      </c>
      <c r="I132" s="20"/>
      <c r="J132" s="10"/>
      <c r="K132" s="21"/>
      <c r="L132" s="22"/>
      <c r="M132" s="22"/>
    </row>
    <row r="133" spans="1:13" ht="15">
      <c r="A133" s="10"/>
      <c r="B133" s="16"/>
      <c r="C133" s="16"/>
      <c r="D133" s="16"/>
      <c r="E133" s="7"/>
      <c r="F133" s="18"/>
      <c r="G133" s="19"/>
      <c r="H133" s="20" t="str">
        <f t="shared" si="4"/>
        <v/>
      </c>
      <c r="I133" s="20"/>
      <c r="J133" s="10"/>
      <c r="K133" s="21"/>
      <c r="L133" s="22"/>
      <c r="M133" s="22"/>
    </row>
    <row r="134" spans="1:13" ht="15">
      <c r="A134" s="10"/>
      <c r="B134" s="16"/>
      <c r="C134" s="16"/>
      <c r="D134" s="16"/>
      <c r="E134" s="7"/>
      <c r="F134" s="18"/>
      <c r="G134" s="19"/>
      <c r="H134" s="20" t="str">
        <f t="shared" si="4"/>
        <v/>
      </c>
      <c r="I134" s="20"/>
      <c r="J134" s="10"/>
      <c r="K134" s="21"/>
      <c r="L134" s="22"/>
      <c r="M134" s="22"/>
    </row>
    <row r="135" spans="1:13" ht="15">
      <c r="A135" s="10"/>
      <c r="B135" s="16"/>
      <c r="C135" s="16"/>
      <c r="D135" s="16"/>
      <c r="E135" s="7"/>
      <c r="F135" s="18"/>
      <c r="G135" s="19"/>
      <c r="H135" s="20" t="str">
        <f t="shared" si="4"/>
        <v/>
      </c>
      <c r="I135" s="20"/>
      <c r="J135" s="10"/>
      <c r="K135" s="21"/>
      <c r="L135" s="22"/>
      <c r="M135" s="22"/>
    </row>
    <row r="136" spans="1:13" ht="15">
      <c r="A136" s="10"/>
      <c r="B136" s="16"/>
      <c r="C136" s="16"/>
      <c r="D136" s="16"/>
      <c r="E136" s="7"/>
      <c r="F136" s="18"/>
      <c r="G136" s="19"/>
      <c r="H136" s="20" t="str">
        <f t="shared" si="4"/>
        <v/>
      </c>
      <c r="I136" s="20"/>
      <c r="J136" s="10"/>
      <c r="K136" s="21"/>
      <c r="L136" s="22"/>
      <c r="M136" s="22"/>
    </row>
    <row r="137" spans="1:13" ht="15">
      <c r="A137" s="10"/>
      <c r="B137" s="16"/>
      <c r="C137" s="16"/>
      <c r="D137" s="16"/>
      <c r="E137" s="7"/>
      <c r="F137" s="18"/>
      <c r="G137" s="19"/>
      <c r="H137" s="20" t="str">
        <f t="shared" si="4"/>
        <v/>
      </c>
      <c r="I137" s="20"/>
      <c r="J137" s="10"/>
      <c r="K137" s="21"/>
      <c r="L137" s="22"/>
      <c r="M137" s="22"/>
    </row>
    <row r="138" spans="1:13" ht="15">
      <c r="A138" s="10"/>
      <c r="B138" s="16"/>
      <c r="C138" s="16"/>
      <c r="D138" s="16"/>
      <c r="E138" s="7"/>
      <c r="F138" s="18"/>
      <c r="G138" s="19"/>
      <c r="H138" s="20" t="str">
        <f t="shared" ref="H138:H169" si="5">IF(G138="","",(F138*100000000+G138)-7*INT((F138*100000000+G138)/7))</f>
        <v/>
      </c>
      <c r="I138" s="20"/>
      <c r="J138" s="10"/>
      <c r="K138" s="21"/>
      <c r="L138" s="22"/>
      <c r="M138" s="22"/>
    </row>
    <row r="139" spans="1:13" ht="15">
      <c r="A139" s="10"/>
      <c r="B139" s="16"/>
      <c r="C139" s="16"/>
      <c r="D139" s="16"/>
      <c r="E139" s="7"/>
      <c r="F139" s="18"/>
      <c r="G139" s="19"/>
      <c r="H139" s="20" t="str">
        <f t="shared" si="5"/>
        <v/>
      </c>
      <c r="I139" s="20"/>
      <c r="J139" s="10"/>
      <c r="K139" s="21"/>
      <c r="L139" s="22"/>
      <c r="M139" s="22"/>
    </row>
    <row r="140" spans="1:13" ht="15">
      <c r="A140" s="10"/>
      <c r="B140" s="16"/>
      <c r="C140" s="16"/>
      <c r="D140" s="16"/>
      <c r="E140" s="7"/>
      <c r="F140" s="18"/>
      <c r="G140" s="19"/>
      <c r="H140" s="20" t="str">
        <f t="shared" si="5"/>
        <v/>
      </c>
      <c r="I140" s="20"/>
      <c r="J140" s="10"/>
      <c r="K140" s="21"/>
      <c r="L140" s="22"/>
      <c r="M140" s="22"/>
    </row>
    <row r="141" spans="1:13" ht="15">
      <c r="A141" s="10"/>
      <c r="B141" s="16"/>
      <c r="C141" s="16"/>
      <c r="D141" s="16"/>
      <c r="E141" s="7"/>
      <c r="F141" s="18"/>
      <c r="G141" s="19"/>
      <c r="H141" s="20" t="str">
        <f t="shared" si="5"/>
        <v/>
      </c>
      <c r="I141" s="20"/>
      <c r="J141" s="10"/>
      <c r="K141" s="21"/>
      <c r="L141" s="22"/>
      <c r="M141" s="22"/>
    </row>
    <row r="142" spans="1:13" ht="15">
      <c r="A142" s="10"/>
      <c r="B142" s="16"/>
      <c r="C142" s="16"/>
      <c r="D142" s="16"/>
      <c r="E142" s="7"/>
      <c r="F142" s="18"/>
      <c r="G142" s="19"/>
      <c r="H142" s="20" t="str">
        <f t="shared" si="5"/>
        <v/>
      </c>
      <c r="I142" s="20"/>
      <c r="J142" s="10"/>
      <c r="K142" s="21"/>
      <c r="L142" s="22"/>
      <c r="M142" s="22"/>
    </row>
    <row r="143" spans="1:13" ht="15">
      <c r="A143" s="10"/>
      <c r="B143" s="16"/>
      <c r="C143" s="16"/>
      <c r="D143" s="16"/>
      <c r="E143" s="7"/>
      <c r="F143" s="18"/>
      <c r="G143" s="19"/>
      <c r="H143" s="20" t="str">
        <f t="shared" si="5"/>
        <v/>
      </c>
      <c r="I143" s="20"/>
      <c r="J143" s="10"/>
      <c r="K143" s="21"/>
      <c r="L143" s="22"/>
      <c r="M143" s="22"/>
    </row>
    <row r="144" spans="1:13" ht="15">
      <c r="A144" s="10"/>
      <c r="B144" s="16"/>
      <c r="C144" s="16"/>
      <c r="D144" s="16"/>
      <c r="E144" s="7"/>
      <c r="F144" s="18"/>
      <c r="G144" s="19"/>
      <c r="H144" s="20" t="str">
        <f t="shared" si="5"/>
        <v/>
      </c>
      <c r="I144" s="20"/>
      <c r="J144" s="10"/>
      <c r="K144" s="21"/>
      <c r="L144" s="22"/>
      <c r="M144" s="22"/>
    </row>
    <row r="145" spans="1:13" ht="15">
      <c r="A145" s="10"/>
      <c r="B145" s="16"/>
      <c r="C145" s="16"/>
      <c r="D145" s="16"/>
      <c r="E145" s="7"/>
      <c r="F145" s="18"/>
      <c r="G145" s="19"/>
      <c r="H145" s="20" t="str">
        <f t="shared" si="5"/>
        <v/>
      </c>
      <c r="I145" s="20"/>
      <c r="J145" s="10"/>
      <c r="K145" s="21"/>
      <c r="L145" s="22"/>
      <c r="M145" s="22"/>
    </row>
    <row r="146" spans="1:13" ht="15">
      <c r="A146" s="10"/>
      <c r="B146" s="16"/>
      <c r="C146" s="16"/>
      <c r="D146" s="16"/>
      <c r="E146" s="7"/>
      <c r="F146" s="18"/>
      <c r="G146" s="19"/>
      <c r="H146" s="20" t="str">
        <f t="shared" si="5"/>
        <v/>
      </c>
      <c r="I146" s="20"/>
      <c r="J146" s="10"/>
      <c r="K146" s="21"/>
      <c r="L146" s="22"/>
      <c r="M146" s="22"/>
    </row>
    <row r="147" spans="1:13" ht="15">
      <c r="A147" s="10"/>
      <c r="B147" s="16"/>
      <c r="C147" s="16"/>
      <c r="D147" s="16"/>
      <c r="E147" s="7"/>
      <c r="F147" s="18"/>
      <c r="G147" s="19"/>
      <c r="H147" s="20" t="str">
        <f t="shared" si="5"/>
        <v/>
      </c>
      <c r="I147" s="20"/>
      <c r="J147" s="10"/>
      <c r="K147" s="21"/>
      <c r="L147" s="22"/>
      <c r="M147" s="22"/>
    </row>
    <row r="148" spans="1:13" ht="15">
      <c r="A148" s="10"/>
      <c r="B148" s="16"/>
      <c r="C148" s="16"/>
      <c r="D148" s="16"/>
      <c r="E148" s="7"/>
      <c r="F148" s="18"/>
      <c r="G148" s="19"/>
      <c r="H148" s="20" t="str">
        <f t="shared" si="5"/>
        <v/>
      </c>
      <c r="I148" s="20"/>
      <c r="J148" s="10"/>
      <c r="K148" s="21"/>
      <c r="L148" s="22"/>
      <c r="M148" s="22"/>
    </row>
    <row r="149" spans="1:13" ht="15">
      <c r="A149" s="10"/>
      <c r="B149" s="16"/>
      <c r="C149" s="16"/>
      <c r="D149" s="16"/>
      <c r="E149" s="7"/>
      <c r="F149" s="18"/>
      <c r="G149" s="19"/>
      <c r="H149" s="20" t="str">
        <f t="shared" si="5"/>
        <v/>
      </c>
      <c r="I149" s="20"/>
      <c r="J149" s="10"/>
      <c r="K149" s="21"/>
      <c r="L149" s="22"/>
      <c r="M149" s="22"/>
    </row>
    <row r="150" spans="1:13" ht="15">
      <c r="A150" s="10"/>
      <c r="B150" s="16"/>
      <c r="C150" s="16"/>
      <c r="D150" s="16"/>
      <c r="E150" s="7"/>
      <c r="F150" s="18"/>
      <c r="G150" s="19"/>
      <c r="H150" s="20" t="str">
        <f t="shared" si="5"/>
        <v/>
      </c>
      <c r="I150" s="20"/>
      <c r="J150" s="10"/>
      <c r="K150" s="21"/>
      <c r="L150" s="22"/>
      <c r="M150" s="22"/>
    </row>
    <row r="151" spans="1:13" ht="15">
      <c r="A151" s="10"/>
      <c r="B151" s="16"/>
      <c r="C151" s="16"/>
      <c r="D151" s="16"/>
      <c r="E151" s="7"/>
      <c r="F151" s="18"/>
      <c r="G151" s="19"/>
      <c r="H151" s="20" t="str">
        <f t="shared" si="5"/>
        <v/>
      </c>
      <c r="I151" s="20"/>
      <c r="J151" s="10"/>
      <c r="K151" s="21"/>
      <c r="L151" s="27"/>
      <c r="M151" s="22"/>
    </row>
    <row r="152" spans="1:13" ht="15">
      <c r="A152" s="10"/>
      <c r="B152" s="16"/>
      <c r="C152" s="16"/>
      <c r="D152" s="16"/>
      <c r="E152" s="7"/>
      <c r="F152" s="18"/>
      <c r="G152" s="19"/>
      <c r="H152" s="20" t="str">
        <f t="shared" si="5"/>
        <v/>
      </c>
      <c r="I152" s="20"/>
      <c r="J152" s="10"/>
      <c r="K152" s="21"/>
      <c r="L152" s="27"/>
      <c r="M152" s="22"/>
    </row>
    <row r="153" spans="1:13" ht="15">
      <c r="A153" s="10"/>
      <c r="B153" s="16"/>
      <c r="C153" s="16"/>
      <c r="D153" s="16"/>
      <c r="E153" s="7"/>
      <c r="F153" s="18"/>
      <c r="G153" s="19"/>
      <c r="H153" s="20" t="str">
        <f t="shared" si="5"/>
        <v/>
      </c>
      <c r="I153" s="20"/>
      <c r="J153" s="10"/>
      <c r="K153" s="21"/>
      <c r="L153" s="27"/>
      <c r="M153" s="22"/>
    </row>
    <row r="154" spans="1:13" ht="15">
      <c r="A154" s="10"/>
      <c r="B154" s="16"/>
      <c r="C154" s="16"/>
      <c r="D154" s="16"/>
      <c r="E154" s="7"/>
      <c r="F154" s="18"/>
      <c r="G154" s="19"/>
      <c r="H154" s="20" t="str">
        <f t="shared" si="5"/>
        <v/>
      </c>
      <c r="I154" s="20"/>
      <c r="J154" s="10"/>
      <c r="K154" s="21"/>
      <c r="L154" s="27"/>
      <c r="M154" s="22"/>
    </row>
    <row r="155" spans="1:13" ht="15">
      <c r="A155" s="10"/>
      <c r="B155" s="16"/>
      <c r="C155" s="16"/>
      <c r="D155" s="16"/>
      <c r="E155" s="7"/>
      <c r="F155" s="18"/>
      <c r="G155" s="19"/>
      <c r="H155" s="20" t="str">
        <f t="shared" si="5"/>
        <v/>
      </c>
      <c r="I155" s="20"/>
      <c r="J155" s="10"/>
      <c r="K155" s="21"/>
      <c r="L155" s="27"/>
      <c r="M155" s="22"/>
    </row>
    <row r="156" spans="1:13" ht="15">
      <c r="A156" s="10"/>
      <c r="B156" s="16"/>
      <c r="C156" s="16"/>
      <c r="D156" s="16"/>
      <c r="E156" s="7"/>
      <c r="F156" s="18"/>
      <c r="G156" s="19"/>
      <c r="H156" s="20" t="str">
        <f t="shared" si="5"/>
        <v/>
      </c>
      <c r="I156" s="20"/>
      <c r="J156" s="10"/>
      <c r="K156" s="21"/>
      <c r="L156" s="27"/>
      <c r="M156" s="22"/>
    </row>
    <row r="157" spans="1:13" ht="15">
      <c r="A157" s="10"/>
      <c r="B157" s="16"/>
      <c r="C157" s="16"/>
      <c r="D157" s="16"/>
      <c r="E157" s="7"/>
      <c r="F157" s="18"/>
      <c r="G157" s="19"/>
      <c r="H157" s="20" t="str">
        <f t="shared" si="5"/>
        <v/>
      </c>
      <c r="I157" s="20"/>
      <c r="J157" s="10"/>
      <c r="K157" s="21"/>
      <c r="L157" s="27"/>
      <c r="M157" s="22"/>
    </row>
    <row r="158" spans="1:13" ht="15">
      <c r="A158" s="10"/>
      <c r="B158" s="16"/>
      <c r="C158" s="16"/>
      <c r="D158" s="16"/>
      <c r="E158" s="7"/>
      <c r="F158" s="18"/>
      <c r="G158" s="19"/>
      <c r="H158" s="20" t="str">
        <f t="shared" si="5"/>
        <v/>
      </c>
      <c r="I158" s="20"/>
      <c r="J158" s="10"/>
      <c r="K158" s="21"/>
      <c r="L158" s="27"/>
      <c r="M158" s="22"/>
    </row>
    <row r="159" spans="1:13" ht="15">
      <c r="A159" s="10"/>
      <c r="B159" s="16"/>
      <c r="C159" s="16"/>
      <c r="D159" s="16"/>
      <c r="E159" s="7"/>
      <c r="F159" s="18"/>
      <c r="G159" s="19"/>
      <c r="H159" s="20" t="str">
        <f t="shared" si="5"/>
        <v/>
      </c>
      <c r="I159" s="20"/>
      <c r="J159" s="10"/>
      <c r="K159" s="21"/>
      <c r="L159" s="27"/>
      <c r="M159" s="22"/>
    </row>
    <row r="160" spans="1:13" ht="15">
      <c r="A160" s="10"/>
      <c r="B160" s="16"/>
      <c r="C160" s="16"/>
      <c r="D160" s="16"/>
      <c r="E160" s="7"/>
      <c r="F160" s="18"/>
      <c r="G160" s="19"/>
      <c r="H160" s="20" t="str">
        <f t="shared" si="5"/>
        <v/>
      </c>
      <c r="I160" s="20"/>
      <c r="J160" s="10"/>
      <c r="K160" s="21"/>
      <c r="L160" s="27"/>
      <c r="M160" s="22"/>
    </row>
    <row r="161" spans="1:13" ht="15">
      <c r="A161" s="10"/>
      <c r="B161" s="16"/>
      <c r="C161" s="16"/>
      <c r="D161" s="16"/>
      <c r="E161" s="7"/>
      <c r="F161" s="18"/>
      <c r="G161" s="19"/>
      <c r="H161" s="20" t="str">
        <f t="shared" si="5"/>
        <v/>
      </c>
      <c r="I161" s="20"/>
      <c r="J161" s="10"/>
      <c r="K161" s="21"/>
      <c r="L161" s="27"/>
      <c r="M161" s="22"/>
    </row>
    <row r="162" spans="1:13" ht="15">
      <c r="A162" s="10"/>
      <c r="B162" s="16"/>
      <c r="C162" s="16"/>
      <c r="D162" s="16"/>
      <c r="E162" s="7"/>
      <c r="F162" s="18"/>
      <c r="G162" s="19"/>
      <c r="H162" s="20" t="str">
        <f t="shared" si="5"/>
        <v/>
      </c>
      <c r="I162" s="20"/>
      <c r="J162" s="10"/>
      <c r="K162" s="21"/>
      <c r="L162" s="27"/>
      <c r="M162" s="22"/>
    </row>
    <row r="163" spans="1:13" ht="15">
      <c r="A163" s="10"/>
      <c r="B163" s="16"/>
      <c r="C163" s="16"/>
      <c r="D163" s="16"/>
      <c r="E163" s="7"/>
      <c r="F163" s="18"/>
      <c r="G163" s="19"/>
      <c r="H163" s="20" t="str">
        <f t="shared" si="5"/>
        <v/>
      </c>
      <c r="I163" s="20"/>
      <c r="J163" s="10"/>
      <c r="K163" s="21"/>
      <c r="L163" s="27"/>
      <c r="M163" s="22"/>
    </row>
    <row r="164" spans="1:13" ht="15">
      <c r="A164" s="10"/>
      <c r="B164" s="16"/>
      <c r="C164" s="16"/>
      <c r="D164" s="16"/>
      <c r="E164" s="7"/>
      <c r="F164" s="18"/>
      <c r="G164" s="19"/>
      <c r="H164" s="20" t="str">
        <f t="shared" si="5"/>
        <v/>
      </c>
      <c r="I164" s="20"/>
      <c r="J164" s="10"/>
      <c r="K164" s="21"/>
      <c r="L164" s="27"/>
      <c r="M164" s="22"/>
    </row>
    <row r="165" spans="1:13" ht="15">
      <c r="A165" s="10"/>
      <c r="B165" s="16"/>
      <c r="C165" s="16"/>
      <c r="D165" s="16"/>
      <c r="E165" s="7"/>
      <c r="F165" s="18"/>
      <c r="G165" s="19"/>
      <c r="H165" s="20" t="str">
        <f t="shared" si="5"/>
        <v/>
      </c>
      <c r="I165" s="20"/>
      <c r="J165" s="10"/>
      <c r="K165" s="21"/>
      <c r="L165" s="27"/>
      <c r="M165" s="22"/>
    </row>
    <row r="166" spans="1:13" ht="15">
      <c r="A166" s="10"/>
      <c r="B166" s="16"/>
      <c r="C166" s="16"/>
      <c r="D166" s="16"/>
      <c r="E166" s="7"/>
      <c r="F166" s="18"/>
      <c r="G166" s="19"/>
      <c r="H166" s="20" t="str">
        <f t="shared" si="5"/>
        <v/>
      </c>
      <c r="I166" s="20"/>
      <c r="J166" s="10"/>
      <c r="K166" s="21"/>
      <c r="L166" s="27"/>
      <c r="M166" s="22"/>
    </row>
    <row r="167" spans="1:13" ht="15">
      <c r="A167" s="10"/>
      <c r="B167" s="16"/>
      <c r="C167" s="16"/>
      <c r="D167" s="16"/>
      <c r="E167" s="7"/>
      <c r="F167" s="18"/>
      <c r="G167" s="19"/>
      <c r="H167" s="20" t="str">
        <f t="shared" si="5"/>
        <v/>
      </c>
      <c r="I167" s="20"/>
      <c r="J167" s="10"/>
      <c r="K167" s="21"/>
      <c r="L167" s="27"/>
      <c r="M167" s="22"/>
    </row>
    <row r="168" spans="1:13" ht="15">
      <c r="A168" s="10"/>
      <c r="B168" s="16"/>
      <c r="C168" s="16"/>
      <c r="D168" s="16"/>
      <c r="E168" s="7"/>
      <c r="F168" s="18"/>
      <c r="G168" s="19"/>
      <c r="H168" s="20" t="str">
        <f t="shared" si="5"/>
        <v/>
      </c>
      <c r="I168" s="20"/>
      <c r="J168" s="10"/>
      <c r="K168" s="21"/>
      <c r="L168" s="27"/>
      <c r="M168" s="22"/>
    </row>
    <row r="169" spans="1:13" ht="15">
      <c r="A169" s="10"/>
      <c r="B169" s="16"/>
      <c r="C169" s="16"/>
      <c r="D169" s="16"/>
      <c r="E169" s="7"/>
      <c r="F169" s="18"/>
      <c r="G169" s="19"/>
      <c r="H169" s="20" t="str">
        <f t="shared" si="5"/>
        <v/>
      </c>
      <c r="I169" s="20"/>
      <c r="J169" s="10"/>
      <c r="K169" s="21"/>
      <c r="L169" s="27"/>
      <c r="M169" s="22"/>
    </row>
    <row r="170" spans="1:13" ht="15">
      <c r="A170" s="10"/>
      <c r="B170" s="16"/>
      <c r="C170" s="16"/>
      <c r="D170" s="16"/>
      <c r="E170" s="7"/>
      <c r="F170" s="18"/>
      <c r="G170" s="19"/>
      <c r="H170" s="20" t="str">
        <f t="shared" ref="H170:H177" si="6">IF(G170="","",(F170*100000000+G170)-7*INT((F170*100000000+G170)/7))</f>
        <v/>
      </c>
      <c r="I170" s="20"/>
      <c r="J170" s="10"/>
      <c r="K170" s="21"/>
      <c r="L170" s="27"/>
      <c r="M170" s="22"/>
    </row>
    <row r="171" spans="1:13" ht="15">
      <c r="A171" s="10"/>
      <c r="B171" s="16"/>
      <c r="C171" s="16"/>
      <c r="D171" s="16"/>
      <c r="E171" s="7"/>
      <c r="F171" s="18"/>
      <c r="G171" s="19"/>
      <c r="H171" s="20" t="str">
        <f t="shared" si="6"/>
        <v/>
      </c>
      <c r="I171" s="20"/>
      <c r="J171" s="10"/>
      <c r="K171" s="21"/>
      <c r="L171" s="27"/>
      <c r="M171" s="22"/>
    </row>
    <row r="172" spans="1:13" ht="15">
      <c r="A172" s="10"/>
      <c r="B172" s="16"/>
      <c r="C172" s="16"/>
      <c r="D172" s="16"/>
      <c r="E172" s="7"/>
      <c r="F172" s="18"/>
      <c r="G172" s="19"/>
      <c r="H172" s="20" t="str">
        <f t="shared" si="6"/>
        <v/>
      </c>
      <c r="I172" s="20"/>
      <c r="J172" s="10"/>
      <c r="K172" s="21"/>
      <c r="L172" s="27"/>
      <c r="M172" s="22"/>
    </row>
    <row r="173" spans="1:13" ht="15">
      <c r="A173" s="10"/>
      <c r="B173" s="16"/>
      <c r="C173" s="16"/>
      <c r="D173" s="16"/>
      <c r="E173" s="7"/>
      <c r="F173" s="18"/>
      <c r="G173" s="19"/>
      <c r="H173" s="20" t="str">
        <f t="shared" si="6"/>
        <v/>
      </c>
      <c r="I173" s="20"/>
      <c r="J173" s="10"/>
      <c r="K173" s="21"/>
      <c r="L173" s="27"/>
      <c r="M173" s="22"/>
    </row>
    <row r="174" spans="1:13" ht="15">
      <c r="A174" s="10"/>
      <c r="B174" s="16"/>
      <c r="C174" s="16"/>
      <c r="D174" s="16"/>
      <c r="E174" s="7"/>
      <c r="F174" s="18"/>
      <c r="G174" s="19"/>
      <c r="H174" s="20" t="str">
        <f t="shared" si="6"/>
        <v/>
      </c>
      <c r="I174" s="20"/>
      <c r="J174" s="10"/>
      <c r="K174" s="21"/>
      <c r="L174" s="27"/>
      <c r="M174" s="22"/>
    </row>
    <row r="175" spans="1:13" ht="15">
      <c r="A175" s="10"/>
      <c r="B175" s="16"/>
      <c r="C175" s="16"/>
      <c r="D175" s="16"/>
      <c r="E175" s="7"/>
      <c r="F175" s="18"/>
      <c r="G175" s="19"/>
      <c r="H175" s="20" t="str">
        <f t="shared" si="6"/>
        <v/>
      </c>
      <c r="I175" s="20"/>
      <c r="J175" s="10"/>
      <c r="K175" s="21"/>
      <c r="L175" s="27"/>
      <c r="M175" s="22"/>
    </row>
    <row r="176" spans="1:13" ht="15">
      <c r="A176" s="10"/>
      <c r="B176" s="16"/>
      <c r="C176" s="16"/>
      <c r="D176" s="16"/>
      <c r="E176" s="7"/>
      <c r="F176" s="18"/>
      <c r="G176" s="19"/>
      <c r="H176" s="20" t="str">
        <f t="shared" si="6"/>
        <v/>
      </c>
      <c r="I176" s="20"/>
      <c r="J176" s="10"/>
      <c r="K176" s="21"/>
      <c r="L176" s="27"/>
      <c r="M176" s="22"/>
    </row>
    <row r="177" spans="1:13" ht="15">
      <c r="A177" s="10"/>
      <c r="B177" s="16"/>
      <c r="C177" s="16"/>
      <c r="D177" s="16"/>
      <c r="E177" s="7"/>
      <c r="F177" s="18"/>
      <c r="G177" s="19"/>
      <c r="H177" s="20" t="str">
        <f t="shared" si="6"/>
        <v/>
      </c>
      <c r="I177" s="20"/>
      <c r="J177" s="10"/>
      <c r="K177" s="21"/>
      <c r="L177" s="27"/>
      <c r="M177" s="22"/>
    </row>
    <row r="178" spans="1:13" ht="15">
      <c r="M178" s="22"/>
    </row>
    <row r="179" spans="1:13" ht="15">
      <c r="M179" s="22"/>
    </row>
    <row r="180" spans="1:13" ht="15">
      <c r="M180" s="22"/>
    </row>
    <row r="181" spans="1:13" ht="15">
      <c r="M181" s="22"/>
    </row>
    <row r="182" spans="1:13" ht="15">
      <c r="M182" s="22"/>
    </row>
    <row r="183" spans="1:13" ht="15">
      <c r="M183" s="22"/>
    </row>
    <row r="184" spans="1:13">
      <c r="M184" s="27"/>
    </row>
    <row r="185" spans="1:13">
      <c r="M185" s="27"/>
    </row>
    <row r="186" spans="1:13">
      <c r="M186" s="27"/>
    </row>
    <row r="187" spans="1:13">
      <c r="M187" s="27"/>
    </row>
    <row r="188" spans="1:13">
      <c r="M188" s="27"/>
    </row>
    <row r="189" spans="1:13">
      <c r="M189" s="27"/>
    </row>
    <row r="190" spans="1:13">
      <c r="M190" s="27"/>
    </row>
    <row r="191" spans="1:13">
      <c r="M191" s="27"/>
    </row>
    <row r="192" spans="1:13">
      <c r="M192" s="27"/>
    </row>
    <row r="193" spans="13:13">
      <c r="M193" s="27"/>
    </row>
    <row r="194" spans="13:13">
      <c r="M194" s="27"/>
    </row>
    <row r="195" spans="13:13">
      <c r="M195" s="27"/>
    </row>
    <row r="196" spans="13:13">
      <c r="M196" s="27"/>
    </row>
    <row r="197" spans="13:13">
      <c r="M197" s="27"/>
    </row>
    <row r="198" spans="13:13">
      <c r="M198" s="27"/>
    </row>
    <row r="199" spans="13:13">
      <c r="M199" s="27"/>
    </row>
    <row r="200" spans="13:13">
      <c r="M200" s="27"/>
    </row>
    <row r="201" spans="13:13">
      <c r="M201" s="27"/>
    </row>
    <row r="202" spans="13:13">
      <c r="M202" s="27"/>
    </row>
    <row r="203" spans="13:13">
      <c r="M203" s="27"/>
    </row>
    <row r="204" spans="13:13">
      <c r="M204" s="27"/>
    </row>
    <row r="205" spans="13:13">
      <c r="M205" s="27"/>
    </row>
    <row r="206" spans="13:13">
      <c r="M206" s="27"/>
    </row>
    <row r="207" spans="13:13">
      <c r="M207" s="27"/>
    </row>
    <row r="208" spans="13:13">
      <c r="M208" s="27"/>
    </row>
    <row r="209" spans="13:13">
      <c r="M209" s="27"/>
    </row>
    <row r="210" spans="13:13">
      <c r="M210" s="27"/>
    </row>
  </sheetData>
  <mergeCells count="4">
    <mergeCell ref="F9:H9"/>
    <mergeCell ref="A3:B3"/>
    <mergeCell ref="A4:B4"/>
    <mergeCell ref="A1:M1"/>
  </mergeCells>
  <phoneticPr fontId="1"/>
  <dataValidations count="5">
    <dataValidation imeMode="on" allowBlank="1" showInputMessage="1" showErrorMessage="1" sqref="C29 D70:D254 C34 C66:C254 C32 C55:C63" xr:uid="{BC019E5F-E903-4B00-B32C-CD875A4242F5}"/>
    <dataValidation imeMode="disabled" allowBlank="1" showInputMessage="1" showErrorMessage="1" sqref="F10:K177 A10:B177" xr:uid="{2A8B8399-0A7C-4DF3-849E-8E93B9615428}"/>
    <dataValidation type="list" imeMode="on" allowBlank="1" showInputMessage="1" sqref="E55:E177 E50:E51" xr:uid="{853BAEFD-9B61-4778-A36C-1FAAFD7CFCF9}">
      <formula1>"ベスト電器,㈲ヤマツ津田商店,でんきのカトウ,㈲カワムラ電器,電器のオオミ"</formula1>
    </dataValidation>
    <dataValidation type="list" imeMode="on" allowBlank="1" sqref="E10:E49" xr:uid="{E7B0CB6B-A54D-40D1-AFA6-F2E61889909B}">
      <formula1>"ベスト電器,㈲ヤマツ津田商店,でんきのカトウ,㈲カワムラ電器,電器のオオミ"</formula1>
    </dataValidation>
    <dataValidation type="list" imeMode="on" allowBlank="1" showInputMessage="1" showErrorMessage="1" sqref="E52:E54" xr:uid="{F8038663-E7AB-4D71-A45F-5B2C2990C02B}">
      <formula1>"ベスト電器,㈲ヤマツ津田商店,でんきのカトウ,㈲カワムラ電器,電器のオオミ"</formula1>
    </dataValidation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75EE-3D72-4943-A35F-7F82F383B421}">
  <sheetPr>
    <tabColor rgb="FFFF0000"/>
  </sheetPr>
  <dimension ref="A1:V24"/>
  <sheetViews>
    <sheetView zoomScale="90" zoomScaleNormal="90" workbookViewId="0">
      <selection activeCell="U21" sqref="U21"/>
    </sheetView>
  </sheetViews>
  <sheetFormatPr defaultRowHeight="21"/>
  <cols>
    <col min="1" max="1" width="12.625" style="51" customWidth="1"/>
    <col min="2" max="16" width="7.125" style="49" customWidth="1"/>
    <col min="17" max="17" width="8.25" style="49" customWidth="1"/>
    <col min="18" max="16384" width="9" style="49"/>
  </cols>
  <sheetData>
    <row r="1" spans="1:22" s="39" customFormat="1" ht="22.5" customHeight="1">
      <c r="A1" s="80" t="s">
        <v>47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22" s="39" customFormat="1" ht="22.5" customHeight="1">
      <c r="A2" s="38" t="s">
        <v>34</v>
      </c>
    </row>
    <row r="3" spans="1:22" s="39" customFormat="1" ht="22.5" customHeight="1">
      <c r="A3" s="40" t="s">
        <v>37</v>
      </c>
      <c r="B3" s="79" t="s">
        <v>25</v>
      </c>
      <c r="C3" s="79"/>
      <c r="D3" s="79"/>
      <c r="E3" s="79" t="s">
        <v>26</v>
      </c>
      <c r="F3" s="79"/>
      <c r="G3" s="79"/>
      <c r="H3" s="79" t="s">
        <v>23</v>
      </c>
      <c r="I3" s="79"/>
      <c r="J3" s="79"/>
      <c r="K3" s="79" t="s">
        <v>21</v>
      </c>
      <c r="L3" s="79"/>
      <c r="M3" s="79"/>
      <c r="N3" s="79" t="s">
        <v>8</v>
      </c>
      <c r="O3" s="79"/>
      <c r="P3" s="79"/>
      <c r="Q3" s="41"/>
    </row>
    <row r="4" spans="1:22" s="38" customFormat="1" ht="22.5" customHeight="1">
      <c r="A4" s="40" t="s">
        <v>36</v>
      </c>
      <c r="B4" s="40" t="s">
        <v>27</v>
      </c>
      <c r="C4" s="40" t="s">
        <v>28</v>
      </c>
      <c r="D4" s="40" t="s">
        <v>12</v>
      </c>
      <c r="E4" s="40" t="s">
        <v>29</v>
      </c>
      <c r="F4" s="40" t="s">
        <v>30</v>
      </c>
      <c r="G4" s="40" t="s">
        <v>12</v>
      </c>
      <c r="H4" s="40" t="s">
        <v>29</v>
      </c>
      <c r="I4" s="40" t="s">
        <v>30</v>
      </c>
      <c r="J4" s="40" t="s">
        <v>12</v>
      </c>
      <c r="K4" s="40" t="s">
        <v>29</v>
      </c>
      <c r="L4" s="40" t="s">
        <v>30</v>
      </c>
      <c r="M4" s="40" t="s">
        <v>12</v>
      </c>
      <c r="N4" s="40" t="s">
        <v>29</v>
      </c>
      <c r="O4" s="40" t="s">
        <v>30</v>
      </c>
      <c r="P4" s="40" t="s">
        <v>12</v>
      </c>
      <c r="Q4" s="40" t="s">
        <v>22</v>
      </c>
    </row>
    <row r="5" spans="1:22" s="39" customFormat="1" ht="22.5" customHeight="1">
      <c r="A5" s="42" t="s">
        <v>45</v>
      </c>
      <c r="B5" s="43"/>
      <c r="C5" s="43"/>
      <c r="D5" s="43">
        <f>SUM(B5:C5)</f>
        <v>0</v>
      </c>
      <c r="E5" s="43"/>
      <c r="F5" s="43"/>
      <c r="G5" s="43">
        <f>SUM(E5:F5)</f>
        <v>0</v>
      </c>
      <c r="H5" s="43"/>
      <c r="I5" s="43"/>
      <c r="J5" s="43">
        <f>SUM(H5:I5)</f>
        <v>0</v>
      </c>
      <c r="K5" s="43"/>
      <c r="L5" s="43"/>
      <c r="M5" s="43">
        <f>SUM(K5:L5)</f>
        <v>0</v>
      </c>
      <c r="N5" s="43"/>
      <c r="O5" s="43"/>
      <c r="P5" s="43">
        <f>SUM(N5:O5)</f>
        <v>0</v>
      </c>
      <c r="Q5" s="43">
        <f>D5+G5+J5+M5+P5</f>
        <v>0</v>
      </c>
    </row>
    <row r="6" spans="1:22" s="39" customFormat="1" ht="22.5" customHeight="1">
      <c r="A6" s="40" t="s">
        <v>24</v>
      </c>
      <c r="B6" s="41">
        <f>SUMPRODUCT((発送済Ａ!$D$3:$D$999="○")*(発送済Ａ!$J$3:$J$999=10))</f>
        <v>5</v>
      </c>
      <c r="C6" s="41">
        <f>SUMPRODUCT((発送済Ｂ!$D$3:$D$999="○")*(発送済Ｂ!$J$3:$J$999=10))</f>
        <v>5</v>
      </c>
      <c r="D6" s="41">
        <f>SUM(B6:C6)</f>
        <v>10</v>
      </c>
      <c r="E6" s="44">
        <f>SUMPRODUCT((発送済Ａ!$D$3:$D$999="○")*(発送済Ａ!$J$3:$J$999=20))+SUMPRODUCT((発送済Ａ!$D$3:$D$999="○")*(発送済Ａ!$J$3:$J$999=21))+SUMPRODUCT((発送済Ａ!$D$3:$D$999="○")*(発送済Ａ!$J$3:$J$999=22))</f>
        <v>21</v>
      </c>
      <c r="F6" s="44">
        <f>SUMPRODUCT((発送済Ｂ!$D$3:$D$999="○")*(発送済Ｂ!$J$3:$J$999=20))+SUMPRODUCT((発送済Ｂ!$D$3:$D$999="○")*(発送済Ｂ!$J$3:$J$999=21))+SUMPRODUCT((発送済Ｂ!$D$3:$D$999="○")*(発送済Ｂ!$J$3:$J$999=22))</f>
        <v>19</v>
      </c>
      <c r="G6" s="44">
        <f>SUM(E6:F6)</f>
        <v>40</v>
      </c>
      <c r="H6" s="41">
        <f>SUMPRODUCT((発送済Ａ!$D$3:$D$999="○")*(発送済Ａ!$J$3:$J$999=50))+SUMPRODUCT((発送済Ａ!$D$3:$D$999="○")*(発送済Ａ!$J$3:$J$999=51))+SUMPRODUCT((発送済Ａ!$D$3:$D$999="○")*(発送済Ａ!$J$3:$J$999=52))</f>
        <v>29</v>
      </c>
      <c r="I6" s="41">
        <f>SUMPRODUCT((発送済Ｂ!$D$3:$D$999="○")*(発送済Ｂ!$J$3:$J$999=50))+SUMPRODUCT((発送済Ｂ!$D$3:$D$999="○")*(発送済Ｂ!$J$3:$J$999=51))+SUMPRODUCT((発送済Ｂ!$D$3:$D$999="○")*(発送済Ｂ!$J$3:$J$999=52))</f>
        <v>59</v>
      </c>
      <c r="J6" s="41">
        <f>SUM(H6:I6)</f>
        <v>88</v>
      </c>
      <c r="K6" s="41">
        <f>SUMPRODUCT((発送済Ａ!$D$3:$D$999="○")*(発送済Ａ!$J$3:$J$999=30))+SUMPRODUCT((発送済Ａ!$D$3:$D$999="○")*(発送済Ａ!$J$3:$J$999=31))+SUMPRODUCT((発送済Ａ!$D$3:$D$999="○")*(発送済Ａ!$J$3:$J$999=32))</f>
        <v>84</v>
      </c>
      <c r="L6" s="41">
        <f>SUMPRODUCT((発送済Ｂ!$D$3:$D$999="○")*(発送済Ｂ!$J$3:$J$999=30))+SUMPRODUCT((発送済Ｂ!$D$3:$D$999="○")*(発送済Ｂ!$J$3:$J$999=31))+SUMPRODUCT((発送済Ｂ!$D$3:$D$999="○")*(発送済Ｂ!$J$3:$J$999=32))</f>
        <v>71</v>
      </c>
      <c r="M6" s="41">
        <f>SUM(K6:L6)</f>
        <v>155</v>
      </c>
      <c r="N6" s="41">
        <f>SUMPRODUCT((発送済Ａ!$D$3:$D$999="○")*(発送済Ａ!$J$3:$J$999=40))</f>
        <v>62</v>
      </c>
      <c r="O6" s="41">
        <f>SUMPRODUCT((発送済Ｂ!$D$3:$D$999="○")*(発送済Ｂ!$J$3:$J$999=40))</f>
        <v>60</v>
      </c>
      <c r="P6" s="41">
        <f>SUM(N6:O6)</f>
        <v>122</v>
      </c>
      <c r="Q6" s="41">
        <f>D6+G6+J6+M6+P6</f>
        <v>415</v>
      </c>
    </row>
    <row r="7" spans="1:22" s="39" customFormat="1" ht="22.5" customHeight="1">
      <c r="A7" s="40" t="s">
        <v>20</v>
      </c>
      <c r="B7" s="41">
        <f>SUMPRODUCT((発送済Ａ!$C$3:$C$999="○")*(発送済Ａ!$J$3:$J$999=10))</f>
        <v>3</v>
      </c>
      <c r="C7" s="41">
        <f>SUMPRODUCT((発送済Ｂ!$C$3:$C$999="○")*(発送済Ｂ!$J$3:$J$999=10))</f>
        <v>1</v>
      </c>
      <c r="D7" s="41">
        <f>SUM(B7:C7)</f>
        <v>4</v>
      </c>
      <c r="E7" s="44">
        <f>SUMPRODUCT((発送済Ａ!$C$3:$C$999="○")*(発送済Ａ!$J$3:$J$999=20))+SUMPRODUCT((発送済Ａ!$C$3:$C$999="○")*(発送済Ａ!$J$3:$J$999=21))+SUMPRODUCT((発送済Ａ!$C$3:$C$999="○")*(発送済Ａ!$J$3:$J$999=22))</f>
        <v>8</v>
      </c>
      <c r="F7" s="44">
        <f>SUMPRODUCT((発送済Ｂ!$C$3:$C$999="○")*(発送済Ｂ!$J$3:$J$999=20))+SUMPRODUCT((発送済Ｂ!$C$3:$C$999="○")*(発送済Ｂ!$J$3:$J$999=21))+SUMPRODUCT((発送済Ｂ!$C$3:$C$999="○")*(発送済Ｂ!$J$3:$J$999=22))</f>
        <v>3</v>
      </c>
      <c r="G7" s="44">
        <f>SUM(E7:F7)</f>
        <v>11</v>
      </c>
      <c r="H7" s="41">
        <f>SUMPRODUCT((発送済Ａ!$C$3:$C$999="○")*(発送済Ａ!$J$3:$J$999=50))+SUMPRODUCT((発送済Ａ!$C$3:$C$999="○")*(発送済Ａ!$J$3:$J$999=51))+SUMPRODUCT((発送済Ａ!$C$3:$C$999="○")*(発送済Ａ!$J$3:$J$999=52))</f>
        <v>9</v>
      </c>
      <c r="I7" s="41">
        <f>SUMPRODUCT((発送済Ｂ!$C$3:$C$999="○")*(発送済Ｂ!$J$3:$J$999=50))+SUMPRODUCT((発送済Ｂ!$C$3:$C$999="○")*(発送済Ｂ!$J$3:$J$999=51))+SUMPRODUCT((発送済Ｂ!$C$3:$C$999="○")*(発送済Ｂ!$J$3:$J$999=52))</f>
        <v>8</v>
      </c>
      <c r="J7" s="41">
        <f>SUM(H7:I7)</f>
        <v>17</v>
      </c>
      <c r="K7" s="41">
        <f>SUMPRODUCT((発送済Ａ!$C$3:$C$999="○")*(発送済Ａ!$J$3:$J$999=30))+SUMPRODUCT((発送済Ａ!$C$3:$C$999="○")*(発送済Ａ!$J$3:$J$999=31))+SUMPRODUCT((発送済Ａ!$C$3:$C$999="○")*(発送済Ａ!$J$3:$J$999=32))</f>
        <v>10</v>
      </c>
      <c r="L7" s="41">
        <f>SUMPRODUCT((発送済Ｂ!$C$3:$C$999="○")*(発送済Ｂ!$J$3:$J$999=30))+SUMPRODUCT((発送済Ｂ!$C$3:$C$999="○")*(発送済Ｂ!$J$3:$J$999=31))+SUMPRODUCT((発送済Ｂ!$C$3:$C$999="○")*(発送済Ｂ!$J$3:$J$999=32))</f>
        <v>18</v>
      </c>
      <c r="M7" s="41">
        <f>SUM(K7:L7)</f>
        <v>28</v>
      </c>
      <c r="N7" s="41">
        <f>SUMPRODUCT((発送済Ａ!$C$3:$C$999="○")*(発送済Ａ!$J$3:$J$999=40))</f>
        <v>14</v>
      </c>
      <c r="O7" s="41">
        <f>SUMPRODUCT((発送済Ｂ!$C$3:$C$999="○")*(発送済Ｂ!$J$3:$J$999=40))</f>
        <v>18</v>
      </c>
      <c r="P7" s="41">
        <f>SUM(N7:O7)</f>
        <v>32</v>
      </c>
      <c r="Q7" s="41">
        <f>D7+G7+J7+M7+P7</f>
        <v>92</v>
      </c>
    </row>
    <row r="8" spans="1:22" s="39" customFormat="1" ht="22.5" customHeight="1">
      <c r="A8" s="52" t="s">
        <v>46</v>
      </c>
      <c r="B8" s="41">
        <f t="shared" ref="B8:G8" si="0">SUM(B6:B7)</f>
        <v>8</v>
      </c>
      <c r="C8" s="41">
        <f t="shared" si="0"/>
        <v>6</v>
      </c>
      <c r="D8" s="41">
        <f t="shared" si="0"/>
        <v>14</v>
      </c>
      <c r="E8" s="44">
        <f t="shared" si="0"/>
        <v>29</v>
      </c>
      <c r="F8" s="44">
        <f t="shared" si="0"/>
        <v>22</v>
      </c>
      <c r="G8" s="44">
        <f t="shared" si="0"/>
        <v>51</v>
      </c>
      <c r="H8" s="41">
        <f t="shared" ref="H8:O8" si="1">SUM(H6:H7)</f>
        <v>38</v>
      </c>
      <c r="I8" s="41">
        <f t="shared" si="1"/>
        <v>67</v>
      </c>
      <c r="J8" s="41">
        <f t="shared" si="1"/>
        <v>105</v>
      </c>
      <c r="K8" s="41">
        <f t="shared" si="1"/>
        <v>94</v>
      </c>
      <c r="L8" s="41">
        <f t="shared" si="1"/>
        <v>89</v>
      </c>
      <c r="M8" s="41">
        <f t="shared" si="1"/>
        <v>183</v>
      </c>
      <c r="N8" s="41">
        <f t="shared" si="1"/>
        <v>76</v>
      </c>
      <c r="O8" s="41">
        <f t="shared" si="1"/>
        <v>78</v>
      </c>
      <c r="P8" s="41">
        <f>SUM(P6:P7)</f>
        <v>154</v>
      </c>
      <c r="Q8" s="45">
        <f>SUM(Q6:Q7)</f>
        <v>507</v>
      </c>
    </row>
    <row r="9" spans="1:22" ht="22.5" customHeight="1">
      <c r="A9" s="46" t="s">
        <v>35</v>
      </c>
      <c r="B9" s="47">
        <f t="shared" ref="B9:Q9" si="2">SUM(B5:B7)</f>
        <v>8</v>
      </c>
      <c r="C9" s="47">
        <f t="shared" si="2"/>
        <v>6</v>
      </c>
      <c r="D9" s="47">
        <f t="shared" si="2"/>
        <v>14</v>
      </c>
      <c r="E9" s="48">
        <f t="shared" si="2"/>
        <v>29</v>
      </c>
      <c r="F9" s="48">
        <f t="shared" si="2"/>
        <v>22</v>
      </c>
      <c r="G9" s="48">
        <f t="shared" si="2"/>
        <v>51</v>
      </c>
      <c r="H9" s="47">
        <f t="shared" si="2"/>
        <v>38</v>
      </c>
      <c r="I9" s="47">
        <f t="shared" si="2"/>
        <v>67</v>
      </c>
      <c r="J9" s="47">
        <f t="shared" si="2"/>
        <v>105</v>
      </c>
      <c r="K9" s="47">
        <f t="shared" si="2"/>
        <v>94</v>
      </c>
      <c r="L9" s="47">
        <f t="shared" si="2"/>
        <v>89</v>
      </c>
      <c r="M9" s="47">
        <f t="shared" si="2"/>
        <v>183</v>
      </c>
      <c r="N9" s="47">
        <f t="shared" si="2"/>
        <v>76</v>
      </c>
      <c r="O9" s="47">
        <f t="shared" si="2"/>
        <v>78</v>
      </c>
      <c r="P9" s="47">
        <f t="shared" si="2"/>
        <v>154</v>
      </c>
      <c r="Q9" s="47">
        <f t="shared" si="2"/>
        <v>507</v>
      </c>
    </row>
    <row r="10" spans="1:22" s="39" customFormat="1" ht="22.5" customHeight="1">
      <c r="A10" s="38"/>
      <c r="V10" s="39" t="s">
        <v>42</v>
      </c>
    </row>
    <row r="11" spans="1:22" s="39" customFormat="1" ht="22.5" customHeight="1">
      <c r="A11" s="38" t="s">
        <v>11</v>
      </c>
    </row>
    <row r="12" spans="1:22" s="39" customFormat="1" ht="22.5" customHeight="1">
      <c r="A12" s="40" t="s">
        <v>37</v>
      </c>
      <c r="B12" s="79" t="s">
        <v>25</v>
      </c>
      <c r="C12" s="79"/>
      <c r="D12" s="79"/>
      <c r="E12" s="79" t="s">
        <v>26</v>
      </c>
      <c r="F12" s="79"/>
      <c r="G12" s="79"/>
      <c r="H12" s="79" t="s">
        <v>23</v>
      </c>
      <c r="I12" s="79"/>
      <c r="J12" s="79"/>
      <c r="K12" s="79" t="s">
        <v>21</v>
      </c>
      <c r="L12" s="79"/>
      <c r="M12" s="79"/>
      <c r="N12" s="79" t="s">
        <v>8</v>
      </c>
      <c r="O12" s="79"/>
      <c r="P12" s="79"/>
      <c r="Q12" s="41"/>
    </row>
    <row r="13" spans="1:22" s="39" customFormat="1" ht="22.5" customHeight="1">
      <c r="A13" s="40" t="s">
        <v>36</v>
      </c>
      <c r="B13" s="40" t="s">
        <v>27</v>
      </c>
      <c r="C13" s="40" t="s">
        <v>28</v>
      </c>
      <c r="D13" s="40" t="s">
        <v>12</v>
      </c>
      <c r="E13" s="40" t="s">
        <v>29</v>
      </c>
      <c r="F13" s="40" t="s">
        <v>30</v>
      </c>
      <c r="G13" s="40" t="s">
        <v>12</v>
      </c>
      <c r="H13" s="40" t="s">
        <v>29</v>
      </c>
      <c r="I13" s="40" t="s">
        <v>30</v>
      </c>
      <c r="J13" s="40" t="s">
        <v>12</v>
      </c>
      <c r="K13" s="40" t="s">
        <v>29</v>
      </c>
      <c r="L13" s="40" t="s">
        <v>30</v>
      </c>
      <c r="M13" s="40" t="s">
        <v>12</v>
      </c>
      <c r="N13" s="40" t="s">
        <v>29</v>
      </c>
      <c r="O13" s="40" t="s">
        <v>30</v>
      </c>
      <c r="P13" s="40" t="s">
        <v>12</v>
      </c>
      <c r="Q13" s="40" t="s">
        <v>22</v>
      </c>
    </row>
    <row r="14" spans="1:22" s="39" customFormat="1" ht="22.5" customHeight="1">
      <c r="A14" s="42" t="s">
        <v>45</v>
      </c>
      <c r="B14" s="43">
        <v>2</v>
      </c>
      <c r="C14" s="43">
        <v>0</v>
      </c>
      <c r="D14" s="43">
        <f>SUM(B14:C14)</f>
        <v>2</v>
      </c>
      <c r="E14" s="43">
        <v>0</v>
      </c>
      <c r="F14" s="43">
        <v>0</v>
      </c>
      <c r="G14" s="43">
        <f>SUM(E14:F14)</f>
        <v>0</v>
      </c>
      <c r="H14" s="43">
        <v>5</v>
      </c>
      <c r="I14" s="43">
        <v>14</v>
      </c>
      <c r="J14" s="43">
        <f>SUM(H14:I14)</f>
        <v>19</v>
      </c>
      <c r="K14" s="43">
        <v>6</v>
      </c>
      <c r="L14" s="43">
        <v>10</v>
      </c>
      <c r="M14" s="43">
        <f>SUM(K14:L14)</f>
        <v>16</v>
      </c>
      <c r="N14" s="43">
        <v>5</v>
      </c>
      <c r="O14" s="43">
        <v>14</v>
      </c>
      <c r="P14" s="43">
        <f>SUM(N14:O14)</f>
        <v>19</v>
      </c>
      <c r="Q14" s="43">
        <f>D14+G14+J14+M14+P14</f>
        <v>56</v>
      </c>
    </row>
    <row r="15" spans="1:22" s="39" customFormat="1" ht="22.5" customHeight="1">
      <c r="A15" s="40" t="s">
        <v>24</v>
      </c>
      <c r="B15" s="41">
        <f>SUMPRODUCT((発送前A!$D$10:$D$999="○")*(発送前A!$J$10:$J$999=10))</f>
        <v>0</v>
      </c>
      <c r="C15" s="41">
        <f>SUMPRODUCT((発送前Ｂ!$D$10:$D$966="○")*(発送前Ｂ!$J$10:$J$966=10))</f>
        <v>0</v>
      </c>
      <c r="D15" s="41">
        <f>SUM(B15:C15)</f>
        <v>0</v>
      </c>
      <c r="E15" s="41">
        <f>SUMPRODUCT((発送前A!$D$10:$D$999="○")*(発送前A!$J$10:$J$999=20))+SUMPRODUCT((発送前A!$D$10:$D$999="○")*(発送前A!$J$10:$J$999=21))+SUMPRODUCT((発送前A!$D$10:$D$999="○")*(発送前A!$J$10:$J$999=22))</f>
        <v>0</v>
      </c>
      <c r="F15" s="41">
        <f>SUMPRODUCT((発送前Ｂ!$D$10:$D$966="○")*(発送前Ｂ!$J$10:$J$966=20))+SUMPRODUCT((発送前Ｂ!$D$10:$D$966="○")*(発送前Ｂ!$J$10:$J$966=21))+SUMPRODUCT((発送前Ｂ!$D$10:$D$966="○")*(発送前Ｂ!$J$10:$J$966=22))</f>
        <v>0</v>
      </c>
      <c r="G15" s="41">
        <f>SUM(E15:F15)</f>
        <v>0</v>
      </c>
      <c r="H15" s="41">
        <f>SUMPRODUCT((発送前A!$D$10:$D$999="○")*(発送前A!$J$10:$J$999=50))+SUMPRODUCT((発送前A!$D$10:$D$999="○")*(発送前A!$J$10:$J$999=51))+SUMPRODUCT((発送前A!$D$10:$D$999="○")*(発送前A!$J$10:$J$999=52))</f>
        <v>0</v>
      </c>
      <c r="I15" s="41">
        <f>SUMPRODUCT((発送前Ｂ!$D$10:$D$966="○")*(発送前Ｂ!$J$10:$J$966=50))+SUMPRODUCT((発送前Ｂ!$D$10:$D$966="○")*(発送前Ｂ!$J$10:$J$966=51))+SUMPRODUCT((発送前Ｂ!$D$10:$D$966="○")*(発送前Ｂ!$J$10:$J$966=52))</f>
        <v>2</v>
      </c>
      <c r="J15" s="41">
        <f>SUM(H15:I15)</f>
        <v>2</v>
      </c>
      <c r="K15" s="41">
        <f>SUMPRODUCT((発送前A!$D$10:$D$999="○")*(発送前A!$J$10:$J$999=30))+SUMPRODUCT((発送前A!$D$10:$D$999="○")*(発送前A!$J$10:$J$999=31))+SUMPRODUCT((発送前A!$D$10:$D$999="○")*(発送前A!$J$10:$J$999=32))</f>
        <v>0</v>
      </c>
      <c r="L15" s="41">
        <f>SUMPRODUCT((発送前Ｂ!$D$10:$D$966="○")*(発送前Ｂ!$J$10:$J$966=30))+SUMPRODUCT((発送前Ｂ!$D$10:$D$966="○")*(発送前Ｂ!$J$10:$J$966=31))+SUMPRODUCT((発送前Ｂ!$D$10:$D$966="○")*(発送前Ｂ!$J$10:$J$966=32))</f>
        <v>1</v>
      </c>
      <c r="M15" s="41">
        <f>SUM(K15:L15)</f>
        <v>1</v>
      </c>
      <c r="N15" s="41">
        <f>SUMPRODUCT((発送前A!$D$10:$D$999="○")*(発送前A!$J$10:$J$999=40))</f>
        <v>2</v>
      </c>
      <c r="O15" s="41">
        <f>SUMPRODUCT((発送前Ｂ!$D$10:$D$966="○")*(発送前Ｂ!$J$10:$J$966=40))</f>
        <v>1</v>
      </c>
      <c r="P15" s="41">
        <f>SUM(N15:O15)</f>
        <v>3</v>
      </c>
      <c r="Q15" s="41">
        <f>D15+G15+J15+M15+P15</f>
        <v>6</v>
      </c>
    </row>
    <row r="16" spans="1:22" s="39" customFormat="1" ht="22.5" customHeight="1">
      <c r="A16" s="40" t="s">
        <v>20</v>
      </c>
      <c r="B16" s="41">
        <f>SUMPRODUCT((発送前A!$C$10:$C$999="○")*(発送前A!$J$10:$J$999=10))</f>
        <v>0</v>
      </c>
      <c r="C16" s="41">
        <f>SUMPRODUCT((発送前Ｂ!$C$10:$C$966="○")*(発送前Ｂ!$J$10:$J$966=10))</f>
        <v>0</v>
      </c>
      <c r="D16" s="41">
        <f>SUM(B16:C16)</f>
        <v>0</v>
      </c>
      <c r="E16" s="41">
        <f>SUMPRODUCT((発送前A!$C$10:$C$999="○")*(発送前A!$J$10:$J$999=20))+SUMPRODUCT((発送前A!$C$10:$C$999="○")*(発送前A!$J$10:$J$999=21))+SUMPRODUCT((発送前A!$C$10:$C$999="○")*(発送前A!$J$10:$J$999=22))</f>
        <v>0</v>
      </c>
      <c r="F16" s="41">
        <f>SUMPRODUCT((発送前Ｂ!$C$10:$C$966="○")*(発送前Ｂ!$J$10:$J$966=20))+SUMPRODUCT((発送前Ｂ!$C$10:$C$966="○")*(発送前Ｂ!$J$10:$J$966=21))+SUMPRODUCT((発送前Ｂ!$C$10:$C$966="○")*(発送前Ｂ!$J$10:$J$966=22))</f>
        <v>0</v>
      </c>
      <c r="G16" s="41">
        <f>SUM(E16:F16)</f>
        <v>0</v>
      </c>
      <c r="H16" s="41">
        <f>SUMPRODUCT((発送前A!$C$10:$C$999="○")*(発送前A!$J$10:$J$999=50))+SUMPRODUCT((発送前A!$C$10:$C$999="○")*(発送前A!$J$10:$J$999=51))+SUMPRODUCT((発送前A!$C$10:$C$999="○")*(発送前A!$J$10:$J$999=52))</f>
        <v>0</v>
      </c>
      <c r="I16" s="41">
        <f>SUMPRODUCT((発送前Ｂ!$C$10:$C$966="○")*(発送前Ｂ!$J$10:$J$966=50))+SUMPRODUCT((発送前Ｂ!$C$10:$C$966="○")*(発送前Ｂ!$J$10:$J$966=51))+SUMPRODUCT((発送前Ｂ!$C$10:$C$966="○")*(発送前Ｂ!$J$10:$J$966=52))</f>
        <v>1</v>
      </c>
      <c r="J16" s="41">
        <f>SUM(H16:I16)</f>
        <v>1</v>
      </c>
      <c r="K16" s="41">
        <f>SUMPRODUCT((発送前A!$C$10:$C$999="○")*(発送前A!$J$10:$J$999=30))+SUMPRODUCT((発送前A!$C$10:$C$999="○")*(発送前A!$J$10:$J$999=31))+SUMPRODUCT((発送前A!$C$10:$C$999="○")*(発送前A!$J$10:$J$999=32))</f>
        <v>0</v>
      </c>
      <c r="L16" s="41">
        <f>SUMPRODUCT((発送前Ｂ!$C$10:$C$966="○")*(発送前Ｂ!$J$10:$J$966=30))+SUMPRODUCT((発送前Ｂ!$C$10:$C$966="○")*(発送前Ｂ!$J$10:$J$966=31))+SUMPRODUCT((発送前Ｂ!$C$10:$C$966="○")*(発送前Ｂ!$J$10:$J$966=32))</f>
        <v>0</v>
      </c>
      <c r="M16" s="41">
        <f>SUM(K16:L16)</f>
        <v>0</v>
      </c>
      <c r="N16" s="41">
        <f>SUMPRODUCT((発送前A!$C$10:$C$999="○")*(発送前A!$J$10:$J$999=40))</f>
        <v>0</v>
      </c>
      <c r="O16" s="41">
        <f>SUMPRODUCT((発送前Ｂ!$C$10:$C$966="○")*(発送前Ｂ!$J$10:$J$966=40))</f>
        <v>1</v>
      </c>
      <c r="P16" s="41">
        <f>SUM(N16:O16)</f>
        <v>1</v>
      </c>
      <c r="Q16" s="41">
        <f>D16+G16+J16+M16+P16</f>
        <v>2</v>
      </c>
    </row>
    <row r="17" spans="1:17" s="39" customFormat="1" ht="22.5" customHeight="1">
      <c r="A17" s="40" t="s">
        <v>41</v>
      </c>
      <c r="B17" s="41">
        <f t="shared" ref="B17:P17" si="3">SUM(B15:B16)</f>
        <v>0</v>
      </c>
      <c r="C17" s="41">
        <f t="shared" si="3"/>
        <v>0</v>
      </c>
      <c r="D17" s="41">
        <f t="shared" si="3"/>
        <v>0</v>
      </c>
      <c r="E17" s="41">
        <f t="shared" si="3"/>
        <v>0</v>
      </c>
      <c r="F17" s="41">
        <f t="shared" si="3"/>
        <v>0</v>
      </c>
      <c r="G17" s="41">
        <f t="shared" si="3"/>
        <v>0</v>
      </c>
      <c r="H17" s="41">
        <f t="shared" si="3"/>
        <v>0</v>
      </c>
      <c r="I17" s="41">
        <f t="shared" si="3"/>
        <v>3</v>
      </c>
      <c r="J17" s="41">
        <f t="shared" si="3"/>
        <v>3</v>
      </c>
      <c r="K17" s="41">
        <f t="shared" si="3"/>
        <v>0</v>
      </c>
      <c r="L17" s="41">
        <f t="shared" si="3"/>
        <v>1</v>
      </c>
      <c r="M17" s="41">
        <f t="shared" si="3"/>
        <v>1</v>
      </c>
      <c r="N17" s="41">
        <f t="shared" si="3"/>
        <v>2</v>
      </c>
      <c r="O17" s="41">
        <f t="shared" si="3"/>
        <v>2</v>
      </c>
      <c r="P17" s="41">
        <f t="shared" si="3"/>
        <v>4</v>
      </c>
      <c r="Q17" s="50">
        <f>D17+G17+J17+M17+P17</f>
        <v>8</v>
      </c>
    </row>
    <row r="18" spans="1:17" s="39" customFormat="1" ht="22.5" customHeight="1">
      <c r="A18" s="38"/>
    </row>
    <row r="19" spans="1:17" s="39" customFormat="1" ht="22.5" customHeight="1">
      <c r="A19" s="38" t="s">
        <v>33</v>
      </c>
    </row>
    <row r="20" spans="1:17" s="38" customFormat="1" ht="22.5" customHeight="1">
      <c r="A20" s="40" t="s">
        <v>37</v>
      </c>
      <c r="B20" s="79" t="s">
        <v>31</v>
      </c>
      <c r="C20" s="79"/>
      <c r="D20" s="79"/>
      <c r="E20" s="79" t="s">
        <v>32</v>
      </c>
      <c r="F20" s="79"/>
      <c r="G20" s="79"/>
      <c r="H20" s="79" t="s">
        <v>23</v>
      </c>
      <c r="I20" s="79"/>
      <c r="J20" s="79"/>
      <c r="K20" s="79" t="s">
        <v>21</v>
      </c>
      <c r="L20" s="79"/>
      <c r="M20" s="79"/>
      <c r="N20" s="79" t="s">
        <v>8</v>
      </c>
      <c r="O20" s="79"/>
      <c r="P20" s="79"/>
      <c r="Q20" s="41"/>
    </row>
    <row r="21" spans="1:17" s="38" customFormat="1" ht="22.5" customHeight="1">
      <c r="A21" s="40" t="s">
        <v>36</v>
      </c>
      <c r="B21" s="40" t="s">
        <v>27</v>
      </c>
      <c r="C21" s="40" t="s">
        <v>28</v>
      </c>
      <c r="D21" s="40" t="s">
        <v>12</v>
      </c>
      <c r="E21" s="40" t="s">
        <v>29</v>
      </c>
      <c r="F21" s="40" t="s">
        <v>30</v>
      </c>
      <c r="G21" s="40" t="s">
        <v>12</v>
      </c>
      <c r="H21" s="40" t="s">
        <v>29</v>
      </c>
      <c r="I21" s="40" t="s">
        <v>30</v>
      </c>
      <c r="J21" s="40" t="s">
        <v>12</v>
      </c>
      <c r="K21" s="40" t="s">
        <v>29</v>
      </c>
      <c r="L21" s="40" t="s">
        <v>30</v>
      </c>
      <c r="M21" s="40" t="s">
        <v>12</v>
      </c>
      <c r="N21" s="40" t="s">
        <v>29</v>
      </c>
      <c r="O21" s="40" t="s">
        <v>30</v>
      </c>
      <c r="P21" s="40" t="s">
        <v>12</v>
      </c>
      <c r="Q21" s="40" t="s">
        <v>22</v>
      </c>
    </row>
    <row r="22" spans="1:17" s="39" customFormat="1" ht="22.5" customHeight="1">
      <c r="A22" s="40" t="s">
        <v>24</v>
      </c>
      <c r="B22" s="41">
        <f>B6+B15</f>
        <v>5</v>
      </c>
      <c r="C22" s="41">
        <f>C6+C15</f>
        <v>5</v>
      </c>
      <c r="D22" s="41">
        <f>SUM(B22:C22)</f>
        <v>10</v>
      </c>
      <c r="E22" s="41">
        <f>E6+E15</f>
        <v>21</v>
      </c>
      <c r="F22" s="41">
        <f>F6+F15</f>
        <v>19</v>
      </c>
      <c r="G22" s="41">
        <f>SUM(E22:F22)</f>
        <v>40</v>
      </c>
      <c r="H22" s="41">
        <f>H6+H15</f>
        <v>29</v>
      </c>
      <c r="I22" s="41">
        <f>I6+I15</f>
        <v>61</v>
      </c>
      <c r="J22" s="41">
        <f>SUM(H22:I22)</f>
        <v>90</v>
      </c>
      <c r="K22" s="41">
        <f>K6+K15</f>
        <v>84</v>
      </c>
      <c r="L22" s="41">
        <f>L6+L15</f>
        <v>72</v>
      </c>
      <c r="M22" s="41">
        <f>SUM(K22:L22)</f>
        <v>156</v>
      </c>
      <c r="N22" s="41">
        <f>N6+N15</f>
        <v>64</v>
      </c>
      <c r="O22" s="41">
        <f>O6+O15</f>
        <v>61</v>
      </c>
      <c r="P22" s="41">
        <f>SUM(N22:O22)</f>
        <v>125</v>
      </c>
      <c r="Q22" s="41">
        <f>D22+G22+J22+M22+P22</f>
        <v>421</v>
      </c>
    </row>
    <row r="23" spans="1:17" s="39" customFormat="1" ht="22.5" customHeight="1">
      <c r="A23" s="40" t="s">
        <v>20</v>
      </c>
      <c r="B23" s="41">
        <f>B7+B16</f>
        <v>3</v>
      </c>
      <c r="C23" s="41">
        <f>C7+C16</f>
        <v>1</v>
      </c>
      <c r="D23" s="41">
        <f>SUM(B23:C23)</f>
        <v>4</v>
      </c>
      <c r="E23" s="41">
        <f>E7+E16</f>
        <v>8</v>
      </c>
      <c r="F23" s="41">
        <f>F7+F16</f>
        <v>3</v>
      </c>
      <c r="G23" s="41">
        <f>SUM(E23:F23)</f>
        <v>11</v>
      </c>
      <c r="H23" s="41">
        <f>H7+H16</f>
        <v>9</v>
      </c>
      <c r="I23" s="41">
        <f>I7+I16</f>
        <v>9</v>
      </c>
      <c r="J23" s="41">
        <f>SUM(H23:I23)</f>
        <v>18</v>
      </c>
      <c r="K23" s="41">
        <f>K7+K16</f>
        <v>10</v>
      </c>
      <c r="L23" s="41">
        <f>L7+L16</f>
        <v>18</v>
      </c>
      <c r="M23" s="41">
        <f>SUM(K23:L23)</f>
        <v>28</v>
      </c>
      <c r="N23" s="41">
        <f>N7+N16</f>
        <v>14</v>
      </c>
      <c r="O23" s="41">
        <f>O7+O16</f>
        <v>19</v>
      </c>
      <c r="P23" s="41">
        <f>SUM(N23:O23)</f>
        <v>33</v>
      </c>
      <c r="Q23" s="41">
        <f>D23+G23+J23+M23+P23</f>
        <v>94</v>
      </c>
    </row>
    <row r="24" spans="1:17" s="39" customFormat="1" ht="22.5" customHeight="1">
      <c r="A24" s="40" t="s">
        <v>41</v>
      </c>
      <c r="B24" s="41">
        <f t="shared" ref="B24:P24" si="4">SUM(B22:B23)</f>
        <v>8</v>
      </c>
      <c r="C24" s="41">
        <f t="shared" si="4"/>
        <v>6</v>
      </c>
      <c r="D24" s="41">
        <f t="shared" si="4"/>
        <v>14</v>
      </c>
      <c r="E24" s="41">
        <f t="shared" si="4"/>
        <v>29</v>
      </c>
      <c r="F24" s="41">
        <f t="shared" si="4"/>
        <v>22</v>
      </c>
      <c r="G24" s="41">
        <f t="shared" si="4"/>
        <v>51</v>
      </c>
      <c r="H24" s="41">
        <f t="shared" si="4"/>
        <v>38</v>
      </c>
      <c r="I24" s="41">
        <f t="shared" si="4"/>
        <v>70</v>
      </c>
      <c r="J24" s="41">
        <f t="shared" si="4"/>
        <v>108</v>
      </c>
      <c r="K24" s="41">
        <f t="shared" si="4"/>
        <v>94</v>
      </c>
      <c r="L24" s="41">
        <f t="shared" si="4"/>
        <v>90</v>
      </c>
      <c r="M24" s="41">
        <f t="shared" si="4"/>
        <v>184</v>
      </c>
      <c r="N24" s="41">
        <f t="shared" si="4"/>
        <v>78</v>
      </c>
      <c r="O24" s="41">
        <f t="shared" si="4"/>
        <v>80</v>
      </c>
      <c r="P24" s="41">
        <f t="shared" si="4"/>
        <v>158</v>
      </c>
      <c r="Q24" s="45">
        <f>D24+G24+J24+M24+P24</f>
        <v>515</v>
      </c>
    </row>
  </sheetData>
  <mergeCells count="16">
    <mergeCell ref="K20:M20"/>
    <mergeCell ref="K12:M12"/>
    <mergeCell ref="A1:Q1"/>
    <mergeCell ref="N20:P20"/>
    <mergeCell ref="B3:D3"/>
    <mergeCell ref="E3:G3"/>
    <mergeCell ref="K3:M3"/>
    <mergeCell ref="N3:P3"/>
    <mergeCell ref="H3:J3"/>
    <mergeCell ref="N12:P12"/>
    <mergeCell ref="E12:G12"/>
    <mergeCell ref="H12:J12"/>
    <mergeCell ref="B20:D20"/>
    <mergeCell ref="E20:G20"/>
    <mergeCell ref="H20:J20"/>
    <mergeCell ref="B12:D12"/>
  </mergeCells>
  <phoneticPr fontId="1"/>
  <printOptions horizontalCentered="1" verticalCentere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  <ignoredErrors>
    <ignoredError sqref="J22:J23 M22:M23 D22:D23 G22:G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発送済Ａ</vt:lpstr>
      <vt:lpstr>発送済Ｂ</vt:lpstr>
      <vt:lpstr>発送済A控え</vt:lpstr>
      <vt:lpstr>発送済Ｂ控え</vt:lpstr>
      <vt:lpstr>発送前A</vt:lpstr>
      <vt:lpstr>発送前Ｂ</vt:lpstr>
      <vt:lpstr>実績表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焼却場</cp:lastModifiedBy>
  <cp:lastPrinted>2026-03-24T02:14:48Z</cp:lastPrinted>
  <dcterms:created xsi:type="dcterms:W3CDTF">2011-04-01T05:01:22Z</dcterms:created>
  <dcterms:modified xsi:type="dcterms:W3CDTF">2026-03-30T05:04:48Z</dcterms:modified>
</cp:coreProperties>
</file>